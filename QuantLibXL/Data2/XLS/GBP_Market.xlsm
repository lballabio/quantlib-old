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70" firstSheet="26" activeTab="34"/>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LIBOR (2)" sheetId="41" r:id="rId31"/>
    <sheet name="SFIX1" sheetId="42" r:id="rId32"/>
    <sheet name="SFIX2" sheetId="43" r:id="rId33"/>
    <sheet name="SFIX3" sheetId="44" r:id="rId34"/>
    <sheet name="Deposits (2)" sheetId="46" r:id="rId35"/>
    <sheet name="FRA (2)" sheetId="47" r:id="rId36"/>
    <sheet name="Futures1M (2)" sheetId="48" r:id="rId37"/>
    <sheet name="Futures3M (2)" sheetId="49" r:id="rId38"/>
    <sheet name="ImmFra6M" sheetId="50" r:id="rId39"/>
    <sheet name="FuturesConvexityAdjustment" sheetId="51" r:id="rId40"/>
    <sheet name="Swap1M" sheetId="52" r:id="rId41"/>
    <sheet name="SwapIMMDated" sheetId="53" r:id="rId42"/>
    <sheet name="Swap3M (2)" sheetId="54" r:id="rId43"/>
    <sheet name="Swap6M (2)" sheetId="55" r:id="rId44"/>
    <sheet name="BasisSwap1MXM (2)" sheetId="56" r:id="rId45"/>
    <sheet name="BasisSwap3M6M (2)" sheetId="57" r:id="rId46"/>
    <sheet name="BasisSwapXM12M (2)" sheetId="58" r:id="rId47"/>
    <sheet name="OIS (2)" sheetId="59" r:id="rId48"/>
    <sheet name="MPCOIS" sheetId="60" r:id="rId49"/>
    <sheet name="FwdOIS" sheetId="61" r:id="rId50"/>
  </sheets>
  <definedNames>
    <definedName name="Contributor" localSheetId="44">'BasisSwap1MXM (2)'!$F$2</definedName>
    <definedName name="Contributor" localSheetId="45">'BasisSwap3M6M (2)'!$F$2</definedName>
    <definedName name="Contributor" localSheetId="46">'BasisSwapXM12M (2)'!$F$2</definedName>
    <definedName name="Contributor" localSheetId="34">'Deposits (2)'!$C$2</definedName>
    <definedName name="Contributor" localSheetId="35">'FRA (2)'!$E$2</definedName>
    <definedName name="Contributor" localSheetId="39">FuturesConvexityAdjustment!$B$2</definedName>
    <definedName name="Contributor" localSheetId="49">FwdOIS!$F$2</definedName>
    <definedName name="Contributor" localSheetId="38">ImmFra6M!$F$2</definedName>
    <definedName name="Contributor" localSheetId="48">MPCOIS!$F$2</definedName>
    <definedName name="Contributor" localSheetId="47">'OIS (2)'!$F$2</definedName>
    <definedName name="Contributor" localSheetId="40">Swap1M!$F$2</definedName>
    <definedName name="Contributor" localSheetId="42">'Swap3M (2)'!$F$2</definedName>
    <definedName name="Contributor" localSheetId="43">'Swap6M (2)'!$F$2</definedName>
    <definedName name="Contributor" localSheetId="41">SwapIMMDated!$F$2</definedName>
    <definedName name="Contributors" localSheetId="34">'Deposits (2)'!$M$5:$M$13</definedName>
    <definedName name="Contributors">'General Settings'!$C$31:$C$37</definedName>
    <definedName name="ContributorTable" localSheetId="34">'Deposits (2)'!$M$5:$Q$13</definedName>
    <definedName name="ContributorTable">'General Settings'!$C$31:$D$37</definedName>
    <definedName name="Conventions" localSheetId="44">'BasisSwap1MXM (2)'!$T$5:$V$9</definedName>
    <definedName name="Conventions" localSheetId="45">'BasisSwap3M6M (2)'!$T$5:$V$9</definedName>
    <definedName name="Conventions" localSheetId="46">'BasisSwapXM12M (2)'!$T$5:$V$9</definedName>
    <definedName name="Conventions" localSheetId="42">'Swap3M (2)'!$T$5:$V$10</definedName>
    <definedName name="Conventions" localSheetId="43">'Swap6M (2)'!$T$5:$V$9</definedName>
    <definedName name="Counter" localSheetId="44">'BasisSwap1MXM (2)'!$Q$3</definedName>
    <definedName name="Counter" localSheetId="45">'BasisSwap3M6M (2)'!$Q$3</definedName>
    <definedName name="Counter" localSheetId="46">'BasisSwapXM12M (2)'!$Q$3</definedName>
    <definedName name="Counter" localSheetId="34">'Deposits (2)'!$J$3</definedName>
    <definedName name="Counter" localSheetId="35">'FRA (2)'!$P$3</definedName>
    <definedName name="Counter" localSheetId="36">'Futures1M (2)'!$R$4</definedName>
    <definedName name="Counter" localSheetId="37">'Futures3M (2)'!$R$4</definedName>
    <definedName name="Counter" localSheetId="39">FuturesConvexityAdjustment!$L$3</definedName>
    <definedName name="Counter" localSheetId="49">FwdOIS!$Q$3</definedName>
    <definedName name="Counter" localSheetId="38">ImmFra6M!$R$4</definedName>
    <definedName name="Counter" localSheetId="48">MPCOIS!$Q$3</definedName>
    <definedName name="Counter" localSheetId="47">'OIS (2)'!$Q$3</definedName>
    <definedName name="Counter" localSheetId="40">Swap1M!$Q$3</definedName>
    <definedName name="Counter" localSheetId="42">'Swap3M (2)'!$Q$3</definedName>
    <definedName name="Counter" localSheetId="43">'Swap6M (2)'!$Q$3</definedName>
    <definedName name="Counter" localSheetId="41">SwapIMMDated!$Q$3</definedName>
    <definedName name="Counter">'Futures1M (2)'!$R$4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36">'Futures1M (2)'!$D$6:$D$17</definedName>
    <definedName name="FuturesCodes" localSheetId="37">'Futures3M (2)'!$D$6:$D$47</definedName>
    <definedName name="FuturesCodes" localSheetId="38">ImmFra6M!$D$6:$D$9</definedName>
    <definedName name="FuturesDates" localSheetId="36">'Futures1M (2)'!$E$6:$E$17</definedName>
    <definedName name="FuturesDates" localSheetId="37">'Futures3M (2)'!$E$6:$E$47</definedName>
    <definedName name="FuturesDates" localSheetId="38">ImmFra6M!$E$6:$E$9</definedName>
    <definedName name="IborIndex" localSheetId="26">'1M (3)'!$F$4</definedName>
    <definedName name="IborIndex" localSheetId="27">'3M (3)'!$F$4</definedName>
    <definedName name="Instruments" localSheetId="44">'BasisSwap1MXM (2)'!$E$5:$E$42</definedName>
    <definedName name="Instruments" localSheetId="45">'BasisSwap3M6M (2)'!$E$5:$E$42</definedName>
    <definedName name="Instruments" localSheetId="46">'BasisSwapXM12M (2)'!$E$5:$E$42</definedName>
    <definedName name="Instruments" localSheetId="34">'Deposits (2)'!$B$5:$B$22</definedName>
    <definedName name="Instruments" localSheetId="35">'FRA (2)'!$D$5:$D$24</definedName>
    <definedName name="Instruments" localSheetId="36">'Futures1M (2)'!$F$6:$F$17</definedName>
    <definedName name="Instruments" localSheetId="49">FwdOIS!$E$5:$E$10</definedName>
    <definedName name="Instruments" localSheetId="48">MPCOIS!$E$5:$E$10</definedName>
    <definedName name="Instruments" localSheetId="47">'OIS (2)'!$E$5:$E$37</definedName>
    <definedName name="Instruments" localSheetId="40">Swap1M!$E$5:$E$15</definedName>
    <definedName name="Instruments" localSheetId="42">'Swap3M (2)'!$E$5:$E$42</definedName>
    <definedName name="Instruments" localSheetId="43">'Swap6M (2)'!$E$5:$E$42</definedName>
    <definedName name="Instruments" localSheetId="41">SwapIMMDated!$E$5:$E$11</definedName>
    <definedName name="InterpolationType">'General Settings'!$D$28</definedName>
    <definedName name="LastUpdate">'General Settings'!$D$6</definedName>
    <definedName name="LiffeCodes" localSheetId="36">'Futures1M (2)'!$U$6:$V$10</definedName>
    <definedName name="LiffeCodes" localSheetId="37">'Futures3M (2)'!$U$6:$V$10</definedName>
    <definedName name="LiffeCodes" localSheetId="38">ImmFra6M!$U$6:$V$9</definedName>
    <definedName name="LiveDataFeed">'General Settings'!$D$7</definedName>
    <definedName name="MeanReversion" localSheetId="26">'1M (3)'!$F$3</definedName>
    <definedName name="MeanReversion" localSheetId="27">'3M (3)'!$F$3</definedName>
    <definedName name="Months" localSheetId="18">'1M'!$B$1</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44">'BasisSwap1MXM (2)'!$P$5:$P$42</definedName>
    <definedName name="Quote" localSheetId="45">'BasisSwap3M6M (2)'!$P$5:$P$42</definedName>
    <definedName name="Quote" localSheetId="46">'BasisSwapXM12M (2)'!$P$5:$P$42</definedName>
    <definedName name="Quote" localSheetId="34">'Deposits (2)'!$I$5:$I$22</definedName>
    <definedName name="Quote" localSheetId="35">'FRA (2)'!$O$5:$O$24</definedName>
    <definedName name="Quote" localSheetId="36">'Futures1M (2)'!$Q$6:$Q$17</definedName>
    <definedName name="Quote" localSheetId="37">'Futures3M (2)'!$Q$6:$Q$47</definedName>
    <definedName name="Quote" localSheetId="39">FuturesConvexityAdjustment!$K$5:$K$6</definedName>
    <definedName name="Quote" localSheetId="49">FwdOIS!$P$5:$P$10</definedName>
    <definedName name="Quote" localSheetId="38">ImmFra6M!$Q$6:$Q$9</definedName>
    <definedName name="Quote" localSheetId="48">MPCOIS!$P$5:$P$10</definedName>
    <definedName name="Quote" localSheetId="47">'OIS (2)'!$P$5:$P$37</definedName>
    <definedName name="Quote" localSheetId="40">Swap1M!$P$5:$P$15</definedName>
    <definedName name="Quote" localSheetId="42">'Swap3M (2)'!$P$5:$P$42</definedName>
    <definedName name="Quote" localSheetId="43">'Swap6M (2)'!$P$5:$P$42</definedName>
    <definedName name="Quote" localSheetId="41">SwapIMMDated!$P$5:$P$11</definedName>
    <definedName name="QuoteLive" localSheetId="44">'BasisSwap1MXM (2)'!$K$5:$K$42</definedName>
    <definedName name="QuoteLive" localSheetId="45">'BasisSwap3M6M (2)'!$K$5:$K$42</definedName>
    <definedName name="QuoteLive" localSheetId="46">'BasisSwapXM12M (2)'!$K$5:$K$42</definedName>
    <definedName name="QuoteLive" localSheetId="34">'Deposits (2)'!$D$5:$D$22</definedName>
    <definedName name="QuoteLive" localSheetId="35">'FRA (2)'!$J$5:$J$24</definedName>
    <definedName name="QuoteLive" localSheetId="36">'Futures1M (2)'!$L$6:$L$17</definedName>
    <definedName name="QuoteLive" localSheetId="37">'Futures3M (2)'!$L$6:$L$47</definedName>
    <definedName name="QuoteLive" localSheetId="39">FuturesConvexityAdjustment!$F$5:$F$6</definedName>
    <definedName name="QuoteLive" localSheetId="49">FwdOIS!$K$5:$K$10</definedName>
    <definedName name="QuoteLive" localSheetId="38">ImmFra6M!$L$6:$L$9</definedName>
    <definedName name="QuoteLive" localSheetId="48">MPCOIS!$K$5:$K$10</definedName>
    <definedName name="QuoteLive" localSheetId="47">'OIS (2)'!$K$5:$K$37</definedName>
    <definedName name="QuoteLive" localSheetId="40">Swap1M!$K$5:$K$15</definedName>
    <definedName name="QuoteLive" localSheetId="42">'Swap3M (2)'!$K$5:$K$42</definedName>
    <definedName name="QuoteLive" localSheetId="43">'Swap6M (2)'!$K$5:$K$42</definedName>
    <definedName name="QuoteLive" localSheetId="41">SwapIMMDated!$K$5:$K$11</definedName>
    <definedName name="QuoteStatic" localSheetId="44">'BasisSwap1MXM (2)'!$M$5:$M$42</definedName>
    <definedName name="QuoteStatic" localSheetId="45">'BasisSwap3M6M (2)'!$M$5:$M$42</definedName>
    <definedName name="QuoteStatic" localSheetId="46">'BasisSwapXM12M (2)'!$M$5:$M$42</definedName>
    <definedName name="QuoteStatic" localSheetId="34">'Deposits (2)'!$F$5:$F$22</definedName>
    <definedName name="QuoteStatic" localSheetId="35">'FRA (2)'!$L$5:$L$24</definedName>
    <definedName name="QuoteStatic" localSheetId="36">'Futures1M (2)'!$N$6:$N$17</definedName>
    <definedName name="QuoteStatic" localSheetId="37">'Futures3M (2)'!$N$6:$N$47</definedName>
    <definedName name="QuoteStatic" localSheetId="39">FuturesConvexityAdjustment!$H$5:$H$6</definedName>
    <definedName name="QuoteStatic" localSheetId="49">FwdOIS!$M$5:$M$10</definedName>
    <definedName name="QuoteStatic" localSheetId="38">ImmFra6M!$N$6:$N$9</definedName>
    <definedName name="QuoteStatic" localSheetId="48">MPCOIS!$M$5:$M$10</definedName>
    <definedName name="QuoteStatic" localSheetId="47">'OIS (2)'!$M$5:$M$37</definedName>
    <definedName name="QuoteStatic" localSheetId="40">Swap1M!$M$5:$M$15</definedName>
    <definedName name="QuoteStatic" localSheetId="42">'Swap3M (2)'!$M$5:$M$42</definedName>
    <definedName name="QuoteStatic" localSheetId="43">'Swap6M (2)'!$M$5:$M$42</definedName>
    <definedName name="QuoteStatic" localSheetId="41">SwapIMMDated!$M$5:$M$11</definedName>
    <definedName name="QuoteSuffix">'General Settings'!$D$22</definedName>
    <definedName name="RateTickValue">'General Settings'!$D$23</definedName>
    <definedName name="ReutersRtMode">'General Settings'!$D$26</definedName>
    <definedName name="SA_TWEAK" localSheetId="34">'Deposits (2)'!$A$25</definedName>
    <definedName name="SerializationPath">'General Settings'!$D$13</definedName>
    <definedName name="Serialize">'General Settings'!$D$12</definedName>
    <definedName name="Swap3M4Y">'Swap3M (2)'!$P$12</definedName>
    <definedName name="Swap6M4Y">'Swap6M (2)'!$P$12</definedName>
    <definedName name="SwapMainSetConventions">Swap3M!$J$3:$L$7</definedName>
    <definedName name="SwapSecondarySetConventions">Swap6M!$J$3:$L$7</definedName>
    <definedName name="Tenor" localSheetId="18">'1M'!$C$1</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30">'LIBOR (2)'!$C$24:$E$30</definedName>
    <definedName name="Traits" localSheetId="31">SFIX1!$C$21:$E$27</definedName>
    <definedName name="Traits" localSheetId="32">SFIX2!$C$21:$E$27</definedName>
    <definedName name="Traits" localSheetId="33">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I5" i="46" l="1" a="1"/>
  <c r="I5" i="46" s="1"/>
  <c r="I12" i="46" l="1"/>
  <c r="I11" i="46"/>
  <c r="I18" i="46"/>
  <c r="I17" i="46"/>
  <c r="I14" i="46"/>
  <c r="I6" i="46"/>
  <c r="I20" i="46"/>
  <c r="I19" i="46"/>
  <c r="I10" i="46"/>
  <c r="I9" i="46"/>
  <c r="I16" i="46"/>
  <c r="I8" i="46"/>
  <c r="I15" i="46"/>
  <c r="I7" i="46"/>
  <c r="I22" i="46"/>
  <c r="I21" i="46"/>
  <c r="I13" i="46"/>
  <c r="D13" i="62"/>
  <c r="D15" i="62" l="1"/>
  <c r="D16" i="62"/>
  <c r="D19" i="62"/>
  <c r="D31" i="62" l="1"/>
  <c r="E5" i="61"/>
  <c r="O5" i="61" s="1"/>
  <c r="E6" i="61"/>
  <c r="K6" i="61"/>
  <c r="Q3"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6" i="61"/>
  <c r="P10" i="61"/>
  <c r="P9" i="61"/>
  <c r="P8" i="61"/>
  <c r="P7"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F4" i="59"/>
  <c r="P5" i="60" l="1"/>
  <c r="P8" i="60"/>
  <c r="P7" i="60"/>
  <c r="P10" i="60"/>
  <c r="P6" i="60"/>
  <c r="P9" i="60"/>
  <c r="E5" i="59"/>
  <c r="Q10" i="60"/>
  <c r="K5" i="59"/>
  <c r="Q6" i="60"/>
  <c r="Q5" i="60"/>
  <c r="Q9" i="60"/>
  <c r="Q7" i="60"/>
  <c r="Q8" i="60"/>
  <c r="O5" i="59" l="1"/>
  <c r="E6" i="59"/>
  <c r="K6" i="59"/>
  <c r="O6" i="59" l="1"/>
  <c r="E7" i="59"/>
  <c r="K7" i="59"/>
  <c r="O7" i="59" l="1"/>
  <c r="E8" i="59"/>
  <c r="K8" i="59"/>
  <c r="O8" i="59" l="1"/>
  <c r="E9" i="59"/>
  <c r="K9" i="59"/>
  <c r="O9" i="59" l="1"/>
  <c r="E10" i="59"/>
  <c r="K10" i="59"/>
  <c r="O10" i="59" l="1"/>
  <c r="E11" i="59"/>
  <c r="K11" i="59"/>
  <c r="O11" i="59" l="1"/>
  <c r="E12" i="59"/>
  <c r="K12" i="59"/>
  <c r="O12" i="59" l="1"/>
  <c r="E13" i="59"/>
  <c r="K13" i="59"/>
  <c r="O13" i="59" l="1"/>
  <c r="E14" i="59"/>
  <c r="K14" i="59"/>
  <c r="O14" i="59" l="1"/>
  <c r="E15" i="59"/>
  <c r="K15" i="59"/>
  <c r="O15" i="59" l="1"/>
  <c r="E16" i="59"/>
  <c r="K16" i="59"/>
  <c r="O16" i="59" l="1"/>
  <c r="E17" i="59"/>
  <c r="K17" i="59"/>
  <c r="O17" i="59" l="1"/>
  <c r="E18" i="59"/>
  <c r="K18" i="59"/>
  <c r="O18" i="59" l="1"/>
  <c r="E19" i="59"/>
  <c r="K19" i="59"/>
  <c r="O19" i="59" l="1"/>
  <c r="E20" i="59"/>
  <c r="K20" i="59"/>
  <c r="O20" i="59" l="1"/>
  <c r="E21" i="59"/>
  <c r="K21" i="59"/>
  <c r="O21" i="59" l="1"/>
  <c r="E22" i="59"/>
  <c r="K22" i="59"/>
  <c r="O22" i="59" l="1"/>
  <c r="E23" i="59"/>
  <c r="K23" i="59"/>
  <c r="O23" i="59" l="1"/>
  <c r="E24" i="59"/>
  <c r="K24" i="59"/>
  <c r="O24" i="59" l="1"/>
  <c r="E25" i="59"/>
  <c r="K25" i="59"/>
  <c r="O25" i="59" l="1"/>
  <c r="E26" i="59"/>
  <c r="K26" i="59"/>
  <c r="O26" i="59" l="1"/>
  <c r="E27" i="59"/>
  <c r="K27" i="59"/>
  <c r="O27" i="59" l="1"/>
  <c r="E28" i="59"/>
  <c r="K28" i="59"/>
  <c r="O28" i="59" l="1"/>
  <c r="E29" i="59"/>
  <c r="K29" i="59"/>
  <c r="O29" i="59" l="1"/>
  <c r="E30" i="59"/>
  <c r="K30" i="59"/>
  <c r="O30" i="59" l="1"/>
  <c r="E31" i="59"/>
  <c r="K31" i="59"/>
  <c r="O31" i="59" l="1"/>
  <c r="E32" i="59"/>
  <c r="K32" i="59"/>
  <c r="O32" i="59" l="1"/>
  <c r="E33" i="59"/>
  <c r="K33" i="59"/>
  <c r="O33" i="59" l="1"/>
  <c r="E34" i="59"/>
  <c r="K34" i="59"/>
  <c r="O34" i="59" l="1"/>
  <c r="E35" i="59"/>
  <c r="K35" i="59"/>
  <c r="O35" i="59" l="1"/>
  <c r="E36" i="59"/>
  <c r="K36" i="59"/>
  <c r="O36" i="59" l="1"/>
  <c r="E37" i="59"/>
  <c r="F5" i="59" s="1" a="1"/>
  <c r="F37" i="59" s="1"/>
  <c r="K37" i="59"/>
  <c r="P5" i="59" l="1" a="1"/>
  <c r="F5" i="59"/>
  <c r="F6" i="59"/>
  <c r="F7" i="59"/>
  <c r="F8" i="59"/>
  <c r="F9" i="59"/>
  <c r="F10" i="59"/>
  <c r="F11" i="59"/>
  <c r="F12" i="59"/>
  <c r="F13" i="59"/>
  <c r="F14" i="59"/>
  <c r="F15" i="59"/>
  <c r="F16" i="59"/>
  <c r="F17" i="59"/>
  <c r="F18" i="59"/>
  <c r="F19" i="59"/>
  <c r="F20" i="59"/>
  <c r="F21" i="59"/>
  <c r="F22" i="59"/>
  <c r="F23" i="59"/>
  <c r="F24" i="59"/>
  <c r="F25" i="59"/>
  <c r="F26" i="59"/>
  <c r="F27" i="59"/>
  <c r="F28" i="59"/>
  <c r="F29" i="59"/>
  <c r="F30" i="59"/>
  <c r="F31" i="59"/>
  <c r="F32" i="59"/>
  <c r="F33" i="59"/>
  <c r="F34" i="59"/>
  <c r="F35" i="59"/>
  <c r="F36" i="59"/>
  <c r="O37" i="59"/>
  <c r="F4" i="58"/>
  <c r="P5" i="59" l="1"/>
  <c r="P9" i="59"/>
  <c r="P20" i="59"/>
  <c r="P24" i="59"/>
  <c r="P21" i="59"/>
  <c r="P32" i="59"/>
  <c r="P35" i="59"/>
  <c r="P8" i="59"/>
  <c r="P13" i="59"/>
  <c r="P28" i="59"/>
  <c r="P16" i="59"/>
  <c r="P19" i="59"/>
  <c r="P31" i="59"/>
  <c r="P10" i="59"/>
  <c r="P26" i="59"/>
  <c r="P29" i="59"/>
  <c r="P25" i="59"/>
  <c r="P18" i="59"/>
  <c r="P30" i="59"/>
  <c r="P33" i="59"/>
  <c r="P22" i="59"/>
  <c r="P17" i="59"/>
  <c r="P14" i="59"/>
  <c r="P23" i="59"/>
  <c r="P12" i="59"/>
  <c r="P6" i="59"/>
  <c r="P15" i="59"/>
  <c r="P27" i="59"/>
  <c r="P34" i="59"/>
  <c r="P36" i="59"/>
  <c r="P11" i="59"/>
  <c r="P7" i="59"/>
  <c r="P37" i="59"/>
  <c r="C5" i="58" a="1"/>
  <c r="C5" i="58" s="1"/>
  <c r="D5" i="58" a="1"/>
  <c r="D5" i="58" s="1"/>
  <c r="Q37" i="59"/>
  <c r="I5" i="58"/>
  <c r="Q7" i="59"/>
  <c r="Q11" i="59"/>
  <c r="Q9" i="59"/>
  <c r="Q34" i="59"/>
  <c r="Q19" i="59"/>
  <c r="Q36" i="59"/>
  <c r="Q10" i="59"/>
  <c r="Q13" i="59"/>
  <c r="Q14" i="59"/>
  <c r="Q25" i="59"/>
  <c r="Q15" i="59"/>
  <c r="Q8" i="59"/>
  <c r="Q33" i="59"/>
  <c r="Q20" i="59"/>
  <c r="Q30" i="59"/>
  <c r="Q31" i="59"/>
  <c r="Q32" i="59"/>
  <c r="Q27" i="59"/>
  <c r="Q24" i="59"/>
  <c r="Q26" i="59"/>
  <c r="Q23" i="59"/>
  <c r="Q22" i="59"/>
  <c r="Q12" i="59"/>
  <c r="Q29" i="59"/>
  <c r="Q16" i="59"/>
  <c r="Q35" i="59"/>
  <c r="Q21" i="59"/>
  <c r="Q18" i="59"/>
  <c r="Q17" i="59"/>
  <c r="Q6" i="59"/>
  <c r="Q28" i="59"/>
  <c r="Q5" i="59"/>
  <c r="E5" i="58" l="1"/>
  <c r="O5" i="58" s="1"/>
  <c r="J5" i="58"/>
  <c r="C6" i="58"/>
  <c r="D6" i="58"/>
  <c r="I6" i="58"/>
  <c r="E6" i="58" l="1"/>
  <c r="O6" i="58" s="1"/>
  <c r="J6" i="58"/>
  <c r="C7" i="58"/>
  <c r="D7" i="58"/>
  <c r="E7" i="58"/>
  <c r="I7" i="58"/>
  <c r="J7" i="58" l="1"/>
  <c r="O7" i="58"/>
  <c r="C8" i="58"/>
  <c r="D8" i="58"/>
  <c r="E8" i="58"/>
  <c r="I8" i="58"/>
  <c r="J8" i="58" l="1"/>
  <c r="O8" i="58"/>
  <c r="C9" i="58"/>
  <c r="D9" i="58"/>
  <c r="E9" i="58"/>
  <c r="I9" i="58"/>
  <c r="J9" i="58" l="1"/>
  <c r="O9" i="58"/>
  <c r="C10" i="58"/>
  <c r="D10" i="58"/>
  <c r="E10" i="58"/>
  <c r="I10" i="58"/>
  <c r="J10" i="58" l="1"/>
  <c r="O10" i="58"/>
  <c r="C11" i="58"/>
  <c r="D11" i="58"/>
  <c r="E11" i="58"/>
  <c r="O11" i="58" s="1"/>
  <c r="C12" i="58"/>
  <c r="D12" i="58"/>
  <c r="I11" i="58"/>
  <c r="I12" i="58"/>
  <c r="E12" i="58" l="1"/>
  <c r="O12" i="58" s="1"/>
  <c r="J11" i="58"/>
  <c r="J12" i="58"/>
  <c r="C13" i="58"/>
  <c r="D13" i="58"/>
  <c r="E13" i="58"/>
  <c r="O13" i="58" s="1"/>
  <c r="C14" i="58"/>
  <c r="D14" i="58"/>
  <c r="I14" i="58"/>
  <c r="I13" i="58"/>
  <c r="E14" i="58" l="1"/>
  <c r="O14" i="58" s="1"/>
  <c r="J13" i="58"/>
  <c r="J14" i="58"/>
  <c r="C15" i="58"/>
  <c r="D15" i="58"/>
  <c r="E15" i="58"/>
  <c r="I15" i="58"/>
  <c r="J15" i="58" l="1"/>
  <c r="O15" i="58"/>
  <c r="C16" i="58"/>
  <c r="D16" i="58"/>
  <c r="E16" i="58"/>
  <c r="O16" i="58" s="1"/>
  <c r="C17" i="58"/>
  <c r="D17" i="58"/>
  <c r="I16" i="58"/>
  <c r="I17" i="58"/>
  <c r="E17" i="58" l="1"/>
  <c r="O17" i="58" s="1"/>
  <c r="J16" i="58"/>
  <c r="J17" i="58"/>
  <c r="C18" i="58"/>
  <c r="D18" i="58"/>
  <c r="E18" i="58"/>
  <c r="O18" i="58" s="1"/>
  <c r="C19" i="58"/>
  <c r="D19" i="58"/>
  <c r="I19" i="58"/>
  <c r="I18" i="58"/>
  <c r="E19" i="58" l="1"/>
  <c r="O19" i="58" s="1"/>
  <c r="J18" i="58"/>
  <c r="J19" i="58"/>
  <c r="C20" i="58"/>
  <c r="D20" i="58"/>
  <c r="I20" i="58"/>
  <c r="E20" i="58" l="1"/>
  <c r="O20" i="58" s="1"/>
  <c r="J20" i="58"/>
  <c r="C21" i="58"/>
  <c r="D21" i="58"/>
  <c r="C22" i="58"/>
  <c r="D22" i="58"/>
  <c r="I21" i="58"/>
  <c r="I22" i="58"/>
  <c r="E21" i="58" l="1"/>
  <c r="O21" i="58" s="1"/>
  <c r="J21" i="58"/>
  <c r="E22" i="58"/>
  <c r="O22" i="58" s="1"/>
  <c r="J22" i="58"/>
  <c r="C23" i="58"/>
  <c r="D23" i="58"/>
  <c r="E23" i="58"/>
  <c r="O23" i="58" s="1"/>
  <c r="C24" i="58"/>
  <c r="D24" i="58"/>
  <c r="I23" i="58"/>
  <c r="I24" i="58"/>
  <c r="E24" i="58" l="1"/>
  <c r="O24" i="58" s="1"/>
  <c r="J23" i="58"/>
  <c r="J24" i="58"/>
  <c r="C25" i="58"/>
  <c r="D25" i="58"/>
  <c r="E25" i="58"/>
  <c r="I25" i="58"/>
  <c r="J25" i="58" l="1"/>
  <c r="O25" i="58"/>
  <c r="C26" i="58"/>
  <c r="D26" i="58"/>
  <c r="C27" i="58"/>
  <c r="D27" i="58"/>
  <c r="E27" i="58"/>
  <c r="I27" i="58"/>
  <c r="I26" i="58"/>
  <c r="E26" i="58" l="1"/>
  <c r="O26" i="58" s="1"/>
  <c r="J26" i="58"/>
  <c r="J27" i="58"/>
  <c r="O27" i="58"/>
  <c r="C28" i="58"/>
  <c r="D28" i="58"/>
  <c r="E28" i="58"/>
  <c r="I28" i="58"/>
  <c r="J28" i="58" l="1"/>
  <c r="O28" i="58"/>
  <c r="C29" i="58"/>
  <c r="D29" i="58"/>
  <c r="C30" i="58"/>
  <c r="D30" i="58"/>
  <c r="E30" i="58"/>
  <c r="I30" i="58"/>
  <c r="I29" i="58"/>
  <c r="E29" i="58" l="1"/>
  <c r="O29" i="58" s="1"/>
  <c r="J29" i="58"/>
  <c r="J30" i="58"/>
  <c r="O30" i="58"/>
  <c r="C31" i="58"/>
  <c r="D31" i="58"/>
  <c r="E31" i="58" s="1"/>
  <c r="O31" i="58" s="1"/>
  <c r="C32" i="58"/>
  <c r="D32" i="58"/>
  <c r="I31" i="58"/>
  <c r="I32" i="58"/>
  <c r="E32" i="58" l="1"/>
  <c r="O32" i="58" s="1"/>
  <c r="J31" i="58"/>
  <c r="J32" i="58"/>
  <c r="C33" i="58"/>
  <c r="D33" i="58"/>
  <c r="E33" i="58"/>
  <c r="O33" i="58" s="1"/>
  <c r="C34" i="58"/>
  <c r="D34" i="58"/>
  <c r="I34" i="58"/>
  <c r="I33" i="58"/>
  <c r="E34" i="58" l="1"/>
  <c r="O34" i="58" s="1"/>
  <c r="J33" i="58"/>
  <c r="J34" i="58"/>
  <c r="C35" i="58"/>
  <c r="D35" i="58"/>
  <c r="E35" i="58"/>
  <c r="O35" i="58" s="1"/>
  <c r="C36" i="58"/>
  <c r="D36" i="58"/>
  <c r="I35" i="58"/>
  <c r="I36" i="58"/>
  <c r="E36" i="58" l="1"/>
  <c r="O36" i="58" s="1"/>
  <c r="J35" i="58"/>
  <c r="J36" i="58"/>
  <c r="C37" i="58"/>
  <c r="D37" i="58"/>
  <c r="E37" i="58"/>
  <c r="O37" i="58" s="1"/>
  <c r="C38" i="58"/>
  <c r="D38" i="58"/>
  <c r="I38" i="58"/>
  <c r="I37" i="58"/>
  <c r="J37" i="58" l="1"/>
  <c r="E38" i="58"/>
  <c r="O38" i="58" s="1"/>
  <c r="J38" i="58"/>
  <c r="C39" i="58"/>
  <c r="D39" i="58"/>
  <c r="E39" i="58"/>
  <c r="O39" i="58" s="1"/>
  <c r="C40" i="58"/>
  <c r="D40" i="58"/>
  <c r="I40" i="58"/>
  <c r="I39" i="58"/>
  <c r="E40" i="58" l="1"/>
  <c r="O40" i="58" s="1"/>
  <c r="J39" i="58"/>
  <c r="J40" i="58"/>
  <c r="C41" i="58"/>
  <c r="D41" i="58"/>
  <c r="E41" i="58"/>
  <c r="O41" i="58" s="1"/>
  <c r="C42" i="58"/>
  <c r="D42" i="58"/>
  <c r="I42" i="58"/>
  <c r="I41" i="58"/>
  <c r="E42" i="58" l="1"/>
  <c r="F5" i="58" s="1" a="1"/>
  <c r="F7" i="58" s="1"/>
  <c r="J41" i="58"/>
  <c r="J42" i="58"/>
  <c r="C5" i="57" a="1"/>
  <c r="C5" i="57" s="1"/>
  <c r="D5" i="57" a="1"/>
  <c r="D5" i="57" s="1"/>
  <c r="I5" i="57"/>
  <c r="F4" i="57"/>
  <c r="F37" i="58" l="1"/>
  <c r="F29" i="58"/>
  <c r="F21" i="58"/>
  <c r="F5" i="58"/>
  <c r="O42" i="58"/>
  <c r="F36" i="58"/>
  <c r="F28" i="58"/>
  <c r="F20" i="58"/>
  <c r="F12" i="58"/>
  <c r="F35" i="58"/>
  <c r="F27" i="58"/>
  <c r="F19" i="58"/>
  <c r="F11" i="58"/>
  <c r="F42" i="58"/>
  <c r="F34" i="58"/>
  <c r="F26" i="58"/>
  <c r="F18" i="58"/>
  <c r="F10" i="58"/>
  <c r="F41" i="58"/>
  <c r="F33" i="58"/>
  <c r="F25" i="58"/>
  <c r="F17" i="58"/>
  <c r="F9" i="58"/>
  <c r="F40" i="58"/>
  <c r="F32" i="58"/>
  <c r="F24" i="58"/>
  <c r="F16" i="58"/>
  <c r="F8" i="58"/>
  <c r="F38" i="58"/>
  <c r="F30" i="58"/>
  <c r="F22" i="58"/>
  <c r="F14" i="58"/>
  <c r="F6" i="58"/>
  <c r="F39" i="58"/>
  <c r="F31" i="58"/>
  <c r="F23" i="58"/>
  <c r="F15" i="58"/>
  <c r="F13" i="58"/>
  <c r="E5" i="57"/>
  <c r="O5" i="57" s="1"/>
  <c r="J5" i="57"/>
  <c r="W5" i="57"/>
  <c r="C6" i="57"/>
  <c r="D6" i="57"/>
  <c r="I6" i="57"/>
  <c r="E6" i="57" l="1"/>
  <c r="O6" i="57" s="1"/>
  <c r="J6" i="57"/>
  <c r="W6" i="57"/>
  <c r="C7" i="57"/>
  <c r="D7" i="57"/>
  <c r="E7" i="57"/>
  <c r="I7" i="57"/>
  <c r="J7" i="57" l="1"/>
  <c r="O7" i="57"/>
  <c r="W7" i="57"/>
  <c r="C8" i="57"/>
  <c r="D8" i="57"/>
  <c r="E8" i="57"/>
  <c r="I8" i="57"/>
  <c r="J8" i="57" l="1"/>
  <c r="O8" i="57"/>
  <c r="W8" i="57"/>
  <c r="C9" i="57"/>
  <c r="D9" i="57"/>
  <c r="E9" i="57"/>
  <c r="I9" i="57"/>
  <c r="J9" i="57" l="1"/>
  <c r="O9" i="57"/>
  <c r="W9" i="57"/>
  <c r="C10" i="57"/>
  <c r="D10" i="57"/>
  <c r="E10" i="57"/>
  <c r="I10" i="57"/>
  <c r="J10" i="57" l="1"/>
  <c r="O10" i="57"/>
  <c r="W10" i="57"/>
  <c r="C11" i="57"/>
  <c r="D11" i="57"/>
  <c r="E11" i="57"/>
  <c r="I11" i="57"/>
  <c r="J11" i="57" l="1"/>
  <c r="O11" i="57"/>
  <c r="W11" i="57"/>
  <c r="C12" i="57"/>
  <c r="D12" i="57"/>
  <c r="I12" i="57"/>
  <c r="E12" i="57" l="1"/>
  <c r="O12" i="57" s="1"/>
  <c r="J12" i="57"/>
  <c r="W12" i="57"/>
  <c r="C13" i="57"/>
  <c r="D13" i="57"/>
  <c r="I13" i="57"/>
  <c r="E13" i="57" l="1"/>
  <c r="O13" i="57" s="1"/>
  <c r="J13" i="57"/>
  <c r="W13" i="57"/>
  <c r="C14" i="57"/>
  <c r="D14" i="57"/>
  <c r="I14" i="57"/>
  <c r="E14" i="57" l="1"/>
  <c r="O14" i="57" s="1"/>
  <c r="J14" i="57"/>
  <c r="W14" i="57"/>
  <c r="C15" i="57"/>
  <c r="D15" i="57"/>
  <c r="I15" i="57"/>
  <c r="E15" i="57" l="1"/>
  <c r="O15" i="57" s="1"/>
  <c r="J15" i="57"/>
  <c r="W15" i="57"/>
  <c r="C16" i="57"/>
  <c r="D16" i="57"/>
  <c r="I16" i="57"/>
  <c r="E16" i="57" l="1"/>
  <c r="O16" i="57" s="1"/>
  <c r="J16" i="57"/>
  <c r="W16" i="57"/>
  <c r="C17" i="57"/>
  <c r="D17" i="57"/>
  <c r="I17" i="57"/>
  <c r="E17" i="57" l="1"/>
  <c r="O17" i="57" s="1"/>
  <c r="J17" i="57"/>
  <c r="W17" i="57"/>
  <c r="C18" i="57"/>
  <c r="D18" i="57"/>
  <c r="I18" i="57"/>
  <c r="E18" i="57" l="1"/>
  <c r="O18" i="57" s="1"/>
  <c r="J18" i="57"/>
  <c r="W18" i="57"/>
  <c r="C19" i="57"/>
  <c r="D19" i="57"/>
  <c r="I19" i="57"/>
  <c r="E19" i="57" l="1"/>
  <c r="O19" i="57" s="1"/>
  <c r="J19" i="57"/>
  <c r="W19" i="57"/>
  <c r="C20" i="57"/>
  <c r="D20" i="57"/>
  <c r="I20" i="57"/>
  <c r="E20" i="57" l="1"/>
  <c r="O20" i="57" s="1"/>
  <c r="J20" i="57"/>
  <c r="W20" i="57"/>
  <c r="C21" i="57"/>
  <c r="D21" i="57"/>
  <c r="I21" i="57"/>
  <c r="E21" i="57" l="1"/>
  <c r="O21" i="57" s="1"/>
  <c r="J21" i="57"/>
  <c r="W21" i="57"/>
  <c r="C22" i="57"/>
  <c r="D22" i="57"/>
  <c r="I22" i="57"/>
  <c r="E22" i="57" l="1"/>
  <c r="O22" i="57" s="1"/>
  <c r="J22" i="57"/>
  <c r="W22" i="57"/>
  <c r="C23" i="57"/>
  <c r="D23" i="57"/>
  <c r="I23" i="57"/>
  <c r="E23" i="57" l="1"/>
  <c r="O23" i="57" s="1"/>
  <c r="J23" i="57"/>
  <c r="W23" i="57"/>
  <c r="C24" i="57"/>
  <c r="D24" i="57"/>
  <c r="I24" i="57"/>
  <c r="E24" i="57" l="1"/>
  <c r="O24" i="57" s="1"/>
  <c r="J24" i="57"/>
  <c r="W24" i="57"/>
  <c r="C25" i="57"/>
  <c r="D25" i="57"/>
  <c r="I25" i="57"/>
  <c r="E25" i="57" l="1"/>
  <c r="O25" i="57" s="1"/>
  <c r="J25" i="57"/>
  <c r="W25" i="57"/>
  <c r="C26" i="57"/>
  <c r="D26" i="57"/>
  <c r="I26" i="57"/>
  <c r="E26" i="57" l="1"/>
  <c r="O26" i="57" s="1"/>
  <c r="J26" i="57"/>
  <c r="W26" i="57"/>
  <c r="C27" i="57"/>
  <c r="D27" i="57"/>
  <c r="I27" i="57"/>
  <c r="E27" i="57" l="1"/>
  <c r="O27" i="57" s="1"/>
  <c r="J27" i="57"/>
  <c r="W27" i="57"/>
  <c r="C28" i="57"/>
  <c r="D28" i="57"/>
  <c r="I28" i="57"/>
  <c r="E28" i="57" l="1"/>
  <c r="O28" i="57" s="1"/>
  <c r="J28" i="57"/>
  <c r="W28" i="57"/>
  <c r="C29" i="57"/>
  <c r="D29" i="57"/>
  <c r="I29" i="57"/>
  <c r="E29" i="57" l="1"/>
  <c r="O29" i="57" s="1"/>
  <c r="J29" i="57"/>
  <c r="W29" i="57"/>
  <c r="C30" i="57"/>
  <c r="D30" i="57"/>
  <c r="I30" i="57"/>
  <c r="E30" i="57" l="1"/>
  <c r="O30" i="57" s="1"/>
  <c r="J30" i="57"/>
  <c r="W30" i="57"/>
  <c r="C31" i="57"/>
  <c r="D31" i="57"/>
  <c r="I31" i="57"/>
  <c r="E31" i="57" l="1"/>
  <c r="O31" i="57" s="1"/>
  <c r="J31" i="57"/>
  <c r="W31" i="57"/>
  <c r="C32" i="57"/>
  <c r="D32" i="57"/>
  <c r="I32" i="57"/>
  <c r="E32" i="57" l="1"/>
  <c r="O32" i="57" s="1"/>
  <c r="J32" i="57"/>
  <c r="W32" i="57"/>
  <c r="C33" i="57"/>
  <c r="D33" i="57"/>
  <c r="I33" i="57"/>
  <c r="E33" i="57" l="1"/>
  <c r="O33" i="57" s="1"/>
  <c r="J33" i="57"/>
  <c r="W33" i="57"/>
  <c r="C34" i="57"/>
  <c r="D34" i="57"/>
  <c r="I34" i="57"/>
  <c r="E34" i="57" l="1"/>
  <c r="O34" i="57" s="1"/>
  <c r="J34" i="57"/>
  <c r="W34" i="57"/>
  <c r="C35" i="57"/>
  <c r="D35" i="57"/>
  <c r="I35" i="57"/>
  <c r="E35" i="57" l="1"/>
  <c r="O35" i="57" s="1"/>
  <c r="J35" i="57"/>
  <c r="W35" i="57"/>
  <c r="C36" i="57"/>
  <c r="D36" i="57"/>
  <c r="I36" i="57"/>
  <c r="E36" i="57" l="1"/>
  <c r="O36" i="57" s="1"/>
  <c r="J36" i="57"/>
  <c r="W36" i="57"/>
  <c r="C37" i="57"/>
  <c r="D37" i="57"/>
  <c r="I37" i="57"/>
  <c r="E37" i="57" l="1"/>
  <c r="O37" i="57" s="1"/>
  <c r="J37" i="57"/>
  <c r="W37" i="57"/>
  <c r="C38" i="57"/>
  <c r="D38" i="57"/>
  <c r="I38" i="57"/>
  <c r="E38" i="57" l="1"/>
  <c r="O38" i="57" s="1"/>
  <c r="J38" i="57"/>
  <c r="W38" i="57"/>
  <c r="C39" i="57"/>
  <c r="D39" i="57"/>
  <c r="I39" i="57"/>
  <c r="E39" i="57" l="1"/>
  <c r="O39" i="57" s="1"/>
  <c r="J39" i="57"/>
  <c r="W39" i="57"/>
  <c r="C40" i="57"/>
  <c r="D40" i="57"/>
  <c r="I40" i="57"/>
  <c r="E40" i="57" l="1"/>
  <c r="O40" i="57" s="1"/>
  <c r="J40" i="57"/>
  <c r="W40" i="57"/>
  <c r="C41" i="57"/>
  <c r="D41" i="57"/>
  <c r="I41" i="57"/>
  <c r="E41" i="57" l="1"/>
  <c r="O41" i="57" s="1"/>
  <c r="J41" i="57"/>
  <c r="W41" i="57"/>
  <c r="C42" i="57"/>
  <c r="D42" i="57"/>
  <c r="I42" i="57"/>
  <c r="E42" i="57" l="1"/>
  <c r="F5" i="57" s="1" a="1"/>
  <c r="F5" i="57" s="1"/>
  <c r="J42" i="57"/>
  <c r="W42" i="57"/>
  <c r="F4" i="56"/>
  <c r="O42" i="57" l="1"/>
  <c r="F28" i="57"/>
  <c r="F12" i="57"/>
  <c r="F27" i="57"/>
  <c r="F11" i="57"/>
  <c r="F34" i="57"/>
  <c r="F18" i="57"/>
  <c r="F41" i="57"/>
  <c r="F25" i="57"/>
  <c r="F17" i="57"/>
  <c r="F40" i="57"/>
  <c r="F31" i="57"/>
  <c r="F15" i="57"/>
  <c r="F7" i="57"/>
  <c r="F36" i="57"/>
  <c r="F20" i="57"/>
  <c r="F35" i="57"/>
  <c r="F19" i="57"/>
  <c r="F42" i="57"/>
  <c r="F26" i="57"/>
  <c r="F10" i="57"/>
  <c r="F33" i="57"/>
  <c r="F9" i="57"/>
  <c r="F32" i="57"/>
  <c r="F24" i="57"/>
  <c r="F16" i="57"/>
  <c r="F8" i="57"/>
  <c r="F39" i="57"/>
  <c r="F23" i="57"/>
  <c r="F38" i="57"/>
  <c r="F30" i="57"/>
  <c r="F22" i="57"/>
  <c r="F14" i="57"/>
  <c r="F6" i="57"/>
  <c r="F37" i="57"/>
  <c r="F29" i="57"/>
  <c r="F21" i="57"/>
  <c r="F13" i="57"/>
  <c r="C5" i="56" a="1"/>
  <c r="C5" i="56" s="1"/>
  <c r="D5" i="56" a="1"/>
  <c r="D5" i="56" s="1"/>
  <c r="I5" i="56"/>
  <c r="E5" i="56" l="1"/>
  <c r="O5" i="56" s="1"/>
  <c r="J5" i="56"/>
  <c r="C6" i="56"/>
  <c r="D6" i="56"/>
  <c r="I6" i="56"/>
  <c r="E6" i="56" l="1"/>
  <c r="O6" i="56" s="1"/>
  <c r="J6" i="56"/>
  <c r="C7" i="56"/>
  <c r="D7" i="56"/>
  <c r="E7" i="56"/>
  <c r="O7" i="56" s="1"/>
  <c r="C8" i="56"/>
  <c r="D8" i="56"/>
  <c r="I8" i="56"/>
  <c r="I7" i="56"/>
  <c r="E8" i="56" l="1"/>
  <c r="O8" i="56" s="1"/>
  <c r="J7" i="56"/>
  <c r="J8" i="56"/>
  <c r="C9" i="56"/>
  <c r="D9" i="56"/>
  <c r="E9" i="56"/>
  <c r="I9" i="56"/>
  <c r="J9" i="56" l="1"/>
  <c r="O9" i="56"/>
  <c r="C10" i="56"/>
  <c r="D10" i="56"/>
  <c r="E10" i="56"/>
  <c r="I10" i="56"/>
  <c r="J10" i="56" l="1"/>
  <c r="O10" i="56"/>
  <c r="C11" i="56"/>
  <c r="D11" i="56"/>
  <c r="E11" i="56"/>
  <c r="I11" i="56"/>
  <c r="J11" i="56" l="1"/>
  <c r="O11" i="56"/>
  <c r="C12" i="56"/>
  <c r="D12" i="56"/>
  <c r="I12" i="56"/>
  <c r="E12" i="56" l="1"/>
  <c r="O12" i="56" s="1"/>
  <c r="J12" i="56"/>
  <c r="C13" i="56"/>
  <c r="D13" i="56"/>
  <c r="I13" i="56"/>
  <c r="E13" i="56" l="1"/>
  <c r="O13" i="56" s="1"/>
  <c r="J13" i="56"/>
  <c r="C14" i="56"/>
  <c r="D14" i="56"/>
  <c r="E14" i="56"/>
  <c r="I14" i="56"/>
  <c r="J14" i="56" l="1"/>
  <c r="O14" i="56"/>
  <c r="C15" i="56"/>
  <c r="D15" i="56"/>
  <c r="E15" i="56"/>
  <c r="I15" i="56"/>
  <c r="J15" i="56" l="1"/>
  <c r="O15" i="56"/>
  <c r="C16" i="56"/>
  <c r="D16" i="56"/>
  <c r="E16" i="56"/>
  <c r="I16" i="56"/>
  <c r="J16" i="56" l="1"/>
  <c r="O16" i="56"/>
  <c r="C17" i="56"/>
  <c r="D17" i="56"/>
  <c r="E17" i="56"/>
  <c r="I17" i="56"/>
  <c r="J17" i="56" l="1"/>
  <c r="O17" i="56"/>
  <c r="C18" i="56"/>
  <c r="D18" i="56"/>
  <c r="E18" i="56"/>
  <c r="I18" i="56"/>
  <c r="J18" i="56" l="1"/>
  <c r="O18" i="56"/>
  <c r="C19" i="56"/>
  <c r="D19" i="56"/>
  <c r="E19" i="56"/>
  <c r="I19" i="56"/>
  <c r="J19" i="56" l="1"/>
  <c r="O19" i="56"/>
  <c r="C20" i="56"/>
  <c r="D20" i="56"/>
  <c r="E20" i="56"/>
  <c r="I20" i="56"/>
  <c r="J20" i="56" l="1"/>
  <c r="O20" i="56"/>
  <c r="C21" i="56"/>
  <c r="D21" i="56"/>
  <c r="E21" i="56"/>
  <c r="I21" i="56"/>
  <c r="J21" i="56" l="1"/>
  <c r="O21" i="56"/>
  <c r="C22" i="56"/>
  <c r="D22" i="56"/>
  <c r="E22" i="56"/>
  <c r="I22" i="56"/>
  <c r="J22" i="56" l="1"/>
  <c r="O22" i="56"/>
  <c r="C23" i="56"/>
  <c r="D23" i="56"/>
  <c r="E23" i="56"/>
  <c r="I23" i="56"/>
  <c r="J23" i="56" l="1"/>
  <c r="O23" i="56"/>
  <c r="C24" i="56"/>
  <c r="D24" i="56"/>
  <c r="E24" i="56"/>
  <c r="I24" i="56"/>
  <c r="J24" i="56" l="1"/>
  <c r="O24" i="56"/>
  <c r="C25" i="56"/>
  <c r="D25" i="56"/>
  <c r="E25" i="56"/>
  <c r="I25" i="56"/>
  <c r="J25" i="56" l="1"/>
  <c r="O25" i="56"/>
  <c r="C26" i="56"/>
  <c r="D26" i="56"/>
  <c r="E26" i="56"/>
  <c r="I26" i="56"/>
  <c r="J26" i="56" l="1"/>
  <c r="O26" i="56"/>
  <c r="C27" i="56"/>
  <c r="D27" i="56"/>
  <c r="E27" i="56"/>
  <c r="I27" i="56"/>
  <c r="J27" i="56" l="1"/>
  <c r="O27" i="56"/>
  <c r="C28" i="56"/>
  <c r="D28" i="56"/>
  <c r="E28" i="56"/>
  <c r="I28" i="56"/>
  <c r="J28" i="56" l="1"/>
  <c r="O28" i="56"/>
  <c r="C29" i="56"/>
  <c r="D29" i="56"/>
  <c r="I29" i="56"/>
  <c r="E29" i="56" l="1"/>
  <c r="O29" i="56" s="1"/>
  <c r="J29" i="56"/>
  <c r="C30" i="56"/>
  <c r="D30" i="56"/>
  <c r="E30" i="56"/>
  <c r="I30" i="56"/>
  <c r="J30" i="56" l="1"/>
  <c r="O30" i="56"/>
  <c r="C31" i="56"/>
  <c r="D31" i="56"/>
  <c r="I31" i="56"/>
  <c r="E31" i="56" l="1"/>
  <c r="O31" i="56" s="1"/>
  <c r="J31" i="56"/>
  <c r="C32" i="56"/>
  <c r="D32" i="56"/>
  <c r="E32" i="56"/>
  <c r="I32" i="56"/>
  <c r="J32" i="56" l="1"/>
  <c r="O32" i="56"/>
  <c r="C33" i="56"/>
  <c r="D33" i="56"/>
  <c r="E33" i="56"/>
  <c r="I33" i="56"/>
  <c r="J33" i="56" l="1"/>
  <c r="O33" i="56"/>
  <c r="C34" i="56"/>
  <c r="D34" i="56"/>
  <c r="E34" i="56"/>
  <c r="I34" i="56"/>
  <c r="J34" i="56" l="1"/>
  <c r="O34" i="56"/>
  <c r="C35" i="56"/>
  <c r="D35" i="56"/>
  <c r="E35" i="56"/>
  <c r="I35" i="56"/>
  <c r="J35" i="56" l="1"/>
  <c r="O35" i="56"/>
  <c r="C36" i="56"/>
  <c r="D36" i="56"/>
  <c r="E36" i="56"/>
  <c r="I36" i="56"/>
  <c r="J36" i="56" l="1"/>
  <c r="O36" i="56"/>
  <c r="C37" i="56"/>
  <c r="D37" i="56"/>
  <c r="E37" i="56"/>
  <c r="I37" i="56"/>
  <c r="J37" i="56" l="1"/>
  <c r="O37" i="56"/>
  <c r="C38" i="56"/>
  <c r="D38" i="56"/>
  <c r="E38" i="56"/>
  <c r="I38" i="56"/>
  <c r="J38" i="56" l="1"/>
  <c r="O38" i="56"/>
  <c r="C39" i="56"/>
  <c r="D39" i="56"/>
  <c r="E39" i="56"/>
  <c r="I39" i="56"/>
  <c r="J39" i="56" l="1"/>
  <c r="O39" i="56"/>
  <c r="C40" i="56"/>
  <c r="D40" i="56"/>
  <c r="E40" i="56"/>
  <c r="I40" i="56"/>
  <c r="J40" i="56" l="1"/>
  <c r="O40" i="56"/>
  <c r="C41" i="56"/>
  <c r="D41" i="56"/>
  <c r="E41" i="56"/>
  <c r="I41" i="56"/>
  <c r="J41" i="56" l="1"/>
  <c r="O41" i="56"/>
  <c r="C42" i="56"/>
  <c r="D42" i="56"/>
  <c r="E42" i="56"/>
  <c r="F5" i="56" s="1" a="1"/>
  <c r="I42" i="56"/>
  <c r="F5" i="56" l="1"/>
  <c r="F6" i="56"/>
  <c r="F7" i="56"/>
  <c r="F8" i="56"/>
  <c r="F9" i="56"/>
  <c r="F10" i="56"/>
  <c r="F11" i="56"/>
  <c r="F12" i="56"/>
  <c r="F13" i="56"/>
  <c r="F14" i="56"/>
  <c r="F15" i="56"/>
  <c r="F16" i="56"/>
  <c r="F17" i="56"/>
  <c r="F18" i="56"/>
  <c r="F19" i="56"/>
  <c r="F20" i="56"/>
  <c r="F21" i="56"/>
  <c r="F22" i="56"/>
  <c r="F23" i="56"/>
  <c r="F24" i="56"/>
  <c r="F25" i="56"/>
  <c r="F26" i="56"/>
  <c r="F27" i="56"/>
  <c r="F28" i="56"/>
  <c r="F29" i="56"/>
  <c r="F30" i="56"/>
  <c r="F31" i="56"/>
  <c r="F32" i="56"/>
  <c r="F33" i="56"/>
  <c r="F34" i="56"/>
  <c r="F35" i="56"/>
  <c r="F36" i="56"/>
  <c r="F37" i="56"/>
  <c r="F38" i="56"/>
  <c r="F39" i="56"/>
  <c r="F40" i="56"/>
  <c r="F41" i="56"/>
  <c r="F42" i="56"/>
  <c r="J42" i="56"/>
  <c r="O42" i="56"/>
  <c r="C5" i="55" a="1"/>
  <c r="C5" i="55" s="1"/>
  <c r="D5" i="55" a="1"/>
  <c r="D5" i="55" s="1"/>
  <c r="K5" i="55"/>
  <c r="F4" i="55"/>
  <c r="E5" i="55" l="1"/>
  <c r="O5" i="55" s="1"/>
  <c r="X5" i="55" l="1"/>
  <c r="C6" i="55"/>
  <c r="D6" i="55"/>
  <c r="E6" i="55"/>
  <c r="K6" i="55"/>
  <c r="O6" i="55" l="1"/>
  <c r="X6" i="55"/>
  <c r="C7" i="55"/>
  <c r="D7" i="55"/>
  <c r="K7" i="55"/>
  <c r="E7" i="55" l="1"/>
  <c r="O7" i="55" s="1"/>
  <c r="X7" i="55"/>
  <c r="C8" i="55"/>
  <c r="D8" i="55"/>
  <c r="K8" i="55"/>
  <c r="E8" i="55" l="1"/>
  <c r="O8" i="55" s="1"/>
  <c r="X8" i="55"/>
  <c r="C9" i="55"/>
  <c r="D9" i="55"/>
  <c r="E9" i="55"/>
  <c r="K9" i="55"/>
  <c r="O9" i="55" l="1"/>
  <c r="X9" i="55"/>
  <c r="C10" i="55"/>
  <c r="D10" i="55"/>
  <c r="E10" i="55"/>
  <c r="K10" i="55"/>
  <c r="O10" i="55" l="1"/>
  <c r="X10" i="55"/>
  <c r="C11" i="55"/>
  <c r="D11" i="55"/>
  <c r="E11" i="55"/>
  <c r="K11" i="55"/>
  <c r="O11" i="55" l="1"/>
  <c r="X11" i="55"/>
  <c r="C12" i="55"/>
  <c r="D12" i="55"/>
  <c r="K12" i="55"/>
  <c r="E12" i="55" l="1"/>
  <c r="O12" i="55" s="1"/>
  <c r="X12" i="55"/>
  <c r="C13" i="55"/>
  <c r="D13" i="55"/>
  <c r="K13" i="55"/>
  <c r="E13" i="55" l="1"/>
  <c r="O13" i="55" s="1"/>
  <c r="X13" i="55"/>
  <c r="C14" i="55"/>
  <c r="D14" i="55"/>
  <c r="K14" i="55"/>
  <c r="E14" i="55" l="1"/>
  <c r="O14" i="55" s="1"/>
  <c r="X14" i="55"/>
  <c r="C15" i="55"/>
  <c r="D15" i="55"/>
  <c r="E15" i="55"/>
  <c r="K15" i="55"/>
  <c r="O15" i="55" l="1"/>
  <c r="X15" i="55"/>
  <c r="C16" i="55"/>
  <c r="D16" i="55"/>
  <c r="E16" i="55"/>
  <c r="K16" i="55"/>
  <c r="O16" i="55" l="1"/>
  <c r="X16" i="55"/>
  <c r="C17" i="55"/>
  <c r="D17" i="55"/>
  <c r="E17" i="55"/>
  <c r="K17" i="55"/>
  <c r="O17" i="55" l="1"/>
  <c r="X17" i="55"/>
  <c r="C18" i="55"/>
  <c r="D18" i="55"/>
  <c r="E18" i="55"/>
  <c r="K18" i="55"/>
  <c r="O18" i="55" l="1"/>
  <c r="X18" i="55"/>
  <c r="C19" i="55"/>
  <c r="D19" i="55"/>
  <c r="E19" i="55"/>
  <c r="K19" i="55"/>
  <c r="O19" i="55" l="1"/>
  <c r="X19" i="55"/>
  <c r="C20" i="55"/>
  <c r="D20" i="55"/>
  <c r="E20" i="55"/>
  <c r="K20" i="55"/>
  <c r="O20" i="55" l="1"/>
  <c r="X20" i="55"/>
  <c r="C21" i="55"/>
  <c r="D21" i="55"/>
  <c r="E21" i="55"/>
  <c r="K21" i="55"/>
  <c r="O21" i="55" l="1"/>
  <c r="X21" i="55"/>
  <c r="C22" i="55"/>
  <c r="D22" i="55"/>
  <c r="E22" i="55"/>
  <c r="K22" i="55"/>
  <c r="O22" i="55" l="1"/>
  <c r="X22" i="55"/>
  <c r="C23" i="55"/>
  <c r="D23" i="55"/>
  <c r="E23" i="55"/>
  <c r="K23" i="55"/>
  <c r="O23" i="55" l="1"/>
  <c r="X23" i="55"/>
  <c r="C24" i="55"/>
  <c r="D24" i="55"/>
  <c r="E24" i="55"/>
  <c r="K24" i="55"/>
  <c r="O24" i="55" l="1"/>
  <c r="X24" i="55"/>
  <c r="C25" i="55"/>
  <c r="E25" i="55" s="1"/>
  <c r="D25" i="55"/>
  <c r="K25" i="55"/>
  <c r="O25" i="55" l="1"/>
  <c r="X25" i="55"/>
  <c r="C26" i="55"/>
  <c r="D26" i="55"/>
  <c r="E26" i="55"/>
  <c r="K26" i="55"/>
  <c r="O26" i="55" l="1"/>
  <c r="X26" i="55"/>
  <c r="C27" i="55"/>
  <c r="D27" i="55"/>
  <c r="E27" i="55"/>
  <c r="K27" i="55"/>
  <c r="O27" i="55" l="1"/>
  <c r="X27" i="55"/>
  <c r="C28" i="55"/>
  <c r="D28" i="55"/>
  <c r="E28" i="55"/>
  <c r="K28" i="55"/>
  <c r="O28" i="55" l="1"/>
  <c r="X28" i="55"/>
  <c r="C29" i="55"/>
  <c r="D29" i="55"/>
  <c r="E29" i="55"/>
  <c r="K29" i="55"/>
  <c r="O29" i="55" l="1"/>
  <c r="X29" i="55"/>
  <c r="C30" i="55"/>
  <c r="D30" i="55"/>
  <c r="E30" i="55"/>
  <c r="K30" i="55"/>
  <c r="O30" i="55" l="1"/>
  <c r="X30" i="55"/>
  <c r="C31" i="55"/>
  <c r="D31" i="55"/>
  <c r="E31" i="55"/>
  <c r="K31" i="55"/>
  <c r="O31" i="55" l="1"/>
  <c r="X31" i="55"/>
  <c r="C32" i="55"/>
  <c r="D32" i="55"/>
  <c r="E32" i="55"/>
  <c r="K32" i="55"/>
  <c r="O32" i="55" l="1"/>
  <c r="X32" i="55"/>
  <c r="C33" i="55"/>
  <c r="D33" i="55"/>
  <c r="E33" i="55"/>
  <c r="K33" i="55"/>
  <c r="O33" i="55" l="1"/>
  <c r="X33" i="55"/>
  <c r="C34" i="55"/>
  <c r="D34" i="55"/>
  <c r="E34" i="55"/>
  <c r="K34" i="55"/>
  <c r="O34" i="55" l="1"/>
  <c r="X34" i="55"/>
  <c r="C35" i="55"/>
  <c r="D35" i="55"/>
  <c r="E35" i="55"/>
  <c r="K35" i="55"/>
  <c r="O35" i="55" l="1"/>
  <c r="X35" i="55"/>
  <c r="C36" i="55"/>
  <c r="D36" i="55"/>
  <c r="E36" i="55"/>
  <c r="K36" i="55"/>
  <c r="O36" i="55" l="1"/>
  <c r="X36" i="55"/>
  <c r="C37" i="55"/>
  <c r="D37" i="55"/>
  <c r="E37" i="55"/>
  <c r="K37" i="55"/>
  <c r="O37" i="55" l="1"/>
  <c r="X37" i="55"/>
  <c r="C38" i="55"/>
  <c r="D38" i="55"/>
  <c r="E38" i="55"/>
  <c r="K38" i="55"/>
  <c r="O38" i="55" l="1"/>
  <c r="X38" i="55"/>
  <c r="C39" i="55"/>
  <c r="D39" i="55"/>
  <c r="E39" i="55"/>
  <c r="K39" i="55"/>
  <c r="O39" i="55" l="1"/>
  <c r="X39" i="55"/>
  <c r="C40" i="55"/>
  <c r="D40" i="55"/>
  <c r="E40" i="55"/>
  <c r="K40" i="55"/>
  <c r="O40" i="55" l="1"/>
  <c r="X40" i="55"/>
  <c r="C41" i="55"/>
  <c r="D41" i="55"/>
  <c r="E41" i="55"/>
  <c r="K41" i="55"/>
  <c r="O41" i="55" l="1"/>
  <c r="X41" i="55"/>
  <c r="C42" i="55"/>
  <c r="D42" i="55"/>
  <c r="E42" i="55"/>
  <c r="F5" i="55" s="1" a="1"/>
  <c r="F42" i="55" s="1"/>
  <c r="K42" i="55"/>
  <c r="P5" i="55" l="1" a="1"/>
  <c r="F5" i="55"/>
  <c r="F6" i="55"/>
  <c r="F7" i="55"/>
  <c r="F8" i="55"/>
  <c r="F9" i="55"/>
  <c r="F10" i="55"/>
  <c r="F11"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O42" i="55"/>
  <c r="P5" i="55" l="1"/>
  <c r="P35" i="55"/>
  <c r="P8" i="55"/>
  <c r="P42" i="55"/>
  <c r="P31" i="55"/>
  <c r="P29" i="55"/>
  <c r="P19" i="55"/>
  <c r="P39" i="55"/>
  <c r="P26" i="55"/>
  <c r="P23" i="55"/>
  <c r="P21" i="55"/>
  <c r="P17" i="55"/>
  <c r="P11" i="55"/>
  <c r="P7" i="55"/>
  <c r="P40" i="55"/>
  <c r="P10" i="55"/>
  <c r="P38" i="55"/>
  <c r="P24" i="55"/>
  <c r="P41" i="55"/>
  <c r="P22" i="55"/>
  <c r="P36" i="55"/>
  <c r="P30" i="55"/>
  <c r="P25" i="55"/>
  <c r="P14" i="55"/>
  <c r="P20" i="55"/>
  <c r="P6" i="55"/>
  <c r="P9" i="55"/>
  <c r="P37" i="55"/>
  <c r="P34" i="55"/>
  <c r="P28" i="55"/>
  <c r="P32" i="55"/>
  <c r="P13" i="55"/>
  <c r="P15" i="55"/>
  <c r="P18" i="55"/>
  <c r="P33" i="55"/>
  <c r="P12" i="55"/>
  <c r="P27" i="55"/>
  <c r="P16" i="55"/>
  <c r="X42" i="55"/>
  <c r="C5" i="54" a="1"/>
  <c r="C5" i="54" s="1"/>
  <c r="D5" i="54" a="1"/>
  <c r="D5" i="54" s="1"/>
  <c r="K5" i="54"/>
  <c r="Q42" i="55"/>
  <c r="Q31" i="55"/>
  <c r="Q5" i="55"/>
  <c r="Q40" i="55"/>
  <c r="Q23" i="55"/>
  <c r="Q20" i="55"/>
  <c r="Q7" i="55"/>
  <c r="Q39" i="55"/>
  <c r="Q30" i="55"/>
  <c r="Q25" i="55"/>
  <c r="Q21" i="55"/>
  <c r="Q19" i="55"/>
  <c r="Q29" i="55"/>
  <c r="Q36" i="55"/>
  <c r="Q10" i="55"/>
  <c r="Q18" i="55"/>
  <c r="Q8" i="55"/>
  <c r="Q13" i="55"/>
  <c r="Q22" i="55"/>
  <c r="Q16" i="55"/>
  <c r="Q27" i="55"/>
  <c r="Q32" i="55"/>
  <c r="Q15" i="55"/>
  <c r="Q28" i="55"/>
  <c r="Q35" i="55"/>
  <c r="Q38" i="55"/>
  <c r="Q6" i="55"/>
  <c r="Q11" i="55"/>
  <c r="Q26" i="55"/>
  <c r="Q34" i="55"/>
  <c r="Q41" i="55"/>
  <c r="Q9" i="55"/>
  <c r="Q17" i="55"/>
  <c r="Q12" i="55"/>
  <c r="Q14" i="55"/>
  <c r="Q24" i="55"/>
  <c r="Q33" i="55"/>
  <c r="Q37" i="55"/>
  <c r="F4" i="54"/>
  <c r="E5" i="54" l="1"/>
  <c r="O5" i="54" s="1"/>
  <c r="X5" i="54"/>
  <c r="C6" i="54"/>
  <c r="D6" i="54"/>
  <c r="K6" i="54"/>
  <c r="E6" i="54" l="1"/>
  <c r="O6" i="54" s="1"/>
  <c r="X6" i="54"/>
  <c r="C7" i="54"/>
  <c r="D7" i="54"/>
  <c r="E7" i="54"/>
  <c r="K7" i="54"/>
  <c r="O7" i="54" l="1"/>
  <c r="X7" i="54"/>
  <c r="C8" i="54"/>
  <c r="D8" i="54"/>
  <c r="K8" i="54"/>
  <c r="E8" i="54" l="1"/>
  <c r="O8" i="54" s="1"/>
  <c r="X8" i="54"/>
  <c r="C9" i="54"/>
  <c r="D9" i="54"/>
  <c r="E9" i="54"/>
  <c r="K9" i="54"/>
  <c r="O9" i="54" l="1"/>
  <c r="X9" i="54"/>
  <c r="C10" i="54"/>
  <c r="D10" i="54"/>
  <c r="E10" i="54"/>
  <c r="K10" i="54"/>
  <c r="O10" i="54" l="1"/>
  <c r="X10" i="54"/>
  <c r="C11" i="54"/>
  <c r="D11" i="54"/>
  <c r="E11" i="54"/>
  <c r="K11" i="54"/>
  <c r="O11" i="54" l="1"/>
  <c r="X11" i="54"/>
  <c r="C12" i="54"/>
  <c r="D12" i="54"/>
  <c r="E12" i="54"/>
  <c r="K12" i="54"/>
  <c r="O12" i="54" l="1"/>
  <c r="X12" i="54"/>
  <c r="C13" i="54"/>
  <c r="D13" i="54"/>
  <c r="E13" i="54"/>
  <c r="K13" i="54"/>
  <c r="O13" i="54" l="1"/>
  <c r="X13" i="54"/>
  <c r="C14" i="54"/>
  <c r="D14" i="54"/>
  <c r="E14" i="54"/>
  <c r="K14" i="54"/>
  <c r="O14" i="54" l="1"/>
  <c r="X14" i="54"/>
  <c r="C15" i="54"/>
  <c r="D15" i="54"/>
  <c r="E15" i="54"/>
  <c r="K15" i="54"/>
  <c r="O15" i="54" l="1"/>
  <c r="X15" i="54"/>
  <c r="C16" i="54"/>
  <c r="D16" i="54"/>
  <c r="E16" i="54"/>
  <c r="K16" i="54"/>
  <c r="O16" i="54" l="1"/>
  <c r="X16" i="54"/>
  <c r="C17" i="54"/>
  <c r="D17" i="54"/>
  <c r="E17" i="54"/>
  <c r="K17" i="54"/>
  <c r="O17" i="54" l="1"/>
  <c r="X17" i="54"/>
  <c r="C18" i="54"/>
  <c r="D18" i="54"/>
  <c r="E18" i="54"/>
  <c r="K18" i="54"/>
  <c r="O18" i="54" l="1"/>
  <c r="X18" i="54"/>
  <c r="C19" i="54"/>
  <c r="D19" i="54"/>
  <c r="E19" i="54"/>
  <c r="K19" i="54"/>
  <c r="O19" i="54" l="1"/>
  <c r="X19" i="54"/>
  <c r="C20" i="54"/>
  <c r="D20" i="54"/>
  <c r="E20" i="54"/>
  <c r="K20" i="54"/>
  <c r="O20" i="54" l="1"/>
  <c r="X20" i="54"/>
  <c r="C21" i="54"/>
  <c r="D21" i="54"/>
  <c r="K21" i="54"/>
  <c r="E21" i="54" l="1"/>
  <c r="O21" i="54" s="1"/>
  <c r="X21" i="54"/>
  <c r="C22" i="54"/>
  <c r="D22" i="54"/>
  <c r="K22" i="54"/>
  <c r="E22" i="54" l="1"/>
  <c r="O22" i="54" s="1"/>
  <c r="X22" i="54"/>
  <c r="C23" i="54"/>
  <c r="D23" i="54"/>
  <c r="K23" i="54"/>
  <c r="E23" i="54" l="1"/>
  <c r="O23" i="54" s="1"/>
  <c r="X23" i="54"/>
  <c r="C24" i="54"/>
  <c r="D24" i="54"/>
  <c r="K24" i="54"/>
  <c r="E24" i="54" l="1"/>
  <c r="O24" i="54" s="1"/>
  <c r="X24" i="54"/>
  <c r="C25" i="54"/>
  <c r="D25" i="54"/>
  <c r="K25" i="54"/>
  <c r="E25" i="54" l="1"/>
  <c r="O25" i="54" s="1"/>
  <c r="X25" i="54"/>
  <c r="C26" i="54"/>
  <c r="D26" i="54"/>
  <c r="K26" i="54"/>
  <c r="E26" i="54" l="1"/>
  <c r="O26" i="54" s="1"/>
  <c r="X26" i="54"/>
  <c r="C27" i="54"/>
  <c r="D27" i="54"/>
  <c r="E27" i="54"/>
  <c r="K27" i="54"/>
  <c r="O27" i="54" l="1"/>
  <c r="X27" i="54"/>
  <c r="C28" i="54"/>
  <c r="D28" i="54"/>
  <c r="E28" i="54"/>
  <c r="K28" i="54"/>
  <c r="O28" i="54" l="1"/>
  <c r="X28" i="54"/>
  <c r="C29" i="54"/>
  <c r="D29" i="54"/>
  <c r="E29" i="54"/>
  <c r="K29" i="54"/>
  <c r="O29" i="54" l="1"/>
  <c r="X29" i="54"/>
  <c r="C30" i="54"/>
  <c r="D30" i="54"/>
  <c r="E30" i="54"/>
  <c r="K30" i="54"/>
  <c r="O30" i="54" l="1"/>
  <c r="X30" i="54"/>
  <c r="C31" i="54"/>
  <c r="D31" i="54"/>
  <c r="E31" i="54"/>
  <c r="K31" i="54"/>
  <c r="O31" i="54" l="1"/>
  <c r="X31" i="54"/>
  <c r="C32" i="54"/>
  <c r="D32" i="54"/>
  <c r="E32" i="54"/>
  <c r="K32" i="54"/>
  <c r="O32" i="54" l="1"/>
  <c r="X32" i="54"/>
  <c r="C33" i="54"/>
  <c r="D33" i="54"/>
  <c r="E33" i="54"/>
  <c r="K33" i="54"/>
  <c r="O33" i="54" l="1"/>
  <c r="X33" i="54"/>
  <c r="C34" i="54"/>
  <c r="D34" i="54"/>
  <c r="E34" i="54"/>
  <c r="K34" i="54"/>
  <c r="O34" i="54" l="1"/>
  <c r="X34" i="54"/>
  <c r="C35" i="54"/>
  <c r="D35" i="54"/>
  <c r="E35" i="54"/>
  <c r="K35" i="54"/>
  <c r="O35" i="54" l="1"/>
  <c r="X35" i="54"/>
  <c r="C36" i="54"/>
  <c r="D36" i="54"/>
  <c r="E36" i="54"/>
  <c r="K36" i="54"/>
  <c r="O36" i="54" l="1"/>
  <c r="X36" i="54"/>
  <c r="C37" i="54"/>
  <c r="D37" i="54"/>
  <c r="E37" i="54"/>
  <c r="K37" i="54"/>
  <c r="O37" i="54" l="1"/>
  <c r="X37" i="54"/>
  <c r="C38" i="54"/>
  <c r="D38" i="54"/>
  <c r="E38" i="54"/>
  <c r="K38" i="54"/>
  <c r="O38" i="54" l="1"/>
  <c r="X38" i="54"/>
  <c r="C39" i="54"/>
  <c r="D39" i="54"/>
  <c r="E39" i="54"/>
  <c r="K39" i="54"/>
  <c r="O39" i="54" l="1"/>
  <c r="X39" i="54"/>
  <c r="C40" i="54"/>
  <c r="D40" i="54"/>
  <c r="E40" i="54"/>
  <c r="K40" i="54"/>
  <c r="O40" i="54" l="1"/>
  <c r="X40" i="54"/>
  <c r="C41" i="54"/>
  <c r="D41" i="54"/>
  <c r="E41" i="54"/>
  <c r="K41" i="54"/>
  <c r="O41" i="54" l="1"/>
  <c r="X41" i="54"/>
  <c r="C42" i="54"/>
  <c r="D42" i="54"/>
  <c r="E42" i="54"/>
  <c r="F5" i="54" s="1" a="1"/>
  <c r="F42" i="54" s="1"/>
  <c r="K42" i="54"/>
  <c r="P5" i="54" l="1" a="1"/>
  <c r="F5" i="54"/>
  <c r="F6" i="54"/>
  <c r="F7" i="54"/>
  <c r="F8" i="54"/>
  <c r="F9" i="54"/>
  <c r="F10" i="54"/>
  <c r="F11" i="54"/>
  <c r="F12" i="54"/>
  <c r="F13" i="54"/>
  <c r="F14" i="54"/>
  <c r="F15" i="54"/>
  <c r="F16" i="54"/>
  <c r="F17" i="54"/>
  <c r="F18" i="54"/>
  <c r="F19" i="54"/>
  <c r="F20" i="54"/>
  <c r="F21" i="54"/>
  <c r="F22" i="54"/>
  <c r="F23" i="54"/>
  <c r="F24" i="54"/>
  <c r="F25" i="54"/>
  <c r="F26" i="54"/>
  <c r="F27" i="54"/>
  <c r="F28" i="54"/>
  <c r="F29" i="54"/>
  <c r="F30" i="54"/>
  <c r="F31" i="54"/>
  <c r="F32" i="54"/>
  <c r="F33" i="54"/>
  <c r="F34" i="54"/>
  <c r="F35" i="54"/>
  <c r="F36" i="54"/>
  <c r="F37" i="54"/>
  <c r="F38" i="54"/>
  <c r="F39" i="54"/>
  <c r="F40" i="54"/>
  <c r="F41" i="54"/>
  <c r="O42" i="54"/>
  <c r="P5" i="54" l="1"/>
  <c r="P42" i="54"/>
  <c r="P24" i="54"/>
  <c r="P38" i="54"/>
  <c r="P34" i="54"/>
  <c r="P26" i="54"/>
  <c r="P16" i="54"/>
  <c r="P30" i="54"/>
  <c r="P18" i="54"/>
  <c r="P35" i="54"/>
  <c r="P32" i="54"/>
  <c r="P14" i="54"/>
  <c r="P29" i="54"/>
  <c r="P19" i="54"/>
  <c r="P8" i="54"/>
  <c r="P6" i="54"/>
  <c r="P21" i="54"/>
  <c r="P11" i="54"/>
  <c r="P39" i="54"/>
  <c r="P36" i="54"/>
  <c r="P13" i="54"/>
  <c r="P10" i="54"/>
  <c r="P31" i="54"/>
  <c r="P20" i="54"/>
  <c r="P41" i="54"/>
  <c r="P23" i="54"/>
  <c r="P27" i="54"/>
  <c r="P25" i="54"/>
  <c r="P15" i="54"/>
  <c r="P33" i="54"/>
  <c r="P9" i="54"/>
  <c r="P37" i="54"/>
  <c r="P28" i="54"/>
  <c r="P12" i="54"/>
  <c r="P17" i="54"/>
  <c r="P40" i="54"/>
  <c r="P7" i="54"/>
  <c r="P22" i="54"/>
  <c r="X42" i="54"/>
  <c r="E5" i="53"/>
  <c r="O5" i="53" s="1"/>
  <c r="E6" i="53"/>
  <c r="Q42" i="54"/>
  <c r="K5" i="53"/>
  <c r="K6" i="53"/>
  <c r="Q40" i="54"/>
  <c r="Q28" i="54"/>
  <c r="Q26" i="54"/>
  <c r="Q18" i="54"/>
  <c r="Q39" i="54"/>
  <c r="Q16" i="54"/>
  <c r="Q24" i="54"/>
  <c r="Q21" i="54"/>
  <c r="Q25" i="54"/>
  <c r="Q6" i="54"/>
  <c r="Q22" i="54"/>
  <c r="Q38" i="54"/>
  <c r="Q29" i="54"/>
  <c r="Q17" i="54"/>
  <c r="Q10" i="54"/>
  <c r="Q34" i="54"/>
  <c r="Q23" i="54"/>
  <c r="Q19" i="54"/>
  <c r="Q5" i="54"/>
  <c r="Q14" i="54"/>
  <c r="Q35" i="54"/>
  <c r="Q41" i="54"/>
  <c r="Q31" i="54"/>
  <c r="Q32" i="54"/>
  <c r="Q37" i="54"/>
  <c r="Q20" i="54"/>
  <c r="Q13" i="54"/>
  <c r="Q15" i="54"/>
  <c r="Q9" i="54"/>
  <c r="Q36" i="54"/>
  <c r="Q7" i="54"/>
  <c r="Q8" i="54"/>
  <c r="Q11" i="54"/>
  <c r="Q27" i="54"/>
  <c r="Q30" i="54"/>
  <c r="Q12" i="54"/>
  <c r="Q33" i="54"/>
  <c r="F4" i="53"/>
  <c r="X5" i="53" l="1"/>
  <c r="O6" i="53"/>
  <c r="X6" i="53"/>
  <c r="E7" i="53"/>
  <c r="K7" i="53"/>
  <c r="O7" i="53" l="1"/>
  <c r="X7" i="53"/>
  <c r="E8" i="53"/>
  <c r="K8" i="53"/>
  <c r="O8" i="53" l="1"/>
  <c r="X8" i="53"/>
  <c r="E9" i="53"/>
  <c r="K9" i="53"/>
  <c r="O9" i="53" l="1"/>
  <c r="X9" i="53"/>
  <c r="E10" i="53"/>
  <c r="K10" i="53"/>
  <c r="O10" i="53" l="1"/>
  <c r="X10" i="53"/>
  <c r="E11" i="53"/>
  <c r="F5" i="53" s="1" a="1"/>
  <c r="K11" i="53"/>
  <c r="P5" i="53" l="1" a="1"/>
  <c r="F5" i="53"/>
  <c r="F6" i="53"/>
  <c r="F7" i="53"/>
  <c r="F8" i="53"/>
  <c r="F9" i="53"/>
  <c r="F10" i="53"/>
  <c r="F11" i="53"/>
  <c r="O11" i="53"/>
  <c r="P5" i="53" l="1"/>
  <c r="P6" i="53"/>
  <c r="P11" i="53"/>
  <c r="P10" i="53"/>
  <c r="P9" i="53"/>
  <c r="P8" i="53"/>
  <c r="P7" i="53"/>
  <c r="X11" i="53"/>
  <c r="E5" i="52"/>
  <c r="O5" i="52" s="1"/>
  <c r="E6" i="52"/>
  <c r="Q11" i="53"/>
  <c r="K6" i="52"/>
  <c r="K5" i="52"/>
  <c r="Q5" i="53"/>
  <c r="Q8" i="53"/>
  <c r="Q9" i="53"/>
  <c r="Q10" i="53"/>
  <c r="Q6" i="53"/>
  <c r="Q7" i="53"/>
  <c r="F4" i="52"/>
  <c r="X5" i="52" l="1"/>
  <c r="O6" i="52"/>
  <c r="X6" i="52"/>
  <c r="E7" i="52"/>
  <c r="K7" i="52"/>
  <c r="O7" i="52" l="1"/>
  <c r="X7" i="52"/>
  <c r="E8" i="52"/>
  <c r="K8" i="52"/>
  <c r="O8" i="52" l="1"/>
  <c r="X8" i="52"/>
  <c r="E9" i="52"/>
  <c r="K9" i="52"/>
  <c r="O9" i="52" l="1"/>
  <c r="X9" i="52"/>
  <c r="E10" i="52"/>
  <c r="K10" i="52"/>
  <c r="O10" i="52" l="1"/>
  <c r="X10" i="52"/>
  <c r="E11" i="52"/>
  <c r="K11" i="52"/>
  <c r="O11" i="52" l="1"/>
  <c r="X11" i="52"/>
  <c r="E12" i="52"/>
  <c r="K12" i="52"/>
  <c r="O12" i="52" l="1"/>
  <c r="X12" i="52"/>
  <c r="E13" i="52"/>
  <c r="K13" i="52"/>
  <c r="O13" i="52" l="1"/>
  <c r="X13" i="52"/>
  <c r="E14" i="52"/>
  <c r="K14" i="52"/>
  <c r="O14" i="52" l="1"/>
  <c r="X14" i="52"/>
  <c r="E15" i="52"/>
  <c r="F5" i="52" s="1" a="1"/>
  <c r="F15" i="52" s="1"/>
  <c r="K15" i="52"/>
  <c r="P5" i="52" l="1" a="1"/>
  <c r="F5" i="52"/>
  <c r="F6" i="52"/>
  <c r="F7" i="52"/>
  <c r="F8" i="52"/>
  <c r="F9" i="52"/>
  <c r="F10" i="52"/>
  <c r="F11" i="52"/>
  <c r="F12" i="52"/>
  <c r="F13" i="52"/>
  <c r="F14" i="52"/>
  <c r="O15" i="52"/>
  <c r="P5" i="52" l="1"/>
  <c r="P10" i="52"/>
  <c r="P8" i="52"/>
  <c r="P11" i="52"/>
  <c r="P6" i="52"/>
  <c r="P9" i="52"/>
  <c r="P15" i="52"/>
  <c r="P7" i="52"/>
  <c r="P14" i="52"/>
  <c r="P12" i="52"/>
  <c r="P13" i="52"/>
  <c r="X15" i="52"/>
  <c r="B5" i="51"/>
  <c r="F5" i="51"/>
  <c r="J5" i="51"/>
  <c r="J6" i="51"/>
  <c r="F6" i="50" a="1"/>
  <c r="F6" i="50" s="1"/>
  <c r="X6" i="50"/>
  <c r="X7" i="50"/>
  <c r="X8" i="50"/>
  <c r="L7" i="50"/>
  <c r="L9" i="50"/>
  <c r="Q15" i="52"/>
  <c r="L8" i="50"/>
  <c r="L6" i="50"/>
  <c r="E4" i="50"/>
  <c r="E6" i="50" a="1"/>
  <c r="Q12" i="52"/>
  <c r="Q5" i="52"/>
  <c r="Q13" i="52"/>
  <c r="Q14" i="52"/>
  <c r="Q8" i="52"/>
  <c r="Q11" i="52"/>
  <c r="Q10" i="52"/>
  <c r="Q7" i="52"/>
  <c r="Q6" i="52"/>
  <c r="Q9" i="52"/>
  <c r="B4" i="51"/>
  <c r="F5" i="50"/>
  <c r="Q6" i="50" l="1" a="1"/>
  <c r="K5" i="51" a="1"/>
  <c r="K6" i="51" s="1"/>
  <c r="E7" i="50"/>
  <c r="E9" i="50"/>
  <c r="E8" i="50"/>
  <c r="E6" i="50"/>
  <c r="F8" i="50"/>
  <c r="F9" i="50"/>
  <c r="F7" i="50"/>
  <c r="L6" i="51"/>
  <c r="K5" i="51" l="1"/>
  <c r="Q6" i="50"/>
  <c r="Q9" i="50"/>
  <c r="Q7" i="50"/>
  <c r="Q8" i="50"/>
  <c r="X9" i="50"/>
  <c r="L5" i="51"/>
  <c r="L28" i="49"/>
  <c r="L47" i="49"/>
  <c r="L29" i="49"/>
  <c r="L40" i="49"/>
  <c r="L46" i="49"/>
  <c r="L25" i="49"/>
  <c r="L7" i="49"/>
  <c r="L6" i="49"/>
  <c r="L34" i="49"/>
  <c r="L30" i="49"/>
  <c r="L38" i="49"/>
  <c r="L36" i="49"/>
  <c r="L10" i="49"/>
  <c r="L37" i="49"/>
  <c r="L11" i="49"/>
  <c r="L17" i="49"/>
  <c r="L41" i="49"/>
  <c r="L8" i="49"/>
  <c r="L14" i="49"/>
  <c r="L42" i="49"/>
  <c r="L43" i="49"/>
  <c r="L39" i="49"/>
  <c r="L44" i="49"/>
  <c r="L18" i="49"/>
  <c r="L45" i="49"/>
  <c r="L19" i="49"/>
  <c r="L26" i="49"/>
  <c r="L27" i="49"/>
  <c r="L15" i="49"/>
  <c r="L35" i="49"/>
  <c r="L23" i="49"/>
  <c r="L16" i="49"/>
  <c r="L21" i="49"/>
  <c r="L33" i="49"/>
  <c r="L12" i="49"/>
  <c r="L31" i="49"/>
  <c r="L13" i="49"/>
  <c r="L24" i="49"/>
  <c r="L22" i="49"/>
  <c r="L9" i="49"/>
  <c r="L20" i="49"/>
  <c r="L32" i="49"/>
  <c r="E6" i="49" a="1"/>
  <c r="L3" i="51"/>
  <c r="F5" i="49"/>
  <c r="Q6" i="49" l="1" a="1"/>
  <c r="X33" i="49"/>
  <c r="X9" i="49"/>
  <c r="X30" i="49"/>
  <c r="X14" i="49"/>
  <c r="X6" i="49"/>
  <c r="X25" i="49"/>
  <c r="X17" i="49"/>
  <c r="X46" i="49"/>
  <c r="X38" i="49"/>
  <c r="X22" i="49"/>
  <c r="X43" i="49"/>
  <c r="X35" i="49"/>
  <c r="X27" i="49"/>
  <c r="X19" i="49"/>
  <c r="X11" i="49"/>
  <c r="X40" i="49"/>
  <c r="X32" i="49"/>
  <c r="X24" i="49"/>
  <c r="X16" i="49"/>
  <c r="X8" i="49"/>
  <c r="E7" i="49"/>
  <c r="E15" i="49"/>
  <c r="E23" i="49"/>
  <c r="E31" i="49"/>
  <c r="E39" i="49"/>
  <c r="E47" i="49"/>
  <c r="E36" i="49"/>
  <c r="E10" i="49"/>
  <c r="E18" i="49"/>
  <c r="E26" i="49"/>
  <c r="E34" i="49"/>
  <c r="E42" i="49"/>
  <c r="E13" i="49"/>
  <c r="E21" i="49"/>
  <c r="E29" i="49"/>
  <c r="E37" i="49"/>
  <c r="E45" i="49"/>
  <c r="E8" i="49"/>
  <c r="E16" i="49"/>
  <c r="E24" i="49"/>
  <c r="E32" i="49"/>
  <c r="E40" i="49"/>
  <c r="E46" i="49"/>
  <c r="E25" i="49"/>
  <c r="E41" i="49"/>
  <c r="E11" i="49"/>
  <c r="E19" i="49"/>
  <c r="E27" i="49"/>
  <c r="E35" i="49"/>
  <c r="E43" i="49"/>
  <c r="E6" i="49"/>
  <c r="E14" i="49"/>
  <c r="E22" i="49"/>
  <c r="E30" i="49"/>
  <c r="E38" i="49"/>
  <c r="E33" i="49"/>
  <c r="E12" i="49"/>
  <c r="E9" i="49"/>
  <c r="E17" i="49"/>
  <c r="E20" i="49"/>
  <c r="E28" i="49"/>
  <c r="E44" i="49"/>
  <c r="X41" i="49"/>
  <c r="X45" i="49"/>
  <c r="X37" i="49"/>
  <c r="X29" i="49"/>
  <c r="X21" i="49"/>
  <c r="X13" i="49"/>
  <c r="X42" i="49"/>
  <c r="X34" i="49"/>
  <c r="X26" i="49"/>
  <c r="X18" i="49"/>
  <c r="X10" i="49"/>
  <c r="X39" i="49"/>
  <c r="X31" i="49"/>
  <c r="X23" i="49"/>
  <c r="X15" i="49"/>
  <c r="X7" i="49"/>
  <c r="X44" i="49"/>
  <c r="X36" i="49"/>
  <c r="X28" i="49"/>
  <c r="X20" i="49"/>
  <c r="X12" i="49"/>
  <c r="Q6" i="49" l="1"/>
  <c r="Q28" i="49"/>
  <c r="Q41" i="49"/>
  <c r="Q21" i="49"/>
  <c r="Q25" i="49"/>
  <c r="Q46" i="49"/>
  <c r="Q12" i="49"/>
  <c r="Q17" i="49"/>
  <c r="Q36" i="49"/>
  <c r="Q9" i="49"/>
  <c r="Q38" i="49"/>
  <c r="Q42" i="49"/>
  <c r="Q37" i="49"/>
  <c r="Q32" i="49"/>
  <c r="Q45" i="49"/>
  <c r="Q26" i="49"/>
  <c r="Q20" i="49"/>
  <c r="Q16" i="49"/>
  <c r="Q29" i="49"/>
  <c r="Q10" i="49"/>
  <c r="Q35" i="49"/>
  <c r="Q8" i="49"/>
  <c r="Q13" i="49"/>
  <c r="Q24" i="49"/>
  <c r="Q11" i="49"/>
  <c r="Q47" i="49"/>
  <c r="Q44" i="49"/>
  <c r="Q39" i="49"/>
  <c r="Q34" i="49"/>
  <c r="Q31" i="49"/>
  <c r="Q43" i="49"/>
  <c r="Q23" i="49"/>
  <c r="Q18" i="49"/>
  <c r="Q7" i="49"/>
  <c r="Q15" i="49"/>
  <c r="Q33" i="49"/>
  <c r="Q40" i="49"/>
  <c r="Q30" i="49"/>
  <c r="Q22" i="49"/>
  <c r="Q27" i="49"/>
  <c r="Q14" i="49"/>
  <c r="Q19" i="49"/>
  <c r="X47" i="49"/>
  <c r="L12" i="48"/>
  <c r="L7" i="48"/>
  <c r="L15" i="48"/>
  <c r="L10" i="48"/>
  <c r="L8" i="48"/>
  <c r="L6" i="48"/>
  <c r="L9" i="48"/>
  <c r="L14" i="48"/>
  <c r="L17" i="48"/>
  <c r="L13" i="48"/>
  <c r="L16" i="48"/>
  <c r="L11" i="48"/>
  <c r="E6" i="48" a="1"/>
  <c r="F5" i="48"/>
  <c r="Q6" i="48" l="1" a="1"/>
  <c r="X14" i="48"/>
  <c r="X6" i="48"/>
  <c r="X16" i="48"/>
  <c r="X10" i="48"/>
  <c r="X15" i="48"/>
  <c r="X7" i="48"/>
  <c r="X12" i="48"/>
  <c r="X9" i="48"/>
  <c r="X11" i="48"/>
  <c r="X8" i="48"/>
  <c r="E8" i="48"/>
  <c r="E16" i="48"/>
  <c r="E6" i="48"/>
  <c r="E9" i="48"/>
  <c r="E17" i="48"/>
  <c r="E12" i="48"/>
  <c r="E7" i="48"/>
  <c r="E15" i="48"/>
  <c r="E10" i="48"/>
  <c r="E13" i="48"/>
  <c r="E11" i="48"/>
  <c r="E14" i="48"/>
  <c r="X13" i="48"/>
  <c r="Q6" i="48" l="1"/>
  <c r="Q11" i="48"/>
  <c r="Q10" i="48"/>
  <c r="Q13" i="48"/>
  <c r="Q14" i="48"/>
  <c r="Q7" i="48"/>
  <c r="Q12" i="48"/>
  <c r="Q17" i="48"/>
  <c r="Q9" i="48"/>
  <c r="Q15" i="48"/>
  <c r="Q16" i="48"/>
  <c r="Q8" i="48"/>
  <c r="X17" i="48"/>
  <c r="D5" i="47"/>
  <c r="J5" i="47"/>
  <c r="E4" i="47"/>
  <c r="N5" i="47" l="1"/>
  <c r="W5" i="47"/>
  <c r="D6" i="47"/>
  <c r="J6" i="47"/>
  <c r="N6" i="47" l="1"/>
  <c r="W6" i="47"/>
  <c r="D7" i="47"/>
  <c r="J7" i="47"/>
  <c r="N7" i="47" l="1"/>
  <c r="W7" i="47"/>
  <c r="D8" i="47"/>
  <c r="J8" i="47"/>
  <c r="N8" i="47" l="1"/>
  <c r="W8" i="47"/>
  <c r="D9" i="47"/>
  <c r="J9" i="47"/>
  <c r="N9" i="47" l="1"/>
  <c r="W9" i="47"/>
  <c r="D10" i="47"/>
  <c r="J10" i="47"/>
  <c r="N10" i="47" l="1"/>
  <c r="W10" i="47"/>
  <c r="D11" i="47"/>
  <c r="J11" i="47"/>
  <c r="N11" i="47" l="1"/>
  <c r="W11" i="47"/>
  <c r="D12" i="47"/>
  <c r="J12" i="47"/>
  <c r="N12" i="47" l="1"/>
  <c r="W12" i="47"/>
  <c r="D13" i="47"/>
  <c r="J13" i="47"/>
  <c r="N13" i="47" l="1"/>
  <c r="W13" i="47"/>
  <c r="D14" i="47"/>
  <c r="J14" i="47"/>
  <c r="N14" i="47" l="1"/>
  <c r="W14" i="47"/>
  <c r="C15" i="47"/>
  <c r="D15" i="47" s="1"/>
  <c r="J15" i="47"/>
  <c r="N15" i="47" l="1"/>
  <c r="W15" i="47"/>
  <c r="C16" i="47"/>
  <c r="D16" i="47" s="1"/>
  <c r="J16" i="47"/>
  <c r="N16" i="47" l="1"/>
  <c r="W16" i="47"/>
  <c r="C17" i="47"/>
  <c r="D17" i="47" s="1"/>
  <c r="J17" i="47"/>
  <c r="N17" i="47" l="1"/>
  <c r="W17" i="47"/>
  <c r="C18" i="47"/>
  <c r="D18" i="47" s="1"/>
  <c r="J18" i="47"/>
  <c r="N18" i="47" l="1"/>
  <c r="W18" i="47"/>
  <c r="C19" i="47"/>
  <c r="D19" i="47" s="1"/>
  <c r="J19" i="47"/>
  <c r="N19" i="47" l="1"/>
  <c r="W19" i="47"/>
  <c r="C20" i="47"/>
  <c r="D20" i="47" s="1"/>
  <c r="J20" i="47"/>
  <c r="N20" i="47" l="1"/>
  <c r="C21" i="47"/>
  <c r="D21" i="47" s="1"/>
  <c r="J21" i="47"/>
  <c r="N21" i="47" l="1"/>
  <c r="C22" i="47"/>
  <c r="D22" i="47" s="1"/>
  <c r="J22" i="47"/>
  <c r="N22" i="47" l="1"/>
  <c r="W22" i="47"/>
  <c r="C23" i="47"/>
  <c r="D23" i="47" s="1"/>
  <c r="J23" i="47"/>
  <c r="N23" i="47" l="1"/>
  <c r="W23" i="47"/>
  <c r="D24" i="47"/>
  <c r="E5" i="47" s="1" a="1"/>
  <c r="E24" i="47" s="1"/>
  <c r="J24" i="47"/>
  <c r="O5" i="47" l="1" a="1"/>
  <c r="E5" i="47"/>
  <c r="E6" i="47"/>
  <c r="E7" i="47"/>
  <c r="E8" i="47"/>
  <c r="E9" i="47"/>
  <c r="E10" i="47"/>
  <c r="E11" i="47"/>
  <c r="E12" i="47"/>
  <c r="E13" i="47"/>
  <c r="E14" i="47"/>
  <c r="E15" i="47"/>
  <c r="E16" i="47"/>
  <c r="E17" i="47"/>
  <c r="E18" i="47"/>
  <c r="E19" i="47"/>
  <c r="E20" i="47"/>
  <c r="E21" i="47"/>
  <c r="E22" i="47"/>
  <c r="E23" i="47"/>
  <c r="N24" i="47"/>
  <c r="O6" i="47" l="1"/>
  <c r="O21" i="47"/>
  <c r="O10" i="47"/>
  <c r="O7" i="47"/>
  <c r="O13" i="47"/>
  <c r="O17" i="47"/>
  <c r="O22" i="47"/>
  <c r="O24" i="47"/>
  <c r="O5" i="47"/>
  <c r="O16" i="47"/>
  <c r="O20" i="47"/>
  <c r="O8" i="47"/>
  <c r="O12" i="47"/>
  <c r="O23" i="47"/>
  <c r="O19" i="47"/>
  <c r="O15" i="47"/>
  <c r="O11" i="47"/>
  <c r="O18" i="47"/>
  <c r="O9" i="47"/>
  <c r="O14" i="47"/>
  <c r="W24" i="47"/>
  <c r="D4" i="46"/>
  <c r="C5" i="46"/>
  <c r="H5" i="46"/>
  <c r="P5" i="46"/>
  <c r="C6" i="46"/>
  <c r="H6" i="46"/>
  <c r="C7" i="46"/>
  <c r="H7" i="46"/>
  <c r="C8" i="46"/>
  <c r="H8" i="46"/>
  <c r="C9" i="46"/>
  <c r="H9" i="46"/>
  <c r="C10" i="46"/>
  <c r="H10" i="46"/>
  <c r="C11" i="46"/>
  <c r="H11" i="46"/>
  <c r="C12" i="46"/>
  <c r="H12" i="46"/>
  <c r="C13" i="46"/>
  <c r="H13" i="46"/>
  <c r="C14" i="46"/>
  <c r="H14" i="46"/>
  <c r="C15" i="46"/>
  <c r="H15" i="46"/>
  <c r="C16" i="46"/>
  <c r="H16" i="46"/>
  <c r="C17" i="46"/>
  <c r="H17" i="46"/>
  <c r="C18" i="46"/>
  <c r="H18" i="46"/>
  <c r="C19" i="46"/>
  <c r="H19" i="46"/>
  <c r="C20" i="46"/>
  <c r="H20" i="46"/>
  <c r="C21" i="46"/>
  <c r="H21" i="46"/>
  <c r="C22" i="46"/>
  <c r="H22" i="46"/>
  <c r="D2" i="44"/>
  <c r="D12" i="44" s="1"/>
  <c r="J2" i="44"/>
  <c r="J9" i="44" s="1"/>
  <c r="G4" i="44"/>
  <c r="H4" i="44" s="1"/>
  <c r="L4" i="44" s="1"/>
  <c r="G5" i="44"/>
  <c r="H5" i="44" s="1"/>
  <c r="L5" i="44" s="1"/>
  <c r="D6" i="44"/>
  <c r="G6" i="44"/>
  <c r="H6" i="44" s="1"/>
  <c r="L6" i="44" s="1"/>
  <c r="G7" i="44"/>
  <c r="H7" i="44" s="1"/>
  <c r="L7" i="44" s="1"/>
  <c r="G8" i="44"/>
  <c r="H8" i="44" s="1"/>
  <c r="L8" i="44" s="1"/>
  <c r="G9" i="44"/>
  <c r="H9" i="44"/>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c r="L18" i="44" s="1"/>
  <c r="D2" i="43"/>
  <c r="J2" i="43"/>
  <c r="P24" i="47"/>
  <c r="K9" i="44"/>
  <c r="N9" i="44"/>
  <c r="P21" i="47"/>
  <c r="P13" i="47"/>
  <c r="P14" i="47"/>
  <c r="P12" i="47"/>
  <c r="P17" i="47"/>
  <c r="P7" i="47"/>
  <c r="P18" i="47"/>
  <c r="P9" i="47"/>
  <c r="P20" i="47"/>
  <c r="P22" i="47"/>
  <c r="P16" i="47"/>
  <c r="P11" i="47"/>
  <c r="P15" i="47"/>
  <c r="P19" i="47"/>
  <c r="P23" i="47"/>
  <c r="P5" i="47"/>
  <c r="P10" i="47"/>
  <c r="P6" i="47"/>
  <c r="P8" i="47"/>
  <c r="J21" i="46"/>
  <c r="J18" i="46"/>
  <c r="J5" i="46"/>
  <c r="J8" i="46"/>
  <c r="J16" i="46"/>
  <c r="J13" i="46"/>
  <c r="J10" i="46"/>
  <c r="C4" i="46"/>
  <c r="D3" i="43"/>
  <c r="D3" i="44"/>
  <c r="D15" i="44" l="1"/>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c r="L11" i="43" s="1"/>
  <c r="J11" i="43"/>
  <c r="D12" i="43"/>
  <c r="G12" i="43"/>
  <c r="H12" i="43" s="1"/>
  <c r="L12" i="43" s="1"/>
  <c r="J12" i="43"/>
  <c r="D13" i="43"/>
  <c r="G13" i="43"/>
  <c r="H13" i="43" s="1"/>
  <c r="L13" i="43" s="1"/>
  <c r="J13" i="43"/>
  <c r="D14" i="43"/>
  <c r="G14" i="43"/>
  <c r="H14" i="43"/>
  <c r="L14" i="43" s="1"/>
  <c r="J14" i="43"/>
  <c r="D15" i="43"/>
  <c r="G15" i="43"/>
  <c r="H15" i="43" s="1"/>
  <c r="L15" i="43" s="1"/>
  <c r="J15" i="43"/>
  <c r="D16" i="43"/>
  <c r="G16" i="43"/>
  <c r="H16" i="43" s="1"/>
  <c r="L16" i="43" s="1"/>
  <c r="J16" i="43"/>
  <c r="D17" i="43"/>
  <c r="G17" i="43"/>
  <c r="H17" i="43" s="1"/>
  <c r="L17" i="43" s="1"/>
  <c r="J17" i="43"/>
  <c r="D18" i="43"/>
  <c r="G18" i="43"/>
  <c r="H18" i="43" s="1"/>
  <c r="L18" i="43" s="1"/>
  <c r="J18" i="43"/>
  <c r="D2" i="42"/>
  <c r="J2" i="42"/>
  <c r="K11" i="44"/>
  <c r="N5" i="43"/>
  <c r="N18" i="44"/>
  <c r="K5" i="44"/>
  <c r="N17" i="43"/>
  <c r="N11" i="43"/>
  <c r="K14" i="43"/>
  <c r="N13" i="43"/>
  <c r="N15" i="43"/>
  <c r="K15" i="44"/>
  <c r="N13" i="44"/>
  <c r="K10" i="43"/>
  <c r="N11" i="44"/>
  <c r="N9" i="43"/>
  <c r="K17" i="43"/>
  <c r="N5" i="44"/>
  <c r="N15" i="44"/>
  <c r="N16" i="44"/>
  <c r="K4" i="44"/>
  <c r="N10" i="44"/>
  <c r="K12" i="44"/>
  <c r="N14" i="44"/>
  <c r="K9" i="43"/>
  <c r="K8" i="43"/>
  <c r="K5" i="43"/>
  <c r="N18" i="43"/>
  <c r="K7" i="43"/>
  <c r="N6" i="44"/>
  <c r="K18" i="44"/>
  <c r="N7" i="44"/>
  <c r="K6" i="43"/>
  <c r="N8" i="43"/>
  <c r="N6" i="43"/>
  <c r="K15" i="43"/>
  <c r="N8" i="44"/>
  <c r="K11" i="43"/>
  <c r="K13" i="43"/>
  <c r="K16" i="44"/>
  <c r="K12" i="43"/>
  <c r="N16" i="43"/>
  <c r="N4" i="43"/>
  <c r="K14" i="44"/>
  <c r="K7" i="44"/>
  <c r="N7" i="43"/>
  <c r="K8" i="44"/>
  <c r="K6" i="44"/>
  <c r="K17" i="44"/>
  <c r="N17" i="44"/>
  <c r="N12" i="43"/>
  <c r="N12" i="44"/>
  <c r="N4" i="44"/>
  <c r="N14" i="43"/>
  <c r="K4" i="43"/>
  <c r="K18" i="43"/>
  <c r="K10" i="44"/>
  <c r="K13" i="44"/>
  <c r="K16" i="43"/>
  <c r="N10" i="43"/>
  <c r="J15" i="46"/>
  <c r="J7" i="46"/>
  <c r="J20" i="46"/>
  <c r="J9" i="46"/>
  <c r="J12" i="46"/>
  <c r="J11" i="46"/>
  <c r="J17" i="46"/>
  <c r="J19" i="46"/>
  <c r="J22" i="46"/>
  <c r="J14" i="46"/>
  <c r="J6" i="46"/>
  <c r="D3" i="42"/>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D4" i="42"/>
  <c r="G4" i="42"/>
  <c r="J4" i="42"/>
  <c r="D5" i="42"/>
  <c r="G5" i="42"/>
  <c r="J5" i="42"/>
  <c r="D6" i="42"/>
  <c r="G6" i="42"/>
  <c r="J6" i="42"/>
  <c r="D7" i="42"/>
  <c r="G7" i="42"/>
  <c r="J7" i="42"/>
  <c r="D8" i="42"/>
  <c r="G8" i="42"/>
  <c r="J8" i="42"/>
  <c r="D9" i="42"/>
  <c r="G9" i="42"/>
  <c r="J9" i="42"/>
  <c r="D10" i="42"/>
  <c r="G10" i="42"/>
  <c r="J10" i="42"/>
  <c r="D11" i="42"/>
  <c r="G11" i="42"/>
  <c r="J11" i="42"/>
  <c r="D12" i="42"/>
  <c r="G12" i="42"/>
  <c r="J12" i="42"/>
  <c r="D13" i="42"/>
  <c r="G13" i="42"/>
  <c r="J13" i="42"/>
  <c r="D14" i="42"/>
  <c r="G14" i="42"/>
  <c r="J14" i="42"/>
  <c r="D15" i="42"/>
  <c r="G15" i="42"/>
  <c r="J15" i="42"/>
  <c r="D16" i="42"/>
  <c r="G16" i="42"/>
  <c r="J16" i="42"/>
  <c r="D17" i="42"/>
  <c r="G17" i="42"/>
  <c r="J17" i="42"/>
  <c r="D18" i="42"/>
  <c r="G18" i="42"/>
  <c r="J18" i="42"/>
  <c r="D2" i="41"/>
  <c r="J2" i="41"/>
  <c r="K18" i="42"/>
  <c r="K9" i="42"/>
  <c r="K15" i="42"/>
  <c r="K11" i="42"/>
  <c r="K5" i="42"/>
  <c r="K8" i="42"/>
  <c r="K6" i="42"/>
  <c r="K4" i="42"/>
  <c r="K12" i="42"/>
  <c r="K10" i="42"/>
  <c r="K14" i="42"/>
  <c r="K16" i="42"/>
  <c r="K7" i="42"/>
  <c r="K17" i="42"/>
  <c r="K13" i="42"/>
  <c r="D3" i="41"/>
  <c r="M2" i="44" l="1"/>
  <c r="M2" i="43"/>
  <c r="D4" i="41"/>
  <c r="G4" i="41"/>
  <c r="J4" i="41"/>
  <c r="D5" i="41"/>
  <c r="G5" i="41"/>
  <c r="H5" i="41" s="1"/>
  <c r="L5" i="41" s="1"/>
  <c r="J5" i="41"/>
  <c r="D6" i="41"/>
  <c r="G6" i="41"/>
  <c r="H6" i="41" s="1"/>
  <c r="L6" i="41" s="1"/>
  <c r="J6" i="41"/>
  <c r="D7" i="41"/>
  <c r="G7" i="41"/>
  <c r="J7" i="41"/>
  <c r="D8" i="41"/>
  <c r="G8" i="41"/>
  <c r="H8" i="41" s="1"/>
  <c r="L8" i="41" s="1"/>
  <c r="J8" i="41"/>
  <c r="D9" i="41"/>
  <c r="G9" i="41"/>
  <c r="H9" i="41" s="1"/>
  <c r="L9" i="41" s="1"/>
  <c r="J9" i="41"/>
  <c r="D10" i="41"/>
  <c r="G10" i="41"/>
  <c r="J10" i="41"/>
  <c r="D11" i="41"/>
  <c r="G11" i="41"/>
  <c r="J11" i="41"/>
  <c r="D12" i="41"/>
  <c r="G12" i="41"/>
  <c r="J12" i="41"/>
  <c r="D13" i="41"/>
  <c r="G13" i="41"/>
  <c r="H13" i="41" s="1"/>
  <c r="L13" i="41" s="1"/>
  <c r="J13" i="41"/>
  <c r="D14" i="41"/>
  <c r="G14" i="41"/>
  <c r="H14" i="41"/>
  <c r="L14" i="41" s="1"/>
  <c r="J14" i="41"/>
  <c r="D15" i="41"/>
  <c r="G15" i="41"/>
  <c r="J15" i="41"/>
  <c r="D16" i="41"/>
  <c r="G16" i="41"/>
  <c r="H16" i="41"/>
  <c r="L16" i="41" s="1"/>
  <c r="J16" i="41"/>
  <c r="D17" i="41"/>
  <c r="G17" i="41"/>
  <c r="H17" i="41" s="1"/>
  <c r="L17" i="41" s="1"/>
  <c r="J17" i="41"/>
  <c r="D18" i="41"/>
  <c r="G18" i="41"/>
  <c r="H18" i="41" s="1"/>
  <c r="L18" i="41" s="1"/>
  <c r="J18" i="41"/>
  <c r="D19" i="41"/>
  <c r="G19" i="41"/>
  <c r="H19" i="41" s="1"/>
  <c r="L19" i="41" s="1"/>
  <c r="J19" i="41"/>
  <c r="D20" i="41"/>
  <c r="G20" i="41"/>
  <c r="H20" i="41" s="1"/>
  <c r="L20" i="41" s="1"/>
  <c r="J20" i="41"/>
  <c r="D21" i="41"/>
  <c r="G21" i="41"/>
  <c r="J21" i="41"/>
  <c r="D2" i="40"/>
  <c r="J2" i="40"/>
  <c r="K19" i="41"/>
  <c r="K7" i="41"/>
  <c r="K10" i="41"/>
  <c r="H14" i="42"/>
  <c r="K9" i="41"/>
  <c r="K8" i="41"/>
  <c r="N5" i="41"/>
  <c r="H17" i="42"/>
  <c r="K11" i="41"/>
  <c r="K5" i="41"/>
  <c r="H7" i="42"/>
  <c r="H10" i="42"/>
  <c r="H8" i="42"/>
  <c r="H11" i="42"/>
  <c r="H12" i="42"/>
  <c r="N9" i="41"/>
  <c r="H4" i="42"/>
  <c r="K15" i="41"/>
  <c r="N19" i="41"/>
  <c r="N6" i="41"/>
  <c r="N14" i="41"/>
  <c r="H9" i="42"/>
  <c r="K13" i="41"/>
  <c r="K6" i="41"/>
  <c r="H15" i="42"/>
  <c r="K18" i="41"/>
  <c r="K20" i="41"/>
  <c r="N17" i="41"/>
  <c r="K17" i="41"/>
  <c r="H13" i="42"/>
  <c r="K21" i="41"/>
  <c r="K14" i="41"/>
  <c r="N8" i="41"/>
  <c r="H6" i="42"/>
  <c r="H18" i="42"/>
  <c r="N16" i="41"/>
  <c r="N18" i="41"/>
  <c r="H16" i="42"/>
  <c r="N13" i="41"/>
  <c r="K12" i="41"/>
  <c r="K16" i="41"/>
  <c r="H5" i="42"/>
  <c r="N20" i="41"/>
  <c r="K4" i="41"/>
  <c r="D3" i="40"/>
  <c r="M18" i="41" l="1"/>
  <c r="O18" i="41" s="1"/>
  <c r="M17" i="41"/>
  <c r="O17" i="41" s="1"/>
  <c r="M9" i="41"/>
  <c r="O9" i="41" s="1"/>
  <c r="M16" i="41"/>
  <c r="O16" i="41" s="1"/>
  <c r="M8" i="41"/>
  <c r="O8" i="41" s="1"/>
  <c r="M6" i="41"/>
  <c r="M5" i="41"/>
  <c r="M13" i="41"/>
  <c r="O13" i="41" s="1"/>
  <c r="M20" i="41"/>
  <c r="O20" i="41" s="1"/>
  <c r="M14" i="41"/>
  <c r="O14" i="41" s="1"/>
  <c r="M19" i="41"/>
  <c r="O19" i="41" s="1"/>
  <c r="D4" i="40"/>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K6" i="40"/>
  <c r="L12" i="42"/>
  <c r="H12" i="41"/>
  <c r="N6" i="40"/>
  <c r="K10" i="40"/>
  <c r="N20" i="40"/>
  <c r="K16" i="40"/>
  <c r="K7" i="40"/>
  <c r="K8" i="40"/>
  <c r="N13" i="40"/>
  <c r="N19" i="40"/>
  <c r="L8" i="42"/>
  <c r="N8" i="42" s="1"/>
  <c r="N21" i="40"/>
  <c r="N5" i="40"/>
  <c r="K17" i="40"/>
  <c r="N15" i="40"/>
  <c r="H10" i="41"/>
  <c r="K9" i="40"/>
  <c r="K11" i="40"/>
  <c r="L4" i="42"/>
  <c r="K19" i="40"/>
  <c r="K4" i="40"/>
  <c r="K14" i="40"/>
  <c r="N12" i="40"/>
  <c r="L17" i="42"/>
  <c r="N17" i="40"/>
  <c r="L9" i="42"/>
  <c r="L14" i="42"/>
  <c r="N12" i="42"/>
  <c r="L7" i="42"/>
  <c r="K21" i="40"/>
  <c r="N7" i="40"/>
  <c r="N14" i="40"/>
  <c r="N11" i="40"/>
  <c r="K13" i="40"/>
  <c r="L5" i="42"/>
  <c r="N5" i="42" s="1"/>
  <c r="L13" i="42"/>
  <c r="N14" i="42"/>
  <c r="H11" i="41"/>
  <c r="N10" i="40"/>
  <c r="H21" i="41"/>
  <c r="L10" i="42"/>
  <c r="N10" i="42" s="1"/>
  <c r="N4" i="40"/>
  <c r="L11" i="42"/>
  <c r="N8" i="40"/>
  <c r="K12" i="40"/>
  <c r="K18" i="40"/>
  <c r="H4" i="41"/>
  <c r="K15" i="40"/>
  <c r="N18" i="40"/>
  <c r="N16" i="40"/>
  <c r="N4" i="42"/>
  <c r="N9" i="40"/>
  <c r="L16" i="42"/>
  <c r="N16" i="42" s="1"/>
  <c r="N17" i="42"/>
  <c r="L15" i="42"/>
  <c r="K20" i="40"/>
  <c r="H7" i="41"/>
  <c r="H15" i="41"/>
  <c r="K5" i="40"/>
  <c r="L6" i="42"/>
  <c r="L18" i="42"/>
  <c r="D3" i="39"/>
  <c r="M11" i="42" l="1"/>
  <c r="O11" i="42" s="1"/>
  <c r="M9" i="42"/>
  <c r="O9" i="42" s="1"/>
  <c r="M10" i="42"/>
  <c r="O10" i="42" s="1"/>
  <c r="M4" i="42"/>
  <c r="O4" i="42" s="1"/>
  <c r="M13" i="42"/>
  <c r="O13" i="42" s="1"/>
  <c r="M6" i="42"/>
  <c r="O6" i="42" s="1"/>
  <c r="M7" i="42"/>
  <c r="O7" i="42" s="1"/>
  <c r="M18" i="42"/>
  <c r="O18" i="42" s="1"/>
  <c r="M5" i="42"/>
  <c r="O5" i="42" s="1"/>
  <c r="M16" i="42"/>
  <c r="O16" i="42" s="1"/>
  <c r="M17" i="42"/>
  <c r="O17" i="42" s="1"/>
  <c r="M8" i="42"/>
  <c r="O8" i="42" s="1"/>
  <c r="M14" i="42"/>
  <c r="O14" i="42" s="1"/>
  <c r="M15" i="42"/>
  <c r="O15" i="42" s="1"/>
  <c r="M12" i="42"/>
  <c r="O12" i="42" s="1"/>
  <c r="L4" i="41"/>
  <c r="M17" i="40"/>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c r="L4" i="39" s="1"/>
  <c r="J4" i="39"/>
  <c r="R4" i="39"/>
  <c r="T4" i="39"/>
  <c r="D5" i="39"/>
  <c r="G5" i="39"/>
  <c r="H5" i="39"/>
  <c r="L5" i="39" s="1"/>
  <c r="J5" i="39"/>
  <c r="D6" i="39"/>
  <c r="G6" i="39"/>
  <c r="H6" i="39" s="1"/>
  <c r="L6" i="39" s="1"/>
  <c r="J6" i="39"/>
  <c r="D7" i="39"/>
  <c r="G7" i="39"/>
  <c r="H7" i="39"/>
  <c r="L7" i="39" s="1"/>
  <c r="J7" i="39"/>
  <c r="R7" i="39"/>
  <c r="T7" i="39"/>
  <c r="D8" i="39"/>
  <c r="G8" i="39"/>
  <c r="H8" i="39" s="1"/>
  <c r="L8" i="39" s="1"/>
  <c r="J8" i="39"/>
  <c r="R8" i="39"/>
  <c r="T8" i="39"/>
  <c r="D9" i="39"/>
  <c r="G9" i="39"/>
  <c r="H9" i="39" s="1"/>
  <c r="L9" i="39" s="1"/>
  <c r="J9" i="39"/>
  <c r="R9" i="39"/>
  <c r="T9" i="39"/>
  <c r="D10" i="39"/>
  <c r="G10" i="39"/>
  <c r="H10" i="39"/>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c r="L14" i="39" s="1"/>
  <c r="J14" i="39"/>
  <c r="R14" i="39"/>
  <c r="T14" i="39"/>
  <c r="D15" i="39"/>
  <c r="G15" i="39"/>
  <c r="H15" i="39" s="1"/>
  <c r="J15" i="39"/>
  <c r="R15" i="39"/>
  <c r="T15" i="39"/>
  <c r="D16" i="39"/>
  <c r="G16" i="39"/>
  <c r="H16" i="39"/>
  <c r="L16" i="39" s="1"/>
  <c r="J16" i="39"/>
  <c r="R16" i="39"/>
  <c r="T16" i="39"/>
  <c r="D17" i="39"/>
  <c r="G17" i="39"/>
  <c r="H17" i="39"/>
  <c r="L17" i="39" s="1"/>
  <c r="J17" i="39"/>
  <c r="R17" i="39"/>
  <c r="T17" i="39"/>
  <c r="D18" i="39"/>
  <c r="G18" i="39"/>
  <c r="H18" i="39"/>
  <c r="L18" i="39" s="1"/>
  <c r="J18" i="39"/>
  <c r="R18" i="39"/>
  <c r="T18" i="39"/>
  <c r="D19" i="39"/>
  <c r="G19" i="39"/>
  <c r="H19" i="39" s="1"/>
  <c r="L19" i="39" s="1"/>
  <c r="J19" i="39"/>
  <c r="R19" i="39"/>
  <c r="T19" i="39"/>
  <c r="D20" i="39"/>
  <c r="G20" i="39"/>
  <c r="H20" i="39" s="1"/>
  <c r="J20" i="39"/>
  <c r="R20" i="39"/>
  <c r="T20" i="39"/>
  <c r="D21" i="39"/>
  <c r="G21" i="39"/>
  <c r="H21" i="39" s="1"/>
  <c r="J21" i="39"/>
  <c r="R21" i="39"/>
  <c r="T21" i="39"/>
  <c r="N18" i="42"/>
  <c r="N5" i="39"/>
  <c r="K8" i="39"/>
  <c r="N19" i="39"/>
  <c r="K12" i="39"/>
  <c r="N11" i="42"/>
  <c r="N4" i="39"/>
  <c r="N10" i="39"/>
  <c r="L10" i="41"/>
  <c r="N6" i="42"/>
  <c r="N16" i="39"/>
  <c r="K15" i="39"/>
  <c r="N13" i="39"/>
  <c r="S7" i="39"/>
  <c r="N7" i="42"/>
  <c r="K4" i="39"/>
  <c r="L15" i="41"/>
  <c r="N15" i="42"/>
  <c r="K16" i="39"/>
  <c r="S19" i="39"/>
  <c r="K7" i="39"/>
  <c r="N15" i="41"/>
  <c r="S12" i="39"/>
  <c r="N9" i="42"/>
  <c r="K20" i="39"/>
  <c r="N18" i="39"/>
  <c r="N7" i="39"/>
  <c r="N10" i="41"/>
  <c r="K10" i="39"/>
  <c r="N17" i="39"/>
  <c r="L7" i="41"/>
  <c r="N7" i="41" s="1"/>
  <c r="K9" i="39"/>
  <c r="K6" i="39"/>
  <c r="S11" i="39"/>
  <c r="N14" i="39"/>
  <c r="K18" i="39"/>
  <c r="L12" i="41"/>
  <c r="K17" i="39"/>
  <c r="L21" i="41"/>
  <c r="S8" i="39"/>
  <c r="K13" i="39"/>
  <c r="K21" i="39"/>
  <c r="N8" i="39"/>
  <c r="L11" i="41"/>
  <c r="N11" i="41" s="1"/>
  <c r="N6" i="39"/>
  <c r="N11" i="39"/>
  <c r="K11" i="39"/>
  <c r="K19" i="39"/>
  <c r="K5" i="39"/>
  <c r="K14" i="39"/>
  <c r="N13" i="42"/>
  <c r="N9" i="39"/>
  <c r="N4" i="41"/>
  <c r="N12" i="39"/>
  <c r="L15" i="39" l="1"/>
  <c r="L21" i="39"/>
  <c r="M2" i="42"/>
  <c r="M12" i="41"/>
  <c r="O12" i="41" s="1"/>
  <c r="M15" i="41"/>
  <c r="O15" i="41" s="1"/>
  <c r="M21" i="41"/>
  <c r="O21" i="41" s="1"/>
  <c r="M11" i="41"/>
  <c r="O11" i="41" s="1"/>
  <c r="M7" i="41"/>
  <c r="O7" i="41" s="1"/>
  <c r="M10" i="41"/>
  <c r="O10" i="41" s="1"/>
  <c r="M4" i="41"/>
  <c r="O4" i="41" s="1"/>
  <c r="M2" i="40"/>
  <c r="M5" i="39"/>
  <c r="M17" i="39"/>
  <c r="O17" i="39" s="1"/>
  <c r="M11" i="39"/>
  <c r="O11" i="39" s="1"/>
  <c r="M7" i="39"/>
  <c r="O7"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7" i="39"/>
  <c r="S14" i="39"/>
  <c r="S4" i="39"/>
  <c r="N21" i="41"/>
  <c r="S20" i="39"/>
  <c r="S9" i="39"/>
  <c r="N12" i="41"/>
  <c r="S21" i="39"/>
  <c r="S18" i="39"/>
  <c r="N15" i="39"/>
  <c r="S10" i="39"/>
  <c r="N20" i="39"/>
  <c r="S15" i="39"/>
  <c r="N21" i="39"/>
  <c r="S13" i="39"/>
  <c r="S16" i="39"/>
  <c r="M15" i="39" l="1"/>
  <c r="O15" i="39" s="1"/>
  <c r="M21" i="39"/>
  <c r="O21" i="39" s="1"/>
  <c r="M2" i="39" s="1"/>
  <c r="M2" i="41"/>
  <c r="F2" i="37"/>
  <c r="F3" i="37"/>
  <c r="F4" i="37"/>
  <c r="F6" i="37"/>
  <c r="F2" i="36"/>
  <c r="F3" i="36"/>
  <c r="F4" i="36"/>
  <c r="F6" i="36"/>
  <c r="D7" i="37" a="1"/>
  <c r="D7" i="36" a="1"/>
  <c r="D12" i="37" l="1"/>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20" i="36"/>
  <c r="G98" i="37"/>
  <c r="G25" i="36"/>
  <c r="G54" i="37"/>
  <c r="G58" i="36"/>
  <c r="G78" i="37"/>
  <c r="G94" i="37"/>
  <c r="G43" i="37"/>
  <c r="G63" i="37"/>
  <c r="G114" i="37"/>
  <c r="G123" i="36"/>
  <c r="G14" i="36"/>
  <c r="G33" i="36"/>
  <c r="G65" i="37"/>
  <c r="G71" i="36"/>
  <c r="G18" i="37"/>
  <c r="G90" i="37"/>
  <c r="G88" i="37"/>
  <c r="G61" i="37"/>
  <c r="G69" i="37"/>
  <c r="G56" i="36"/>
  <c r="G66" i="37"/>
  <c r="G79" i="36"/>
  <c r="G48" i="36"/>
  <c r="G8" i="36"/>
  <c r="G115" i="37"/>
  <c r="G73" i="37"/>
  <c r="G106" i="36"/>
  <c r="G35" i="37"/>
  <c r="G31" i="37"/>
  <c r="G115" i="36"/>
  <c r="G74" i="36"/>
  <c r="G60" i="36"/>
  <c r="G29" i="36"/>
  <c r="G89" i="36"/>
  <c r="G32" i="36"/>
  <c r="G24" i="37"/>
  <c r="G111" i="37"/>
  <c r="G25" i="37"/>
  <c r="G73" i="36"/>
  <c r="G91" i="36"/>
  <c r="G86" i="36"/>
  <c r="G64" i="37"/>
  <c r="G79" i="37"/>
  <c r="G100" i="37"/>
  <c r="G26" i="37"/>
  <c r="G51" i="37"/>
  <c r="G112" i="37"/>
  <c r="G33" i="37"/>
  <c r="G40" i="37"/>
  <c r="G44" i="36"/>
  <c r="G104" i="36"/>
  <c r="G34" i="36"/>
  <c r="G19" i="36"/>
  <c r="G89" i="37"/>
  <c r="G17" i="36"/>
  <c r="G21" i="36"/>
  <c r="G67" i="37"/>
  <c r="G62" i="36"/>
  <c r="G11" i="37"/>
  <c r="G108" i="36"/>
  <c r="G82" i="36"/>
  <c r="G50" i="36"/>
  <c r="G30" i="37"/>
  <c r="G40" i="36"/>
  <c r="G46" i="36"/>
  <c r="G42" i="36"/>
  <c r="G94" i="36"/>
  <c r="G96" i="37"/>
  <c r="G58" i="37"/>
  <c r="G39" i="36"/>
  <c r="G42" i="37"/>
  <c r="G106" i="37"/>
  <c r="G63" i="36"/>
  <c r="G78" i="36"/>
  <c r="G53" i="36"/>
  <c r="G29" i="37"/>
  <c r="G76" i="37"/>
  <c r="G74" i="37"/>
  <c r="G22" i="36"/>
  <c r="G84" i="36"/>
  <c r="G57" i="37"/>
  <c r="G70" i="36"/>
  <c r="G97" i="37"/>
  <c r="G65" i="36"/>
  <c r="G13" i="37"/>
  <c r="G80" i="37"/>
  <c r="G54" i="36"/>
  <c r="G27" i="36"/>
  <c r="G110" i="37"/>
  <c r="G75" i="37"/>
  <c r="G110" i="36"/>
  <c r="G105" i="37"/>
  <c r="G102" i="36"/>
  <c r="G90" i="36"/>
  <c r="G53" i="37"/>
  <c r="G118" i="37"/>
  <c r="G82" i="37"/>
  <c r="G32" i="37"/>
  <c r="G60" i="37"/>
  <c r="G96" i="36"/>
  <c r="G18" i="36"/>
  <c r="G87" i="37"/>
  <c r="G57" i="36"/>
  <c r="G119" i="36"/>
  <c r="G50" i="37"/>
  <c r="G125" i="37"/>
  <c r="G46" i="37"/>
  <c r="G37" i="36"/>
  <c r="G126" i="37"/>
  <c r="G43" i="36"/>
  <c r="G88" i="36"/>
  <c r="G99" i="36"/>
  <c r="G48" i="37"/>
  <c r="G112" i="36"/>
  <c r="G13" i="36"/>
  <c r="G51" i="36"/>
  <c r="G77" i="36"/>
  <c r="G11" i="36"/>
  <c r="G24" i="36"/>
  <c r="G49" i="36"/>
  <c r="G17" i="37"/>
  <c r="G68" i="37"/>
  <c r="G70" i="37"/>
  <c r="G107" i="37"/>
  <c r="G69" i="36"/>
  <c r="G95" i="36"/>
  <c r="G31" i="36"/>
  <c r="G97" i="36"/>
  <c r="G125" i="36"/>
  <c r="G87" i="36"/>
  <c r="G72" i="36"/>
  <c r="G16" i="37"/>
  <c r="G83" i="36"/>
  <c r="G26" i="36"/>
  <c r="G109" i="37"/>
  <c r="G75" i="36"/>
  <c r="G80" i="36"/>
  <c r="G101" i="36"/>
  <c r="G36" i="37"/>
  <c r="G62" i="37"/>
  <c r="G113" i="36"/>
  <c r="G10" i="36"/>
  <c r="G27" i="37"/>
  <c r="G113" i="37"/>
  <c r="G120" i="37"/>
  <c r="G21" i="37"/>
  <c r="G116" i="36"/>
  <c r="G67" i="36"/>
  <c r="G61" i="36"/>
  <c r="G52" i="37"/>
  <c r="G8" i="37"/>
  <c r="G28" i="37"/>
  <c r="G59" i="37"/>
  <c r="G72" i="37"/>
  <c r="G111" i="36"/>
  <c r="G76" i="36"/>
  <c r="G122" i="37"/>
  <c r="G52" i="36"/>
  <c r="G37" i="37"/>
  <c r="G7" i="37"/>
  <c r="G100" i="36"/>
  <c r="G104" i="37"/>
  <c r="G59" i="36"/>
  <c r="G84" i="37"/>
  <c r="G47" i="37"/>
  <c r="G39" i="37"/>
  <c r="G9" i="37"/>
  <c r="G114" i="36"/>
  <c r="G107" i="36"/>
  <c r="G41" i="36"/>
  <c r="G85" i="36"/>
  <c r="G81" i="36"/>
  <c r="G35" i="36"/>
  <c r="G99" i="37"/>
  <c r="G28" i="36"/>
  <c r="G14" i="37"/>
  <c r="G12" i="37"/>
  <c r="G105" i="36"/>
  <c r="G23" i="37"/>
  <c r="G126" i="36"/>
  <c r="G7" i="36"/>
  <c r="G15" i="37"/>
  <c r="G93" i="36"/>
  <c r="G86" i="37"/>
  <c r="G102" i="37"/>
  <c r="G117" i="37"/>
  <c r="G124" i="36"/>
  <c r="G83" i="37"/>
  <c r="G98" i="36"/>
  <c r="G121" i="37"/>
  <c r="G36" i="36"/>
  <c r="G68" i="36"/>
  <c r="G118" i="36"/>
  <c r="G66" i="36"/>
  <c r="G20" i="37"/>
  <c r="G123" i="37"/>
  <c r="G47" i="36"/>
  <c r="G9" i="36"/>
  <c r="G38" i="37"/>
  <c r="G81" i="37"/>
  <c r="G30" i="36"/>
  <c r="G45" i="37"/>
  <c r="G34" i="37"/>
  <c r="G119" i="37"/>
  <c r="G101" i="37"/>
  <c r="G116" i="37"/>
  <c r="G120" i="36"/>
  <c r="G103" i="37"/>
  <c r="G16" i="36"/>
  <c r="G38" i="36"/>
  <c r="G56" i="37"/>
  <c r="G92" i="37"/>
  <c r="G15" i="36"/>
  <c r="G22" i="37"/>
  <c r="G122" i="36"/>
  <c r="G45" i="36"/>
  <c r="G23" i="36"/>
  <c r="G103" i="36"/>
  <c r="G109" i="36"/>
  <c r="G108" i="37"/>
  <c r="G95" i="37"/>
  <c r="G91" i="37"/>
  <c r="G64" i="36"/>
  <c r="G93" i="37"/>
  <c r="G41" i="37"/>
  <c r="G117" i="36"/>
  <c r="G124" i="37"/>
  <c r="G121" i="36"/>
  <c r="G71" i="37"/>
  <c r="G10" i="37"/>
  <c r="G85" i="37"/>
  <c r="G44" i="37"/>
  <c r="G12" i="36"/>
  <c r="G55" i="37"/>
  <c r="G19" i="37"/>
  <c r="G55" i="36"/>
  <c r="G77" i="37"/>
  <c r="G92" i="36"/>
  <c r="G49" i="37"/>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3" i="34"/>
  <c r="L11" i="32"/>
  <c r="L25" i="33"/>
  <c r="L32" i="33"/>
  <c r="L8" i="32"/>
  <c r="L12" i="32"/>
  <c r="L32" i="32"/>
  <c r="L10" i="32"/>
  <c r="L12" i="33"/>
  <c r="L26" i="32"/>
  <c r="L18" i="33"/>
  <c r="L33" i="32"/>
  <c r="L3" i="33"/>
  <c r="L6" i="33"/>
  <c r="L28" i="32"/>
  <c r="L5" i="33"/>
  <c r="L34" i="32"/>
  <c r="L20" i="33"/>
  <c r="L29" i="33"/>
  <c r="L36" i="33"/>
  <c r="L13" i="32"/>
  <c r="L26" i="33"/>
  <c r="L10" i="33"/>
  <c r="L21" i="33"/>
  <c r="L9" i="32"/>
  <c r="L16" i="33"/>
  <c r="L22" i="33"/>
  <c r="L17" i="32"/>
  <c r="L21" i="32"/>
  <c r="L31" i="32"/>
  <c r="L3" i="31"/>
  <c r="L23" i="33"/>
  <c r="L27" i="33"/>
  <c r="L36" i="32"/>
  <c r="L7" i="33"/>
  <c r="L3" i="32"/>
  <c r="L11" i="33"/>
  <c r="L35" i="33"/>
  <c r="L20" i="32"/>
  <c r="L16" i="32"/>
  <c r="L6" i="32"/>
  <c r="L13" i="33"/>
  <c r="L15" i="33"/>
  <c r="L27" i="32"/>
  <c r="L7" i="32"/>
  <c r="L30" i="33"/>
  <c r="L14" i="32"/>
  <c r="L25" i="32"/>
  <c r="L22" i="32"/>
  <c r="L4" i="33"/>
  <c r="L4" i="32"/>
  <c r="L9" i="33"/>
  <c r="L19" i="32"/>
  <c r="L33" i="33"/>
  <c r="L15" i="32"/>
  <c r="L23" i="32"/>
  <c r="L18" i="32"/>
  <c r="L24" i="32"/>
  <c r="L24" i="33"/>
  <c r="L8" i="33"/>
  <c r="L29" i="32"/>
  <c r="L28" i="33"/>
  <c r="L31" i="33"/>
  <c r="L30" i="32"/>
  <c r="L35" i="32"/>
  <c r="L5" i="32"/>
  <c r="L19" i="33"/>
  <c r="L17" i="33"/>
  <c r="L34" i="33"/>
  <c r="L14" i="33"/>
  <c r="H101" i="37"/>
  <c r="H50" i="37"/>
  <c r="H90" i="36"/>
  <c r="H51" i="37"/>
  <c r="H10" i="36"/>
  <c r="H110" i="37"/>
  <c r="H111" i="37"/>
  <c r="H10" i="37"/>
  <c r="H42" i="37"/>
  <c r="H52" i="37"/>
  <c r="H86" i="36"/>
  <c r="H23" i="37"/>
  <c r="H108" i="36"/>
  <c r="H88" i="37"/>
  <c r="H121" i="36"/>
  <c r="H96" i="37"/>
  <c r="H28" i="36"/>
  <c r="H7" i="37"/>
  <c r="H68" i="37"/>
  <c r="H42" i="36"/>
  <c r="H12" i="37"/>
  <c r="H98" i="37"/>
  <c r="H94" i="37"/>
  <c r="H16" i="36"/>
  <c r="H118" i="37"/>
  <c r="H92" i="37"/>
  <c r="H77" i="37"/>
  <c r="H85" i="37"/>
  <c r="H61" i="37"/>
  <c r="H16" i="37"/>
  <c r="H52" i="36"/>
  <c r="H83" i="37"/>
  <c r="H15" i="37"/>
  <c r="H82" i="37"/>
  <c r="H67" i="36"/>
  <c r="H40" i="36"/>
  <c r="H35" i="37"/>
  <c r="H76" i="37"/>
  <c r="H31" i="36"/>
  <c r="H84" i="37"/>
  <c r="H46" i="37"/>
  <c r="H100" i="37"/>
  <c r="H95" i="37"/>
  <c r="H113" i="36"/>
  <c r="H66" i="37"/>
  <c r="H93" i="37"/>
  <c r="H45" i="37"/>
  <c r="H7" i="36"/>
  <c r="H55" i="36"/>
  <c r="H82" i="36"/>
  <c r="H120" i="36"/>
  <c r="H9" i="37"/>
  <c r="H8" i="36"/>
  <c r="H102" i="36"/>
  <c r="H122" i="37"/>
  <c r="H69" i="36"/>
  <c r="H21" i="36"/>
  <c r="H71" i="37"/>
  <c r="H60" i="37"/>
  <c r="H51" i="36"/>
  <c r="H53" i="36"/>
  <c r="H19" i="36"/>
  <c r="H83" i="36"/>
  <c r="H63" i="36"/>
  <c r="H79" i="37"/>
  <c r="H78" i="37"/>
  <c r="H91" i="37"/>
  <c r="H32" i="36"/>
  <c r="H125" i="36"/>
  <c r="H14" i="37"/>
  <c r="H38" i="36"/>
  <c r="H24" i="37"/>
  <c r="H107" i="36"/>
  <c r="H112" i="37"/>
  <c r="H34" i="37"/>
  <c r="H106" i="36"/>
  <c r="H117" i="37"/>
  <c r="H67" i="37"/>
  <c r="H62" i="36"/>
  <c r="H59" i="37"/>
  <c r="H79" i="36"/>
  <c r="H33" i="36"/>
  <c r="H96" i="36"/>
  <c r="H106" i="37"/>
  <c r="H104" i="36"/>
  <c r="H49" i="36"/>
  <c r="H18" i="36"/>
  <c r="H53" i="37"/>
  <c r="H99" i="36"/>
  <c r="H54" i="36"/>
  <c r="H119" i="37"/>
  <c r="H33" i="37"/>
  <c r="H68" i="36"/>
  <c r="H113" i="37"/>
  <c r="H24" i="36"/>
  <c r="H97" i="36"/>
  <c r="H38" i="37"/>
  <c r="H101" i="36"/>
  <c r="H77" i="36"/>
  <c r="H25" i="36"/>
  <c r="H64" i="37"/>
  <c r="H13" i="37"/>
  <c r="H89" i="36"/>
  <c r="H63" i="37"/>
  <c r="H84" i="36"/>
  <c r="H48" i="37"/>
  <c r="H36" i="36"/>
  <c r="H32" i="37"/>
  <c r="H11" i="37"/>
  <c r="H43" i="36"/>
  <c r="H44" i="36"/>
  <c r="H122" i="36"/>
  <c r="H57" i="36"/>
  <c r="H98" i="36"/>
  <c r="H39" i="36"/>
  <c r="H75" i="37"/>
  <c r="H71" i="36"/>
  <c r="H70" i="36"/>
  <c r="H60" i="36"/>
  <c r="H94" i="36"/>
  <c r="H17" i="36"/>
  <c r="H93" i="36"/>
  <c r="H102" i="37"/>
  <c r="H126" i="37"/>
  <c r="H15" i="36"/>
  <c r="H40" i="37"/>
  <c r="H119" i="36"/>
  <c r="H46" i="36"/>
  <c r="H78" i="36"/>
  <c r="H28" i="37"/>
  <c r="H25" i="37"/>
  <c r="H114" i="37"/>
  <c r="H29" i="37"/>
  <c r="H70" i="37"/>
  <c r="H81" i="37"/>
  <c r="H12" i="36"/>
  <c r="H62" i="37"/>
  <c r="H64" i="36"/>
  <c r="H50" i="36"/>
  <c r="H85" i="36"/>
  <c r="H95" i="36"/>
  <c r="H39" i="37"/>
  <c r="H87" i="37"/>
  <c r="H80" i="36"/>
  <c r="H66" i="36"/>
  <c r="H14" i="36"/>
  <c r="H115" i="37"/>
  <c r="H9" i="36"/>
  <c r="H114" i="36"/>
  <c r="H27" i="37"/>
  <c r="H86" i="37"/>
  <c r="H125" i="37"/>
  <c r="H47" i="36"/>
  <c r="H104" i="37"/>
  <c r="H81" i="36"/>
  <c r="H56" i="37"/>
  <c r="H89" i="37"/>
  <c r="H124" i="36"/>
  <c r="H115" i="36"/>
  <c r="H22" i="37"/>
  <c r="H41" i="36"/>
  <c r="H41" i="37"/>
  <c r="H48" i="36"/>
  <c r="H103" i="37"/>
  <c r="H43" i="37"/>
  <c r="H27" i="36"/>
  <c r="H73" i="36"/>
  <c r="H74" i="36"/>
  <c r="H29" i="36"/>
  <c r="H26" i="36"/>
  <c r="H92" i="36"/>
  <c r="H109" i="37"/>
  <c r="H109" i="36"/>
  <c r="H72" i="36"/>
  <c r="H73" i="37"/>
  <c r="H123" i="36"/>
  <c r="H124" i="37"/>
  <c r="H31" i="37"/>
  <c r="H74" i="37"/>
  <c r="H11" i="36"/>
  <c r="H20" i="37"/>
  <c r="H123" i="37"/>
  <c r="H118" i="36"/>
  <c r="H55" i="37"/>
  <c r="H18" i="37"/>
  <c r="H87" i="36"/>
  <c r="H72" i="37"/>
  <c r="H99" i="37"/>
  <c r="H91" i="36"/>
  <c r="H20" i="36"/>
  <c r="H88" i="36"/>
  <c r="H19" i="37"/>
  <c r="H56" i="36"/>
  <c r="H45" i="36"/>
  <c r="H26" i="37"/>
  <c r="H22" i="36"/>
  <c r="H76" i="36"/>
  <c r="H110" i="36"/>
  <c r="H37" i="37"/>
  <c r="H36" i="37"/>
  <c r="H34" i="36"/>
  <c r="H105" i="37"/>
  <c r="H112" i="36"/>
  <c r="H69" i="37"/>
  <c r="H107" i="37"/>
  <c r="H80" i="37"/>
  <c r="H108" i="37"/>
  <c r="H30" i="36"/>
  <c r="H54" i="37"/>
  <c r="H75" i="36"/>
  <c r="H103" i="36"/>
  <c r="H65" i="37"/>
  <c r="H121" i="37"/>
  <c r="H30" i="37"/>
  <c r="H116" i="37"/>
  <c r="H35" i="36"/>
  <c r="H117" i="36"/>
  <c r="H47" i="37"/>
  <c r="H49" i="37"/>
  <c r="H21" i="37"/>
  <c r="H116" i="36"/>
  <c r="H120" i="37"/>
  <c r="H37" i="36"/>
  <c r="H126" i="36"/>
  <c r="H100" i="36"/>
  <c r="H111" i="36"/>
  <c r="H13" i="36"/>
  <c r="H23" i="36"/>
  <c r="H57" i="37"/>
  <c r="H105" i="36"/>
  <c r="H58" i="37"/>
  <c r="H61" i="36"/>
  <c r="H59" i="36"/>
  <c r="H44" i="37"/>
  <c r="H8" i="37"/>
  <c r="H97" i="37"/>
  <c r="H58" i="36"/>
  <c r="H90" i="37"/>
  <c r="H17" i="37"/>
  <c r="H65" i="36"/>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27" i="31"/>
  <c r="K18" i="31"/>
  <c r="K24" i="34"/>
  <c r="K11" i="31"/>
  <c r="K15" i="31"/>
  <c r="K18" i="34"/>
  <c r="K7" i="34"/>
  <c r="K16" i="34"/>
  <c r="K16" i="31"/>
  <c r="K11" i="34"/>
  <c r="K32" i="31"/>
  <c r="K32" i="34"/>
  <c r="K21" i="34"/>
  <c r="K19" i="31"/>
  <c r="K13" i="31"/>
  <c r="K24" i="31"/>
  <c r="K23" i="31"/>
  <c r="K8" i="34"/>
  <c r="K35" i="31"/>
  <c r="K7" i="31"/>
  <c r="K15" i="34"/>
  <c r="K20" i="31"/>
  <c r="K35" i="34"/>
  <c r="K20" i="34"/>
  <c r="K30" i="34"/>
  <c r="K8" i="31"/>
  <c r="K31" i="34"/>
  <c r="K6" i="34"/>
  <c r="K5" i="34"/>
  <c r="K30" i="31"/>
  <c r="K28" i="31"/>
  <c r="K36" i="31"/>
  <c r="K31" i="31"/>
  <c r="K22" i="34"/>
  <c r="K29" i="34"/>
  <c r="K26" i="34"/>
  <c r="K9" i="34"/>
  <c r="K4" i="34"/>
  <c r="K23" i="34"/>
  <c r="K10" i="34"/>
  <c r="K13" i="34"/>
  <c r="K36" i="34"/>
  <c r="K28" i="34"/>
  <c r="K34" i="31"/>
  <c r="K34" i="34"/>
  <c r="K27" i="34"/>
  <c r="K33" i="31"/>
  <c r="K29" i="31"/>
  <c r="K14" i="31"/>
  <c r="K17" i="34"/>
  <c r="K17" i="31"/>
  <c r="K22" i="31"/>
  <c r="K26" i="31"/>
  <c r="K6" i="31"/>
  <c r="K25" i="34"/>
  <c r="K33" i="34"/>
  <c r="K25" i="31"/>
  <c r="K9" i="31"/>
  <c r="K10" i="31"/>
  <c r="K5" i="31"/>
  <c r="K19" i="34"/>
  <c r="K12" i="31"/>
  <c r="K21" i="31"/>
  <c r="K14" i="34"/>
  <c r="K12" i="34"/>
  <c r="K4" i="31"/>
  <c r="K2" i="33"/>
  <c r="K2" i="32"/>
  <c r="K2" i="34"/>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32" i="31"/>
  <c r="L14" i="31"/>
  <c r="L5" i="34"/>
  <c r="L25" i="34"/>
  <c r="L13" i="31"/>
  <c r="L16" i="31"/>
  <c r="L24" i="31"/>
  <c r="L31" i="31"/>
  <c r="L28" i="31"/>
  <c r="L22" i="34"/>
  <c r="L29" i="34"/>
  <c r="L21" i="34"/>
  <c r="L28" i="34"/>
  <c r="L20" i="34"/>
  <c r="L18" i="31"/>
  <c r="L9" i="31"/>
  <c r="L35" i="34"/>
  <c r="L11" i="34"/>
  <c r="L23" i="34"/>
  <c r="L9" i="34"/>
  <c r="L14" i="34"/>
  <c r="L26" i="31"/>
  <c r="L6" i="31"/>
  <c r="L36" i="34"/>
  <c r="L27" i="34"/>
  <c r="L17" i="31"/>
  <c r="L33" i="34"/>
  <c r="L15" i="31"/>
  <c r="L16" i="34"/>
  <c r="L13" i="34"/>
  <c r="L11" i="31"/>
  <c r="L5" i="31"/>
  <c r="L12" i="34"/>
  <c r="L30" i="34"/>
  <c r="L17" i="34"/>
  <c r="L21" i="31"/>
  <c r="L34" i="31"/>
  <c r="L36" i="31"/>
  <c r="L8" i="31"/>
  <c r="L34" i="34"/>
  <c r="L25" i="31"/>
  <c r="L7" i="31"/>
  <c r="L20" i="31"/>
  <c r="L12" i="31"/>
  <c r="L18" i="34"/>
  <c r="L10" i="34"/>
  <c r="L4" i="31"/>
  <c r="L22" i="31"/>
  <c r="L4" i="34"/>
  <c r="L19" i="34"/>
  <c r="L19" i="31"/>
  <c r="L7" i="34"/>
  <c r="L32" i="34"/>
  <c r="L23" i="31"/>
  <c r="L15" i="34"/>
  <c r="L6" i="34"/>
  <c r="L33" i="31"/>
  <c r="L8" i="34"/>
  <c r="L29" i="31"/>
  <c r="L31" i="34"/>
  <c r="L24" i="34"/>
  <c r="L27" i="31"/>
  <c r="L26" i="34"/>
  <c r="L10" i="31"/>
  <c r="L35" i="31"/>
  <c r="L30" i="31"/>
  <c r="L2" i="32"/>
  <c r="L2" i="34"/>
  <c r="L2" i="33"/>
  <c r="L2"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6"/>
  <c r="C1" i="27"/>
  <c r="D59" i="29"/>
  <c r="D41" i="29"/>
  <c r="D52" i="29"/>
  <c r="D61" i="29"/>
  <c r="D13" i="28"/>
  <c r="D25" i="28"/>
  <c r="D19" i="29"/>
  <c r="D58" i="29"/>
  <c r="D43" i="29"/>
  <c r="D16" i="28"/>
  <c r="D45" i="29"/>
  <c r="D38" i="29"/>
  <c r="D53" i="29"/>
  <c r="D51" i="29"/>
  <c r="D14" i="29"/>
  <c r="D57" i="29"/>
  <c r="D29" i="29"/>
  <c r="D11" i="29"/>
  <c r="D17" i="29"/>
  <c r="D56" i="29"/>
  <c r="D15" i="28"/>
  <c r="D28" i="28"/>
  <c r="D9" i="29"/>
  <c r="D10" i="29"/>
  <c r="D24" i="29"/>
  <c r="D50" i="29"/>
  <c r="D64" i="29"/>
  <c r="D44" i="29"/>
  <c r="D55" i="29"/>
  <c r="D62" i="29"/>
  <c r="D23" i="29"/>
  <c r="D29" i="28"/>
  <c r="D54" i="29"/>
  <c r="D3" i="29"/>
  <c r="D37" i="29"/>
  <c r="D24" i="28"/>
  <c r="D22" i="29"/>
  <c r="D12" i="29"/>
  <c r="D30" i="29"/>
  <c r="D6" i="28"/>
  <c r="D23" i="28"/>
  <c r="D5" i="28"/>
  <c r="D3" i="28"/>
  <c r="D20" i="28"/>
  <c r="D47" i="29"/>
  <c r="D18" i="28"/>
  <c r="D7" i="29"/>
  <c r="D7" i="28"/>
  <c r="D9" i="28"/>
  <c r="D21" i="29"/>
  <c r="D19" i="28"/>
  <c r="D31" i="29"/>
  <c r="D20" i="29"/>
  <c r="D34" i="29"/>
  <c r="D13" i="29"/>
  <c r="D60" i="29"/>
  <c r="D12" i="28"/>
  <c r="D49" i="29"/>
  <c r="D35" i="29"/>
  <c r="D27" i="29"/>
  <c r="D25" i="29"/>
  <c r="D22" i="28"/>
  <c r="D28" i="29"/>
  <c r="D16" i="29"/>
  <c r="D18" i="29"/>
  <c r="D48" i="29"/>
  <c r="D21" i="28"/>
  <c r="D14" i="28"/>
  <c r="D33" i="29"/>
  <c r="D46" i="29"/>
  <c r="D32" i="29"/>
  <c r="D4" i="28"/>
  <c r="D8" i="29"/>
  <c r="D39" i="29"/>
  <c r="D40" i="29"/>
  <c r="D5" i="29"/>
  <c r="D10" i="28"/>
  <c r="D36" i="29"/>
  <c r="D8" i="28"/>
  <c r="D26" i="29"/>
  <c r="D42" i="29"/>
  <c r="D27" i="28"/>
  <c r="D4" i="29"/>
  <c r="D15" i="29"/>
  <c r="D63" i="29"/>
  <c r="D17" i="28"/>
  <c r="D11" i="28"/>
  <c r="D6" i="29"/>
  <c r="D26" i="28"/>
  <c r="D2" i="29"/>
  <c r="C7" i="27" l="1"/>
  <c r="C2" i="27"/>
  <c r="C10" i="27"/>
  <c r="C5" i="27"/>
  <c r="C13" i="27"/>
  <c r="C8" i="27"/>
  <c r="C3" i="27"/>
  <c r="C11" i="27"/>
  <c r="C6" i="27"/>
  <c r="C9" i="27"/>
  <c r="C4" i="27"/>
  <c r="C12" i="27"/>
  <c r="C9" i="26"/>
  <c r="C4" i="26"/>
  <c r="C7" i="26"/>
  <c r="C2" i="26"/>
  <c r="C10" i="26"/>
  <c r="C5" i="26"/>
  <c r="C8" i="26"/>
  <c r="C3" i="26"/>
  <c r="C11" i="26"/>
  <c r="C6" i="26"/>
  <c r="E59" i="29"/>
  <c r="E11" i="29"/>
  <c r="D4" i="27"/>
  <c r="E37" i="29"/>
  <c r="E51" i="29"/>
  <c r="E39" i="29"/>
  <c r="E9" i="28"/>
  <c r="E35" i="29"/>
  <c r="E23" i="29"/>
  <c r="E41" i="29"/>
  <c r="E54" i="29"/>
  <c r="E48" i="29"/>
  <c r="E4" i="28"/>
  <c r="E8" i="28"/>
  <c r="E20" i="29"/>
  <c r="E5" i="29"/>
  <c r="E62" i="29"/>
  <c r="D10" i="26"/>
  <c r="E31" i="29"/>
  <c r="E55" i="29"/>
  <c r="E28" i="28"/>
  <c r="E14" i="28"/>
  <c r="E57" i="29"/>
  <c r="E49" i="29"/>
  <c r="D3" i="26"/>
  <c r="E58" i="29"/>
  <c r="E5" i="28"/>
  <c r="E29" i="28"/>
  <c r="E15" i="29"/>
  <c r="E23" i="28"/>
  <c r="E22" i="29"/>
  <c r="E52" i="29"/>
  <c r="E36" i="29"/>
  <c r="D13" i="27"/>
  <c r="E12" i="28"/>
  <c r="E13" i="28"/>
  <c r="E34" i="29"/>
  <c r="E6" i="29"/>
  <c r="E27" i="28"/>
  <c r="E26" i="29"/>
  <c r="E14" i="29"/>
  <c r="D6" i="26"/>
  <c r="E17" i="29"/>
  <c r="D4" i="26"/>
  <c r="E25" i="29"/>
  <c r="E42" i="29"/>
  <c r="E46" i="29"/>
  <c r="D12" i="27"/>
  <c r="D9" i="27"/>
  <c r="E7" i="28"/>
  <c r="E16" i="29"/>
  <c r="E32" i="29"/>
  <c r="E21" i="28"/>
  <c r="D5" i="26"/>
  <c r="E6" i="28"/>
  <c r="E3" i="29"/>
  <c r="E24" i="28"/>
  <c r="E29" i="29"/>
  <c r="E25" i="28"/>
  <c r="E16" i="28"/>
  <c r="E9" i="29"/>
  <c r="E28" i="29"/>
  <c r="E43" i="29"/>
  <c r="E3" i="28"/>
  <c r="D6" i="27"/>
  <c r="E11" i="28"/>
  <c r="D5" i="27"/>
  <c r="E44" i="29"/>
  <c r="E21" i="29"/>
  <c r="E64" i="29"/>
  <c r="E12" i="29"/>
  <c r="D11" i="26"/>
  <c r="D9" i="26"/>
  <c r="E19" i="29"/>
  <c r="E26" i="28"/>
  <c r="D8" i="26"/>
  <c r="D7" i="27"/>
  <c r="E13" i="29"/>
  <c r="E22" i="28"/>
  <c r="E19" i="28"/>
  <c r="E10" i="29"/>
  <c r="E4" i="29"/>
  <c r="D11" i="27"/>
  <c r="E8" i="29"/>
  <c r="E40" i="29"/>
  <c r="E7" i="29"/>
  <c r="E45" i="29"/>
  <c r="E53" i="29"/>
  <c r="E56" i="29"/>
  <c r="E61" i="29"/>
  <c r="E15" i="28"/>
  <c r="E10" i="28"/>
  <c r="D7" i="26"/>
  <c r="E50" i="29"/>
  <c r="E63" i="29"/>
  <c r="D10" i="27"/>
  <c r="E60" i="29"/>
  <c r="E47" i="29"/>
  <c r="E33" i="29"/>
  <c r="E17" i="28"/>
  <c r="E30" i="29"/>
  <c r="E20" i="28"/>
  <c r="D8" i="27"/>
  <c r="E38" i="29"/>
  <c r="E24" i="29"/>
  <c r="E18" i="28"/>
  <c r="E18" i="29"/>
  <c r="D3" i="27"/>
  <c r="E27" i="29"/>
  <c r="D2" i="26"/>
  <c r="E2" i="29"/>
  <c r="D2" i="27"/>
  <c r="C3" i="24" l="1" a="1"/>
  <c r="C4" i="24" s="1"/>
  <c r="D3" i="24" a="1"/>
  <c r="D7" i="24" s="1"/>
  <c r="C3" i="23" a="1"/>
  <c r="C4" i="23" s="1"/>
  <c r="D3" i="23" a="1"/>
  <c r="D7" i="23" s="1"/>
  <c r="E2" i="22"/>
  <c r="E3" i="22"/>
  <c r="E4" i="22"/>
  <c r="E5" i="22"/>
  <c r="E6" i="22"/>
  <c r="E7" i="22"/>
  <c r="E8" i="22"/>
  <c r="E9" i="22"/>
  <c r="E2" i="21"/>
  <c r="E3" i="21"/>
  <c r="E4" i="21"/>
  <c r="E5" i="21"/>
  <c r="E6" i="21"/>
  <c r="E7" i="21"/>
  <c r="E8" i="21"/>
  <c r="E9" i="21"/>
  <c r="E10" i="21"/>
  <c r="E11" i="21"/>
  <c r="E12" i="21"/>
  <c r="E13" i="21"/>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12" i="27"/>
  <c r="E11" i="26"/>
  <c r="E4" i="26"/>
  <c r="F69" i="20"/>
  <c r="F13" i="21"/>
  <c r="F12" i="21"/>
  <c r="F3" i="21"/>
  <c r="F38" i="20"/>
  <c r="F6" i="21"/>
  <c r="F41" i="20"/>
  <c r="F7" i="20"/>
  <c r="F66" i="20"/>
  <c r="F11" i="21"/>
  <c r="F61" i="20"/>
  <c r="F9" i="21"/>
  <c r="F32" i="20"/>
  <c r="F47" i="20"/>
  <c r="F4" i="21"/>
  <c r="F25" i="20"/>
  <c r="F3" i="22"/>
  <c r="F40" i="20"/>
  <c r="E7" i="27"/>
  <c r="F11" i="20"/>
  <c r="F23" i="20"/>
  <c r="F22" i="20"/>
  <c r="F52" i="20"/>
  <c r="F43" i="20"/>
  <c r="F14" i="20"/>
  <c r="F28" i="20"/>
  <c r="F9" i="20"/>
  <c r="F17" i="20"/>
  <c r="E5" i="26"/>
  <c r="E8" i="27"/>
  <c r="E8" i="26"/>
  <c r="F70" i="20"/>
  <c r="F7" i="22"/>
  <c r="F51" i="20"/>
  <c r="F4" i="22"/>
  <c r="F15" i="20"/>
  <c r="F62" i="20"/>
  <c r="F37" i="20"/>
  <c r="F35" i="20"/>
  <c r="F8" i="22"/>
  <c r="F71" i="20"/>
  <c r="F45" i="20"/>
  <c r="F55" i="20"/>
  <c r="F63" i="20"/>
  <c r="F39" i="20"/>
  <c r="F8" i="20"/>
  <c r="E10" i="26"/>
  <c r="F10" i="20"/>
  <c r="F44" i="20"/>
  <c r="F19" i="20"/>
  <c r="F5" i="21"/>
  <c r="E13" i="27"/>
  <c r="F16" i="20"/>
  <c r="G16" i="20" s="1"/>
  <c r="F48" i="20"/>
  <c r="F6" i="22"/>
  <c r="E6" i="27"/>
  <c r="E3" i="27"/>
  <c r="F12" i="20"/>
  <c r="F34" i="20"/>
  <c r="F13" i="20"/>
  <c r="E3" i="26"/>
  <c r="E9" i="26"/>
  <c r="E11" i="27"/>
  <c r="F18" i="20"/>
  <c r="F7" i="21"/>
  <c r="F30" i="20"/>
  <c r="E9" i="27"/>
  <c r="E7" i="26"/>
  <c r="F21" i="20"/>
  <c r="F54" i="20"/>
  <c r="F67" i="20"/>
  <c r="F53" i="20"/>
  <c r="F31" i="20"/>
  <c r="F50" i="20"/>
  <c r="F57" i="20"/>
  <c r="F56" i="20"/>
  <c r="F64" i="20"/>
  <c r="F59" i="20"/>
  <c r="F49" i="20"/>
  <c r="F9" i="22"/>
  <c r="E4" i="27"/>
  <c r="E6" i="26"/>
  <c r="F27" i="20"/>
  <c r="F29" i="20"/>
  <c r="F68" i="20"/>
  <c r="F72" i="20"/>
  <c r="F10" i="21"/>
  <c r="E5" i="27"/>
  <c r="F58" i="20"/>
  <c r="F20" i="20"/>
  <c r="F46" i="20"/>
  <c r="F3" i="20"/>
  <c r="E10" i="27"/>
  <c r="F4" i="20"/>
  <c r="F60" i="20"/>
  <c r="F6" i="20"/>
  <c r="F5" i="20"/>
  <c r="F8" i="21"/>
  <c r="G29" i="20"/>
  <c r="F24" i="20"/>
  <c r="F42" i="20"/>
  <c r="F65" i="20"/>
  <c r="F5" i="22"/>
  <c r="F33" i="20"/>
  <c r="F26" i="20"/>
  <c r="F2" i="21"/>
  <c r="E2" i="26"/>
  <c r="F2" i="22"/>
  <c r="E2" i="27"/>
  <c r="F2" i="20"/>
  <c r="C17" i="24" l="1"/>
  <c r="C33" i="24"/>
  <c r="C25" i="24"/>
  <c r="D18" i="24"/>
  <c r="D6" i="23"/>
  <c r="D17" i="23"/>
  <c r="D36" i="24"/>
  <c r="C38" i="23"/>
  <c r="D14" i="23"/>
  <c r="D34" i="24"/>
  <c r="D12" i="24"/>
  <c r="D36" i="23"/>
  <c r="D12" i="23"/>
  <c r="D10" i="24"/>
  <c r="D28" i="23"/>
  <c r="D9" i="23"/>
  <c r="D28" i="24"/>
  <c r="C9" i="24"/>
  <c r="C19" i="23"/>
  <c r="C27" i="23"/>
  <c r="C9" i="23"/>
  <c r="D26" i="24"/>
  <c r="D4" i="24"/>
  <c r="E4" i="24" s="1"/>
  <c r="C25" i="23"/>
  <c r="C22" i="23"/>
  <c r="D20" i="24"/>
  <c r="C39" i="24"/>
  <c r="C31" i="24"/>
  <c r="C23" i="24"/>
  <c r="C15" i="24"/>
  <c r="C7" i="24"/>
  <c r="D37" i="24"/>
  <c r="C34" i="24"/>
  <c r="D29" i="24"/>
  <c r="C26" i="24"/>
  <c r="D21" i="24"/>
  <c r="C18" i="24"/>
  <c r="D13" i="24"/>
  <c r="C10" i="24"/>
  <c r="D5" i="24"/>
  <c r="C37" i="24"/>
  <c r="D32" i="24"/>
  <c r="C29" i="24"/>
  <c r="D24" i="24"/>
  <c r="C21" i="24"/>
  <c r="D16" i="24"/>
  <c r="C13" i="24"/>
  <c r="D8" i="24"/>
  <c r="C5" i="24"/>
  <c r="D35" i="24"/>
  <c r="C32" i="24"/>
  <c r="D27" i="24"/>
  <c r="C24" i="24"/>
  <c r="D19" i="24"/>
  <c r="C16" i="24"/>
  <c r="D11" i="24"/>
  <c r="C8" i="24"/>
  <c r="D3" i="24"/>
  <c r="D38" i="24"/>
  <c r="C35" i="24"/>
  <c r="D30" i="24"/>
  <c r="C27" i="24"/>
  <c r="D22" i="24"/>
  <c r="C19" i="24"/>
  <c r="D14" i="24"/>
  <c r="C11" i="24"/>
  <c r="D6" i="24"/>
  <c r="C38" i="24"/>
  <c r="D33" i="24"/>
  <c r="C30" i="24"/>
  <c r="D25" i="24"/>
  <c r="C22" i="24"/>
  <c r="D17" i="24"/>
  <c r="E17" i="24" s="1"/>
  <c r="C14" i="24"/>
  <c r="D9" i="24"/>
  <c r="C6" i="24"/>
  <c r="C3" i="24"/>
  <c r="D39" i="24"/>
  <c r="C36" i="24"/>
  <c r="D31" i="24"/>
  <c r="C28" i="24"/>
  <c r="D23" i="24"/>
  <c r="C20" i="24"/>
  <c r="D15" i="24"/>
  <c r="C12" i="24"/>
  <c r="C35" i="23"/>
  <c r="D25" i="23"/>
  <c r="C17" i="23"/>
  <c r="C6" i="23"/>
  <c r="D33" i="23"/>
  <c r="C33" i="23"/>
  <c r="D22" i="23"/>
  <c r="C14" i="23"/>
  <c r="D4" i="23"/>
  <c r="E4" i="23" s="1"/>
  <c r="C39" i="23"/>
  <c r="D30" i="23"/>
  <c r="D38" i="23"/>
  <c r="C30" i="23"/>
  <c r="D20" i="23"/>
  <c r="C11" i="23"/>
  <c r="C3" i="23"/>
  <c r="D34" i="23"/>
  <c r="C31" i="23"/>
  <c r="D26" i="23"/>
  <c r="C23" i="23"/>
  <c r="D18" i="23"/>
  <c r="C15" i="23"/>
  <c r="D10" i="23"/>
  <c r="C7" i="23"/>
  <c r="D37" i="23"/>
  <c r="C34" i="23"/>
  <c r="D29" i="23"/>
  <c r="C26" i="23"/>
  <c r="D21" i="23"/>
  <c r="C18" i="23"/>
  <c r="D13" i="23"/>
  <c r="C10" i="23"/>
  <c r="D5" i="23"/>
  <c r="C37" i="23"/>
  <c r="D32" i="23"/>
  <c r="C29" i="23"/>
  <c r="D24" i="23"/>
  <c r="C21" i="23"/>
  <c r="D16" i="23"/>
  <c r="C13" i="23"/>
  <c r="D8" i="23"/>
  <c r="C5" i="23"/>
  <c r="D35" i="23"/>
  <c r="C32" i="23"/>
  <c r="D27" i="23"/>
  <c r="C24" i="23"/>
  <c r="D19" i="23"/>
  <c r="C16" i="23"/>
  <c r="D11" i="23"/>
  <c r="C8" i="23"/>
  <c r="D3" i="23"/>
  <c r="D39" i="23"/>
  <c r="C36" i="23"/>
  <c r="D31" i="23"/>
  <c r="C28" i="23"/>
  <c r="D23" i="23"/>
  <c r="C20" i="23"/>
  <c r="D15" i="23"/>
  <c r="C12" i="23"/>
  <c r="G23" i="20"/>
  <c r="G4" i="22"/>
  <c r="G27" i="20"/>
  <c r="F38" i="23"/>
  <c r="G24" i="20"/>
  <c r="G20" i="20"/>
  <c r="G13" i="21"/>
  <c r="F22" i="23"/>
  <c r="F25" i="23"/>
  <c r="G12" i="21"/>
  <c r="F25" i="24"/>
  <c r="G33" i="20"/>
  <c r="G10" i="21"/>
  <c r="F9" i="24"/>
  <c r="F6" i="23"/>
  <c r="G7" i="21"/>
  <c r="G3" i="21"/>
  <c r="F3" i="23"/>
  <c r="G17" i="20"/>
  <c r="G11" i="20"/>
  <c r="G10" i="20"/>
  <c r="G18" i="20"/>
  <c r="G8" i="22"/>
  <c r="G3" i="20"/>
  <c r="G26" i="20"/>
  <c r="F11" i="23"/>
  <c r="F17" i="23"/>
  <c r="G21" i="20"/>
  <c r="G28" i="20"/>
  <c r="G4" i="20"/>
  <c r="G31" i="20"/>
  <c r="G5" i="21"/>
  <c r="G3" i="22"/>
  <c r="G9" i="22"/>
  <c r="G5" i="22"/>
  <c r="G22" i="20"/>
  <c r="G14" i="20"/>
  <c r="F35" i="23"/>
  <c r="G15" i="20"/>
  <c r="G35" i="20"/>
  <c r="G34" i="20"/>
  <c r="F14" i="23"/>
  <c r="G9" i="20"/>
  <c r="G6" i="21"/>
  <c r="G6" i="22"/>
  <c r="G6" i="20"/>
  <c r="G25" i="20"/>
  <c r="G32" i="20"/>
  <c r="F30" i="23"/>
  <c r="G8" i="21"/>
  <c r="F17" i="24"/>
  <c r="G8" i="20"/>
  <c r="F27" i="23"/>
  <c r="G4" i="21"/>
  <c r="G11" i="21"/>
  <c r="F33" i="23"/>
  <c r="G5" i="20"/>
  <c r="G9" i="21"/>
  <c r="F9" i="23"/>
  <c r="G19" i="20"/>
  <c r="G12" i="20"/>
  <c r="G30" i="20"/>
  <c r="G7" i="22"/>
  <c r="G13" i="20"/>
  <c r="G7" i="20"/>
  <c r="G2" i="21"/>
  <c r="G2" i="22"/>
  <c r="G2" i="20"/>
  <c r="E19" i="23" l="1"/>
  <c r="E9" i="23"/>
  <c r="E33" i="24"/>
  <c r="E14" i="23"/>
  <c r="E25" i="23"/>
  <c r="E25" i="24"/>
  <c r="E27" i="23"/>
  <c r="E22" i="23"/>
  <c r="E6" i="23"/>
  <c r="E38" i="23"/>
  <c r="E17" i="23"/>
  <c r="E2" i="23"/>
  <c r="E35" i="23"/>
  <c r="E30" i="23"/>
  <c r="E30" i="24"/>
  <c r="E27" i="24"/>
  <c r="E16" i="24"/>
  <c r="E13" i="24"/>
  <c r="E10" i="24"/>
  <c r="E7" i="24"/>
  <c r="E12" i="24"/>
  <c r="E3" i="24"/>
  <c r="E2" i="24"/>
  <c r="E15" i="24"/>
  <c r="E6" i="24"/>
  <c r="E38" i="24"/>
  <c r="E35" i="24"/>
  <c r="E24" i="24"/>
  <c r="E21" i="24"/>
  <c r="E18" i="24"/>
  <c r="E23" i="24"/>
  <c r="E20" i="24"/>
  <c r="E31" i="24"/>
  <c r="E14" i="24"/>
  <c r="E11" i="24"/>
  <c r="E32" i="24"/>
  <c r="E29" i="24"/>
  <c r="E26" i="24"/>
  <c r="E39" i="24"/>
  <c r="E28" i="24"/>
  <c r="E8" i="24"/>
  <c r="E9" i="24"/>
  <c r="E22" i="24"/>
  <c r="E19" i="24"/>
  <c r="E5" i="24"/>
  <c r="E37" i="24"/>
  <c r="E34" i="24"/>
  <c r="E36" i="24"/>
  <c r="E33" i="23"/>
  <c r="E11" i="23"/>
  <c r="E3" i="23"/>
  <c r="E8" i="23"/>
  <c r="E5" i="23"/>
  <c r="E37" i="23"/>
  <c r="E34" i="23"/>
  <c r="E31" i="23"/>
  <c r="E20" i="23"/>
  <c r="E16" i="23"/>
  <c r="E13" i="23"/>
  <c r="E10" i="23"/>
  <c r="E7" i="23"/>
  <c r="E28" i="23"/>
  <c r="E24" i="23"/>
  <c r="E21" i="23"/>
  <c r="E18" i="23"/>
  <c r="E15" i="23"/>
  <c r="E36" i="23"/>
  <c r="E12" i="23"/>
  <c r="E39" i="23"/>
  <c r="E32" i="23"/>
  <c r="E29" i="23"/>
  <c r="E26" i="23"/>
  <c r="E23" i="23"/>
  <c r="G11" i="23"/>
  <c r="F28" i="24"/>
  <c r="G17" i="23"/>
  <c r="F7" i="23"/>
  <c r="F20" i="24"/>
  <c r="F34" i="24"/>
  <c r="F23" i="23"/>
  <c r="F24" i="23"/>
  <c r="F23" i="24"/>
  <c r="G20" i="24"/>
  <c r="G7" i="23"/>
  <c r="F18" i="23"/>
  <c r="F4" i="23"/>
  <c r="F13" i="23"/>
  <c r="F12" i="23"/>
  <c r="F38" i="24"/>
  <c r="G28" i="24"/>
  <c r="F30" i="24"/>
  <c r="G33" i="23"/>
  <c r="F16" i="24"/>
  <c r="F37" i="23"/>
  <c r="F4" i="24"/>
  <c r="F18" i="24"/>
  <c r="G18" i="24" s="1"/>
  <c r="F24" i="24"/>
  <c r="F29" i="24"/>
  <c r="G23" i="23"/>
  <c r="F37" i="24"/>
  <c r="G22" i="23"/>
  <c r="F7" i="24"/>
  <c r="G6" i="23"/>
  <c r="G17" i="24"/>
  <c r="F19" i="24"/>
  <c r="F27" i="24"/>
  <c r="G27" i="24" s="1"/>
  <c r="F31" i="23"/>
  <c r="G4" i="23"/>
  <c r="F29" i="23"/>
  <c r="G29" i="23" s="1"/>
  <c r="F31" i="24"/>
  <c r="F21" i="23"/>
  <c r="G25" i="23"/>
  <c r="F15" i="23"/>
  <c r="G15" i="23" s="1"/>
  <c r="G7" i="24"/>
  <c r="G21" i="23"/>
  <c r="G30" i="23"/>
  <c r="F22" i="24"/>
  <c r="F19" i="23"/>
  <c r="G4" i="24"/>
  <c r="G38" i="24"/>
  <c r="G24" i="23"/>
  <c r="G22" i="24"/>
  <c r="G35" i="23"/>
  <c r="G9" i="24"/>
  <c r="F39" i="23"/>
  <c r="G39" i="23" s="1"/>
  <c r="F13" i="24"/>
  <c r="F34" i="23"/>
  <c r="G34" i="23" s="1"/>
  <c r="F20" i="23"/>
  <c r="F12" i="24"/>
  <c r="G12" i="24" s="1"/>
  <c r="F15" i="24"/>
  <c r="F26" i="23"/>
  <c r="G26" i="23" s="1"/>
  <c r="G27" i="23"/>
  <c r="F14" i="24"/>
  <c r="G3" i="23"/>
  <c r="F6" i="24"/>
  <c r="G6" i="24" s="1"/>
  <c r="G31" i="23"/>
  <c r="G20" i="23"/>
  <c r="G23" i="24"/>
  <c r="G18" i="23"/>
  <c r="G12" i="23"/>
  <c r="F35" i="24"/>
  <c r="F8" i="24"/>
  <c r="G8" i="24" s="1"/>
  <c r="F8" i="23"/>
  <c r="G8" i="23" s="1"/>
  <c r="F28" i="23"/>
  <c r="G28" i="23" s="1"/>
  <c r="G25" i="24"/>
  <c r="G38" i="23"/>
  <c r="F11" i="24"/>
  <c r="G11" i="24" s="1"/>
  <c r="F32" i="24"/>
  <c r="F26" i="24"/>
  <c r="G34" i="24"/>
  <c r="G29" i="24"/>
  <c r="G16" i="24"/>
  <c r="G37" i="24"/>
  <c r="G30" i="24"/>
  <c r="G35" i="24"/>
  <c r="F10" i="24"/>
  <c r="G10" i="24" s="1"/>
  <c r="F10" i="23"/>
  <c r="G10" i="23" s="1"/>
  <c r="F39" i="24"/>
  <c r="F33" i="24"/>
  <c r="G33" i="24" s="1"/>
  <c r="F3" i="24"/>
  <c r="G3" i="24" s="1"/>
  <c r="F36" i="24"/>
  <c r="F5" i="24"/>
  <c r="G5" i="24" s="1"/>
  <c r="F21" i="24"/>
  <c r="G21" i="24" s="1"/>
  <c r="F16" i="23"/>
  <c r="G16" i="23" s="1"/>
  <c r="G13" i="23"/>
  <c r="G37" i="23"/>
  <c r="G13" i="24"/>
  <c r="G31" i="24"/>
  <c r="G14" i="24"/>
  <c r="G24" i="24"/>
  <c r="G15" i="24"/>
  <c r="G9" i="23"/>
  <c r="G14" i="23"/>
  <c r="F36" i="23"/>
  <c r="G36" i="23" s="1"/>
  <c r="G32" i="24"/>
  <c r="F32" i="23"/>
  <c r="G32" i="23" s="1"/>
  <c r="F5" i="23"/>
  <c r="G5" i="23" s="1"/>
  <c r="G26" i="24"/>
  <c r="G36" i="24"/>
  <c r="G39" i="24"/>
  <c r="G19" i="24"/>
  <c r="G19" i="23"/>
  <c r="F2" i="23"/>
  <c r="G2" i="23" s="1"/>
  <c r="F2" i="24"/>
  <c r="G2" i="24"/>
  <c r="B2" i="18" l="1"/>
  <c r="B3" i="18"/>
  <c r="B4" i="18"/>
  <c r="E2" i="17"/>
  <c r="E2" i="16"/>
  <c r="E2" i="15"/>
  <c r="D2" i="14"/>
  <c r="D3" i="14"/>
  <c r="D4" i="14"/>
  <c r="D5" i="14"/>
  <c r="D6" i="14"/>
  <c r="D7" i="14"/>
  <c r="D8" i="14"/>
  <c r="D9" i="14"/>
  <c r="D10" i="14"/>
  <c r="D11" i="14"/>
  <c r="D12" i="14"/>
  <c r="D13" i="14"/>
  <c r="D14" i="14"/>
  <c r="D15" i="14"/>
  <c r="D16" i="14"/>
  <c r="D17" i="14"/>
  <c r="D18" i="14"/>
  <c r="D19" i="14"/>
  <c r="D20" i="14"/>
  <c r="D21" i="14"/>
  <c r="D22" i="14"/>
  <c r="D23" i="14"/>
  <c r="D24" i="14"/>
  <c r="D25" i="14"/>
  <c r="D26" i="14"/>
  <c r="C2" i="13"/>
  <c r="C3" i="13"/>
  <c r="C4" i="13"/>
  <c r="C5" i="13"/>
  <c r="C6" i="13"/>
  <c r="C7" i="13"/>
  <c r="C8" i="13"/>
  <c r="C9" i="13"/>
  <c r="C10" i="13"/>
  <c r="C11" i="13"/>
  <c r="C12" i="13"/>
  <c r="C13" i="13"/>
  <c r="C14" i="13"/>
  <c r="C15" i="13"/>
  <c r="C16" i="13"/>
  <c r="C17" i="13"/>
  <c r="C18" i="13"/>
  <c r="C19" i="13"/>
  <c r="C20" i="13"/>
  <c r="D3" i="17" a="1"/>
  <c r="E7" i="14"/>
  <c r="D18" i="13"/>
  <c r="D11" i="13"/>
  <c r="C4" i="18"/>
  <c r="D8" i="13"/>
  <c r="D3" i="15" a="1"/>
  <c r="E4" i="14"/>
  <c r="D16" i="13"/>
  <c r="E19" i="14"/>
  <c r="D10" i="13"/>
  <c r="E5" i="14"/>
  <c r="E20" i="14"/>
  <c r="E3" i="14"/>
  <c r="F3" i="14" s="1"/>
  <c r="E11" i="14"/>
  <c r="E26" i="14"/>
  <c r="E15" i="14"/>
  <c r="E16" i="14"/>
  <c r="E18" i="14"/>
  <c r="D6" i="13"/>
  <c r="D19" i="13"/>
  <c r="D14" i="13"/>
  <c r="E13" i="14"/>
  <c r="E9" i="14"/>
  <c r="D5" i="13"/>
  <c r="E5" i="13"/>
  <c r="D15" i="13"/>
  <c r="E6" i="14"/>
  <c r="D7" i="13"/>
  <c r="E17" i="14"/>
  <c r="E21" i="14"/>
  <c r="D3" i="16" a="1"/>
  <c r="D20" i="13"/>
  <c r="D3" i="13"/>
  <c r="E12" i="14"/>
  <c r="E25" i="14"/>
  <c r="C3" i="18"/>
  <c r="D13" i="13"/>
  <c r="D12" i="13"/>
  <c r="E22" i="14"/>
  <c r="D17" i="13"/>
  <c r="E8" i="14"/>
  <c r="E23" i="14"/>
  <c r="D4" i="13"/>
  <c r="E10" i="14"/>
  <c r="E14" i="14"/>
  <c r="E24" i="14"/>
  <c r="D9" i="13"/>
  <c r="D4" i="17" l="1"/>
  <c r="E4" i="17" s="1"/>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7" i="17"/>
  <c r="E7" i="17" s="1"/>
  <c r="D23" i="17"/>
  <c r="E23" i="17" s="1"/>
  <c r="D39" i="17"/>
  <c r="E39" i="17" s="1"/>
  <c r="D55" i="17"/>
  <c r="E55" i="17" s="1"/>
  <c r="D91" i="17"/>
  <c r="E91" i="17" s="1"/>
  <c r="D107" i="17"/>
  <c r="E107" i="17" s="1"/>
  <c r="D17" i="17"/>
  <c r="E17" i="17" s="1"/>
  <c r="D97" i="17"/>
  <c r="E97" i="17" s="1"/>
  <c r="D13" i="17"/>
  <c r="E13" i="17" s="1"/>
  <c r="D29" i="17"/>
  <c r="E29" i="17" s="1"/>
  <c r="D45" i="17"/>
  <c r="E45" i="17" s="1"/>
  <c r="D61" i="17"/>
  <c r="E61" i="17" s="1"/>
  <c r="D71" i="17"/>
  <c r="E71" i="17" s="1"/>
  <c r="D75" i="17"/>
  <c r="E75" i="17" s="1"/>
  <c r="D85" i="17"/>
  <c r="E85" i="17" s="1"/>
  <c r="D101" i="17"/>
  <c r="E101" i="17" s="1"/>
  <c r="D117" i="17"/>
  <c r="E117" i="17" s="1"/>
  <c r="D89" i="17"/>
  <c r="E89" i="17" s="1"/>
  <c r="D121" i="17"/>
  <c r="E121" i="17" s="1"/>
  <c r="D99" i="17"/>
  <c r="E99" i="17" s="1"/>
  <c r="D115" i="17"/>
  <c r="E115" i="17" s="1"/>
  <c r="D11" i="17"/>
  <c r="E11" i="17" s="1"/>
  <c r="D43" i="17"/>
  <c r="E43" i="17" s="1"/>
  <c r="D103" i="17"/>
  <c r="E103" i="17" s="1"/>
  <c r="D119" i="17"/>
  <c r="E119" i="17" s="1"/>
  <c r="D49" i="17"/>
  <c r="E49" i="17" s="1"/>
  <c r="D65" i="17"/>
  <c r="E65" i="17" s="1"/>
  <c r="D3" i="17"/>
  <c r="E3" i="17" s="1"/>
  <c r="D19" i="17"/>
  <c r="E19" i="17" s="1"/>
  <c r="D35" i="17"/>
  <c r="E35" i="17" s="1"/>
  <c r="D51" i="17"/>
  <c r="E51" i="17" s="1"/>
  <c r="D67" i="17"/>
  <c r="E67" i="17" s="1"/>
  <c r="D79" i="17"/>
  <c r="E79" i="17" s="1"/>
  <c r="D95" i="17"/>
  <c r="E95" i="17" s="1"/>
  <c r="D111" i="17"/>
  <c r="E111" i="17" s="1"/>
  <c r="D9" i="17"/>
  <c r="E9" i="17" s="1"/>
  <c r="D25" i="17"/>
  <c r="E25" i="17" s="1"/>
  <c r="D41" i="17"/>
  <c r="E41" i="17" s="1"/>
  <c r="D57" i="17"/>
  <c r="E57" i="17" s="1"/>
  <c r="D105" i="17"/>
  <c r="E105" i="17" s="1"/>
  <c r="D5" i="17"/>
  <c r="E5" i="17" s="1"/>
  <c r="D21" i="17"/>
  <c r="E21" i="17" s="1"/>
  <c r="D37" i="17"/>
  <c r="E37" i="17" s="1"/>
  <c r="D27" i="17"/>
  <c r="E27" i="17" s="1"/>
  <c r="D33" i="17"/>
  <c r="E33" i="17" s="1"/>
  <c r="D81" i="17"/>
  <c r="E81" i="17" s="1"/>
  <c r="D15" i="17"/>
  <c r="E15" i="17" s="1"/>
  <c r="D31" i="17"/>
  <c r="E31" i="17" s="1"/>
  <c r="D47" i="17"/>
  <c r="E47" i="17" s="1"/>
  <c r="D63" i="17"/>
  <c r="E63" i="17" s="1"/>
  <c r="D83" i="17"/>
  <c r="E83" i="17" s="1"/>
  <c r="D53" i="17"/>
  <c r="E53" i="17" s="1"/>
  <c r="D69" i="17"/>
  <c r="E69" i="17" s="1"/>
  <c r="D73" i="17"/>
  <c r="E73" i="17" s="1"/>
  <c r="D77" i="17"/>
  <c r="E77" i="17" s="1"/>
  <c r="D93" i="17"/>
  <c r="E93" i="17" s="1"/>
  <c r="D109" i="17"/>
  <c r="E109" i="17" s="1"/>
  <c r="D59" i="17"/>
  <c r="E59" i="17" s="1"/>
  <c r="D87" i="17"/>
  <c r="E87" i="17" s="1"/>
  <c r="D113" i="17"/>
  <c r="E113" i="17" s="1"/>
  <c r="D4" i="16"/>
  <c r="E4" i="16" s="1"/>
  <c r="D6" i="16"/>
  <c r="E6" i="16" s="1"/>
  <c r="D8" i="16"/>
  <c r="E8" i="16" s="1"/>
  <c r="D10" i="16"/>
  <c r="E10" i="16" s="1"/>
  <c r="D12" i="16"/>
  <c r="E12" i="16" s="1"/>
  <c r="D14" i="16"/>
  <c r="E14" i="16" s="1"/>
  <c r="D16" i="16"/>
  <c r="E16" i="16" s="1"/>
  <c r="D18" i="16"/>
  <c r="E18" i="16" s="1"/>
  <c r="D20" i="16"/>
  <c r="E20" i="16" s="1"/>
  <c r="D22" i="16"/>
  <c r="E22" i="16" s="1"/>
  <c r="D24" i="16"/>
  <c r="E24" i="16" s="1"/>
  <c r="D26" i="16"/>
  <c r="E26" i="16" s="1"/>
  <c r="D28" i="16"/>
  <c r="E28" i="16" s="1"/>
  <c r="D30" i="16"/>
  <c r="E30" i="16" s="1"/>
  <c r="D32" i="16"/>
  <c r="E32" i="16" s="1"/>
  <c r="D34" i="16"/>
  <c r="E34" i="16" s="1"/>
  <c r="D36" i="16"/>
  <c r="E36" i="16" s="1"/>
  <c r="D38" i="16"/>
  <c r="E38" i="16" s="1"/>
  <c r="D40" i="16"/>
  <c r="E40" i="16" s="1"/>
  <c r="D42" i="16"/>
  <c r="E42" i="16" s="1"/>
  <c r="D44" i="16"/>
  <c r="E44" i="16" s="1"/>
  <c r="D46" i="16"/>
  <c r="E46" i="16" s="1"/>
  <c r="D48" i="16"/>
  <c r="E48" i="16" s="1"/>
  <c r="D50" i="16"/>
  <c r="E50" i="16" s="1"/>
  <c r="D52" i="16"/>
  <c r="E52" i="16" s="1"/>
  <c r="D54" i="16"/>
  <c r="E54" i="16" s="1"/>
  <c r="D56" i="16"/>
  <c r="E56" i="16" s="1"/>
  <c r="D58" i="16"/>
  <c r="E58" i="16" s="1"/>
  <c r="D60" i="16"/>
  <c r="E60" i="16" s="1"/>
  <c r="D62" i="16"/>
  <c r="E62" i="16" s="1"/>
  <c r="D64" i="16"/>
  <c r="E64" i="16" s="1"/>
  <c r="D66" i="16"/>
  <c r="E66" i="16" s="1"/>
  <c r="D68" i="16"/>
  <c r="E68" i="16" s="1"/>
  <c r="D70" i="16"/>
  <c r="E70" i="16" s="1"/>
  <c r="D72" i="16"/>
  <c r="E72" i="16" s="1"/>
  <c r="D74" i="16"/>
  <c r="E74" i="16" s="1"/>
  <c r="D76" i="16"/>
  <c r="E76" i="16" s="1"/>
  <c r="D78" i="16"/>
  <c r="E78" i="16" s="1"/>
  <c r="D80" i="16"/>
  <c r="E80" i="16" s="1"/>
  <c r="D82" i="16"/>
  <c r="E82" i="16" s="1"/>
  <c r="D84" i="16"/>
  <c r="E84" i="16" s="1"/>
  <c r="D86" i="16"/>
  <c r="E86" i="16" s="1"/>
  <c r="D88" i="16"/>
  <c r="E88" i="16" s="1"/>
  <c r="D90" i="16"/>
  <c r="E90" i="16" s="1"/>
  <c r="D92" i="16"/>
  <c r="E92" i="16" s="1"/>
  <c r="D94" i="16"/>
  <c r="E94" i="16" s="1"/>
  <c r="D96" i="16"/>
  <c r="E96" i="16" s="1"/>
  <c r="D98" i="16"/>
  <c r="E98" i="16" s="1"/>
  <c r="D100" i="16"/>
  <c r="E100" i="16" s="1"/>
  <c r="D102" i="16"/>
  <c r="E102" i="16" s="1"/>
  <c r="D104" i="16"/>
  <c r="E104" i="16" s="1"/>
  <c r="D106" i="16"/>
  <c r="E106" i="16" s="1"/>
  <c r="D108" i="16"/>
  <c r="E108" i="16" s="1"/>
  <c r="D110" i="16"/>
  <c r="E110" i="16" s="1"/>
  <c r="D112" i="16"/>
  <c r="E112" i="16" s="1"/>
  <c r="D114" i="16"/>
  <c r="E114" i="16" s="1"/>
  <c r="D116" i="16"/>
  <c r="E116" i="16" s="1"/>
  <c r="D118" i="16"/>
  <c r="E118" i="16" s="1"/>
  <c r="D120" i="16"/>
  <c r="E120" i="16" s="1"/>
  <c r="D122" i="16"/>
  <c r="E122" i="16" s="1"/>
  <c r="D7" i="16"/>
  <c r="E7" i="16" s="1"/>
  <c r="D23" i="16"/>
  <c r="E23" i="16" s="1"/>
  <c r="D73" i="16"/>
  <c r="E73" i="16" s="1"/>
  <c r="D9" i="16"/>
  <c r="E9" i="16" s="1"/>
  <c r="D83" i="16"/>
  <c r="E83" i="16" s="1"/>
  <c r="D13" i="16"/>
  <c r="E13" i="16" s="1"/>
  <c r="D29" i="16"/>
  <c r="E29" i="16" s="1"/>
  <c r="D33" i="16"/>
  <c r="E33" i="16" s="1"/>
  <c r="D37" i="16"/>
  <c r="E37" i="16" s="1"/>
  <c r="D41" i="16"/>
  <c r="E41" i="16" s="1"/>
  <c r="D45" i="16"/>
  <c r="E45" i="16" s="1"/>
  <c r="D49" i="16"/>
  <c r="E49" i="16" s="1"/>
  <c r="D53" i="16"/>
  <c r="E53" i="16" s="1"/>
  <c r="D57" i="16"/>
  <c r="E57" i="16" s="1"/>
  <c r="D67" i="16"/>
  <c r="E67" i="16" s="1"/>
  <c r="D85" i="16"/>
  <c r="E85" i="16" s="1"/>
  <c r="D93" i="16"/>
  <c r="E93" i="16" s="1"/>
  <c r="D101" i="16"/>
  <c r="E101" i="16" s="1"/>
  <c r="D109" i="16"/>
  <c r="E109" i="16" s="1"/>
  <c r="D117" i="16"/>
  <c r="E117" i="16" s="1"/>
  <c r="D25" i="16"/>
  <c r="E25" i="16" s="1"/>
  <c r="D99" i="16"/>
  <c r="E99" i="16" s="1"/>
  <c r="D107" i="16"/>
  <c r="E107" i="16" s="1"/>
  <c r="D3" i="16"/>
  <c r="E3" i="16" s="1"/>
  <c r="D19" i="16"/>
  <c r="E19" i="16" s="1"/>
  <c r="D61" i="16"/>
  <c r="E61" i="16" s="1"/>
  <c r="D77" i="16"/>
  <c r="E77" i="16" s="1"/>
  <c r="D91" i="16"/>
  <c r="E91" i="16" s="1"/>
  <c r="D115" i="16"/>
  <c r="E115" i="16" s="1"/>
  <c r="D5" i="16"/>
  <c r="E5" i="16" s="1"/>
  <c r="D21" i="16"/>
  <c r="E21" i="16" s="1"/>
  <c r="D31" i="16"/>
  <c r="E31" i="16" s="1"/>
  <c r="D35" i="16"/>
  <c r="E35" i="16" s="1"/>
  <c r="D39" i="16"/>
  <c r="E39" i="16" s="1"/>
  <c r="D43" i="16"/>
  <c r="E43" i="16" s="1"/>
  <c r="D47" i="16"/>
  <c r="E47" i="16" s="1"/>
  <c r="D51" i="16"/>
  <c r="E51" i="16" s="1"/>
  <c r="D55" i="16"/>
  <c r="E55" i="16" s="1"/>
  <c r="D59" i="16"/>
  <c r="E59" i="16" s="1"/>
  <c r="D75" i="16"/>
  <c r="E75" i="16" s="1"/>
  <c r="D81" i="16"/>
  <c r="E81" i="16" s="1"/>
  <c r="D89" i="16"/>
  <c r="E89" i="16" s="1"/>
  <c r="D97" i="16"/>
  <c r="E97" i="16" s="1"/>
  <c r="D105" i="16"/>
  <c r="E105" i="16" s="1"/>
  <c r="D113" i="16"/>
  <c r="E113" i="16" s="1"/>
  <c r="D121" i="16"/>
  <c r="E121" i="16" s="1"/>
  <c r="D11" i="16"/>
  <c r="E11" i="16" s="1"/>
  <c r="D27" i="16"/>
  <c r="E27" i="16" s="1"/>
  <c r="D69" i="16"/>
  <c r="E69" i="16" s="1"/>
  <c r="D17" i="16"/>
  <c r="E17" i="16" s="1"/>
  <c r="D63" i="16"/>
  <c r="E63" i="16" s="1"/>
  <c r="D79" i="16"/>
  <c r="E79" i="16" s="1"/>
  <c r="D87" i="16"/>
  <c r="E87" i="16" s="1"/>
  <c r="D95" i="16"/>
  <c r="E95" i="16" s="1"/>
  <c r="D103" i="16"/>
  <c r="E103" i="16" s="1"/>
  <c r="D111" i="16"/>
  <c r="E111" i="16" s="1"/>
  <c r="D119" i="16"/>
  <c r="E119" i="16" s="1"/>
  <c r="D71" i="16"/>
  <c r="E71" i="16" s="1"/>
  <c r="D65" i="16"/>
  <c r="E65" i="16" s="1"/>
  <c r="D15" i="16"/>
  <c r="E15" i="16" s="1"/>
  <c r="D4" i="15"/>
  <c r="E4" i="15" s="1"/>
  <c r="D6" i="15"/>
  <c r="E6" i="15" s="1"/>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7" i="15"/>
  <c r="E7" i="15" s="1"/>
  <c r="D71" i="15"/>
  <c r="E71" i="15" s="1"/>
  <c r="D13" i="15"/>
  <c r="E13" i="15" s="1"/>
  <c r="D29" i="15"/>
  <c r="E29" i="15" s="1"/>
  <c r="D45" i="15"/>
  <c r="E45" i="15" s="1"/>
  <c r="D61" i="15"/>
  <c r="E61" i="15" s="1"/>
  <c r="D77" i="15"/>
  <c r="E77" i="15" s="1"/>
  <c r="D81" i="15"/>
  <c r="E81" i="15" s="1"/>
  <c r="D85" i="15"/>
  <c r="E85" i="15" s="1"/>
  <c r="D89" i="15"/>
  <c r="E89" i="15" s="1"/>
  <c r="D93" i="15"/>
  <c r="E93" i="15" s="1"/>
  <c r="D97" i="15"/>
  <c r="E97" i="15" s="1"/>
  <c r="D101" i="15"/>
  <c r="E101" i="15" s="1"/>
  <c r="D105" i="15"/>
  <c r="E105" i="15" s="1"/>
  <c r="D109" i="15"/>
  <c r="E109" i="15" s="1"/>
  <c r="D113" i="15"/>
  <c r="E113" i="15" s="1"/>
  <c r="D3" i="15"/>
  <c r="E3" i="15" s="1"/>
  <c r="D19" i="15"/>
  <c r="E19" i="15" s="1"/>
  <c r="D35" i="15"/>
  <c r="E35" i="15" s="1"/>
  <c r="D51" i="15"/>
  <c r="E51" i="15" s="1"/>
  <c r="D67" i="15"/>
  <c r="E67" i="15" s="1"/>
  <c r="D117" i="15"/>
  <c r="E117" i="15" s="1"/>
  <c r="D9" i="15"/>
  <c r="E9" i="15" s="1"/>
  <c r="D25" i="15"/>
  <c r="E25" i="15" s="1"/>
  <c r="D41" i="15"/>
  <c r="E41" i="15" s="1"/>
  <c r="D57" i="15"/>
  <c r="E57" i="15" s="1"/>
  <c r="D73" i="15"/>
  <c r="E73" i="15" s="1"/>
  <c r="D15" i="15"/>
  <c r="E15" i="15" s="1"/>
  <c r="D31" i="15"/>
  <c r="E31" i="15" s="1"/>
  <c r="D47" i="15"/>
  <c r="E47" i="15" s="1"/>
  <c r="D63" i="15"/>
  <c r="E63" i="15" s="1"/>
  <c r="D121" i="15"/>
  <c r="E121" i="15" s="1"/>
  <c r="D5" i="15"/>
  <c r="E5" i="15" s="1"/>
  <c r="D21" i="15"/>
  <c r="E21" i="15" s="1"/>
  <c r="D37" i="15"/>
  <c r="E37" i="15" s="1"/>
  <c r="D53" i="15"/>
  <c r="E53" i="15" s="1"/>
  <c r="D69" i="15"/>
  <c r="E69" i="15" s="1"/>
  <c r="D79" i="15"/>
  <c r="E79" i="15" s="1"/>
  <c r="D83" i="15"/>
  <c r="E83" i="15" s="1"/>
  <c r="D87" i="15"/>
  <c r="E87" i="15" s="1"/>
  <c r="D91" i="15"/>
  <c r="E91" i="15" s="1"/>
  <c r="D95" i="15"/>
  <c r="E95" i="15" s="1"/>
  <c r="D99" i="15"/>
  <c r="E99" i="15" s="1"/>
  <c r="D103" i="15"/>
  <c r="E103" i="15" s="1"/>
  <c r="D107" i="15"/>
  <c r="E107" i="15" s="1"/>
  <c r="D111" i="15"/>
  <c r="E111" i="15" s="1"/>
  <c r="D115" i="15"/>
  <c r="E115" i="15" s="1"/>
  <c r="D11" i="15"/>
  <c r="E11" i="15" s="1"/>
  <c r="D27" i="15"/>
  <c r="E27" i="15" s="1"/>
  <c r="D43" i="15"/>
  <c r="E43" i="15" s="1"/>
  <c r="D59" i="15"/>
  <c r="E59" i="15" s="1"/>
  <c r="D75" i="15"/>
  <c r="E75" i="15" s="1"/>
  <c r="D17" i="15"/>
  <c r="E17" i="15" s="1"/>
  <c r="D33" i="15"/>
  <c r="E33" i="15" s="1"/>
  <c r="D49" i="15"/>
  <c r="E49" i="15" s="1"/>
  <c r="D65" i="15"/>
  <c r="E65" i="15" s="1"/>
  <c r="D119" i="15"/>
  <c r="E119" i="15" s="1"/>
  <c r="D23" i="15"/>
  <c r="E23" i="15" s="1"/>
  <c r="D39" i="15"/>
  <c r="E39" i="15" s="1"/>
  <c r="D55" i="15"/>
  <c r="E55" i="15" s="1"/>
  <c r="E7" i="13"/>
  <c r="F79" i="16"/>
  <c r="F97" i="16"/>
  <c r="F104" i="17"/>
  <c r="F83" i="16"/>
  <c r="F117" i="16"/>
  <c r="F48" i="15"/>
  <c r="F34" i="17"/>
  <c r="F31" i="17"/>
  <c r="F38" i="17"/>
  <c r="F119" i="17"/>
  <c r="F108" i="15"/>
  <c r="F99" i="16"/>
  <c r="F113" i="16"/>
  <c r="F107" i="16"/>
  <c r="F28" i="17"/>
  <c r="F17" i="16"/>
  <c r="F88" i="16"/>
  <c r="F33" i="17"/>
  <c r="F19" i="16"/>
  <c r="F36" i="17"/>
  <c r="F8" i="16"/>
  <c r="F70" i="15"/>
  <c r="F52" i="15"/>
  <c r="F50" i="16"/>
  <c r="F96" i="17"/>
  <c r="F84" i="15"/>
  <c r="F78" i="17"/>
  <c r="F11" i="14"/>
  <c r="F73" i="15"/>
  <c r="F17" i="14"/>
  <c r="F51" i="16"/>
  <c r="F80" i="15"/>
  <c r="F24" i="17"/>
  <c r="F82" i="17"/>
  <c r="F48" i="17"/>
  <c r="E13" i="13"/>
  <c r="F18" i="16"/>
  <c r="F71" i="15"/>
  <c r="F45" i="16"/>
  <c r="F20" i="16"/>
  <c r="F122" i="16"/>
  <c r="F53" i="17"/>
  <c r="F111" i="16"/>
  <c r="F23" i="14"/>
  <c r="F56" i="17"/>
  <c r="F53" i="15"/>
  <c r="F69" i="17"/>
  <c r="F101" i="16"/>
  <c r="F121" i="15"/>
  <c r="F19" i="17"/>
  <c r="F21" i="14"/>
  <c r="F6" i="17"/>
  <c r="F99" i="15"/>
  <c r="F11" i="16"/>
  <c r="F67" i="17"/>
  <c r="F86" i="15"/>
  <c r="F70" i="16"/>
  <c r="F82" i="16"/>
  <c r="F54" i="16"/>
  <c r="F92" i="15"/>
  <c r="F37" i="16"/>
  <c r="F11" i="17"/>
  <c r="F93" i="17"/>
  <c r="F5" i="14"/>
  <c r="F26" i="16"/>
  <c r="F106" i="15"/>
  <c r="F121" i="17"/>
  <c r="F100" i="16"/>
  <c r="F41" i="16"/>
  <c r="F63" i="16"/>
  <c r="F43" i="17"/>
  <c r="F26" i="17"/>
  <c r="F94" i="17"/>
  <c r="F31" i="16"/>
  <c r="F75" i="15"/>
  <c r="F14" i="15"/>
  <c r="F21" i="15"/>
  <c r="F27" i="15"/>
  <c r="F85" i="17"/>
  <c r="F49" i="15"/>
  <c r="F14" i="16"/>
  <c r="F60" i="15"/>
  <c r="F22" i="14"/>
  <c r="E17" i="13"/>
  <c r="F65" i="15"/>
  <c r="F73" i="16"/>
  <c r="F32" i="16"/>
  <c r="F36" i="16"/>
  <c r="E4" i="13"/>
  <c r="F93" i="16"/>
  <c r="F29" i="16"/>
  <c r="F5" i="16"/>
  <c r="F11" i="15"/>
  <c r="F65" i="16"/>
  <c r="F43" i="16"/>
  <c r="F13" i="15"/>
  <c r="F44" i="17"/>
  <c r="F54" i="17"/>
  <c r="F23" i="15"/>
  <c r="F121" i="16"/>
  <c r="E14" i="13"/>
  <c r="F30" i="17"/>
  <c r="F107" i="15"/>
  <c r="F62" i="16"/>
  <c r="F12" i="15"/>
  <c r="F117" i="15"/>
  <c r="F39" i="17"/>
  <c r="F91" i="15"/>
  <c r="F122" i="17"/>
  <c r="F89" i="17"/>
  <c r="F71" i="16"/>
  <c r="F10" i="14"/>
  <c r="F7" i="17"/>
  <c r="F41" i="17"/>
  <c r="F44" i="16"/>
  <c r="F81" i="15"/>
  <c r="F103" i="17"/>
  <c r="F44" i="15"/>
  <c r="F17" i="17"/>
  <c r="F35" i="15"/>
  <c r="F30" i="16"/>
  <c r="F119" i="16"/>
  <c r="F70" i="17"/>
  <c r="F90" i="16"/>
  <c r="F8" i="15"/>
  <c r="F71" i="17"/>
  <c r="F78" i="16"/>
  <c r="F5" i="15"/>
  <c r="F23" i="16"/>
  <c r="F87" i="16"/>
  <c r="F69" i="16"/>
  <c r="F15" i="16"/>
  <c r="F22" i="17"/>
  <c r="F95" i="15"/>
  <c r="F59" i="17"/>
  <c r="F80" i="17"/>
  <c r="F109" i="17"/>
  <c r="F16" i="14"/>
  <c r="F76" i="15"/>
  <c r="F55" i="17"/>
  <c r="F118" i="15"/>
  <c r="F63" i="15"/>
  <c r="F75" i="16"/>
  <c r="F112" i="16"/>
  <c r="F117" i="17"/>
  <c r="F20" i="14"/>
  <c r="F84" i="17"/>
  <c r="F32" i="17"/>
  <c r="E11" i="13"/>
  <c r="F25" i="16"/>
  <c r="F62" i="17"/>
  <c r="F72" i="15"/>
  <c r="F78" i="15"/>
  <c r="F86" i="16"/>
  <c r="F12" i="17"/>
  <c r="F19" i="14"/>
  <c r="F10" i="17"/>
  <c r="F32" i="15"/>
  <c r="F53" i="16"/>
  <c r="F46" i="15"/>
  <c r="F104" i="16"/>
  <c r="F35" i="16"/>
  <c r="E16" i="13"/>
  <c r="F23" i="17"/>
  <c r="F91" i="16"/>
  <c r="F90" i="15"/>
  <c r="F118" i="17"/>
  <c r="F47" i="15"/>
  <c r="F102" i="15"/>
  <c r="F105" i="15"/>
  <c r="F33" i="15"/>
  <c r="F35" i="17"/>
  <c r="F54" i="15"/>
  <c r="F81" i="16"/>
  <c r="F81" i="17"/>
  <c r="E20" i="13"/>
  <c r="F14" i="14"/>
  <c r="F87" i="17"/>
  <c r="F51" i="17"/>
  <c r="F39" i="16"/>
  <c r="F84" i="16"/>
  <c r="F68" i="17"/>
  <c r="F40" i="15"/>
  <c r="F38" i="15"/>
  <c r="F13" i="16"/>
  <c r="F69" i="15"/>
  <c r="F57" i="17"/>
  <c r="F73" i="17"/>
  <c r="F99" i="17"/>
  <c r="F105" i="17"/>
  <c r="F21" i="16"/>
  <c r="F15" i="17"/>
  <c r="F49" i="16"/>
  <c r="F19" i="15"/>
  <c r="F100" i="15"/>
  <c r="F47" i="17"/>
  <c r="F29" i="15"/>
  <c r="F107" i="17"/>
  <c r="E8" i="13"/>
  <c r="F114" i="17"/>
  <c r="F9" i="15"/>
  <c r="F8" i="17"/>
  <c r="F80" i="16"/>
  <c r="F116" i="16"/>
  <c r="F42" i="16"/>
  <c r="F97" i="17"/>
  <c r="F16" i="15"/>
  <c r="F109" i="15"/>
  <c r="F30" i="15"/>
  <c r="F115" i="15"/>
  <c r="F79" i="15"/>
  <c r="E9" i="13"/>
  <c r="F74" i="17"/>
  <c r="F37" i="17"/>
  <c r="F108" i="17"/>
  <c r="F60" i="16"/>
  <c r="F110" i="16"/>
  <c r="F22" i="16"/>
  <c r="F64" i="17"/>
  <c r="F110" i="15"/>
  <c r="F66" i="16"/>
  <c r="F49" i="17"/>
  <c r="E18" i="13"/>
  <c r="F119" i="15"/>
  <c r="F56" i="16"/>
  <c r="F68" i="15"/>
  <c r="E10" i="13"/>
  <c r="F122" i="15"/>
  <c r="F72" i="16"/>
  <c r="E3" i="13"/>
  <c r="F12" i="16"/>
  <c r="F77" i="17"/>
  <c r="F4" i="16"/>
  <c r="F24" i="15"/>
  <c r="F46" i="17"/>
  <c r="F64" i="16"/>
  <c r="F57" i="15"/>
  <c r="F18" i="15"/>
  <c r="F47" i="16"/>
  <c r="F28" i="15"/>
  <c r="F94" i="15"/>
  <c r="F115" i="17"/>
  <c r="F15" i="15"/>
  <c r="F42" i="17"/>
  <c r="F103" i="16"/>
  <c r="F114" i="16"/>
  <c r="F113" i="15"/>
  <c r="F28" i="16"/>
  <c r="F33" i="16"/>
  <c r="F7" i="14"/>
  <c r="F38" i="16"/>
  <c r="F112" i="17"/>
  <c r="F92" i="17"/>
  <c r="F105" i="16"/>
  <c r="F9" i="14"/>
  <c r="F61" i="15"/>
  <c r="F46" i="16"/>
  <c r="F98" i="17"/>
  <c r="F31" i="15"/>
  <c r="F59" i="16"/>
  <c r="F118" i="16"/>
  <c r="F56" i="15"/>
  <c r="F7" i="16"/>
  <c r="F12" i="14"/>
  <c r="F25" i="17"/>
  <c r="F106" i="16"/>
  <c r="F21" i="17"/>
  <c r="F40" i="17"/>
  <c r="F111" i="15"/>
  <c r="F52" i="17"/>
  <c r="F109" i="16"/>
  <c r="F67" i="16"/>
  <c r="F15" i="14"/>
  <c r="F26" i="15"/>
  <c r="F79" i="17"/>
  <c r="F45" i="17"/>
  <c r="F37" i="15"/>
  <c r="F48" i="16"/>
  <c r="F89" i="16"/>
  <c r="F16" i="17"/>
  <c r="F77" i="16"/>
  <c r="F40" i="16"/>
  <c r="F58" i="17"/>
  <c r="F14" i="17"/>
  <c r="F34" i="16"/>
  <c r="F74" i="16"/>
  <c r="F6" i="14"/>
  <c r="F75" i="17"/>
  <c r="F29" i="17"/>
  <c r="F10" i="16"/>
  <c r="F93" i="15"/>
  <c r="F7" i="15"/>
  <c r="F106" i="17"/>
  <c r="F95" i="16"/>
  <c r="F58" i="16"/>
  <c r="F120" i="17"/>
  <c r="F113" i="17"/>
  <c r="F101" i="17"/>
  <c r="F102" i="16"/>
  <c r="F60" i="17"/>
  <c r="F88" i="17"/>
  <c r="D3" i="18"/>
  <c r="F67" i="15"/>
  <c r="F91" i="17"/>
  <c r="F96" i="15"/>
  <c r="F10" i="15"/>
  <c r="F45" i="15"/>
  <c r="F4" i="17"/>
  <c r="F96" i="16"/>
  <c r="E6" i="13"/>
  <c r="F9" i="17"/>
  <c r="F114" i="15"/>
  <c r="F4" i="15"/>
  <c r="F24" i="14"/>
  <c r="F3" i="15"/>
  <c r="D4" i="18"/>
  <c r="F102" i="17"/>
  <c r="F89" i="15"/>
  <c r="F92" i="16"/>
  <c r="F55" i="16"/>
  <c r="F25" i="14"/>
  <c r="F111" i="17"/>
  <c r="F116" i="15"/>
  <c r="F5" i="17"/>
  <c r="F61" i="17"/>
  <c r="F85" i="16"/>
  <c r="F25" i="15"/>
  <c r="E15" i="13"/>
  <c r="F68" i="16"/>
  <c r="F85" i="15"/>
  <c r="F17" i="15"/>
  <c r="F42" i="15"/>
  <c r="F20" i="17"/>
  <c r="F8" i="14"/>
  <c r="F26" i="14"/>
  <c r="F120" i="15"/>
  <c r="F9" i="16"/>
  <c r="F22" i="15"/>
  <c r="F41" i="15"/>
  <c r="F58" i="15"/>
  <c r="F4" i="14"/>
  <c r="F50" i="15"/>
  <c r="F77" i="15"/>
  <c r="F6" i="16"/>
  <c r="F66" i="15"/>
  <c r="F94" i="16"/>
  <c r="F36" i="15"/>
  <c r="F20" i="15"/>
  <c r="F88" i="15"/>
  <c r="F74" i="15"/>
  <c r="E12" i="13"/>
  <c r="F6" i="15"/>
  <c r="F51" i="15"/>
  <c r="F97" i="15"/>
  <c r="F18" i="17"/>
  <c r="F95" i="17"/>
  <c r="F50" i="17"/>
  <c r="F87" i="15"/>
  <c r="F39" i="15"/>
  <c r="F57" i="16"/>
  <c r="F3" i="16"/>
  <c r="F13" i="17"/>
  <c r="F64" i="15"/>
  <c r="F65" i="17"/>
  <c r="F43" i="15"/>
  <c r="F110" i="17"/>
  <c r="F62" i="15"/>
  <c r="F16" i="16"/>
  <c r="F66" i="17"/>
  <c r="F83" i="15"/>
  <c r="F18" i="14"/>
  <c r="F108" i="16"/>
  <c r="F115" i="16"/>
  <c r="F83" i="17"/>
  <c r="F90" i="17"/>
  <c r="E19" i="13"/>
  <c r="F34" i="15"/>
  <c r="F59" i="15"/>
  <c r="F24" i="16"/>
  <c r="F104" i="15"/>
  <c r="F82" i="15"/>
  <c r="F27" i="17"/>
  <c r="F61" i="16"/>
  <c r="F103" i="15"/>
  <c r="F86" i="17"/>
  <c r="F120" i="16"/>
  <c r="F63" i="17"/>
  <c r="F55" i="15"/>
  <c r="F27" i="16"/>
  <c r="F112" i="15"/>
  <c r="F98" i="16"/>
  <c r="F101" i="15"/>
  <c r="F3" i="17"/>
  <c r="F100" i="17"/>
  <c r="F13" i="14"/>
  <c r="F116" i="17"/>
  <c r="F52" i="16"/>
  <c r="F98" i="15"/>
  <c r="F76" i="17"/>
  <c r="F76" i="16"/>
  <c r="F72" i="17"/>
  <c r="D2" i="13"/>
  <c r="C2" i="18"/>
  <c r="E2" i="14"/>
  <c r="C3" i="11" l="1"/>
  <c r="C4" i="11" s="1"/>
  <c r="D3" i="11"/>
  <c r="D4" i="11" s="1"/>
  <c r="D5" i="11" s="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C3" i="10"/>
  <c r="C4" i="10" s="1"/>
  <c r="D3" i="10"/>
  <c r="D4" i="10" s="1"/>
  <c r="D5" i="10" s="1"/>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C3" i="9"/>
  <c r="C4" i="9" s="1"/>
  <c r="D3" i="9"/>
  <c r="D4" i="9" s="1"/>
  <c r="D5" i="9" s="1"/>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G29" i="16"/>
  <c r="G9" i="15"/>
  <c r="G104" i="17"/>
  <c r="G36" i="15"/>
  <c r="G9" i="16"/>
  <c r="G69" i="15"/>
  <c r="G109" i="15"/>
  <c r="G121" i="16"/>
  <c r="G104" i="15"/>
  <c r="G25" i="17"/>
  <c r="G48" i="17"/>
  <c r="G81" i="15"/>
  <c r="G119" i="17"/>
  <c r="G63" i="15"/>
  <c r="G42" i="17"/>
  <c r="G66" i="15"/>
  <c r="G32" i="16"/>
  <c r="G11" i="15"/>
  <c r="G54" i="15"/>
  <c r="G99" i="16"/>
  <c r="G42" i="15"/>
  <c r="G95" i="15"/>
  <c r="G67" i="16"/>
  <c r="G35" i="17"/>
  <c r="G107" i="16"/>
  <c r="G24" i="15"/>
  <c r="G91" i="15"/>
  <c r="G32" i="15"/>
  <c r="G79" i="15"/>
  <c r="G43" i="15"/>
  <c r="G59" i="15"/>
  <c r="G4" i="15"/>
  <c r="G58" i="16"/>
  <c r="G70" i="17"/>
  <c r="G37" i="16"/>
  <c r="G10" i="16"/>
  <c r="G34" i="17"/>
  <c r="G68" i="16"/>
  <c r="G67" i="17"/>
  <c r="G66" i="16"/>
  <c r="G76" i="15"/>
  <c r="G17" i="17"/>
  <c r="G82" i="16"/>
  <c r="G83" i="16"/>
  <c r="G96" i="17"/>
  <c r="G35" i="16"/>
  <c r="G14" i="15"/>
  <c r="G6" i="15"/>
  <c r="G54" i="16"/>
  <c r="G69" i="16"/>
  <c r="G93" i="17"/>
  <c r="G115" i="17"/>
  <c r="G50" i="16"/>
  <c r="G7" i="17"/>
  <c r="G114" i="16"/>
  <c r="G115" i="15"/>
  <c r="G18" i="15"/>
  <c r="G84" i="17"/>
  <c r="G47" i="15"/>
  <c r="G50" i="15"/>
  <c r="G39" i="16"/>
  <c r="G80" i="16"/>
  <c r="G27" i="17"/>
  <c r="G122" i="17"/>
  <c r="G118" i="16"/>
  <c r="G37" i="17"/>
  <c r="G48" i="15"/>
  <c r="G91" i="16"/>
  <c r="G36" i="17"/>
  <c r="G63" i="16"/>
  <c r="G6" i="16"/>
  <c r="G56" i="16"/>
  <c r="G78" i="15"/>
  <c r="G99" i="15"/>
  <c r="G20" i="16"/>
  <c r="G20" i="15"/>
  <c r="G8" i="16"/>
  <c r="G32" i="17"/>
  <c r="G22" i="16"/>
  <c r="G99" i="17"/>
  <c r="G116" i="16"/>
  <c r="G9" i="17"/>
  <c r="G10" i="15"/>
  <c r="G75" i="16"/>
  <c r="G55" i="15"/>
  <c r="G108" i="15"/>
  <c r="G62" i="16"/>
  <c r="G92" i="15"/>
  <c r="G102" i="17"/>
  <c r="G109" i="16"/>
  <c r="G65" i="15"/>
  <c r="G41" i="15"/>
  <c r="G85" i="17"/>
  <c r="G57" i="16"/>
  <c r="G25" i="15"/>
  <c r="G22" i="15"/>
  <c r="G83" i="17"/>
  <c r="G47" i="17"/>
  <c r="G73" i="16"/>
  <c r="G24" i="17"/>
  <c r="G62" i="15"/>
  <c r="G13" i="15"/>
  <c r="G59" i="17"/>
  <c r="G79" i="17"/>
  <c r="G6" i="17"/>
  <c r="G56" i="17"/>
  <c r="G84" i="16"/>
  <c r="G87" i="15"/>
  <c r="G104" i="16"/>
  <c r="G44" i="16"/>
  <c r="G20" i="17"/>
  <c r="G26" i="16"/>
  <c r="G68" i="15"/>
  <c r="G120" i="17"/>
  <c r="G85" i="15"/>
  <c r="G89" i="16"/>
  <c r="G72" i="15"/>
  <c r="G117" i="17"/>
  <c r="G105" i="16"/>
  <c r="G60" i="16"/>
  <c r="G110" i="16"/>
  <c r="G25" i="16"/>
  <c r="G52" i="17"/>
  <c r="G8" i="15"/>
  <c r="G100" i="16"/>
  <c r="G113" i="16"/>
  <c r="G90" i="17"/>
  <c r="G112" i="17"/>
  <c r="G119" i="16"/>
  <c r="G16" i="17"/>
  <c r="G80" i="17"/>
  <c r="G17" i="16"/>
  <c r="G86" i="16"/>
  <c r="G33" i="16"/>
  <c r="G77" i="17"/>
  <c r="G117" i="16"/>
  <c r="G82" i="15"/>
  <c r="G73" i="17"/>
  <c r="G46" i="16"/>
  <c r="G39" i="15"/>
  <c r="G52" i="15"/>
  <c r="G50" i="17"/>
  <c r="G49" i="16"/>
  <c r="G78" i="16"/>
  <c r="G92" i="17"/>
  <c r="G110" i="17"/>
  <c r="G98" i="17"/>
  <c r="G39" i="17"/>
  <c r="G53" i="17"/>
  <c r="G113" i="17"/>
  <c r="G13" i="17"/>
  <c r="G23" i="15"/>
  <c r="G65" i="17"/>
  <c r="G51" i="15"/>
  <c r="G101" i="16"/>
  <c r="G38" i="16"/>
  <c r="G30" i="16"/>
  <c r="G122" i="15"/>
  <c r="G18" i="17"/>
  <c r="G76" i="17"/>
  <c r="G28" i="17"/>
  <c r="G103" i="15"/>
  <c r="G17" i="15"/>
  <c r="G102" i="16"/>
  <c r="G112" i="16"/>
  <c r="G105" i="17"/>
  <c r="G90" i="16"/>
  <c r="G31" i="16"/>
  <c r="G110" i="15"/>
  <c r="G5" i="16"/>
  <c r="G28" i="16"/>
  <c r="G111" i="16"/>
  <c r="G18" i="16"/>
  <c r="G116" i="15"/>
  <c r="G14" i="17"/>
  <c r="G122" i="16"/>
  <c r="G35" i="15"/>
  <c r="G67" i="15"/>
  <c r="G108" i="16"/>
  <c r="G57" i="15"/>
  <c r="G45" i="16"/>
  <c r="G23" i="16"/>
  <c r="G106" i="15"/>
  <c r="G40" i="15"/>
  <c r="G106" i="16"/>
  <c r="G93" i="16"/>
  <c r="G45" i="15"/>
  <c r="G94" i="17"/>
  <c r="G41" i="16"/>
  <c r="G19" i="16"/>
  <c r="G59" i="16"/>
  <c r="G26" i="17"/>
  <c r="G60" i="17"/>
  <c r="G75" i="17"/>
  <c r="G3" i="16"/>
  <c r="G108" i="17"/>
  <c r="G21" i="16"/>
  <c r="G83" i="15"/>
  <c r="G29" i="15"/>
  <c r="G31" i="15"/>
  <c r="G27" i="16"/>
  <c r="G120" i="16"/>
  <c r="G46" i="15"/>
  <c r="G121" i="17"/>
  <c r="G81" i="17"/>
  <c r="G91" i="17"/>
  <c r="G33" i="15"/>
  <c r="G118" i="15"/>
  <c r="G34" i="16"/>
  <c r="G116" i="17"/>
  <c r="G38" i="17"/>
  <c r="G103" i="17"/>
  <c r="G51" i="17"/>
  <c r="G52" i="16"/>
  <c r="G34" i="15"/>
  <c r="G24" i="16"/>
  <c r="G76" i="16"/>
  <c r="G97" i="17"/>
  <c r="G74" i="17"/>
  <c r="G44" i="17"/>
  <c r="G49" i="15"/>
  <c r="G23" i="17"/>
  <c r="G53" i="15"/>
  <c r="G54" i="17"/>
  <c r="G12" i="15"/>
  <c r="G16" i="15"/>
  <c r="G68" i="17"/>
  <c r="G19" i="15"/>
  <c r="G55" i="16"/>
  <c r="G74" i="15"/>
  <c r="G94" i="15"/>
  <c r="G57" i="17"/>
  <c r="G51" i="16"/>
  <c r="G101" i="17"/>
  <c r="G5" i="15"/>
  <c r="G115" i="16"/>
  <c r="G12" i="16"/>
  <c r="G15" i="16"/>
  <c r="G95" i="16"/>
  <c r="G102" i="15"/>
  <c r="G69" i="17"/>
  <c r="G81" i="16"/>
  <c r="G88" i="16"/>
  <c r="G7" i="15"/>
  <c r="G72" i="17"/>
  <c r="G87" i="16"/>
  <c r="G40" i="17"/>
  <c r="G65" i="16"/>
  <c r="G89" i="17"/>
  <c r="G58" i="15"/>
  <c r="G47" i="16"/>
  <c r="G58" i="17"/>
  <c r="G111" i="17"/>
  <c r="G77" i="15"/>
  <c r="G118" i="17"/>
  <c r="G98" i="15"/>
  <c r="G12" i="17"/>
  <c r="G89" i="15"/>
  <c r="G26" i="15"/>
  <c r="G44" i="15"/>
  <c r="G60" i="15"/>
  <c r="G105" i="15"/>
  <c r="G120" i="15"/>
  <c r="G95" i="17"/>
  <c r="G84" i="15"/>
  <c r="G98" i="16"/>
  <c r="G22" i="17"/>
  <c r="G37" i="15"/>
  <c r="G113" i="15"/>
  <c r="G45" i="17"/>
  <c r="G3" i="15"/>
  <c r="G53" i="16"/>
  <c r="G96" i="16"/>
  <c r="G43" i="17"/>
  <c r="G62" i="17"/>
  <c r="G87" i="17"/>
  <c r="G92" i="16"/>
  <c r="G73" i="15"/>
  <c r="G86" i="17"/>
  <c r="G28" i="15"/>
  <c r="G97" i="15"/>
  <c r="G7" i="16"/>
  <c r="G74" i="16"/>
  <c r="G90" i="15"/>
  <c r="G109" i="17"/>
  <c r="G49" i="17"/>
  <c r="G33" i="17"/>
  <c r="G85" i="16"/>
  <c r="G41" i="17"/>
  <c r="G100" i="15"/>
  <c r="G77" i="16"/>
  <c r="G94" i="16"/>
  <c r="G14" i="16"/>
  <c r="G29" i="17"/>
  <c r="G15" i="15"/>
  <c r="G55" i="17"/>
  <c r="G111" i="15"/>
  <c r="G21" i="15"/>
  <c r="G13" i="16"/>
  <c r="G46" i="17"/>
  <c r="G70" i="15"/>
  <c r="G121" i="15"/>
  <c r="G5" i="17"/>
  <c r="G4" i="17"/>
  <c r="G10" i="17"/>
  <c r="G43" i="16"/>
  <c r="G61" i="17"/>
  <c r="G11" i="17"/>
  <c r="G21" i="17"/>
  <c r="G61" i="16"/>
  <c r="G117" i="15"/>
  <c r="G63" i="17"/>
  <c r="G8" i="17"/>
  <c r="G100" i="17"/>
  <c r="G88" i="15"/>
  <c r="G107" i="17"/>
  <c r="G66" i="17"/>
  <c r="G103" i="16"/>
  <c r="G112" i="15"/>
  <c r="G114" i="17"/>
  <c r="G56" i="15"/>
  <c r="G70" i="16"/>
  <c r="G107" i="15"/>
  <c r="G86" i="15"/>
  <c r="G4" i="16"/>
  <c r="G11" i="16"/>
  <c r="G101" i="15"/>
  <c r="G27" i="15"/>
  <c r="G96" i="15"/>
  <c r="G72" i="16"/>
  <c r="G79" i="16"/>
  <c r="G16" i="16"/>
  <c r="G42" i="16"/>
  <c r="G31" i="17"/>
  <c r="G38" i="15"/>
  <c r="G30" i="17"/>
  <c r="G93" i="15"/>
  <c r="G36" i="16"/>
  <c r="G71" i="15"/>
  <c r="G64" i="17"/>
  <c r="G15" i="17"/>
  <c r="G88" i="17"/>
  <c r="G3" i="17"/>
  <c r="G114" i="15"/>
  <c r="G78" i="17"/>
  <c r="G97" i="16"/>
  <c r="G82" i="17"/>
  <c r="G80" i="15"/>
  <c r="G119" i="15"/>
  <c r="G64" i="16"/>
  <c r="G64" i="15"/>
  <c r="G61" i="15"/>
  <c r="G40" i="16"/>
  <c r="G75" i="15"/>
  <c r="G30" i="15"/>
  <c r="G71" i="16"/>
  <c r="G106" i="17"/>
  <c r="G71" i="17"/>
  <c r="G48" i="16"/>
  <c r="G19" i="17"/>
  <c r="E2" i="13"/>
  <c r="D2" i="18"/>
  <c r="F2" i="14"/>
  <c r="E3" i="10" l="1"/>
  <c r="E4" i="11"/>
  <c r="C5" i="11"/>
  <c r="E3" i="11"/>
  <c r="E2" i="10"/>
  <c r="C5" i="10"/>
  <c r="E4" i="10"/>
  <c r="E2" i="9"/>
  <c r="E4" i="9"/>
  <c r="C5" i="9"/>
  <c r="E3" i="9"/>
  <c r="F3" i="11"/>
  <c r="F4" i="9"/>
  <c r="F4" i="10"/>
  <c r="F3" i="9"/>
  <c r="F3" i="10"/>
  <c r="F4" i="11"/>
  <c r="C6" i="11" l="1"/>
  <c r="E5" i="11"/>
  <c r="E5" i="10"/>
  <c r="C6" i="10"/>
  <c r="C6" i="9"/>
  <c r="E5" i="9"/>
  <c r="G3" i="9"/>
  <c r="G3" i="10"/>
  <c r="G4" i="10"/>
  <c r="F5" i="10"/>
  <c r="F5" i="11"/>
  <c r="F5" i="9"/>
  <c r="G4" i="9"/>
  <c r="G4" i="11"/>
  <c r="G3" i="11"/>
  <c r="C7" i="11" l="1"/>
  <c r="E6" i="11"/>
  <c r="C7" i="10"/>
  <c r="E6" i="10"/>
  <c r="E6" i="9"/>
  <c r="C7" i="9"/>
  <c r="F6" i="9"/>
  <c r="G5" i="10"/>
  <c r="G5" i="9"/>
  <c r="F6" i="11"/>
  <c r="F6" i="10"/>
  <c r="G5" i="11"/>
  <c r="E2" i="11" l="1"/>
  <c r="E7" i="11"/>
  <c r="C8" i="11"/>
  <c r="E7" i="10"/>
  <c r="C8" i="10"/>
  <c r="E7" i="9"/>
  <c r="C8" i="9"/>
  <c r="G6" i="9"/>
  <c r="F7" i="9"/>
  <c r="F7" i="10"/>
  <c r="G6" i="11"/>
  <c r="G6" i="10"/>
  <c r="F7" i="11"/>
  <c r="C9" i="11" l="1"/>
  <c r="E8" i="11"/>
  <c r="E8" i="10"/>
  <c r="C9" i="10"/>
  <c r="C9" i="9"/>
  <c r="E8" i="9"/>
  <c r="F8" i="10"/>
  <c r="F8" i="9"/>
  <c r="G7" i="9"/>
  <c r="G7" i="11"/>
  <c r="G7" i="10"/>
  <c r="F8" i="11"/>
  <c r="C10" i="11" l="1"/>
  <c r="E9" i="11"/>
  <c r="C10" i="10"/>
  <c r="E9" i="10"/>
  <c r="C10" i="9"/>
  <c r="E9" i="9"/>
  <c r="F9" i="9"/>
  <c r="F9" i="11"/>
  <c r="F9" i="10"/>
  <c r="G8" i="9"/>
  <c r="G8" i="10"/>
  <c r="G8" i="11"/>
  <c r="C11" i="11" l="1"/>
  <c r="E10" i="11"/>
  <c r="E10" i="10"/>
  <c r="C11" i="10"/>
  <c r="E10" i="9"/>
  <c r="C11" i="9"/>
  <c r="F10" i="10"/>
  <c r="F10" i="9"/>
  <c r="G10" i="10"/>
  <c r="G9" i="10"/>
  <c r="G9" i="9"/>
  <c r="F10" i="11"/>
  <c r="G9" i="11"/>
  <c r="C12" i="11" l="1"/>
  <c r="E11" i="11"/>
  <c r="C12" i="10"/>
  <c r="E11" i="10"/>
  <c r="C12" i="9"/>
  <c r="E11" i="9"/>
  <c r="G10" i="9"/>
  <c r="F11" i="10"/>
  <c r="F11" i="9"/>
  <c r="G11" i="10"/>
  <c r="G10" i="11"/>
  <c r="F11" i="11"/>
  <c r="E12" i="11" l="1"/>
  <c r="C13" i="11"/>
  <c r="C13" i="10"/>
  <c r="E12" i="10"/>
  <c r="E12" i="9"/>
  <c r="C13" i="9"/>
  <c r="G11" i="9"/>
  <c r="F12" i="11"/>
  <c r="G11" i="11"/>
  <c r="F12" i="10"/>
  <c r="F12" i="9"/>
  <c r="G12" i="10"/>
  <c r="C14" i="11" l="1"/>
  <c r="E13" i="11"/>
  <c r="E13" i="10"/>
  <c r="C14" i="10"/>
  <c r="C14" i="9"/>
  <c r="E13" i="9"/>
  <c r="F13" i="11"/>
  <c r="G12" i="11"/>
  <c r="G12" i="9"/>
  <c r="F13" i="10"/>
  <c r="F13" i="9"/>
  <c r="C15" i="11" l="1"/>
  <c r="E14" i="11"/>
  <c r="E14" i="10"/>
  <c r="C15" i="10"/>
  <c r="C15" i="9"/>
  <c r="E14" i="9"/>
  <c r="F14" i="11"/>
  <c r="F14" i="10"/>
  <c r="G13" i="11"/>
  <c r="F14" i="9"/>
  <c r="G13" i="10"/>
  <c r="G13" i="9"/>
  <c r="E15" i="11" l="1"/>
  <c r="C16" i="11"/>
  <c r="E15" i="10"/>
  <c r="C16" i="10"/>
  <c r="C16" i="9"/>
  <c r="E15" i="9"/>
  <c r="G14" i="9"/>
  <c r="F15" i="9"/>
  <c r="F15" i="10"/>
  <c r="F15" i="11"/>
  <c r="G14" i="10"/>
  <c r="G14" i="11"/>
  <c r="C17" i="11" l="1"/>
  <c r="E16" i="11"/>
  <c r="C17" i="10"/>
  <c r="E16" i="10"/>
  <c r="C17" i="9"/>
  <c r="E16" i="9"/>
  <c r="G15" i="9"/>
  <c r="G15" i="10"/>
  <c r="F16" i="9"/>
  <c r="G15" i="11"/>
  <c r="F16" i="10"/>
  <c r="F16" i="11"/>
  <c r="E17" i="11" l="1"/>
  <c r="C18" i="11"/>
  <c r="C18" i="10"/>
  <c r="E17" i="10"/>
  <c r="E17" i="9"/>
  <c r="C18" i="9"/>
  <c r="F17" i="10"/>
  <c r="F17" i="9"/>
  <c r="G16" i="10"/>
  <c r="F17" i="11"/>
  <c r="G16" i="11"/>
  <c r="G16" i="9"/>
  <c r="C19" i="11" l="1"/>
  <c r="E18" i="11"/>
  <c r="E18" i="10"/>
  <c r="C19" i="10"/>
  <c r="E18" i="9"/>
  <c r="C19" i="9"/>
  <c r="F18" i="9"/>
  <c r="G17" i="10"/>
  <c r="F18" i="11"/>
  <c r="G17" i="11"/>
  <c r="G17" i="9"/>
  <c r="F18" i="10"/>
  <c r="C20" i="11" l="1"/>
  <c r="E19" i="11"/>
  <c r="C20" i="10"/>
  <c r="E19" i="10"/>
  <c r="C20" i="9"/>
  <c r="E19" i="9"/>
  <c r="F19" i="10"/>
  <c r="G18" i="10"/>
  <c r="F19" i="11"/>
  <c r="G18" i="11"/>
  <c r="G18" i="9"/>
  <c r="F19" i="9"/>
  <c r="E20" i="11" l="1"/>
  <c r="C21" i="11"/>
  <c r="C21" i="10"/>
  <c r="E20" i="10"/>
  <c r="E20" i="9"/>
  <c r="C21" i="9"/>
  <c r="F20" i="10"/>
  <c r="G19" i="10"/>
  <c r="F20" i="11"/>
  <c r="G19" i="11"/>
  <c r="F20" i="9"/>
  <c r="G19" i="9"/>
  <c r="C22" i="11" l="1"/>
  <c r="E21" i="11"/>
  <c r="C22" i="10"/>
  <c r="E21" i="10"/>
  <c r="C22" i="9"/>
  <c r="E21" i="9"/>
  <c r="G20" i="10"/>
  <c r="F21" i="10"/>
  <c r="F21" i="11"/>
  <c r="G20" i="11"/>
  <c r="G20" i="9"/>
  <c r="F21" i="9"/>
  <c r="C23" i="11" l="1"/>
  <c r="E22" i="11"/>
  <c r="C23" i="10"/>
  <c r="E22" i="10"/>
  <c r="C23" i="9"/>
  <c r="E22" i="9"/>
  <c r="F22" i="10"/>
  <c r="G21" i="11"/>
  <c r="F22" i="9"/>
  <c r="G22" i="10"/>
  <c r="G21" i="9"/>
  <c r="G21" i="10"/>
  <c r="F22" i="11"/>
  <c r="E23" i="11" l="1"/>
  <c r="C24" i="11"/>
  <c r="E23" i="10"/>
  <c r="C24" i="10"/>
  <c r="E23" i="9"/>
  <c r="C24" i="9"/>
  <c r="F23" i="9"/>
  <c r="F23" i="11"/>
  <c r="G22" i="11"/>
  <c r="G22" i="9"/>
  <c r="F23" i="10"/>
  <c r="E24" i="11" l="1"/>
  <c r="C25" i="11"/>
  <c r="E24" i="10"/>
  <c r="C25" i="10"/>
  <c r="C25" i="9"/>
  <c r="E24" i="9"/>
  <c r="F24" i="11"/>
  <c r="G23" i="10"/>
  <c r="G23" i="11"/>
  <c r="G23" i="9"/>
  <c r="F24" i="9"/>
  <c r="F24" i="10"/>
  <c r="C26" i="11" l="1"/>
  <c r="E25" i="11"/>
  <c r="C26" i="10"/>
  <c r="E25" i="10"/>
  <c r="E25" i="9"/>
  <c r="C26" i="9"/>
  <c r="F25" i="9"/>
  <c r="G24" i="10"/>
  <c r="G24" i="11"/>
  <c r="F25" i="11"/>
  <c r="G24" i="9"/>
  <c r="F25" i="10"/>
  <c r="G25" i="10"/>
  <c r="C27" i="11" l="1"/>
  <c r="E26" i="11"/>
  <c r="E26" i="10"/>
  <c r="C27" i="10"/>
  <c r="E26" i="9"/>
  <c r="C27" i="9"/>
  <c r="F26" i="9"/>
  <c r="G25" i="11"/>
  <c r="F26" i="11"/>
  <c r="G25" i="9"/>
  <c r="F26" i="10"/>
  <c r="G26" i="10"/>
  <c r="C28" i="11" l="1"/>
  <c r="E27" i="11"/>
  <c r="C28" i="10"/>
  <c r="E27" i="10"/>
  <c r="C28" i="9"/>
  <c r="E27" i="9"/>
  <c r="F27" i="9"/>
  <c r="G26" i="11"/>
  <c r="G26" i="9"/>
  <c r="F27" i="10"/>
  <c r="F27" i="11"/>
  <c r="E28" i="11" l="1"/>
  <c r="C29" i="11"/>
  <c r="C29" i="10"/>
  <c r="E28" i="10"/>
  <c r="E28" i="9"/>
  <c r="C29" i="9"/>
  <c r="F28" i="11"/>
  <c r="F28" i="10"/>
  <c r="G27" i="10"/>
  <c r="G27" i="11"/>
  <c r="G27" i="9"/>
  <c r="F28" i="9"/>
  <c r="C30" i="11" l="1"/>
  <c r="E29" i="11"/>
  <c r="E29" i="10"/>
  <c r="C30" i="10"/>
  <c r="C30" i="9"/>
  <c r="E29" i="9"/>
  <c r="G28" i="10"/>
  <c r="F29" i="9"/>
  <c r="F29" i="10"/>
  <c r="G28" i="9"/>
  <c r="G28" i="11"/>
  <c r="F29" i="11"/>
  <c r="C31" i="11" l="1"/>
  <c r="E30" i="11"/>
  <c r="E30" i="10"/>
  <c r="C31" i="10"/>
  <c r="C31" i="9"/>
  <c r="E30" i="9"/>
  <c r="F30" i="9"/>
  <c r="F30" i="10"/>
  <c r="G29" i="10"/>
  <c r="F30" i="11"/>
  <c r="G29" i="11"/>
  <c r="G29" i="9"/>
  <c r="E31" i="11" l="1"/>
  <c r="C32" i="11"/>
  <c r="C32" i="10"/>
  <c r="E31" i="10"/>
  <c r="E31" i="9"/>
  <c r="C32" i="9"/>
  <c r="G30" i="10"/>
  <c r="G30" i="9"/>
  <c r="F31" i="10"/>
  <c r="G30" i="11"/>
  <c r="F31" i="9"/>
  <c r="F31" i="11"/>
  <c r="E32" i="11" l="1"/>
  <c r="C33" i="11"/>
  <c r="C33" i="10"/>
  <c r="E32" i="10"/>
  <c r="C33" i="9"/>
  <c r="E32" i="9"/>
  <c r="F32" i="11"/>
  <c r="F32" i="10"/>
  <c r="G31" i="9"/>
  <c r="F32" i="9"/>
  <c r="G31" i="10"/>
  <c r="G31" i="11"/>
  <c r="E33" i="11" l="1"/>
  <c r="C34" i="11"/>
  <c r="E33" i="10"/>
  <c r="C34" i="10"/>
  <c r="E33" i="9"/>
  <c r="C34" i="9"/>
  <c r="F33" i="9"/>
  <c r="F33" i="11"/>
  <c r="G32" i="11"/>
  <c r="G32" i="9"/>
  <c r="G32" i="10"/>
  <c r="F33" i="10"/>
  <c r="C35" i="11" l="1"/>
  <c r="E34" i="11"/>
  <c r="E34" i="10"/>
  <c r="C35" i="10"/>
  <c r="E34" i="9"/>
  <c r="C35" i="9"/>
  <c r="F34" i="11"/>
  <c r="G33" i="10"/>
  <c r="G33" i="11"/>
  <c r="G33" i="9"/>
  <c r="F34" i="10"/>
  <c r="F34" i="9"/>
  <c r="E35" i="11" l="1"/>
  <c r="C36" i="11"/>
  <c r="C36" i="10"/>
  <c r="E35" i="10"/>
  <c r="C36" i="9"/>
  <c r="E35" i="9"/>
  <c r="G34" i="9"/>
  <c r="F35" i="10"/>
  <c r="F35" i="9"/>
  <c r="G34" i="11"/>
  <c r="G34" i="10"/>
  <c r="F35" i="11"/>
  <c r="E36" i="11" l="1"/>
  <c r="C37" i="11"/>
  <c r="C37" i="10"/>
  <c r="E36" i="10"/>
  <c r="E36" i="9"/>
  <c r="C37" i="9"/>
  <c r="F36" i="11"/>
  <c r="G35" i="11"/>
  <c r="G35" i="9"/>
  <c r="F36" i="9"/>
  <c r="G35" i="10"/>
  <c r="F36" i="10"/>
  <c r="C38" i="11" l="1"/>
  <c r="E37" i="11"/>
  <c r="C38" i="10"/>
  <c r="E37" i="10"/>
  <c r="C38" i="9"/>
  <c r="E37" i="9"/>
  <c r="F37" i="11"/>
  <c r="F37" i="9"/>
  <c r="G36" i="11"/>
  <c r="G36" i="9"/>
  <c r="G36" i="10"/>
  <c r="F37" i="10"/>
  <c r="C39" i="11" l="1"/>
  <c r="E38" i="11"/>
  <c r="E38" i="10"/>
  <c r="C39" i="10"/>
  <c r="C39" i="9"/>
  <c r="E38" i="9"/>
  <c r="F38" i="9"/>
  <c r="G37" i="10"/>
  <c r="F38" i="11"/>
  <c r="G37" i="11"/>
  <c r="F38" i="10"/>
  <c r="G37" i="9"/>
  <c r="E39" i="11" l="1"/>
  <c r="C40" i="11"/>
  <c r="E40" i="11" s="1"/>
  <c r="E39" i="10"/>
  <c r="C40" i="10"/>
  <c r="E40" i="10" s="1"/>
  <c r="E39" i="9"/>
  <c r="C40" i="9"/>
  <c r="E40" i="9" s="1"/>
  <c r="F40" i="10"/>
  <c r="F40" i="11"/>
  <c r="F40" i="9"/>
  <c r="G40" i="10"/>
  <c r="F39" i="10"/>
  <c r="G38" i="10"/>
  <c r="G40" i="9"/>
  <c r="F39" i="11"/>
  <c r="G39" i="11" s="1"/>
  <c r="G40" i="11"/>
  <c r="F39" i="9"/>
  <c r="G39" i="9"/>
  <c r="G38" i="11"/>
  <c r="G39" i="10"/>
  <c r="G38" i="9"/>
  <c r="F2" i="11"/>
  <c r="G2" i="11"/>
  <c r="F2" i="10"/>
  <c r="G2" i="10" s="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29" i="7"/>
  <c r="E16" i="7"/>
  <c r="E24" i="7"/>
  <c r="E14" i="7"/>
  <c r="E15" i="7"/>
  <c r="E20" i="7"/>
  <c r="E26" i="7"/>
  <c r="E28" i="7"/>
  <c r="F28" i="7" s="1"/>
  <c r="E11" i="7"/>
  <c r="E13" i="7"/>
  <c r="F14" i="7"/>
  <c r="E17" i="7"/>
  <c r="F17" i="7" s="1"/>
  <c r="E27" i="7"/>
  <c r="F27" i="7" s="1"/>
  <c r="E25" i="7"/>
  <c r="F25" i="7" s="1"/>
  <c r="E32" i="7"/>
  <c r="E7" i="7"/>
  <c r="F16" i="7"/>
  <c r="F13" i="7"/>
  <c r="E31" i="7"/>
  <c r="F31" i="7" s="1"/>
  <c r="E8" i="7"/>
  <c r="F11" i="7"/>
  <c r="F29" i="7"/>
  <c r="E6" i="7"/>
  <c r="F6" i="7" s="1"/>
  <c r="F26" i="7"/>
  <c r="E9" i="7"/>
  <c r="F9" i="7" s="1"/>
  <c r="E33" i="7"/>
  <c r="F33" i="7" s="1"/>
  <c r="E10" i="7"/>
  <c r="F10" i="7" s="1"/>
  <c r="E21" i="7"/>
  <c r="F21" i="7" s="1"/>
  <c r="F15" i="7"/>
  <c r="F32" i="7"/>
  <c r="F20" i="7"/>
  <c r="F24" i="7"/>
  <c r="E30" i="7"/>
  <c r="F30" i="7" s="1"/>
  <c r="E12" i="7"/>
  <c r="F12" i="7" s="1"/>
  <c r="E19" i="7"/>
  <c r="E5"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F19" i="4"/>
  <c r="F49" i="5"/>
  <c r="F46" i="5"/>
  <c r="F13" i="5"/>
  <c r="F58" i="5"/>
  <c r="F17" i="5"/>
  <c r="F12" i="4"/>
  <c r="J46" i="5"/>
  <c r="F53" i="5"/>
  <c r="F15" i="5"/>
  <c r="G49" i="5"/>
  <c r="J17" i="5"/>
  <c r="F64" i="5"/>
  <c r="F28" i="5"/>
  <c r="G15" i="5"/>
  <c r="F35" i="5"/>
  <c r="F41" i="5"/>
  <c r="F65" i="5"/>
  <c r="G17" i="5"/>
  <c r="G65" i="5"/>
  <c r="F13" i="4"/>
  <c r="L13" i="4" s="1"/>
  <c r="G12" i="4"/>
  <c r="F54" i="5"/>
  <c r="F18" i="4"/>
  <c r="L18" i="4" s="1"/>
  <c r="F22" i="5"/>
  <c r="J22" i="5" s="1"/>
  <c r="J65" i="5"/>
  <c r="F8" i="4"/>
  <c r="G19" i="4"/>
  <c r="F42" i="5"/>
  <c r="F33" i="5"/>
  <c r="L8" i="4"/>
  <c r="F59" i="5"/>
  <c r="F15" i="4"/>
  <c r="F7" i="4"/>
  <c r="J49" i="5"/>
  <c r="F11" i="4"/>
  <c r="H11" i="4" s="1"/>
  <c r="F60" i="5"/>
  <c r="J60" i="5" s="1"/>
  <c r="G33" i="5"/>
  <c r="F66" i="5"/>
  <c r="F7" i="5"/>
  <c r="F10" i="5"/>
  <c r="L11" i="4"/>
  <c r="G10" i="5"/>
  <c r="F39" i="5"/>
  <c r="G15" i="4"/>
  <c r="F44" i="5"/>
  <c r="J39" i="5"/>
  <c r="F55" i="5"/>
  <c r="G55" i="5" s="1"/>
  <c r="F16" i="5"/>
  <c r="J16" i="5" s="1"/>
  <c r="H19" i="4"/>
  <c r="F14" i="5"/>
  <c r="G14" i="5" s="1"/>
  <c r="F31" i="5"/>
  <c r="F50" i="5"/>
  <c r="J50" i="5" s="1"/>
  <c r="F18" i="5"/>
  <c r="J18" i="5" s="1"/>
  <c r="F61" i="5"/>
  <c r="F48" i="5"/>
  <c r="J48" i="5" s="1"/>
  <c r="G48" i="5"/>
  <c r="G61" i="5"/>
  <c r="F12" i="5"/>
  <c r="F25" i="5"/>
  <c r="F62" i="5"/>
  <c r="F10" i="4"/>
  <c r="L7" i="4"/>
  <c r="H15" i="4"/>
  <c r="H18" i="4"/>
  <c r="F57" i="5"/>
  <c r="F26" i="5"/>
  <c r="G26" i="5" s="1"/>
  <c r="J57" i="5"/>
  <c r="J62" i="5"/>
  <c r="G42" i="5"/>
  <c r="G64" i="5"/>
  <c r="G41" i="5"/>
  <c r="D6" i="48" a="1"/>
  <c r="J55" i="5"/>
  <c r="F47" i="5"/>
  <c r="F23" i="5"/>
  <c r="L12" i="4"/>
  <c r="H13" i="4"/>
  <c r="F38" i="5"/>
  <c r="J38" i="5" s="1"/>
  <c r="J54" i="5"/>
  <c r="L19" i="4"/>
  <c r="G66" i="5"/>
  <c r="F36" i="5"/>
  <c r="G36" i="5" s="1"/>
  <c r="F14" i="4"/>
  <c r="H14" i="4" s="1"/>
  <c r="G25" i="5"/>
  <c r="F22" i="4"/>
  <c r="L14" i="4"/>
  <c r="J14" i="5"/>
  <c r="F6" i="4"/>
  <c r="G12" i="5"/>
  <c r="F37" i="5"/>
  <c r="G14" i="4"/>
  <c r="F21" i="4"/>
  <c r="L21" i="4" s="1"/>
  <c r="F29" i="5"/>
  <c r="F8" i="5"/>
  <c r="G16" i="5"/>
  <c r="J47" i="5"/>
  <c r="F16" i="4"/>
  <c r="F19" i="5"/>
  <c r="F24" i="5"/>
  <c r="F32" i="5"/>
  <c r="F9" i="5"/>
  <c r="J9" i="5" s="1"/>
  <c r="G62" i="5"/>
  <c r="J53" i="5"/>
  <c r="F11" i="5"/>
  <c r="F43" i="5"/>
  <c r="J43" i="5" s="1"/>
  <c r="G21" i="4"/>
  <c r="F20" i="5"/>
  <c r="G18" i="5"/>
  <c r="F30" i="5"/>
  <c r="J36" i="5"/>
  <c r="G18" i="4"/>
  <c r="J66" i="5"/>
  <c r="G38" i="5"/>
  <c r="F63" i="5"/>
  <c r="J63" i="5" s="1"/>
  <c r="F52" i="5"/>
  <c r="F9" i="4"/>
  <c r="J35" i="5"/>
  <c r="F21" i="5"/>
  <c r="J21" i="5" s="1"/>
  <c r="H21" i="4"/>
  <c r="G50" i="5"/>
  <c r="G59" i="5"/>
  <c r="J32" i="5"/>
  <c r="F51" i="5"/>
  <c r="G51" i="5" s="1"/>
  <c r="G13" i="5"/>
  <c r="H12" i="4"/>
  <c r="F34" i="5"/>
  <c r="F27" i="5"/>
  <c r="J27" i="5" s="1"/>
  <c r="G63" i="5"/>
  <c r="G46" i="5"/>
  <c r="F40" i="5"/>
  <c r="F45" i="5"/>
  <c r="J11" i="5"/>
  <c r="G8" i="4"/>
  <c r="F20" i="4"/>
  <c r="J58" i="5"/>
  <c r="F17" i="4"/>
  <c r="F56" i="5"/>
  <c r="J56" i="5" s="1"/>
  <c r="J37" i="5"/>
  <c r="G11" i="4"/>
  <c r="P3" i="47"/>
  <c r="J3" i="46"/>
  <c r="G6" i="37"/>
  <c r="F6" i="5"/>
  <c r="F2" i="9"/>
  <c r="F19" i="7"/>
  <c r="F2" i="16"/>
  <c r="G2" i="16" s="1"/>
  <c r="F2" i="17"/>
  <c r="F23" i="7"/>
  <c r="F5" i="7"/>
  <c r="D2" i="28"/>
  <c r="F2" i="15"/>
  <c r="G6" i="36"/>
  <c r="H7" i="4"/>
  <c r="G7" i="5"/>
  <c r="L10" i="4"/>
  <c r="H10" i="4"/>
  <c r="G23" i="5"/>
  <c r="H22" i="4"/>
  <c r="L22" i="4"/>
  <c r="G22" i="4"/>
  <c r="L6" i="4"/>
  <c r="H6" i="4"/>
  <c r="G29" i="5"/>
  <c r="J29" i="5"/>
  <c r="G8" i="5"/>
  <c r="H16" i="4"/>
  <c r="G16" i="4"/>
  <c r="G19" i="5"/>
  <c r="J24" i="5"/>
  <c r="G24" i="5"/>
  <c r="J20" i="5"/>
  <c r="G20" i="5"/>
  <c r="G30" i="5"/>
  <c r="J30" i="5"/>
  <c r="G52" i="5"/>
  <c r="J52" i="5"/>
  <c r="H9" i="4"/>
  <c r="G9" i="4"/>
  <c r="L9" i="4"/>
  <c r="G34" i="5"/>
  <c r="J34" i="5"/>
  <c r="G45" i="5"/>
  <c r="L20" i="4"/>
  <c r="H20" i="4"/>
  <c r="G20" i="4"/>
  <c r="H17" i="4"/>
  <c r="L17" i="4"/>
  <c r="D7" i="48" l="1"/>
  <c r="D6" i="48"/>
  <c r="D8" i="48"/>
  <c r="D9" i="48"/>
  <c r="J45" i="5"/>
  <c r="J12" i="5"/>
  <c r="J41" i="5"/>
  <c r="I21" i="4"/>
  <c r="G54" i="5"/>
  <c r="G9" i="5"/>
  <c r="I18" i="4"/>
  <c r="I12" i="4"/>
  <c r="J44" i="5"/>
  <c r="G40" i="5"/>
  <c r="G31" i="5"/>
  <c r="J28" i="5"/>
  <c r="G60" i="5"/>
  <c r="J40" i="5"/>
  <c r="G56" i="5"/>
  <c r="G28" i="5"/>
  <c r="G27" i="5"/>
  <c r="G32" i="5"/>
  <c r="J19" i="5"/>
  <c r="G44" i="5"/>
  <c r="J64" i="5"/>
  <c r="H8" i="4"/>
  <c r="G11" i="5"/>
  <c r="I22" i="4"/>
  <c r="G37" i="5"/>
  <c r="I20" i="4"/>
  <c r="I14" i="4"/>
  <c r="L16" i="4"/>
  <c r="G53" i="5"/>
  <c r="G58" i="5"/>
  <c r="J15" i="5"/>
  <c r="I9" i="4"/>
  <c r="J8" i="5"/>
  <c r="J7" i="5"/>
  <c r="G39" i="5"/>
  <c r="J33" i="5"/>
  <c r="I19" i="4"/>
  <c r="G21" i="5"/>
  <c r="J23" i="5"/>
  <c r="G7" i="4"/>
  <c r="G47" i="5"/>
  <c r="G22" i="5"/>
  <c r="G13" i="4"/>
  <c r="I11" i="4"/>
  <c r="I8" i="4"/>
  <c r="J59" i="5"/>
  <c r="G57" i="5"/>
  <c r="L15" i="4"/>
  <c r="J26" i="5"/>
  <c r="G6" i="4"/>
  <c r="J25" i="5"/>
  <c r="G17" i="4"/>
  <c r="J10" i="5"/>
  <c r="G10" i="4"/>
  <c r="I10" i="4" s="1"/>
  <c r="J42" i="5"/>
  <c r="I16" i="4"/>
  <c r="J31" i="5"/>
  <c r="J61" i="5"/>
  <c r="G43" i="5"/>
  <c r="J13" i="5"/>
  <c r="I15" i="4"/>
  <c r="G35" i="5"/>
  <c r="J51" i="5"/>
  <c r="H6" i="36"/>
  <c r="G2" i="9"/>
  <c r="G6" i="5"/>
  <c r="H6" i="37"/>
  <c r="G2" i="15"/>
  <c r="G2" i="17"/>
  <c r="F5" i="4"/>
  <c r="E2" i="28"/>
  <c r="D10" i="48" l="1"/>
  <c r="D11" i="48"/>
  <c r="I7" i="4"/>
  <c r="I13" i="4"/>
  <c r="I17" i="4"/>
  <c r="I6" i="4"/>
  <c r="H5" i="4"/>
  <c r="D12" i="48" l="1"/>
  <c r="D13" i="48"/>
  <c r="D14" i="48" l="1"/>
  <c r="D15" i="48"/>
  <c r="D16" i="48" l="1"/>
  <c r="D17" i="48"/>
  <c r="F6" i="48" l="1" a="1"/>
  <c r="P6" i="48" a="1"/>
  <c r="P6" i="48" l="1"/>
  <c r="P7" i="48"/>
  <c r="P8" i="48"/>
  <c r="P9" i="48"/>
  <c r="P10" i="48"/>
  <c r="P11" i="48"/>
  <c r="P12" i="48"/>
  <c r="P13" i="48"/>
  <c r="P14" i="48"/>
  <c r="P15" i="48"/>
  <c r="P16" i="48"/>
  <c r="P17" i="48"/>
  <c r="F6" i="48"/>
  <c r="F7" i="48"/>
  <c r="F8" i="48"/>
  <c r="F9" i="48"/>
  <c r="F10" i="48"/>
  <c r="F11" i="48"/>
  <c r="F12" i="48"/>
  <c r="F13" i="48"/>
  <c r="F14" i="48"/>
  <c r="F15" i="48"/>
  <c r="F16" i="48"/>
  <c r="F17" i="48"/>
  <c r="D6" i="49" a="1"/>
  <c r="R6" i="48"/>
  <c r="R17" i="48"/>
  <c r="R13" i="48"/>
  <c r="R15" i="48"/>
  <c r="R8" i="48"/>
  <c r="R16" i="48"/>
  <c r="R12" i="48"/>
  <c r="R14" i="48"/>
  <c r="R7" i="48"/>
  <c r="R11" i="48"/>
  <c r="R9" i="48"/>
  <c r="R10" i="48"/>
  <c r="D6" i="49" l="1"/>
  <c r="D7" i="49"/>
  <c r="D8" i="49"/>
  <c r="D9" i="49"/>
  <c r="R4" i="48"/>
  <c r="D10" i="49" l="1"/>
  <c r="D11" i="49"/>
  <c r="D12" i="49" l="1"/>
  <c r="D13" i="49" l="1"/>
  <c r="D14" i="49"/>
  <c r="D15" i="49" l="1"/>
  <c r="D16" i="49"/>
  <c r="D17" i="49"/>
  <c r="D18" i="49"/>
  <c r="D19" i="49"/>
  <c r="D20" i="49"/>
  <c r="D21" i="49"/>
  <c r="D22" i="49"/>
  <c r="D23" i="49"/>
  <c r="D24" i="49"/>
  <c r="D25" i="49"/>
  <c r="D26" i="49"/>
  <c r="D27" i="49"/>
  <c r="D28" i="49"/>
  <c r="D29" i="49"/>
  <c r="D30" i="49"/>
  <c r="D31" i="49"/>
  <c r="D32" i="49"/>
  <c r="D33" i="49"/>
  <c r="D34" i="49"/>
  <c r="D35" i="49"/>
  <c r="D36" i="49"/>
  <c r="D37" i="49"/>
  <c r="D38" i="49"/>
  <c r="D39" i="49"/>
  <c r="D40" i="49"/>
  <c r="D41" i="49"/>
  <c r="D42" i="49"/>
  <c r="D43" i="49"/>
  <c r="D44" i="49"/>
  <c r="D45" i="49"/>
  <c r="D46" i="49"/>
  <c r="D47" i="49"/>
  <c r="F6" i="49" l="1" a="1"/>
  <c r="P6" i="49" a="1"/>
  <c r="P6" i="49" l="1"/>
  <c r="P7" i="49"/>
  <c r="P8" i="49"/>
  <c r="P9" i="49"/>
  <c r="P10" i="49"/>
  <c r="P11" i="49"/>
  <c r="P12" i="49"/>
  <c r="P13" i="49"/>
  <c r="P14" i="49"/>
  <c r="P15" i="49"/>
  <c r="P16" i="49"/>
  <c r="P17" i="49"/>
  <c r="P18" i="49"/>
  <c r="P19" i="49"/>
  <c r="P20" i="49"/>
  <c r="P21" i="49"/>
  <c r="P22" i="49"/>
  <c r="P23" i="49"/>
  <c r="P24" i="49"/>
  <c r="P25" i="49"/>
  <c r="P26" i="49"/>
  <c r="P27" i="49"/>
  <c r="P28" i="49"/>
  <c r="P29" i="49"/>
  <c r="P30" i="49"/>
  <c r="P31" i="49"/>
  <c r="P32" i="49"/>
  <c r="P33" i="49"/>
  <c r="P34" i="49"/>
  <c r="P35" i="49"/>
  <c r="P36" i="49"/>
  <c r="P37" i="49"/>
  <c r="P38" i="49"/>
  <c r="P39" i="49"/>
  <c r="P40" i="49"/>
  <c r="P41" i="49"/>
  <c r="P42" i="49"/>
  <c r="P43" i="49"/>
  <c r="P44" i="49"/>
  <c r="P45" i="49"/>
  <c r="P46" i="49"/>
  <c r="P47" i="49"/>
  <c r="F6" i="49"/>
  <c r="F7" i="49"/>
  <c r="F8" i="49"/>
  <c r="F9" i="49"/>
  <c r="F10" i="49"/>
  <c r="F11" i="49"/>
  <c r="F12" i="49"/>
  <c r="F13" i="49"/>
  <c r="F14" i="49"/>
  <c r="F15" i="49"/>
  <c r="F16" i="49"/>
  <c r="F17" i="49"/>
  <c r="F18" i="49"/>
  <c r="F19" i="49"/>
  <c r="F20" i="49"/>
  <c r="F21" i="49"/>
  <c r="F22" i="49"/>
  <c r="F23" i="49"/>
  <c r="F24" i="49"/>
  <c r="F25" i="49"/>
  <c r="F26" i="49"/>
  <c r="F27" i="49"/>
  <c r="F28" i="49"/>
  <c r="F29" i="49"/>
  <c r="F30" i="49"/>
  <c r="F31" i="49"/>
  <c r="F32" i="49"/>
  <c r="F33" i="49"/>
  <c r="F34" i="49"/>
  <c r="F35" i="49"/>
  <c r="F36" i="49"/>
  <c r="F37" i="49"/>
  <c r="F38" i="49"/>
  <c r="F39" i="49"/>
  <c r="F40" i="49"/>
  <c r="F41" i="49"/>
  <c r="F42" i="49"/>
  <c r="F43" i="49"/>
  <c r="F44" i="49"/>
  <c r="F45" i="49"/>
  <c r="F46" i="49"/>
  <c r="F47" i="49"/>
  <c r="D6" i="50" a="1"/>
  <c r="R33" i="49"/>
  <c r="R21" i="49"/>
  <c r="R9" i="49"/>
  <c r="R38" i="49"/>
  <c r="R47" i="49"/>
  <c r="R44" i="49"/>
  <c r="R14" i="49"/>
  <c r="R34" i="49"/>
  <c r="R23" i="49"/>
  <c r="R35" i="49"/>
  <c r="R41" i="49"/>
  <c r="R37" i="49"/>
  <c r="R20" i="49"/>
  <c r="R31" i="49"/>
  <c r="R11" i="49"/>
  <c r="R30" i="49"/>
  <c r="R10" i="49"/>
  <c r="R42" i="49"/>
  <c r="R17" i="49"/>
  <c r="R19" i="49"/>
  <c r="R12" i="49"/>
  <c r="R46" i="49"/>
  <c r="R7" i="49"/>
  <c r="R8" i="49"/>
  <c r="R13" i="49"/>
  <c r="R6" i="49"/>
  <c r="R39" i="49"/>
  <c r="R32" i="49"/>
  <c r="R27" i="49"/>
  <c r="R18" i="49"/>
  <c r="R40" i="49"/>
  <c r="R16" i="49"/>
  <c r="R43" i="49"/>
  <c r="R29" i="49"/>
  <c r="R24" i="49"/>
  <c r="R26" i="49"/>
  <c r="R15" i="49"/>
  <c r="R45" i="49"/>
  <c r="R36" i="49"/>
  <c r="R28" i="49"/>
  <c r="R25" i="49"/>
  <c r="R22" i="49"/>
  <c r="D7" i="50" l="1"/>
  <c r="D6" i="50"/>
  <c r="D8" i="50"/>
  <c r="D9" i="50"/>
  <c r="R4" i="49"/>
  <c r="P6" i="50" l="1" a="1"/>
  <c r="P9" i="50" s="1"/>
  <c r="F3" i="56"/>
  <c r="K5" i="56" a="1"/>
  <c r="Q3" i="55"/>
  <c r="Q3" i="54"/>
  <c r="Q3" i="53"/>
  <c r="Q3" i="52"/>
  <c r="R9" i="50"/>
  <c r="P6" i="50" l="1"/>
  <c r="P8" i="50"/>
  <c r="P7" i="50"/>
  <c r="K9" i="56"/>
  <c r="K17" i="56"/>
  <c r="K25" i="56"/>
  <c r="K33" i="56"/>
  <c r="K10" i="56"/>
  <c r="K11" i="56"/>
  <c r="K19" i="56"/>
  <c r="K27" i="56"/>
  <c r="K35" i="56"/>
  <c r="K29" i="56"/>
  <c r="K7" i="56"/>
  <c r="K15" i="56"/>
  <c r="K23" i="56"/>
  <c r="K8" i="56"/>
  <c r="K16" i="56"/>
  <c r="K24" i="56"/>
  <c r="K32" i="56"/>
  <c r="K18" i="56"/>
  <c r="K26" i="56"/>
  <c r="K34" i="56"/>
  <c r="K12" i="56"/>
  <c r="K20" i="56"/>
  <c r="K28" i="56"/>
  <c r="K36" i="56"/>
  <c r="K5" i="56"/>
  <c r="K13" i="56"/>
  <c r="K21" i="56"/>
  <c r="K37" i="56"/>
  <c r="K6" i="56"/>
  <c r="K14" i="56"/>
  <c r="K22" i="56"/>
  <c r="K30" i="56"/>
  <c r="K38" i="56"/>
  <c r="K39" i="56" s="1"/>
  <c r="K40" i="56" s="1"/>
  <c r="K41" i="56" s="1"/>
  <c r="K42" i="56" s="1"/>
  <c r="K31" i="56"/>
  <c r="F3" i="57"/>
  <c r="K5" i="57" a="1"/>
  <c r="R6" i="50"/>
  <c r="R8" i="50"/>
  <c r="R7" i="50"/>
  <c r="R4" i="50" s="1"/>
  <c r="P5" i="56" l="1" a="1"/>
  <c r="P5" i="56" s="1"/>
  <c r="K5" i="57"/>
  <c r="K6" i="57"/>
  <c r="K7" i="57"/>
  <c r="K8" i="57"/>
  <c r="K9" i="57"/>
  <c r="K10" i="57"/>
  <c r="K11" i="57"/>
  <c r="K12" i="57"/>
  <c r="K13" i="57"/>
  <c r="K14" i="57"/>
  <c r="K15" i="57"/>
  <c r="K16" i="57"/>
  <c r="K17" i="57"/>
  <c r="K18" i="57"/>
  <c r="K19" i="57"/>
  <c r="K20" i="57"/>
  <c r="K21" i="57"/>
  <c r="K22" i="57"/>
  <c r="K23" i="57"/>
  <c r="K24" i="57"/>
  <c r="K25" i="57"/>
  <c r="K26" i="57"/>
  <c r="K27" i="57"/>
  <c r="K28" i="57"/>
  <c r="K29" i="57"/>
  <c r="K30" i="57"/>
  <c r="K31" i="57"/>
  <c r="K32" i="57"/>
  <c r="K33" i="57"/>
  <c r="K34" i="57"/>
  <c r="K35" i="57"/>
  <c r="K36" i="57"/>
  <c r="K37" i="57"/>
  <c r="K38" i="57"/>
  <c r="K39" i="57" s="1"/>
  <c r="K40" i="57" s="1"/>
  <c r="K41" i="57" s="1"/>
  <c r="K42" i="57" s="1"/>
  <c r="Q5" i="56"/>
  <c r="P38" i="56" l="1"/>
  <c r="P30" i="56"/>
  <c r="P27" i="56"/>
  <c r="P9" i="56"/>
  <c r="P41" i="56"/>
  <c r="P35" i="56"/>
  <c r="P36" i="56"/>
  <c r="P15" i="56"/>
  <c r="P34" i="56"/>
  <c r="P33" i="56"/>
  <c r="P8" i="56"/>
  <c r="P42" i="56"/>
  <c r="P13" i="56"/>
  <c r="P29" i="56"/>
  <c r="P32" i="56"/>
  <c r="P17" i="56"/>
  <c r="P16" i="56"/>
  <c r="P25" i="56"/>
  <c r="P28" i="56"/>
  <c r="P23" i="56"/>
  <c r="P14" i="56"/>
  <c r="P31" i="56"/>
  <c r="P6" i="56"/>
  <c r="P37" i="56"/>
  <c r="P19" i="56"/>
  <c r="P11" i="56"/>
  <c r="P20" i="56"/>
  <c r="P10" i="56"/>
  <c r="P7" i="56"/>
  <c r="P26" i="56"/>
  <c r="P21" i="56"/>
  <c r="P22" i="56"/>
  <c r="P12" i="56"/>
  <c r="P18" i="56"/>
  <c r="P39" i="56"/>
  <c r="P24" i="56"/>
  <c r="P40" i="56"/>
  <c r="P5" i="57" a="1"/>
  <c r="Q38" i="56"/>
  <c r="Q34" i="56"/>
  <c r="Q16" i="56"/>
  <c r="Q19" i="56"/>
  <c r="Q12" i="56"/>
  <c r="Q18" i="56"/>
  <c r="Q27" i="56"/>
  <c r="Q20" i="56"/>
  <c r="Q42" i="56"/>
  <c r="Q23" i="56"/>
  <c r="Q10" i="56"/>
  <c r="Q41" i="56"/>
  <c r="Q13" i="56"/>
  <c r="Q7" i="56"/>
  <c r="Q40" i="56"/>
  <c r="Q35" i="56"/>
  <c r="Q31" i="56"/>
  <c r="Q26" i="56"/>
  <c r="Q36" i="56"/>
  <c r="Q32" i="56"/>
  <c r="Q6" i="56"/>
  <c r="Q21" i="56"/>
  <c r="Q15" i="56"/>
  <c r="Q17" i="56"/>
  <c r="Q37" i="56"/>
  <c r="Q22" i="56"/>
  <c r="Q30" i="56"/>
  <c r="Q33" i="56"/>
  <c r="Q25" i="56"/>
  <c r="Q11" i="56"/>
  <c r="Q8" i="56"/>
  <c r="Q28" i="56"/>
  <c r="Q39" i="56"/>
  <c r="Q9" i="56"/>
  <c r="Q24" i="56"/>
  <c r="Q14" i="56"/>
  <c r="Q29" i="56"/>
  <c r="Q3" i="56" s="1"/>
  <c r="F3" i="58"/>
  <c r="K5" i="58" a="1"/>
  <c r="Q3" i="60"/>
  <c r="Q3" i="59"/>
  <c r="P5" i="57" l="1"/>
  <c r="P12" i="57"/>
  <c r="P11" i="57"/>
  <c r="P31" i="57"/>
  <c r="P19" i="57"/>
  <c r="P8" i="57"/>
  <c r="P21" i="57"/>
  <c r="P34" i="57"/>
  <c r="P15" i="57"/>
  <c r="P42" i="57"/>
  <c r="P39" i="57"/>
  <c r="P13" i="57"/>
  <c r="P41" i="57"/>
  <c r="P28" i="57"/>
  <c r="P24" i="57"/>
  <c r="P25" i="57"/>
  <c r="P20" i="57"/>
  <c r="P23" i="57"/>
  <c r="P9" i="57"/>
  <c r="P35" i="57"/>
  <c r="P7" i="57"/>
  <c r="P32" i="57"/>
  <c r="P26" i="57"/>
  <c r="P30" i="57"/>
  <c r="P16" i="57"/>
  <c r="P10" i="57"/>
  <c r="P14" i="57"/>
  <c r="P36" i="57"/>
  <c r="P38" i="57"/>
  <c r="P33" i="57"/>
  <c r="P37" i="57"/>
  <c r="P22" i="57"/>
  <c r="P6" i="57"/>
  <c r="P17" i="57"/>
  <c r="P40" i="57"/>
  <c r="P29" i="57"/>
  <c r="P27" i="57"/>
  <c r="P18" i="57"/>
  <c r="K8" i="58"/>
  <c r="K10" i="58"/>
  <c r="K28" i="58"/>
  <c r="K22" i="58"/>
  <c r="K20" i="58"/>
  <c r="K18" i="58"/>
  <c r="K5" i="58"/>
  <c r="K30" i="58"/>
  <c r="K36" i="58"/>
  <c r="K32" i="58"/>
  <c r="K34" i="58"/>
  <c r="K21" i="58"/>
  <c r="K7" i="58"/>
  <c r="K37" i="58"/>
  <c r="K33" i="58"/>
  <c r="K14" i="58"/>
  <c r="K16" i="58"/>
  <c r="K9" i="58"/>
  <c r="K11" i="58"/>
  <c r="K29" i="58"/>
  <c r="K15" i="58"/>
  <c r="K35" i="58"/>
  <c r="K12" i="58"/>
  <c r="K24" i="58"/>
  <c r="K26" i="58"/>
  <c r="K13" i="58"/>
  <c r="K38" i="58"/>
  <c r="K17" i="58"/>
  <c r="K19" i="58"/>
  <c r="K23" i="58"/>
  <c r="K25" i="58"/>
  <c r="K27" i="58"/>
  <c r="K6" i="58"/>
  <c r="K31" i="58"/>
  <c r="Q19" i="57"/>
  <c r="Q41" i="57"/>
  <c r="Q7" i="57"/>
  <c r="Q38" i="57"/>
  <c r="Q27" i="57"/>
  <c r="Q21" i="57"/>
  <c r="Q24" i="57"/>
  <c r="Q26" i="57"/>
  <c r="Q37" i="57"/>
  <c r="Q34" i="57"/>
  <c r="Q25" i="57"/>
  <c r="Q30" i="57"/>
  <c r="Q22" i="57"/>
  <c r="Q5" i="57"/>
  <c r="Q15" i="57"/>
  <c r="Q20" i="57"/>
  <c r="Q16" i="57"/>
  <c r="Q6" i="57"/>
  <c r="Q12" i="57"/>
  <c r="Q42" i="57"/>
  <c r="Q23" i="57"/>
  <c r="Q10" i="57"/>
  <c r="Q17" i="57"/>
  <c r="Q11" i="57"/>
  <c r="Q39" i="57"/>
  <c r="Q9" i="57"/>
  <c r="Q14" i="57"/>
  <c r="Q40" i="57"/>
  <c r="Q31" i="57"/>
  <c r="Q13" i="57"/>
  <c r="Q35" i="57"/>
  <c r="Q36" i="57"/>
  <c r="Q29" i="57"/>
  <c r="Q8" i="57"/>
  <c r="Q28" i="57"/>
  <c r="Q32" i="57"/>
  <c r="Q33" i="57"/>
  <c r="Q18" i="57"/>
  <c r="Q3" i="57" s="1"/>
  <c r="X18" i="57" l="1"/>
  <c r="X33" i="57"/>
  <c r="X32" i="57"/>
  <c r="X28" i="57"/>
  <c r="X8" i="57"/>
  <c r="X29" i="57"/>
  <c r="X36" i="57"/>
  <c r="X35" i="57"/>
  <c r="X13" i="57"/>
  <c r="X31" i="57"/>
  <c r="X40" i="57"/>
  <c r="X14" i="57"/>
  <c r="X9" i="57"/>
  <c r="X39" i="57"/>
  <c r="X11" i="57"/>
  <c r="X17" i="57"/>
  <c r="X10" i="57"/>
  <c r="X23" i="57"/>
  <c r="X42" i="57"/>
  <c r="X12" i="57"/>
  <c r="X6" i="57"/>
  <c r="X16" i="57"/>
  <c r="X20" i="57"/>
  <c r="X15" i="57"/>
  <c r="X5" i="57"/>
  <c r="X22" i="57"/>
  <c r="X30" i="57"/>
  <c r="X25" i="57"/>
  <c r="X34" i="57"/>
  <c r="X37" i="57"/>
  <c r="X26" i="57"/>
  <c r="X24" i="57"/>
  <c r="X21" i="57"/>
  <c r="X27" i="57"/>
  <c r="X38" i="57"/>
  <c r="X7" i="57"/>
  <c r="X41" i="57"/>
  <c r="X19" i="57"/>
  <c r="K39" i="58"/>
  <c r="K40" i="58" l="1"/>
  <c r="K41" i="58" l="1"/>
  <c r="K42" i="58" l="1"/>
  <c r="P5" i="58" s="1" a="1"/>
  <c r="P5" i="58" l="1"/>
  <c r="P12" i="58"/>
  <c r="P26" i="58"/>
  <c r="P14" i="58"/>
  <c r="P9" i="58"/>
  <c r="P7" i="58"/>
  <c r="P10" i="58"/>
  <c r="P6" i="58"/>
  <c r="P40" i="58"/>
  <c r="P38" i="58"/>
  <c r="P17" i="58"/>
  <c r="P18" i="58"/>
  <c r="P15" i="58"/>
  <c r="P36" i="58"/>
  <c r="P32" i="58"/>
  <c r="P41" i="58"/>
  <c r="P37" i="58"/>
  <c r="P28" i="58"/>
  <c r="P16" i="58"/>
  <c r="P25" i="58"/>
  <c r="P29" i="58"/>
  <c r="P20" i="58"/>
  <c r="P30" i="58"/>
  <c r="P24" i="58"/>
  <c r="P21" i="58"/>
  <c r="P35" i="58"/>
  <c r="P22" i="58"/>
  <c r="P8" i="58"/>
  <c r="P13" i="58"/>
  <c r="P19" i="58"/>
  <c r="P27" i="58"/>
  <c r="P39" i="58"/>
  <c r="P34" i="58"/>
  <c r="P33" i="58"/>
  <c r="P11" i="58"/>
  <c r="P42" i="58"/>
  <c r="P31" i="58"/>
  <c r="P23" i="58"/>
  <c r="Q9" i="58"/>
  <c r="Q15" i="58"/>
  <c r="Q29" i="58"/>
  <c r="Q13" i="58"/>
  <c r="Q31" i="58"/>
  <c r="Q7" i="58"/>
  <c r="Q36" i="58"/>
  <c r="Q20" i="58"/>
  <c r="Q19" i="58"/>
  <c r="Q23" i="58"/>
  <c r="Q5" i="58"/>
  <c r="Q40" i="58"/>
  <c r="Q37" i="58"/>
  <c r="Q21" i="58"/>
  <c r="Q34" i="58"/>
  <c r="Q12" i="58"/>
  <c r="Q38" i="58"/>
  <c r="Q35" i="58"/>
  <c r="Q33" i="58"/>
  <c r="Q14" i="58"/>
  <c r="Q18" i="58"/>
  <c r="Q25" i="58"/>
  <c r="Q42" i="58"/>
  <c r="Q10" i="58"/>
  <c r="Q32" i="58"/>
  <c r="Q30" i="58"/>
  <c r="Q27" i="58"/>
  <c r="Q6" i="58"/>
  <c r="Q41" i="58"/>
  <c r="Q24" i="58"/>
  <c r="Q39" i="58"/>
  <c r="Q28" i="58"/>
  <c r="Q26" i="58"/>
  <c r="Q17" i="58"/>
  <c r="Q16" i="58"/>
  <c r="Q22" i="58"/>
  <c r="Q11" i="58"/>
  <c r="Q8" i="58"/>
  <c r="Q3" i="58" s="1"/>
</calcChain>
</file>

<file path=xl/comments1.xml><?xml version="1.0" encoding="utf-8"?>
<comments xmlns="http://schemas.openxmlformats.org/spreadsheetml/2006/main">
  <authors>
    <author>erik</author>
  </authors>
  <commentList>
    <comment ref="A25" authorId="0">
      <text>
        <r>
          <rPr>
            <b/>
            <sz val="8"/>
            <color indexed="81"/>
            <rFont val="Tahoma"/>
          </rPr>
          <t>erik:</t>
        </r>
        <r>
          <rPr>
            <sz val="8"/>
            <color indexed="81"/>
            <rFont val="Tahoma"/>
          </rPr>
          <t xml:space="preserve">
this named range is a marker for Sensitivity Analysis</t>
        </r>
      </text>
    </comment>
  </commentList>
</comments>
</file>

<file path=xl/sharedStrings.xml><?xml version="1.0" encoding="utf-8"?>
<sst xmlns="http://schemas.openxmlformats.org/spreadsheetml/2006/main" count="2816" uniqueCount="358">
  <si>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</si>
  <si>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</si>
  <si>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</si>
  <si>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</si>
  <si>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</si>
  <si>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</si>
  <si>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</si>
  <si>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</si>
  <si>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</si>
  <si>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</si>
  <si>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</si>
  <si>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</si>
  <si>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</si>
  <si>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</si>
  <si>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</si>
  <si>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</si>
  <si>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</si>
  <si>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</si>
  <si>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</si>
  <si>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</si>
  <si>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</si>
  <si>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</si>
  <si>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</si>
  <si>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</si>
  <si>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</si>
  <si>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</si>
  <si>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</si>
  <si>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</si>
  <si>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</si>
  <si>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</si>
  <si>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</si>
  <si>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</si>
  <si>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</si>
  <si>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</si>
  <si>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</si>
  <si>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</si>
  <si>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</si>
  <si>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</si>
  <si>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</si>
  <si>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</si>
  <si>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</si>
  <si>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</si>
  <si>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</si>
  <si>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</si>
  <si>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</si>
  <si>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</si>
  <si>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</si>
  <si>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</si>
  <si>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</si>
  <si>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</si>
  <si>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</si>
  <si>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</si>
  <si>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</si>
  <si>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</si>
  <si>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</si>
  <si>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</si>
  <si>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</si>
  <si>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</si>
  <si>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</si>
  <si>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</si>
  <si>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</si>
  <si>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</si>
  <si>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</si>
  <si>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</si>
  <si>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</si>
  <si>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</si>
  <si>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</si>
  <si>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</si>
  <si>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</si>
  <si>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</si>
  <si>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</si>
  <si>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</si>
  <si>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</si>
  <si>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</si>
  <si>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</si>
  <si>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</si>
  <si>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</si>
  <si>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</si>
  <si>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</si>
  <si>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</si>
  <si>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</si>
  <si>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</si>
  <si>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</si>
  <si>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</si>
  <si>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</si>
  <si>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</si>
  <si>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</si>
  <si>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</si>
  <si>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</si>
  <si>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</si>
  <si>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</si>
  <si>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</si>
  <si>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</si>
  <si>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</si>
  <si>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</si>
  <si>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</si>
  <si>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</si>
  <si>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</si>
  <si>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</si>
  <si>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</si>
  <si>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</si>
  <si>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</si>
  <si>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</si>
  <si>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</si>
  <si>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</si>
  <si>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</si>
  <si>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</si>
  <si>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</si>
  <si>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</si>
  <si>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</si>
  <si>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</si>
  <si>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</si>
  <si>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</si>
  <si>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</si>
  <si>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</si>
  <si>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</si>
  <si>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</si>
  <si>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</si>
  <si>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</si>
  <si>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</si>
  <si>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</si>
  <si>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</si>
  <si>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</si>
  <si>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</si>
  <si>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</si>
  <si>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</si>
  <si>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</si>
  <si>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</si>
  <si>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</si>
  <si>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</si>
  <si>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</si>
  <si>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</si>
  <si>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</si>
  <si>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</si>
  <si>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</si>
  <si>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</si>
  <si>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</si>
  <si>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</si>
  <si>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</si>
  <si>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</si>
  <si>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</si>
  <si>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</si>
  <si>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</si>
  <si>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</si>
  <si>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</si>
  <si>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</si>
  <si>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</si>
  <si>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</si>
  <si>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</si>
  <si>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</si>
  <si>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</si>
  <si>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</si>
  <si>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</si>
  <si>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</si>
  <si>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</si>
  <si>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</si>
  <si>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</si>
  <si>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</si>
  <si>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</si>
  <si>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</si>
  <si>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</si>
  <si>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</si>
  <si>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</si>
  <si>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</si>
  <si>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</si>
  <si>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</si>
  <si>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</si>
  <si>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</si>
  <si>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</si>
  <si>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</si>
  <si>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</si>
  <si>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</si>
  <si>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</si>
  <si>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</si>
  <si>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</si>
  <si>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</si>
  <si>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</si>
  <si>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</si>
  <si>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</si>
  <si>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</si>
  <si>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</si>
  <si>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</si>
  <si>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</si>
  <si>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</si>
  <si>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</si>
  <si>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</si>
  <si>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</si>
  <si>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</si>
  <si>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</si>
  <si>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</si>
  <si>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</si>
  <si>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</si>
  <si>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</si>
  <si>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</si>
  <si>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</si>
  <si>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</si>
  <si>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</si>
  <si>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</si>
  <si>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</si>
  <si>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</si>
  <si>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</si>
  <si>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</si>
  <si>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</si>
  <si>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</si>
  <si>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</si>
  <si>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</si>
  <si>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</si>
  <si>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</si>
  <si>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</si>
  <si>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</si>
  <si>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</si>
  <si>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</si>
  <si>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</si>
  <si>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</si>
  <si>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</si>
  <si>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</si>
  <si>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</si>
  <si>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</si>
  <si>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</si>
  <si>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</si>
  <si>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</si>
  <si>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</si>
  <si>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</si>
  <si>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</si>
  <si>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</si>
  <si>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</si>
  <si>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</si>
  <si>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</si>
  <si>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</si>
  <si>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</si>
  <si>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</si>
  <si>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</si>
  <si>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</si>
  <si>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</si>
  <si>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</si>
  <si>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</si>
  <si>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</si>
  <si>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</si>
  <si>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</si>
  <si>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</si>
  <si>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</si>
  <si>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</si>
  <si>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</si>
  <si>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</si>
  <si>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</si>
  <si>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</si>
  <si>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</si>
  <si>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</si>
  <si>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</si>
  <si>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</si>
  <si>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</si>
  <si>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</si>
  <si>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</si>
  <si>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</si>
  <si>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</si>
  <si>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</si>
  <si>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</si>
  <si>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</si>
  <si>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</si>
  <si>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</si>
  <si>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</si>
  <si>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</si>
  <si>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</si>
  <si>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</si>
  <si>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SaYieldCurveTweak</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</si>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</sst>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color indexed="81"/>
      <name val="Tahoma"/>
    </font>
    <font>
      <sz val="8"/>
      <color indexed="81"/>
      <name val="Tahoma"/>
    </font>
    <font>
      <b/>
      <sz val="8"/>
      <name val="Arial"/>
    </font>
    <font>
      <b/>
      <u/>
      <sz val="8"/>
      <name val="Arial"/>
    </font>
    <font>
      <sz val="8"/>
      <color indexed="9"/>
      <name val="Arial"/>
      <family val="2"/>
    </font>
    <font>
      <sz val="8"/>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2">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598">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7" fillId="0" borderId="5" xfId="4" applyNumberFormat="1" applyFont="1" applyFill="1" applyBorder="1" applyAlignment="1">
      <alignment horizontal="center" vertical="center" wrapText="1"/>
    </xf>
    <xf numFmtId="169" fontId="27" fillId="0" borderId="11" xfId="4" applyNumberFormat="1" applyFont="1" applyFill="1" applyBorder="1" applyAlignment="1">
      <alignment horizontal="center" vertical="center" wrapText="1"/>
    </xf>
    <xf numFmtId="170" fontId="27" fillId="0" borderId="9" xfId="4" applyNumberFormat="1" applyFont="1" applyFill="1" applyBorder="1" applyAlignment="1">
      <alignment horizontal="center" vertical="center" wrapText="1"/>
    </xf>
    <xf numFmtId="169" fontId="27" fillId="0" borderId="8" xfId="4" applyNumberFormat="1" applyFont="1" applyFill="1" applyBorder="1" applyAlignment="1">
      <alignment horizontal="center" vertical="center" wrapText="1"/>
    </xf>
    <xf numFmtId="170" fontId="27" fillId="0" borderId="5" xfId="4" applyNumberFormat="1" applyFont="1" applyFill="1" applyBorder="1" applyAlignment="1">
      <alignment horizontal="center" vertical="center" wrapText="1"/>
    </xf>
    <xf numFmtId="0" fontId="27" fillId="0" borderId="11" xfId="1" applyFont="1" applyBorder="1" applyAlignment="1">
      <alignment horizontal="center" vertical="center" wrapText="1"/>
    </xf>
    <xf numFmtId="169" fontId="27"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7" fillId="3" borderId="8" xfId="1" applyFont="1" applyFill="1" applyBorder="1" applyAlignment="1">
      <alignment horizontal="center" vertical="center" wrapText="1"/>
    </xf>
    <xf numFmtId="0" fontId="28" fillId="3" borderId="0" xfId="1" applyFont="1" applyFill="1" applyBorder="1"/>
    <xf numFmtId="169" fontId="27" fillId="0" borderId="22" xfId="4" applyNumberFormat="1" applyFont="1" applyFill="1" applyBorder="1" applyAlignment="1">
      <alignment horizontal="center" vertical="center" wrapText="1"/>
    </xf>
    <xf numFmtId="169" fontId="27" fillId="0" borderId="23" xfId="4" applyNumberFormat="1" applyFont="1" applyFill="1" applyBorder="1" applyAlignment="1">
      <alignment horizontal="center" vertical="center" wrapText="1"/>
    </xf>
    <xf numFmtId="170" fontId="27" fillId="0" borderId="24" xfId="4" applyNumberFormat="1" applyFont="1" applyFill="1" applyBorder="1" applyAlignment="1">
      <alignment horizontal="center" vertical="center" wrapText="1"/>
    </xf>
    <xf numFmtId="169" fontId="27" fillId="0" borderId="25" xfId="4" applyNumberFormat="1" applyFont="1" applyFill="1" applyBorder="1" applyAlignment="1">
      <alignment horizontal="center" vertical="center" wrapText="1"/>
    </xf>
    <xf numFmtId="170" fontId="27" fillId="0" borderId="22" xfId="4" applyNumberFormat="1" applyFont="1" applyFill="1" applyBorder="1" applyAlignment="1">
      <alignment horizontal="center" vertical="center" wrapText="1"/>
    </xf>
    <xf numFmtId="0" fontId="27" fillId="0" borderId="23" xfId="1" applyFont="1" applyBorder="1" applyAlignment="1">
      <alignment horizontal="center" vertical="center" wrapText="1"/>
    </xf>
    <xf numFmtId="169" fontId="27"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7"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9" fillId="0" borderId="0" xfId="1" applyFont="1" applyFill="1"/>
    <xf numFmtId="0" fontId="2" fillId="3" borderId="9" xfId="1" applyFont="1" applyFill="1" applyBorder="1" applyAlignment="1">
      <alignment horizontal="center" wrapText="1"/>
    </xf>
    <xf numFmtId="170" fontId="2" fillId="0" borderId="0" xfId="4" applyNumberFormat="1" applyFont="1"/>
    <xf numFmtId="170" fontId="2" fillId="0" borderId="0" xfId="1"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0" fontId="2" fillId="0" borderId="21" xfId="4" applyNumberFormat="1" applyFont="1" applyFill="1" applyBorder="1" applyAlignment="1">
      <alignment horizontal="right"/>
    </xf>
    <xf numFmtId="0" fontId="1" fillId="0" borderId="0" xfId="1" applyNumberFormat="1"/>
    <xf numFmtId="169" fontId="12" fillId="0" borderId="25" xfId="4" applyNumberFormat="1" applyFont="1" applyBorder="1"/>
    <xf numFmtId="0" fontId="12" fillId="3" borderId="8" xfId="1" applyFont="1" applyFill="1" applyBorder="1" applyAlignment="1">
      <alignment horizontal="center"/>
    </xf>
    <xf numFmtId="0" fontId="27"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30" fillId="3" borderId="4" xfId="1" applyFont="1" applyFill="1" applyBorder="1"/>
    <xf numFmtId="0" fontId="30" fillId="3" borderId="7" xfId="1" applyFont="1" applyFill="1" applyBorder="1" applyAlignment="1">
      <alignment horizontal="center"/>
    </xf>
    <xf numFmtId="0" fontId="30" fillId="3" borderId="6" xfId="1" applyFont="1" applyFill="1" applyBorder="1" applyAlignment="1">
      <alignment horizontal="center"/>
    </xf>
    <xf numFmtId="0" fontId="30" fillId="3" borderId="20" xfId="1" applyFont="1" applyFill="1" applyBorder="1" applyAlignment="1">
      <alignment horizontal="center"/>
    </xf>
    <xf numFmtId="0" fontId="30" fillId="3" borderId="26" xfId="1" applyFont="1" applyFill="1" applyBorder="1" applyAlignment="1">
      <alignment horizontal="center"/>
    </xf>
    <xf numFmtId="0" fontId="30" fillId="3" borderId="0" xfId="1" applyFont="1" applyFill="1" applyBorder="1"/>
    <xf numFmtId="0" fontId="30" fillId="3" borderId="5" xfId="1" applyFont="1" applyFill="1" applyBorder="1" applyAlignment="1">
      <alignment horizontal="center"/>
    </xf>
    <xf numFmtId="0" fontId="30" fillId="3" borderId="8" xfId="1" applyFont="1" applyFill="1" applyBorder="1" applyAlignment="1">
      <alignment horizontal="center"/>
    </xf>
    <xf numFmtId="1" fontId="30" fillId="3" borderId="7" xfId="1" applyNumberFormat="1" applyFont="1" applyFill="1" applyBorder="1" applyAlignment="1">
      <alignment horizontal="center"/>
    </xf>
    <xf numFmtId="0" fontId="30" fillId="2" borderId="6" xfId="1" applyFont="1" applyFill="1" applyBorder="1"/>
    <xf numFmtId="1" fontId="30" fillId="3" borderId="20" xfId="1" applyNumberFormat="1" applyFont="1" applyFill="1" applyBorder="1" applyAlignment="1">
      <alignment horizontal="center"/>
    </xf>
    <xf numFmtId="0" fontId="30" fillId="2" borderId="26" xfId="1" applyFont="1" applyFill="1" applyBorder="1"/>
    <xf numFmtId="0" fontId="30"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30"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30"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4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87" customWidth="1"/>
    <col min="3" max="3" width="12.7109375" style="587" bestFit="1" customWidth="1"/>
    <col min="4" max="4" width="53.7109375" style="587" bestFit="1" customWidth="1"/>
    <col min="5" max="5" width="2.7109375" style="587" customWidth="1"/>
    <col min="6" max="16384" width="9.140625" style="587"/>
  </cols>
  <sheetData>
    <row r="1" spans="2:5" ht="13.5" thickBot="1" x14ac:dyDescent="0.25">
      <c r="B1" s="587" t="str">
        <f>_xll.qlxlVersion(TRUE,Trigger)</f>
        <v>QuantLibXL 1.3.0 - MS VC++ 9.0 - Multithreaded Static Runtime library - Release Configuration - Dec  5 2013 11:03:51</v>
      </c>
    </row>
    <row r="2" spans="2:5" ht="15.75" x14ac:dyDescent="0.25">
      <c r="B2" s="589" t="s">
        <v>133</v>
      </c>
      <c r="C2" s="590"/>
      <c r="D2" s="590"/>
      <c r="E2" s="591"/>
    </row>
    <row r="3" spans="2:5" x14ac:dyDescent="0.2">
      <c r="B3" s="52"/>
      <c r="C3" s="55"/>
      <c r="D3" s="55"/>
      <c r="E3" s="6"/>
    </row>
    <row r="4" spans="2:5" x14ac:dyDescent="0.2">
      <c r="B4" s="52"/>
      <c r="C4" s="22" t="s">
        <v>98</v>
      </c>
      <c r="D4" s="51">
        <v>41614.518969907411</v>
      </c>
      <c r="E4" s="50"/>
    </row>
    <row r="5" spans="2:5" x14ac:dyDescent="0.2">
      <c r="B5" s="52"/>
      <c r="C5" s="55"/>
      <c r="D5" s="55"/>
      <c r="E5" s="50"/>
    </row>
    <row r="6" spans="2:5" x14ac:dyDescent="0.2">
      <c r="B6" s="52"/>
      <c r="C6" s="580" t="s">
        <v>342</v>
      </c>
      <c r="D6" s="581">
        <v>41600.703865740739</v>
      </c>
      <c r="E6" s="50"/>
    </row>
    <row r="7" spans="2:5" x14ac:dyDescent="0.2">
      <c r="B7" s="52"/>
      <c r="C7" s="580" t="s">
        <v>341</v>
      </c>
      <c r="D7" s="582" t="b">
        <v>1</v>
      </c>
      <c r="E7" s="50"/>
    </row>
    <row r="8" spans="2:5" x14ac:dyDescent="0.2">
      <c r="B8" s="52"/>
      <c r="C8" s="583"/>
      <c r="D8" s="584"/>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8">
        <f>_xll.qlSettingsEvaluationDate(Trigger)</f>
        <v>41614</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4"/>
      <c r="C25" s="579"/>
      <c r="D25" s="579"/>
      <c r="E25" s="578"/>
    </row>
    <row r="26" spans="2:5" x14ac:dyDescent="0.2">
      <c r="B26" s="564"/>
      <c r="C26" s="577" t="s">
        <v>347</v>
      </c>
      <c r="D26" s="585" t="s">
        <v>346</v>
      </c>
      <c r="E26" s="565"/>
    </row>
    <row r="27" spans="2:5" x14ac:dyDescent="0.2">
      <c r="B27" s="564"/>
      <c r="C27" s="576" t="s">
        <v>262</v>
      </c>
      <c r="D27" s="575">
        <v>9</v>
      </c>
      <c r="E27" s="565"/>
    </row>
    <row r="28" spans="2:5" x14ac:dyDescent="0.2">
      <c r="B28" s="564"/>
      <c r="C28" s="574" t="s">
        <v>345</v>
      </c>
      <c r="D28" s="573" t="s">
        <v>344</v>
      </c>
      <c r="E28" s="565"/>
    </row>
    <row r="29" spans="2:5" x14ac:dyDescent="0.2">
      <c r="B29" s="564"/>
      <c r="C29" s="570"/>
      <c r="D29" s="586"/>
      <c r="E29" s="565"/>
    </row>
    <row r="30" spans="2:5" x14ac:dyDescent="0.2">
      <c r="B30" s="564"/>
      <c r="C30" s="572" t="s">
        <v>284</v>
      </c>
      <c r="D30" s="571" t="s">
        <v>343</v>
      </c>
      <c r="E30" s="565"/>
    </row>
    <row r="31" spans="2:5" x14ac:dyDescent="0.2">
      <c r="B31" s="564"/>
      <c r="C31" s="569" t="s">
        <v>279</v>
      </c>
      <c r="D31" s="568" t="str">
        <f>""</f>
        <v/>
      </c>
      <c r="E31" s="565"/>
    </row>
    <row r="32" spans="2:5" x14ac:dyDescent="0.2">
      <c r="B32" s="564"/>
      <c r="C32" s="569" t="s">
        <v>278</v>
      </c>
      <c r="D32" s="568" t="s">
        <v>277</v>
      </c>
      <c r="E32" s="565"/>
    </row>
    <row r="33" spans="2:5" x14ac:dyDescent="0.2">
      <c r="B33" s="564"/>
      <c r="C33" s="569" t="s">
        <v>276</v>
      </c>
      <c r="D33" s="568" t="s">
        <v>276</v>
      </c>
      <c r="E33" s="565"/>
    </row>
    <row r="34" spans="2:5" x14ac:dyDescent="0.2">
      <c r="B34" s="564"/>
      <c r="C34" s="569" t="s">
        <v>274</v>
      </c>
      <c r="D34" s="568" t="s">
        <v>273</v>
      </c>
      <c r="E34" s="565"/>
    </row>
    <row r="35" spans="2:5" x14ac:dyDescent="0.2">
      <c r="B35" s="564"/>
      <c r="C35" s="569" t="s">
        <v>272</v>
      </c>
      <c r="D35" s="568" t="s">
        <v>271</v>
      </c>
      <c r="E35" s="565"/>
    </row>
    <row r="36" spans="2:5" x14ac:dyDescent="0.2">
      <c r="B36" s="564"/>
      <c r="C36" s="569" t="s">
        <v>270</v>
      </c>
      <c r="D36" s="568" t="s">
        <v>269</v>
      </c>
      <c r="E36" s="565"/>
    </row>
    <row r="37" spans="2:5" x14ac:dyDescent="0.2">
      <c r="B37" s="564"/>
      <c r="C37" s="567" t="s">
        <v>268</v>
      </c>
      <c r="D37" s="566" t="s">
        <v>266</v>
      </c>
      <c r="E37" s="565"/>
    </row>
    <row r="38" spans="2:5" ht="13.5" thickBot="1" x14ac:dyDescent="0.25">
      <c r="B38" s="563"/>
      <c r="C38" s="31"/>
      <c r="D38" s="31"/>
      <c r="E38" s="30"/>
    </row>
  </sheetData>
  <mergeCells count="1">
    <mergeCell ref="B2:E2"/>
  </mergeCells>
  <conditionalFormatting sqref="D7:D8">
    <cfRule type="cellIs" dxfId="42"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354</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GbpYC#0002</v>
      </c>
      <c r="F6" s="56" t="str">
        <f>_xll.ohRangeRetrieveError(E6)</f>
        <v/>
      </c>
      <c r="G6" s="6"/>
    </row>
    <row r="7" spans="1:7" x14ac:dyDescent="0.2">
      <c r="B7" s="52"/>
      <c r="C7" s="57" t="s">
        <v>111</v>
      </c>
      <c r="D7" s="57" t="str">
        <f t="shared" si="0"/>
        <v>GbpYCSTD</v>
      </c>
      <c r="E7" s="7" t="str">
        <f>_xll.qlRelinkableHandleYieldTermStructure(D7,,Permanent,Trigger,ObjectOverwrite)</f>
        <v>GbpYCSTD#0002</v>
      </c>
      <c r="F7" s="56"/>
      <c r="G7" s="6"/>
    </row>
    <row r="8" spans="1:7" x14ac:dyDescent="0.2">
      <c r="B8" s="52"/>
      <c r="C8" s="57" t="s">
        <v>17</v>
      </c>
      <c r="D8" s="57" t="str">
        <f t="shared" si="0"/>
        <v>GbpLiborYCON</v>
      </c>
      <c r="E8" s="7" t="str">
        <f>_xll.qlRelinkableHandleYieldTermStructure(D8,,Permanent,Trigger,ObjectOverwrite)</f>
        <v>GbpLiborYCON#0002</v>
      </c>
      <c r="F8" s="56"/>
      <c r="G8" s="6"/>
    </row>
    <row r="9" spans="1:7" x14ac:dyDescent="0.2">
      <c r="B9" s="52"/>
      <c r="C9" s="57" t="s">
        <v>14</v>
      </c>
      <c r="D9" s="57" t="str">
        <f t="shared" si="0"/>
        <v>GbpLiborYC1M</v>
      </c>
      <c r="E9" s="7" t="str">
        <f>_xll.qlRelinkableHandleYieldTermStructure(D9,,Permanent,Trigger,ObjectOverwrite)</f>
        <v>GbpLiborYC1M#0002</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GbpLiborYC3M#0002</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GbpLiborYC6M#0002</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GbpLiborYC1Y#0002</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GbpLiborYCON-Mx#0002</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GbpLiborYC1M-Mx#0002</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GbpLiborYC3M-Mx#0002</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GbpLiborYC6M-Mx#0002</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GbpLiborYC1Y-Mx#0002</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GbpSwaptionATMVol#0002</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GbpSwaptionVol#0002</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Gbp3MFutOptionVol#0002</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Gbp1MCapletVol#0002</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Gbp3MCapletVol#0002</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Gbp6MCapletVol#0002</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Gbp1YCapletVol#0002</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Gbp3MFutOptionVolEx#0002</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Gbp1MCapletVolEx#0002</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Gbp3MCapletVolEx#0002</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Gbp6MCapletVolEx#0002</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Gbp1YCapletVolEx#0002</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4"/>
  <sheetViews>
    <sheetView workbookViewId="0"/>
  </sheetViews>
  <sheetFormatPr defaultRowHeight="12.75" x14ac:dyDescent="0.2"/>
  <cols>
    <col min="1" max="1" width="3.140625" style="1" customWidth="1"/>
    <col min="2" max="2" width="3.570312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2" width="3.5703125" style="1" customWidth="1"/>
    <col min="13" max="16384" width="9.140625" style="1"/>
  </cols>
  <sheetData>
    <row r="1" spans="1:12" s="2" customFormat="1" ht="12" thickBot="1" x14ac:dyDescent="0.25">
      <c r="A1" s="2" t="s">
        <v>355</v>
      </c>
    </row>
    <row r="2" spans="1:12" s="2" customFormat="1" x14ac:dyDescent="0.2">
      <c r="B2" s="27"/>
      <c r="C2" s="26"/>
      <c r="D2" s="26"/>
      <c r="E2" s="25"/>
      <c r="F2" s="24"/>
      <c r="G2" s="24"/>
      <c r="H2" s="24"/>
      <c r="I2" s="24"/>
      <c r="J2" s="23"/>
    </row>
    <row r="3" spans="1:12" s="2" customFormat="1" x14ac:dyDescent="0.2">
      <c r="B3" s="12"/>
      <c r="C3" s="21"/>
      <c r="D3" s="21"/>
      <c r="E3" s="22" t="s">
        <v>26</v>
      </c>
      <c r="F3" s="15" t="s">
        <v>25</v>
      </c>
      <c r="G3" s="20"/>
      <c r="H3" s="20"/>
      <c r="I3" s="20"/>
      <c r="J3" s="14"/>
    </row>
    <row r="4" spans="1:12" s="2" customFormat="1" x14ac:dyDescent="0.2">
      <c r="B4" s="12"/>
      <c r="C4" s="21"/>
      <c r="D4" s="21"/>
      <c r="E4" s="20"/>
      <c r="F4" s="20"/>
      <c r="G4" s="20"/>
      <c r="H4" s="20"/>
      <c r="I4" s="20"/>
      <c r="J4" s="14"/>
    </row>
    <row r="5" spans="1:12"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row>
    <row r="6" spans="1:12" s="2" customFormat="1" x14ac:dyDescent="0.2">
      <c r="B6" s="12"/>
      <c r="C6" s="11" t="s">
        <v>21</v>
      </c>
      <c r="D6" s="10" t="s">
        <v>22</v>
      </c>
      <c r="E6" s="13" t="s">
        <v>21</v>
      </c>
      <c r="F6" s="8" t="str">
        <f>_xll.qlSonia($E6,Currency&amp;$D6,Permanent,Trigger,ObjectOverwrite)</f>
        <v>Sonia2#0002</v>
      </c>
      <c r="G6" s="8" t="str">
        <f>_xll.qlLastFixingQuote(E6&amp;"LastFixing_Quote",F6,Permanent,Trigger,ObjectOverwrite)</f>
        <v>Sonia2LastFixing_Quote#0002</v>
      </c>
      <c r="H6" s="7" t="str">
        <f>_xll.ohRangeRetrieveError(F6)</f>
        <v/>
      </c>
      <c r="I6" s="7" t="str">
        <f>_xll.ohRangeRetrieveError(G6)</f>
        <v/>
      </c>
      <c r="J6" s="14"/>
      <c r="L6" s="2">
        <f>_xll.qlInterestRateIndexFixingDays(F6)</f>
        <v>0</v>
      </c>
    </row>
    <row r="7" spans="1:12" s="2" customFormat="1" x14ac:dyDescent="0.2">
      <c r="B7" s="12"/>
      <c r="C7" s="11" t="s">
        <v>20</v>
      </c>
      <c r="D7" s="10" t="s">
        <v>17</v>
      </c>
      <c r="E7" s="13" t="s">
        <v>20</v>
      </c>
      <c r="F7" s="8" t="str">
        <f>_xll.qlSonia($E7,Currency&amp;$D7,Permanent,Trigger,ObjectOverwrite)</f>
        <v>Sonia#0002</v>
      </c>
      <c r="G7" s="8" t="str">
        <f>_xll.qlLastFixingQuote(E7&amp;"LastFixing_Quote",F7,Permanent,Trigger,ObjectOverwrite)</f>
        <v>SoniaLastFixing_Quote#0002</v>
      </c>
      <c r="H7" s="7" t="str">
        <f>_xll.ohRangeRetrieveError(F7)</f>
        <v/>
      </c>
      <c r="I7" s="7" t="str">
        <f>_xll.ohRangeRetrieveError(G7)</f>
        <v/>
      </c>
      <c r="J7" s="6"/>
      <c r="L7" s="2">
        <f>_xll.qlInterestRateIndexFixingDays(F7)</f>
        <v>0</v>
      </c>
    </row>
    <row r="8" spans="1:12" s="2" customFormat="1" x14ac:dyDescent="0.2">
      <c r="B8" s="12"/>
      <c r="C8" s="11" t="s">
        <v>19</v>
      </c>
      <c r="D8" s="10" t="s">
        <v>17</v>
      </c>
      <c r="E8" s="9" t="str">
        <f t="shared" ref="E8:E22" si="0">PROPER(Currency)&amp;FamilyName&amp;$C8</f>
        <v>GbpLiborSW</v>
      </c>
      <c r="F8" s="8" t="str">
        <f>_xll.qlLibor($E8,Currency,$C8,Currency&amp;$D8,Permanent,Trigger,ObjectOverwrite)</f>
        <v>GbpLiborSW#0002</v>
      </c>
      <c r="G8" s="8" t="str">
        <f>_xll.qlLastFixingQuote(E8&amp;"LastFixing_Quote",F8,Permanent,Trigger,ObjectOverwrite)</f>
        <v>GbpLiborSWLastFixing_Quote#0002</v>
      </c>
      <c r="H8" s="7" t="str">
        <f>_xll.ohRangeRetrieveError(F8)</f>
        <v/>
      </c>
      <c r="I8" s="7" t="str">
        <f>_xll.ohRangeRetrieveError(G8)</f>
        <v/>
      </c>
      <c r="J8" s="6"/>
      <c r="L8" s="2">
        <f>_xll.qlInterestRateIndexFixingDays(F8)</f>
        <v>0</v>
      </c>
    </row>
    <row r="9" spans="1:12" s="2" customFormat="1" x14ac:dyDescent="0.2">
      <c r="B9" s="12"/>
      <c r="C9" s="11" t="s">
        <v>18</v>
      </c>
      <c r="D9" s="10" t="s">
        <v>17</v>
      </c>
      <c r="E9" s="9" t="str">
        <f t="shared" si="0"/>
        <v>GbpLibor2W</v>
      </c>
      <c r="F9" s="8" t="str">
        <f>_xll.qlLibor($E9,Currency,$C9,Currency&amp;$D9,Permanent,Trigger,ObjectOverwrite)</f>
        <v>GbpLibor2W#0002</v>
      </c>
      <c r="G9" s="8" t="str">
        <f>_xll.qlLastFixingQuote(E9&amp;"LastFixing_Quote",F9,Permanent,Trigger,ObjectOverwrite)</f>
        <v>GbpLibor2WLastFixing_Quote#0002</v>
      </c>
      <c r="H9" s="7" t="str">
        <f>_xll.ohRangeRetrieveError(F9)</f>
        <v/>
      </c>
      <c r="I9" s="7" t="str">
        <f>_xll.ohRangeRetrieveError(G9)</f>
        <v/>
      </c>
      <c r="J9" s="6"/>
      <c r="L9" s="2">
        <f>_xll.qlInterestRateIndexFixingDays(F9)</f>
        <v>0</v>
      </c>
    </row>
    <row r="10" spans="1:12" s="2" customFormat="1" x14ac:dyDescent="0.2">
      <c r="B10" s="12"/>
      <c r="C10" s="11" t="s">
        <v>16</v>
      </c>
      <c r="D10" s="10" t="s">
        <v>14</v>
      </c>
      <c r="E10" s="9" t="str">
        <f t="shared" si="0"/>
        <v>GbpLibor3W</v>
      </c>
      <c r="F10" s="8" t="str">
        <f>_xll.qlLibor($E10,Currency,$C10,Currency&amp;$D10,Permanent,Trigger,ObjectOverwrite)</f>
        <v>GbpLibor3W#0002</v>
      </c>
      <c r="G10" s="8" t="str">
        <f>_xll.qlLastFixingQuote(E10&amp;"LastFixing_Quote",F10,Permanent,Trigger,ObjectOverwrite)</f>
        <v>GbpLibor3WLastFixing_Quote#0002</v>
      </c>
      <c r="H10" s="7" t="str">
        <f>_xll.ohRangeRetrieveError(F10)</f>
        <v/>
      </c>
      <c r="I10" s="7" t="str">
        <f>_xll.ohRangeRetrieveError(G10)</f>
        <v/>
      </c>
      <c r="J10" s="6"/>
      <c r="L10" s="2">
        <f>_xll.qlInterestRateIndexFixingDays(F10)</f>
        <v>0</v>
      </c>
    </row>
    <row r="11" spans="1:12" s="2" customFormat="1" x14ac:dyDescent="0.2">
      <c r="B11" s="12"/>
      <c r="C11" s="11" t="s">
        <v>15</v>
      </c>
      <c r="D11" s="10" t="s">
        <v>14</v>
      </c>
      <c r="E11" s="9" t="str">
        <f t="shared" si="0"/>
        <v>GbpLibor1M</v>
      </c>
      <c r="F11" s="8" t="str">
        <f>_xll.qlLibor($E11,Currency,$C11,Currency&amp;$D11,Permanent,Trigger,ObjectOverwrite)</f>
        <v>GbpLibor1M#0002</v>
      </c>
      <c r="G11" s="8" t="str">
        <f>_xll.qlLastFixingQuote(E11&amp;"LastFixing_Quote",F11,Permanent,Trigger,ObjectOverwrite)</f>
        <v>GbpLibor1MLastFixing_Quote#0002</v>
      </c>
      <c r="H11" s="7" t="str">
        <f>_xll.ohRangeRetrieveError(F11)</f>
        <v/>
      </c>
      <c r="I11" s="7" t="str">
        <f>_xll.ohRangeRetrieveError(G11)</f>
        <v/>
      </c>
      <c r="J11" s="6"/>
      <c r="L11" s="2">
        <f>_xll.qlInterestRateIndexFixingDays(F11)</f>
        <v>0</v>
      </c>
    </row>
    <row r="12" spans="1:12" s="2" customFormat="1" x14ac:dyDescent="0.2">
      <c r="B12" s="12"/>
      <c r="C12" s="11" t="s">
        <v>13</v>
      </c>
      <c r="D12" s="10" t="s">
        <v>10</v>
      </c>
      <c r="E12" s="9" t="str">
        <f t="shared" si="0"/>
        <v>GbpLibor2M</v>
      </c>
      <c r="F12" s="8" t="str">
        <f>_xll.qlLibor($E12,Currency,$C12,Currency&amp;$D12,Permanent,Trigger,ObjectOverwrite)</f>
        <v>GbpLibor2M#0002</v>
      </c>
      <c r="G12" s="8" t="str">
        <f>_xll.qlLastFixingQuote(E12&amp;"LastFixing_Quote",F12,Permanent,Trigger,ObjectOverwrite)</f>
        <v>GbpLibor2MLastFixing_Quote#0002</v>
      </c>
      <c r="H12" s="7" t="str">
        <f>_xll.ohRangeRetrieveError(F12)</f>
        <v/>
      </c>
      <c r="I12" s="7" t="str">
        <f>_xll.ohRangeRetrieveError(G12)</f>
        <v/>
      </c>
      <c r="J12" s="6"/>
      <c r="L12" s="2">
        <f>_xll.qlInterestRateIndexFixingDays(F12)</f>
        <v>0</v>
      </c>
    </row>
    <row r="13" spans="1:12" s="2" customFormat="1" x14ac:dyDescent="0.2">
      <c r="B13" s="12"/>
      <c r="C13" s="11" t="s">
        <v>12</v>
      </c>
      <c r="D13" s="10" t="s">
        <v>10</v>
      </c>
      <c r="E13" s="9" t="str">
        <f t="shared" si="0"/>
        <v>GbpLibor3M</v>
      </c>
      <c r="F13" s="8" t="str">
        <f>_xll.qlLibor($E13,Currency,$C13,Currency&amp;$D13,Permanent,Trigger,ObjectOverwrite)</f>
        <v>GbpLibor3M#0002</v>
      </c>
      <c r="G13" s="8" t="str">
        <f>_xll.qlLastFixingQuote(E13&amp;"LastFixing_Quote",F13,Permanent,Trigger,ObjectOverwrite)</f>
        <v>GbpLibor3MLastFixing_Quote#0002</v>
      </c>
      <c r="H13" s="7" t="str">
        <f>_xll.ohRangeRetrieveError(F13)</f>
        <v/>
      </c>
      <c r="I13" s="7" t="str">
        <f>_xll.ohRangeRetrieveError(G13)</f>
        <v/>
      </c>
      <c r="J13" s="6"/>
      <c r="L13" s="2">
        <f>_xll.qlInterestRateIndexFixingDays(F13)</f>
        <v>0</v>
      </c>
    </row>
    <row r="14" spans="1:12" s="2" customFormat="1" x14ac:dyDescent="0.2">
      <c r="B14" s="12"/>
      <c r="C14" s="11" t="s">
        <v>11</v>
      </c>
      <c r="D14" s="10" t="s">
        <v>10</v>
      </c>
      <c r="E14" s="9" t="str">
        <f t="shared" si="0"/>
        <v>GbpLibor4M</v>
      </c>
      <c r="F14" s="8" t="str">
        <f>_xll.qlLibor($E14,Currency,$C14,Currency&amp;$D14,Permanent,Trigger,ObjectOverwrite)</f>
        <v>GbpLibor4M#0002</v>
      </c>
      <c r="G14" s="8" t="str">
        <f>_xll.qlLastFixingQuote(E14&amp;"LastFixing_Quote",F14,Permanent,Trigger,ObjectOverwrite)</f>
        <v>GbpLibor4MLastFixing_Quote#0002</v>
      </c>
      <c r="H14" s="7" t="str">
        <f>_xll.ohRangeRetrieveError(F14)</f>
        <v/>
      </c>
      <c r="I14" s="7" t="str">
        <f>_xll.ohRangeRetrieveError(G14)</f>
        <v/>
      </c>
      <c r="J14" s="6"/>
      <c r="L14" s="2">
        <f>_xll.qlInterestRateIndexFixingDays(F14)</f>
        <v>0</v>
      </c>
    </row>
    <row r="15" spans="1:12" s="2" customFormat="1" x14ac:dyDescent="0.2">
      <c r="B15" s="12"/>
      <c r="C15" s="11" t="s">
        <v>9</v>
      </c>
      <c r="D15" s="10" t="s">
        <v>5</v>
      </c>
      <c r="E15" s="9" t="str">
        <f t="shared" si="0"/>
        <v>GbpLibor5M</v>
      </c>
      <c r="F15" s="8" t="str">
        <f>_xll.qlLibor($E15,Currency,$C15,Currency&amp;$D15,Permanent,Trigger,ObjectOverwrite)</f>
        <v>GbpLibor5M#0002</v>
      </c>
      <c r="G15" s="8" t="str">
        <f>_xll.qlLastFixingQuote(E15&amp;"LastFixing_Quote",F15,Permanent,Trigger,ObjectOverwrite)</f>
        <v>GbpLibor5MLastFixing_Quote#0002</v>
      </c>
      <c r="H15" s="7" t="str">
        <f>_xll.ohRangeRetrieveError(F15)</f>
        <v/>
      </c>
      <c r="I15" s="7" t="str">
        <f>_xll.ohRangeRetrieveError(G15)</f>
        <v/>
      </c>
      <c r="J15" s="6"/>
      <c r="L15" s="2">
        <f>_xll.qlInterestRateIndexFixingDays(F15)</f>
        <v>0</v>
      </c>
    </row>
    <row r="16" spans="1:12" s="2" customFormat="1" x14ac:dyDescent="0.2">
      <c r="B16" s="12"/>
      <c r="C16" s="11" t="s">
        <v>8</v>
      </c>
      <c r="D16" s="10" t="s">
        <v>5</v>
      </c>
      <c r="E16" s="9" t="str">
        <f t="shared" si="0"/>
        <v>GbpLibor6M</v>
      </c>
      <c r="F16" s="8" t="str">
        <f>_xll.qlLibor($E16,Currency,$C16,Currency&amp;$D16,Permanent,Trigger,ObjectOverwrite)</f>
        <v>GbpLibor6M#0002</v>
      </c>
      <c r="G16" s="8" t="str">
        <f>_xll.qlLastFixingQuote(E16&amp;"LastFixing_Quote",F16,Permanent,Trigger,ObjectOverwrite)</f>
        <v>GbpLibor6MLastFixing_Quote#0002</v>
      </c>
      <c r="H16" s="7" t="str">
        <f>_xll.ohRangeRetrieveError(F16)</f>
        <v/>
      </c>
      <c r="I16" s="7" t="str">
        <f>_xll.ohRangeRetrieveError(G16)</f>
        <v/>
      </c>
      <c r="J16" s="6"/>
      <c r="L16" s="2">
        <f>_xll.qlInterestRateIndexFixingDays(F16)</f>
        <v>0</v>
      </c>
    </row>
    <row r="17" spans="2:12" s="2" customFormat="1" x14ac:dyDescent="0.2">
      <c r="B17" s="12"/>
      <c r="C17" s="11" t="s">
        <v>7</v>
      </c>
      <c r="D17" s="10" t="s">
        <v>5</v>
      </c>
      <c r="E17" s="9" t="str">
        <f t="shared" si="0"/>
        <v>GbpLibor7M</v>
      </c>
      <c r="F17" s="8" t="str">
        <f>_xll.qlLibor($E17,Currency,$C17,Currency&amp;$D17,Permanent,Trigger,ObjectOverwrite)</f>
        <v>GbpLibor7M#0002</v>
      </c>
      <c r="G17" s="8" t="str">
        <f>_xll.qlLastFixingQuote(E17&amp;"LastFixing_Quote",F17,Permanent,Trigger,ObjectOverwrite)</f>
        <v>GbpLibor7MLastFixing_Quote#0002</v>
      </c>
      <c r="H17" s="7" t="str">
        <f>_xll.ohRangeRetrieveError(F17)</f>
        <v/>
      </c>
      <c r="I17" s="7" t="str">
        <f>_xll.ohRangeRetrieveError(G17)</f>
        <v/>
      </c>
      <c r="J17" s="6"/>
      <c r="L17" s="2">
        <f>_xll.qlInterestRateIndexFixingDays(F17)</f>
        <v>0</v>
      </c>
    </row>
    <row r="18" spans="2:12" s="2" customFormat="1" x14ac:dyDescent="0.2">
      <c r="B18" s="12"/>
      <c r="C18" s="11" t="s">
        <v>6</v>
      </c>
      <c r="D18" s="10" t="s">
        <v>5</v>
      </c>
      <c r="E18" s="9" t="str">
        <f t="shared" si="0"/>
        <v>GbpLibor8M</v>
      </c>
      <c r="F18" s="8" t="str">
        <f>_xll.qlLibor($E18,Currency,$C18,Currency&amp;$D18,Permanent,Trigger,ObjectOverwrite)</f>
        <v>GbpLibor8M#0002</v>
      </c>
      <c r="G18" s="8" t="str">
        <f>_xll.qlLastFixingQuote(E18&amp;"LastFixing_Quote",F18,Permanent,Trigger,ObjectOverwrite)</f>
        <v>GbpLibor8MLastFixing_Quote#0002</v>
      </c>
      <c r="H18" s="7" t="str">
        <f>_xll.ohRangeRetrieveError(F18)</f>
        <v/>
      </c>
      <c r="I18" s="7" t="str">
        <f>_xll.ohRangeRetrieveError(G18)</f>
        <v/>
      </c>
      <c r="J18" s="6"/>
      <c r="L18" s="2">
        <f>_xll.qlInterestRateIndexFixingDays(F18)</f>
        <v>0</v>
      </c>
    </row>
    <row r="19" spans="2:12" s="2" customFormat="1" x14ac:dyDescent="0.2">
      <c r="B19" s="12"/>
      <c r="C19" s="11" t="s">
        <v>4</v>
      </c>
      <c r="D19" s="10" t="s">
        <v>0</v>
      </c>
      <c r="E19" s="9" t="str">
        <f t="shared" si="0"/>
        <v>GbpLibor9M</v>
      </c>
      <c r="F19" s="8" t="str">
        <f>_xll.qlLibor($E19,Currency,$C19,Currency&amp;$D19,Permanent,Trigger,ObjectOverwrite)</f>
        <v>GbpLibor9M#0002</v>
      </c>
      <c r="G19" s="8" t="str">
        <f>_xll.qlLastFixingQuote(E19&amp;"LastFixing_Quote",F19,Permanent,Trigger,ObjectOverwrite)</f>
        <v>GbpLibor9MLastFixing_Quote#0002</v>
      </c>
      <c r="H19" s="7" t="str">
        <f>_xll.ohRangeRetrieveError(F19)</f>
        <v/>
      </c>
      <c r="I19" s="7" t="str">
        <f>_xll.ohRangeRetrieveError(G19)</f>
        <v/>
      </c>
      <c r="J19" s="6"/>
      <c r="L19" s="2">
        <f>_xll.qlInterestRateIndexFixingDays(F19)</f>
        <v>0</v>
      </c>
    </row>
    <row r="20" spans="2:12" s="2" customFormat="1" x14ac:dyDescent="0.2">
      <c r="B20" s="12"/>
      <c r="C20" s="11" t="s">
        <v>3</v>
      </c>
      <c r="D20" s="10" t="s">
        <v>0</v>
      </c>
      <c r="E20" s="9" t="str">
        <f t="shared" si="0"/>
        <v>GbpLibor10M</v>
      </c>
      <c r="F20" s="8" t="str">
        <f>_xll.qlLibor($E20,Currency,$C20,Currency&amp;$D20,Permanent,Trigger,ObjectOverwrite)</f>
        <v>GbpLibor10M#0002</v>
      </c>
      <c r="G20" s="8" t="str">
        <f>_xll.qlLastFixingQuote(E20&amp;"LastFixing_Quote",F20,Permanent,Trigger,ObjectOverwrite)</f>
        <v>GbpLibor10MLastFixing_Quote#0002</v>
      </c>
      <c r="H20" s="7" t="str">
        <f>_xll.ohRangeRetrieveError(F20)</f>
        <v/>
      </c>
      <c r="I20" s="7" t="str">
        <f>_xll.ohRangeRetrieveError(G20)</f>
        <v/>
      </c>
      <c r="J20" s="6"/>
      <c r="L20" s="2">
        <f>_xll.qlInterestRateIndexFixingDays(F20)</f>
        <v>0</v>
      </c>
    </row>
    <row r="21" spans="2:12" s="2" customFormat="1" x14ac:dyDescent="0.2">
      <c r="B21" s="12"/>
      <c r="C21" s="11" t="s">
        <v>2</v>
      </c>
      <c r="D21" s="10" t="s">
        <v>0</v>
      </c>
      <c r="E21" s="9" t="str">
        <f t="shared" si="0"/>
        <v>GbpLibor11M</v>
      </c>
      <c r="F21" s="8" t="str">
        <f>_xll.qlLibor($E21,Currency,$C21,Currency&amp;$D21,Permanent,Trigger,ObjectOverwrite)</f>
        <v>GbpLibor11M#0002</v>
      </c>
      <c r="G21" s="8" t="str">
        <f>_xll.qlLastFixingQuote(E21&amp;"LastFixing_Quote",F21,Permanent,Trigger,ObjectOverwrite)</f>
        <v>GbpLibor11MLastFixing_Quote#0002</v>
      </c>
      <c r="H21" s="7" t="str">
        <f>_xll.ohRangeRetrieveError(F21)</f>
        <v/>
      </c>
      <c r="I21" s="7" t="str">
        <f>_xll.ohRangeRetrieveError(G21)</f>
        <v/>
      </c>
      <c r="J21" s="6"/>
      <c r="L21" s="2">
        <f>_xll.qlInterestRateIndexFixingDays(F21)</f>
        <v>0</v>
      </c>
    </row>
    <row r="22" spans="2:12" s="2" customFormat="1" x14ac:dyDescent="0.2">
      <c r="B22" s="12"/>
      <c r="C22" s="11" t="s">
        <v>1</v>
      </c>
      <c r="D22" s="10" t="s">
        <v>0</v>
      </c>
      <c r="E22" s="9" t="str">
        <f t="shared" si="0"/>
        <v>GbpLibor1Y</v>
      </c>
      <c r="F22" s="8" t="str">
        <f>_xll.qlLibor($E22,Currency,$C22,Currency&amp;$D22,Permanent,Trigger,ObjectOverwrite)</f>
        <v>GbpLibor1Y#0002</v>
      </c>
      <c r="G22" s="8" t="str">
        <f>_xll.qlLastFixingQuote(E22&amp;"LastFixing_Quote",F22,Permanent,Trigger,ObjectOverwrite)</f>
        <v>GbpLibor1YLastFixing_Quote#0002</v>
      </c>
      <c r="H22" s="7" t="str">
        <f>_xll.ohRangeRetrieveError(F22)</f>
        <v/>
      </c>
      <c r="I22" s="7" t="str">
        <f>_xll.ohRangeRetrieveError(G22)</f>
        <v/>
      </c>
      <c r="J22" s="6"/>
      <c r="L22" s="2">
        <f>_xll.qlInterestRateIndexFixingDays(F22)</f>
        <v>0</v>
      </c>
    </row>
    <row r="23" spans="2:12" s="2" customFormat="1" ht="12" thickBot="1" x14ac:dyDescent="0.25">
      <c r="B23" s="5"/>
      <c r="C23" s="4"/>
      <c r="D23" s="4"/>
      <c r="E23" s="4"/>
      <c r="F23" s="4"/>
      <c r="G23" s="4"/>
      <c r="H23" s="4"/>
      <c r="I23" s="4"/>
      <c r="J23" s="3"/>
    </row>
    <row r="24" spans="2:12" s="2"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8"/>
  <sheetViews>
    <sheetView workbookViewId="0"/>
  </sheetViews>
  <sheetFormatPr defaultRowHeight="11.25" x14ac:dyDescent="0.2"/>
  <cols>
    <col min="1" max="1" width="3.140625" style="28" customWidth="1"/>
    <col min="2" max="2" width="4.4257812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8" width="5.28515625" style="28" customWidth="1"/>
    <col min="9" max="9" width="4.140625" style="28" customWidth="1"/>
    <col min="10" max="10" width="1.85546875" style="28" bestFit="1" customWidth="1"/>
    <col min="11" max="16384" width="9.140625" style="28"/>
  </cols>
  <sheetData>
    <row r="1" spans="1:10" s="29" customFormat="1" ht="12" thickBot="1" x14ac:dyDescent="0.25">
      <c r="A1" s="2" t="s">
        <v>355</v>
      </c>
    </row>
    <row r="2" spans="1:10" s="29" customFormat="1" x14ac:dyDescent="0.2">
      <c r="B2" s="49"/>
      <c r="C2" s="47"/>
      <c r="D2" s="47"/>
      <c r="E2" s="48"/>
      <c r="F2" s="47"/>
      <c r="G2" s="47"/>
      <c r="H2" s="46"/>
    </row>
    <row r="3" spans="1:10" s="29" customFormat="1" x14ac:dyDescent="0.2">
      <c r="B3" s="39"/>
      <c r="C3" s="44"/>
      <c r="D3" s="44"/>
      <c r="E3" s="45" t="s">
        <v>26</v>
      </c>
      <c r="F3" s="42" t="s">
        <v>88</v>
      </c>
      <c r="G3" s="44"/>
      <c r="H3" s="41"/>
    </row>
    <row r="4" spans="1:10" s="29" customFormat="1" x14ac:dyDescent="0.2">
      <c r="B4" s="39"/>
      <c r="C4" s="44"/>
      <c r="D4" s="44"/>
      <c r="E4" s="45" t="s">
        <v>87</v>
      </c>
      <c r="F4" s="42" t="s">
        <v>86</v>
      </c>
      <c r="G4" s="44"/>
      <c r="H4" s="41"/>
    </row>
    <row r="5" spans="1:10" s="29" customFormat="1" x14ac:dyDescent="0.2">
      <c r="B5" s="39"/>
      <c r="C5" s="44"/>
      <c r="D5" s="44"/>
      <c r="E5" s="44"/>
      <c r="F5" s="44"/>
      <c r="G5" s="44"/>
      <c r="H5" s="41"/>
    </row>
    <row r="6" spans="1:10" s="29" customFormat="1"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row>
    <row r="7" spans="1:10"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GbpLiborSwapIsda1Y#0002</v>
      </c>
      <c r="G7" s="34" t="str">
        <f>_xll.ohRangeRetrieveError(F7)</f>
        <v/>
      </c>
      <c r="H7" s="33"/>
      <c r="J7" s="2">
        <f>_xll.qlInterestRateIndexFixingDays(F7)</f>
        <v>0</v>
      </c>
    </row>
    <row r="8" spans="1:10" s="29" customFormat="1" x14ac:dyDescent="0.2">
      <c r="B8" s="39"/>
      <c r="C8" s="38" t="s">
        <v>85</v>
      </c>
      <c r="D8" s="37" t="s">
        <v>5</v>
      </c>
      <c r="E8" s="36" t="str">
        <f t="shared" si="0"/>
        <v>GbpLiborSwapIsda2Y</v>
      </c>
      <c r="F8" s="35" t="str">
        <f>_xll.qlLiborSwap($E8,Currency,FixingType,$C8,Currency&amp;$D8,Discounting,Permanent,Trigger,ObjectOverwrite)</f>
        <v>GbpLiborSwapIsda2Y#0002</v>
      </c>
      <c r="G8" s="34" t="str">
        <f>_xll.ohRangeRetrieveError(F8)</f>
        <v/>
      </c>
      <c r="H8" s="33"/>
      <c r="J8" s="2">
        <f>_xll.qlInterestRateIndexFixingDays(F8)</f>
        <v>0</v>
      </c>
    </row>
    <row r="9" spans="1:10" s="29" customFormat="1" x14ac:dyDescent="0.2">
      <c r="B9" s="39"/>
      <c r="C9" s="38" t="s">
        <v>84</v>
      </c>
      <c r="D9" s="37" t="s">
        <v>5</v>
      </c>
      <c r="E9" s="36" t="str">
        <f t="shared" si="0"/>
        <v>GbpLiborSwapIsda3Y</v>
      </c>
      <c r="F9" s="35" t="str">
        <f>_xll.qlLiborSwap($E9,Currency,FixingType,$C9,Currency&amp;$D9,Discounting,Permanent,Trigger,ObjectOverwrite)</f>
        <v>GbpLiborSwapIsda3Y#0002</v>
      </c>
      <c r="G9" s="34" t="str">
        <f>_xll.ohRangeRetrieveError(F9)</f>
        <v/>
      </c>
      <c r="H9" s="33"/>
      <c r="J9" s="2">
        <f>_xll.qlInterestRateIndexFixingDays(F9)</f>
        <v>0</v>
      </c>
    </row>
    <row r="10" spans="1:10" s="29" customFormat="1" x14ac:dyDescent="0.2">
      <c r="B10" s="39"/>
      <c r="C10" s="38" t="s">
        <v>83</v>
      </c>
      <c r="D10" s="37" t="s">
        <v>5</v>
      </c>
      <c r="E10" s="36" t="str">
        <f t="shared" si="0"/>
        <v>GbpLiborSwapIsda4Y</v>
      </c>
      <c r="F10" s="35" t="str">
        <f>_xll.qlLiborSwap($E10,Currency,FixingType,$C10,Currency&amp;$D10,Discounting,Permanent,Trigger,ObjectOverwrite)</f>
        <v>GbpLiborSwapIsda4Y#0002</v>
      </c>
      <c r="G10" s="34" t="str">
        <f>_xll.ohRangeRetrieveError(F10)</f>
        <v/>
      </c>
      <c r="H10" s="33"/>
      <c r="J10" s="2">
        <f>_xll.qlInterestRateIndexFixingDays(F10)</f>
        <v>0</v>
      </c>
    </row>
    <row r="11" spans="1:10" s="29" customFormat="1" x14ac:dyDescent="0.2">
      <c r="B11" s="39"/>
      <c r="C11" s="38" t="s">
        <v>82</v>
      </c>
      <c r="D11" s="37" t="s">
        <v>5</v>
      </c>
      <c r="E11" s="36" t="str">
        <f t="shared" si="0"/>
        <v>GbpLiborSwapIsda5Y</v>
      </c>
      <c r="F11" s="35" t="str">
        <f>_xll.qlLiborSwap($E11,Currency,FixingType,$C11,Currency&amp;$D11,Discounting,Permanent,Trigger,ObjectOverwrite)</f>
        <v>GbpLiborSwapIsda5Y#0002</v>
      </c>
      <c r="G11" s="34" t="str">
        <f>_xll.ohRangeRetrieveError(F11)</f>
        <v/>
      </c>
      <c r="H11" s="33"/>
      <c r="J11" s="2">
        <f>_xll.qlInterestRateIndexFixingDays(F11)</f>
        <v>0</v>
      </c>
    </row>
    <row r="12" spans="1:10" s="29" customFormat="1" x14ac:dyDescent="0.2">
      <c r="B12" s="39"/>
      <c r="C12" s="38" t="s">
        <v>81</v>
      </c>
      <c r="D12" s="37" t="s">
        <v>5</v>
      </c>
      <c r="E12" s="36" t="str">
        <f t="shared" si="0"/>
        <v>GbpLiborSwapIsda6Y</v>
      </c>
      <c r="F12" s="35" t="str">
        <f>_xll.qlLiborSwap($E12,Currency,FixingType,$C12,Currency&amp;$D12,Discounting,Permanent,Trigger,ObjectOverwrite)</f>
        <v>GbpLiborSwapIsda6Y#0002</v>
      </c>
      <c r="G12" s="34" t="str">
        <f>_xll.ohRangeRetrieveError(F12)</f>
        <v/>
      </c>
      <c r="H12" s="33"/>
      <c r="J12" s="2">
        <f>_xll.qlInterestRateIndexFixingDays(F12)</f>
        <v>0</v>
      </c>
    </row>
    <row r="13" spans="1:10" s="29" customFormat="1" x14ac:dyDescent="0.2">
      <c r="B13" s="39"/>
      <c r="C13" s="38" t="s">
        <v>80</v>
      </c>
      <c r="D13" s="37" t="s">
        <v>5</v>
      </c>
      <c r="E13" s="36" t="str">
        <f t="shared" si="0"/>
        <v>GbpLiborSwapIsda7Y</v>
      </c>
      <c r="F13" s="35" t="str">
        <f>_xll.qlLiborSwap($E13,Currency,FixingType,$C13,Currency&amp;$D13,Discounting,Permanent,Trigger,ObjectOverwrite)</f>
        <v>GbpLiborSwapIsda7Y#0002</v>
      </c>
      <c r="G13" s="34" t="str">
        <f>_xll.ohRangeRetrieveError(F13)</f>
        <v/>
      </c>
      <c r="H13" s="33"/>
      <c r="J13" s="2">
        <f>_xll.qlInterestRateIndexFixingDays(F13)</f>
        <v>0</v>
      </c>
    </row>
    <row r="14" spans="1:10" s="29" customFormat="1" x14ac:dyDescent="0.2">
      <c r="B14" s="39"/>
      <c r="C14" s="38" t="s">
        <v>79</v>
      </c>
      <c r="D14" s="37" t="s">
        <v>5</v>
      </c>
      <c r="E14" s="36" t="str">
        <f t="shared" si="0"/>
        <v>GbpLiborSwapIsda8Y</v>
      </c>
      <c r="F14" s="35" t="str">
        <f>_xll.qlLiborSwap($E14,Currency,FixingType,$C14,Currency&amp;$D14,Discounting,Permanent,Trigger,ObjectOverwrite)</f>
        <v>GbpLiborSwapIsda8Y#0002</v>
      </c>
      <c r="G14" s="34" t="str">
        <f>_xll.ohRangeRetrieveError(F14)</f>
        <v/>
      </c>
      <c r="H14" s="33"/>
      <c r="J14" s="2">
        <f>_xll.qlInterestRateIndexFixingDays(F14)</f>
        <v>0</v>
      </c>
    </row>
    <row r="15" spans="1:10" s="29" customFormat="1" x14ac:dyDescent="0.2">
      <c r="B15" s="39"/>
      <c r="C15" s="38" t="s">
        <v>78</v>
      </c>
      <c r="D15" s="37" t="s">
        <v>5</v>
      </c>
      <c r="E15" s="36" t="str">
        <f t="shared" si="0"/>
        <v>GbpLiborSwapIsda9Y</v>
      </c>
      <c r="F15" s="35" t="str">
        <f>_xll.qlLiborSwap($E15,Currency,FixingType,$C15,Currency&amp;$D15,Discounting,Permanent,Trigger,ObjectOverwrite)</f>
        <v>GbpLiborSwapIsda9Y#0002</v>
      </c>
      <c r="G15" s="34" t="str">
        <f>_xll.ohRangeRetrieveError(F15)</f>
        <v/>
      </c>
      <c r="H15" s="33"/>
      <c r="J15" s="2">
        <f>_xll.qlInterestRateIndexFixingDays(F15)</f>
        <v>0</v>
      </c>
    </row>
    <row r="16" spans="1:10" s="29" customFormat="1" x14ac:dyDescent="0.2">
      <c r="B16" s="39"/>
      <c r="C16" s="38" t="s">
        <v>77</v>
      </c>
      <c r="D16" s="37" t="s">
        <v>5</v>
      </c>
      <c r="E16" s="36" t="str">
        <f t="shared" si="0"/>
        <v>GbpLiborSwapIsda10Y</v>
      </c>
      <c r="F16" s="35" t="str">
        <f>_xll.qlLiborSwap($E16,Currency,FixingType,$C16,Currency&amp;$D16,Discounting,Permanent,Trigger,ObjectOverwrite)</f>
        <v>GbpLiborSwapIsda10Y#0002</v>
      </c>
      <c r="G16" s="34" t="str">
        <f>_xll.ohRangeRetrieveError(F16)</f>
        <v/>
      </c>
      <c r="H16" s="33"/>
      <c r="J16" s="2">
        <f>_xll.qlInterestRateIndexFixingDays(F16)</f>
        <v>0</v>
      </c>
    </row>
    <row r="17" spans="2:10" s="29" customFormat="1" x14ac:dyDescent="0.2">
      <c r="B17" s="39"/>
      <c r="C17" s="38" t="s">
        <v>76</v>
      </c>
      <c r="D17" s="37" t="s">
        <v>5</v>
      </c>
      <c r="E17" s="36" t="str">
        <f t="shared" si="0"/>
        <v>GbpLiborSwapIsda11Y</v>
      </c>
      <c r="F17" s="35" t="str">
        <f>_xll.qlLiborSwap($E17,Currency,FixingType,$C17,Currency&amp;$D17,Discounting,Permanent,Trigger,ObjectOverwrite)</f>
        <v>GbpLiborSwapIsda11Y#0002</v>
      </c>
      <c r="G17" s="34" t="str">
        <f>_xll.ohRangeRetrieveError(F17)</f>
        <v/>
      </c>
      <c r="H17" s="33"/>
      <c r="J17" s="2">
        <f>_xll.qlInterestRateIndexFixingDays(F17)</f>
        <v>0</v>
      </c>
    </row>
    <row r="18" spans="2:10" s="29" customFormat="1" x14ac:dyDescent="0.2">
      <c r="B18" s="39"/>
      <c r="C18" s="38" t="s">
        <v>75</v>
      </c>
      <c r="D18" s="37" t="s">
        <v>5</v>
      </c>
      <c r="E18" s="36" t="str">
        <f t="shared" si="0"/>
        <v>GbpLiborSwapIsda12Y</v>
      </c>
      <c r="F18" s="35" t="str">
        <f>_xll.qlLiborSwap($E18,Currency,FixingType,$C18,Currency&amp;$D18,Discounting,Permanent,Trigger,ObjectOverwrite)</f>
        <v>GbpLiborSwapIsda12Y#0002</v>
      </c>
      <c r="G18" s="34" t="str">
        <f>_xll.ohRangeRetrieveError(F18)</f>
        <v/>
      </c>
      <c r="H18" s="33"/>
      <c r="J18" s="2">
        <f>_xll.qlInterestRateIndexFixingDays(F18)</f>
        <v>0</v>
      </c>
    </row>
    <row r="19" spans="2:10" s="29" customFormat="1" x14ac:dyDescent="0.2">
      <c r="B19" s="39"/>
      <c r="C19" s="38" t="s">
        <v>74</v>
      </c>
      <c r="D19" s="37" t="s">
        <v>5</v>
      </c>
      <c r="E19" s="36" t="str">
        <f t="shared" si="0"/>
        <v>GbpLiborSwapIsda13Y</v>
      </c>
      <c r="F19" s="35" t="str">
        <f>_xll.qlLiborSwap($E19,Currency,FixingType,$C19,Currency&amp;$D19,Discounting,Permanent,Trigger,ObjectOverwrite)</f>
        <v>GbpLiborSwapIsda13Y#0002</v>
      </c>
      <c r="G19" s="34" t="str">
        <f>_xll.ohRangeRetrieveError(F19)</f>
        <v/>
      </c>
      <c r="H19" s="33"/>
      <c r="J19" s="2">
        <f>_xll.qlInterestRateIndexFixingDays(F19)</f>
        <v>0</v>
      </c>
    </row>
    <row r="20" spans="2:10" s="29" customFormat="1" x14ac:dyDescent="0.2">
      <c r="B20" s="39"/>
      <c r="C20" s="38" t="s">
        <v>73</v>
      </c>
      <c r="D20" s="37" t="s">
        <v>5</v>
      </c>
      <c r="E20" s="36" t="str">
        <f t="shared" si="0"/>
        <v>GbpLiborSwapIsda14Y</v>
      </c>
      <c r="F20" s="35" t="str">
        <f>_xll.qlLiborSwap($E20,Currency,FixingType,$C20,Currency&amp;$D20,Discounting,Permanent,Trigger,ObjectOverwrite)</f>
        <v>GbpLiborSwapIsda14Y#0002</v>
      </c>
      <c r="G20" s="34" t="str">
        <f>_xll.ohRangeRetrieveError(F20)</f>
        <v/>
      </c>
      <c r="H20" s="33"/>
      <c r="J20" s="2">
        <f>_xll.qlInterestRateIndexFixingDays(F20)</f>
        <v>0</v>
      </c>
    </row>
    <row r="21" spans="2:10" s="29" customFormat="1" x14ac:dyDescent="0.2">
      <c r="B21" s="39"/>
      <c r="C21" s="38" t="s">
        <v>72</v>
      </c>
      <c r="D21" s="37" t="s">
        <v>5</v>
      </c>
      <c r="E21" s="36" t="str">
        <f t="shared" si="0"/>
        <v>GbpLiborSwapIsda15Y</v>
      </c>
      <c r="F21" s="35" t="str">
        <f>_xll.qlLiborSwap($E21,Currency,FixingType,$C21,Currency&amp;$D21,Discounting,Permanent,Trigger,ObjectOverwrite)</f>
        <v>GbpLiborSwapIsda15Y#0002</v>
      </c>
      <c r="G21" s="34" t="str">
        <f>_xll.ohRangeRetrieveError(F21)</f>
        <v/>
      </c>
      <c r="H21" s="33"/>
      <c r="J21" s="2">
        <f>_xll.qlInterestRateIndexFixingDays(F21)</f>
        <v>0</v>
      </c>
    </row>
    <row r="22" spans="2:10" s="29" customFormat="1" x14ac:dyDescent="0.2">
      <c r="B22" s="39"/>
      <c r="C22" s="38" t="s">
        <v>71</v>
      </c>
      <c r="D22" s="37" t="s">
        <v>5</v>
      </c>
      <c r="E22" s="36" t="str">
        <f t="shared" si="0"/>
        <v>GbpLiborSwapIsda16Y</v>
      </c>
      <c r="F22" s="35" t="str">
        <f>_xll.qlLiborSwap($E22,Currency,FixingType,$C22,Currency&amp;$D22,Discounting,Permanent,Trigger,ObjectOverwrite)</f>
        <v>GbpLiborSwapIsda16Y#0002</v>
      </c>
      <c r="G22" s="34" t="str">
        <f>_xll.ohRangeRetrieveError(F22)</f>
        <v/>
      </c>
      <c r="H22" s="33"/>
      <c r="J22" s="2">
        <f>_xll.qlInterestRateIndexFixingDays(F22)</f>
        <v>0</v>
      </c>
    </row>
    <row r="23" spans="2:10" s="29" customFormat="1" x14ac:dyDescent="0.2">
      <c r="B23" s="39"/>
      <c r="C23" s="38" t="s">
        <v>70</v>
      </c>
      <c r="D23" s="37" t="s">
        <v>5</v>
      </c>
      <c r="E23" s="36" t="str">
        <f t="shared" si="0"/>
        <v>GbpLiborSwapIsda17Y</v>
      </c>
      <c r="F23" s="35" t="str">
        <f>_xll.qlLiborSwap($E23,Currency,FixingType,$C23,Currency&amp;$D23,Discounting,Permanent,Trigger,ObjectOverwrite)</f>
        <v>GbpLiborSwapIsda17Y#0002</v>
      </c>
      <c r="G23" s="34" t="str">
        <f>_xll.ohRangeRetrieveError(F23)</f>
        <v/>
      </c>
      <c r="H23" s="33"/>
      <c r="J23" s="2">
        <f>_xll.qlInterestRateIndexFixingDays(F23)</f>
        <v>0</v>
      </c>
    </row>
    <row r="24" spans="2:10" s="29" customFormat="1" x14ac:dyDescent="0.2">
      <c r="B24" s="39"/>
      <c r="C24" s="38" t="s">
        <v>69</v>
      </c>
      <c r="D24" s="37" t="s">
        <v>5</v>
      </c>
      <c r="E24" s="36" t="str">
        <f t="shared" si="0"/>
        <v>GbpLiborSwapIsda18Y</v>
      </c>
      <c r="F24" s="35" t="str">
        <f>_xll.qlLiborSwap($E24,Currency,FixingType,$C24,Currency&amp;$D24,Discounting,Permanent,Trigger,ObjectOverwrite)</f>
        <v>GbpLiborSwapIsda18Y#0002</v>
      </c>
      <c r="G24" s="34" t="str">
        <f>_xll.ohRangeRetrieveError(F24)</f>
        <v/>
      </c>
      <c r="H24" s="33"/>
      <c r="J24" s="2">
        <f>_xll.qlInterestRateIndexFixingDays(F24)</f>
        <v>0</v>
      </c>
    </row>
    <row r="25" spans="2:10" s="29" customFormat="1" x14ac:dyDescent="0.2">
      <c r="B25" s="39"/>
      <c r="C25" s="38" t="s">
        <v>68</v>
      </c>
      <c r="D25" s="37" t="s">
        <v>5</v>
      </c>
      <c r="E25" s="36" t="str">
        <f t="shared" si="0"/>
        <v>GbpLiborSwapIsda19Y</v>
      </c>
      <c r="F25" s="35" t="str">
        <f>_xll.qlLiborSwap($E25,Currency,FixingType,$C25,Currency&amp;$D25,Discounting,Permanent,Trigger,ObjectOverwrite)</f>
        <v>GbpLiborSwapIsda19Y#0002</v>
      </c>
      <c r="G25" s="34" t="str">
        <f>_xll.ohRangeRetrieveError(F25)</f>
        <v/>
      </c>
      <c r="H25" s="33"/>
      <c r="J25" s="2">
        <f>_xll.qlInterestRateIndexFixingDays(F25)</f>
        <v>0</v>
      </c>
    </row>
    <row r="26" spans="2:10" s="29" customFormat="1" x14ac:dyDescent="0.2">
      <c r="B26" s="39"/>
      <c r="C26" s="38" t="s">
        <v>67</v>
      </c>
      <c r="D26" s="37" t="s">
        <v>5</v>
      </c>
      <c r="E26" s="36" t="str">
        <f t="shared" si="0"/>
        <v>GbpLiborSwapIsda20Y</v>
      </c>
      <c r="F26" s="35" t="str">
        <f>_xll.qlLiborSwap($E26,Currency,FixingType,$C26,Currency&amp;$D26,Discounting,Permanent,Trigger,ObjectOverwrite)</f>
        <v>GbpLiborSwapIsda20Y#0002</v>
      </c>
      <c r="G26" s="34" t="str">
        <f>_xll.ohRangeRetrieveError(F26)</f>
        <v/>
      </c>
      <c r="H26" s="33"/>
      <c r="J26" s="2">
        <f>_xll.qlInterestRateIndexFixingDays(F26)</f>
        <v>0</v>
      </c>
    </row>
    <row r="27" spans="2:10" s="29" customFormat="1" x14ac:dyDescent="0.2">
      <c r="B27" s="39"/>
      <c r="C27" s="38" t="s">
        <v>66</v>
      </c>
      <c r="D27" s="37" t="s">
        <v>5</v>
      </c>
      <c r="E27" s="36" t="str">
        <f t="shared" si="0"/>
        <v>GbpLiborSwapIsda21Y</v>
      </c>
      <c r="F27" s="35" t="str">
        <f>_xll.qlLiborSwap($E27,Currency,FixingType,$C27,Currency&amp;$D27,Discounting,Permanent,Trigger,ObjectOverwrite)</f>
        <v>GbpLiborSwapIsda21Y#0002</v>
      </c>
      <c r="G27" s="34" t="str">
        <f>_xll.ohRangeRetrieveError(F27)</f>
        <v/>
      </c>
      <c r="H27" s="33"/>
      <c r="J27" s="2">
        <f>_xll.qlInterestRateIndexFixingDays(F27)</f>
        <v>0</v>
      </c>
    </row>
    <row r="28" spans="2:10" s="29" customFormat="1" x14ac:dyDescent="0.2">
      <c r="B28" s="39"/>
      <c r="C28" s="38" t="s">
        <v>65</v>
      </c>
      <c r="D28" s="37" t="s">
        <v>5</v>
      </c>
      <c r="E28" s="36" t="str">
        <f t="shared" si="0"/>
        <v>GbpLiborSwapIsda22Y</v>
      </c>
      <c r="F28" s="35" t="str">
        <f>_xll.qlLiborSwap($E28,Currency,FixingType,$C28,Currency&amp;$D28,Discounting,Permanent,Trigger,ObjectOverwrite)</f>
        <v>GbpLiborSwapIsda22Y#0002</v>
      </c>
      <c r="G28" s="34" t="str">
        <f>_xll.ohRangeRetrieveError(F28)</f>
        <v/>
      </c>
      <c r="H28" s="33"/>
      <c r="J28" s="2">
        <f>_xll.qlInterestRateIndexFixingDays(F28)</f>
        <v>0</v>
      </c>
    </row>
    <row r="29" spans="2:10" s="29" customFormat="1" x14ac:dyDescent="0.2">
      <c r="B29" s="39"/>
      <c r="C29" s="38" t="s">
        <v>64</v>
      </c>
      <c r="D29" s="37" t="s">
        <v>5</v>
      </c>
      <c r="E29" s="36" t="str">
        <f t="shared" si="0"/>
        <v>GbpLiborSwapIsda23Y</v>
      </c>
      <c r="F29" s="35" t="str">
        <f>_xll.qlLiborSwap($E29,Currency,FixingType,$C29,Currency&amp;$D29,Discounting,Permanent,Trigger,ObjectOverwrite)</f>
        <v>GbpLiborSwapIsda23Y#0002</v>
      </c>
      <c r="G29" s="34" t="str">
        <f>_xll.ohRangeRetrieveError(F29)</f>
        <v/>
      </c>
      <c r="H29" s="33"/>
      <c r="J29" s="2">
        <f>_xll.qlInterestRateIndexFixingDays(F29)</f>
        <v>0</v>
      </c>
    </row>
    <row r="30" spans="2:10" s="29" customFormat="1" x14ac:dyDescent="0.2">
      <c r="B30" s="39"/>
      <c r="C30" s="38" t="s">
        <v>63</v>
      </c>
      <c r="D30" s="37" t="s">
        <v>5</v>
      </c>
      <c r="E30" s="36" t="str">
        <f t="shared" si="0"/>
        <v>GbpLiborSwapIsda24Y</v>
      </c>
      <c r="F30" s="35" t="str">
        <f>_xll.qlLiborSwap($E30,Currency,FixingType,$C30,Currency&amp;$D30,Discounting,Permanent,Trigger,ObjectOverwrite)</f>
        <v>GbpLiborSwapIsda24Y#0002</v>
      </c>
      <c r="G30" s="34" t="str">
        <f>_xll.ohRangeRetrieveError(F30)</f>
        <v/>
      </c>
      <c r="H30" s="33"/>
      <c r="J30" s="2">
        <f>_xll.qlInterestRateIndexFixingDays(F30)</f>
        <v>0</v>
      </c>
    </row>
    <row r="31" spans="2:10" s="29" customFormat="1" x14ac:dyDescent="0.2">
      <c r="B31" s="39"/>
      <c r="C31" s="38" t="s">
        <v>62</v>
      </c>
      <c r="D31" s="37" t="s">
        <v>5</v>
      </c>
      <c r="E31" s="36" t="str">
        <f t="shared" si="0"/>
        <v>GbpLiborSwapIsda25Y</v>
      </c>
      <c r="F31" s="35" t="str">
        <f>_xll.qlLiborSwap($E31,Currency,FixingType,$C31,Currency&amp;$D31,Discounting,Permanent,Trigger,ObjectOverwrite)</f>
        <v>GbpLiborSwapIsda25Y#0002</v>
      </c>
      <c r="G31" s="34" t="str">
        <f>_xll.ohRangeRetrieveError(F31)</f>
        <v/>
      </c>
      <c r="H31" s="33"/>
      <c r="J31" s="2">
        <f>_xll.qlInterestRateIndexFixingDays(F31)</f>
        <v>0</v>
      </c>
    </row>
    <row r="32" spans="2:10" s="29" customFormat="1" x14ac:dyDescent="0.2">
      <c r="B32" s="39"/>
      <c r="C32" s="38" t="s">
        <v>61</v>
      </c>
      <c r="D32" s="37" t="s">
        <v>5</v>
      </c>
      <c r="E32" s="36" t="str">
        <f t="shared" si="0"/>
        <v>GbpLiborSwapIsda26Y</v>
      </c>
      <c r="F32" s="35" t="str">
        <f>_xll.qlLiborSwap($E32,Currency,FixingType,$C32,Currency&amp;$D32,Discounting,Permanent,Trigger,ObjectOverwrite)</f>
        <v>GbpLiborSwapIsda26Y#0002</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GbpLiborSwapIsda27Y#0002</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GbpLiborSwapIsda28Y#0002</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GbpLiborSwapIsda29Y#0002</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GbpLiborSwapIsda30Y#0002</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GbpLiborSwapIsda31Y#0002</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GbpLiborSwapIsda32Y#0002</v>
      </c>
      <c r="G38" s="34" t="str">
        <f>_xll.ohRangeRetrieveError(F38)</f>
        <v/>
      </c>
      <c r="H38" s="33"/>
      <c r="J38" s="2">
        <f>_xll.qlInterestRateIndexFixingDays(F38)</f>
        <v>0</v>
      </c>
    </row>
    <row r="39" spans="2:10" s="29" customFormat="1" x14ac:dyDescent="0.2">
      <c r="B39" s="39"/>
      <c r="C39" s="38" t="s">
        <v>54</v>
      </c>
      <c r="D39" s="37" t="s">
        <v>5</v>
      </c>
      <c r="E39" s="36" t="str">
        <f t="shared" ref="E39:E66" si="1">PROPER(Currency)&amp;FamilyName&amp;FixingType&amp;$C39</f>
        <v>GbpLiborSwapIsda33Y</v>
      </c>
      <c r="F39" s="35" t="str">
        <f>_xll.qlLiborSwap($E39,Currency,FixingType,$C39,Currency&amp;$D39,Discounting,Permanent,Trigger,ObjectOverwrite)</f>
        <v>GbpLiborSwapIsda33Y#0002</v>
      </c>
      <c r="G39" s="34" t="str">
        <f>_xll.ohRangeRetrieveError(F39)</f>
        <v/>
      </c>
      <c r="H39" s="33"/>
      <c r="J39" s="2">
        <f>_xll.qlInterestRateIndexFixingDays(F39)</f>
        <v>0</v>
      </c>
    </row>
    <row r="40" spans="2:10" s="29" customFormat="1" x14ac:dyDescent="0.2">
      <c r="B40" s="39"/>
      <c r="C40" s="38" t="s">
        <v>53</v>
      </c>
      <c r="D40" s="37" t="s">
        <v>5</v>
      </c>
      <c r="E40" s="36" t="str">
        <f t="shared" si="1"/>
        <v>GbpLiborSwapIsda34Y</v>
      </c>
      <c r="F40" s="35" t="str">
        <f>_xll.qlLiborSwap($E40,Currency,FixingType,$C40,Currency&amp;$D40,Discounting,Permanent,Trigger,ObjectOverwrite)</f>
        <v>GbpLiborSwapIsda34Y#0002</v>
      </c>
      <c r="G40" s="34" t="str">
        <f>_xll.ohRangeRetrieveError(F40)</f>
        <v/>
      </c>
      <c r="H40" s="33"/>
      <c r="J40" s="2">
        <f>_xll.qlInterestRateIndexFixingDays(F40)</f>
        <v>0</v>
      </c>
    </row>
    <row r="41" spans="2:10" s="29" customFormat="1" x14ac:dyDescent="0.2">
      <c r="B41" s="39"/>
      <c r="C41" s="38" t="s">
        <v>52</v>
      </c>
      <c r="D41" s="37" t="s">
        <v>5</v>
      </c>
      <c r="E41" s="36" t="str">
        <f t="shared" si="1"/>
        <v>GbpLiborSwapIsda35Y</v>
      </c>
      <c r="F41" s="35" t="str">
        <f>_xll.qlLiborSwap($E41,Currency,FixingType,$C41,Currency&amp;$D41,Discounting,Permanent,Trigger,ObjectOverwrite)</f>
        <v>GbpLiborSwapIsda35Y#0002</v>
      </c>
      <c r="G41" s="34" t="str">
        <f>_xll.ohRangeRetrieveError(F41)</f>
        <v/>
      </c>
      <c r="H41" s="33"/>
      <c r="J41" s="2">
        <f>_xll.qlInterestRateIndexFixingDays(F41)</f>
        <v>0</v>
      </c>
    </row>
    <row r="42" spans="2:10" s="29" customFormat="1" x14ac:dyDescent="0.2">
      <c r="B42" s="39"/>
      <c r="C42" s="38" t="s">
        <v>51</v>
      </c>
      <c r="D42" s="37" t="s">
        <v>5</v>
      </c>
      <c r="E42" s="36" t="str">
        <f t="shared" si="1"/>
        <v>GbpLiborSwapIsda36Y</v>
      </c>
      <c r="F42" s="35" t="str">
        <f>_xll.qlLiborSwap($E42,Currency,FixingType,$C42,Currency&amp;$D42,Discounting,Permanent,Trigger,ObjectOverwrite)</f>
        <v>GbpLiborSwapIsda36Y#0002</v>
      </c>
      <c r="G42" s="34" t="str">
        <f>_xll.ohRangeRetrieveError(F42)</f>
        <v/>
      </c>
      <c r="H42" s="33"/>
      <c r="J42" s="2">
        <f>_xll.qlInterestRateIndexFixingDays(F42)</f>
        <v>0</v>
      </c>
    </row>
    <row r="43" spans="2:10" s="29" customFormat="1" x14ac:dyDescent="0.2">
      <c r="B43" s="39"/>
      <c r="C43" s="38" t="s">
        <v>50</v>
      </c>
      <c r="D43" s="37" t="s">
        <v>5</v>
      </c>
      <c r="E43" s="36" t="str">
        <f t="shared" si="1"/>
        <v>GbpLiborSwapIsda37Y</v>
      </c>
      <c r="F43" s="35" t="str">
        <f>_xll.qlLiborSwap($E43,Currency,FixingType,$C43,Currency&amp;$D43,Discounting,Permanent,Trigger,ObjectOverwrite)</f>
        <v>GbpLiborSwapIsda37Y#0002</v>
      </c>
      <c r="G43" s="34" t="str">
        <f>_xll.ohRangeRetrieveError(F43)</f>
        <v/>
      </c>
      <c r="H43" s="33"/>
      <c r="J43" s="2">
        <f>_xll.qlInterestRateIndexFixingDays(F43)</f>
        <v>0</v>
      </c>
    </row>
    <row r="44" spans="2:10" s="29" customFormat="1" x14ac:dyDescent="0.2">
      <c r="B44" s="39"/>
      <c r="C44" s="38" t="s">
        <v>49</v>
      </c>
      <c r="D44" s="37" t="s">
        <v>5</v>
      </c>
      <c r="E44" s="36" t="str">
        <f t="shared" si="1"/>
        <v>GbpLiborSwapIsda38Y</v>
      </c>
      <c r="F44" s="35" t="str">
        <f>_xll.qlLiborSwap($E44,Currency,FixingType,$C44,Currency&amp;$D44,Discounting,Permanent,Trigger,ObjectOverwrite)</f>
        <v>GbpLiborSwapIsda38Y#0002</v>
      </c>
      <c r="G44" s="34" t="str">
        <f>_xll.ohRangeRetrieveError(F44)</f>
        <v/>
      </c>
      <c r="H44" s="33"/>
      <c r="J44" s="2">
        <f>_xll.qlInterestRateIndexFixingDays(F44)</f>
        <v>0</v>
      </c>
    </row>
    <row r="45" spans="2:10" s="29" customFormat="1" x14ac:dyDescent="0.2">
      <c r="B45" s="39"/>
      <c r="C45" s="38" t="s">
        <v>48</v>
      </c>
      <c r="D45" s="37" t="s">
        <v>5</v>
      </c>
      <c r="E45" s="36" t="str">
        <f t="shared" si="1"/>
        <v>GbpLiborSwapIsda39Y</v>
      </c>
      <c r="F45" s="35" t="str">
        <f>_xll.qlLiborSwap($E45,Currency,FixingType,$C45,Currency&amp;$D45,Discounting,Permanent,Trigger,ObjectOverwrite)</f>
        <v>GbpLiborSwapIsda39Y#0002</v>
      </c>
      <c r="G45" s="34" t="str">
        <f>_xll.ohRangeRetrieveError(F45)</f>
        <v/>
      </c>
      <c r="H45" s="33"/>
      <c r="J45" s="2">
        <f>_xll.qlInterestRateIndexFixingDays(F45)</f>
        <v>0</v>
      </c>
    </row>
    <row r="46" spans="2:10" s="29" customFormat="1" x14ac:dyDescent="0.2">
      <c r="B46" s="39"/>
      <c r="C46" s="38" t="s">
        <v>47</v>
      </c>
      <c r="D46" s="37" t="s">
        <v>5</v>
      </c>
      <c r="E46" s="36" t="str">
        <f t="shared" si="1"/>
        <v>GbpLiborSwapIsda40Y</v>
      </c>
      <c r="F46" s="35" t="str">
        <f>_xll.qlLiborSwap($E46,Currency,FixingType,$C46,Currency&amp;$D46,Discounting,Permanent,Trigger,ObjectOverwrite)</f>
        <v>GbpLiborSwapIsda40Y#0002</v>
      </c>
      <c r="G46" s="34" t="str">
        <f>_xll.ohRangeRetrieveError(F46)</f>
        <v/>
      </c>
      <c r="H46" s="33"/>
      <c r="J46" s="2">
        <f>_xll.qlInterestRateIndexFixingDays(F46)</f>
        <v>0</v>
      </c>
    </row>
    <row r="47" spans="2:10" s="29" customFormat="1" x14ac:dyDescent="0.2">
      <c r="B47" s="39"/>
      <c r="C47" s="38" t="s">
        <v>46</v>
      </c>
      <c r="D47" s="37" t="s">
        <v>5</v>
      </c>
      <c r="E47" s="36" t="str">
        <f t="shared" si="1"/>
        <v>GbpLiborSwapIsda41Y</v>
      </c>
      <c r="F47" s="35" t="str">
        <f>_xll.qlLiborSwap($E47,Currency,FixingType,$C47,Currency&amp;$D47,Discounting,Permanent,Trigger,ObjectOverwrite)</f>
        <v>GbpLiborSwapIsda41Y#0002</v>
      </c>
      <c r="G47" s="34" t="str">
        <f>_xll.ohRangeRetrieveError(F47)</f>
        <v/>
      </c>
      <c r="H47" s="33"/>
      <c r="J47" s="2">
        <f>_xll.qlInterestRateIndexFixingDays(F47)</f>
        <v>0</v>
      </c>
    </row>
    <row r="48" spans="2:10" s="29" customFormat="1" x14ac:dyDescent="0.2">
      <c r="B48" s="39"/>
      <c r="C48" s="38" t="s">
        <v>45</v>
      </c>
      <c r="D48" s="37" t="s">
        <v>5</v>
      </c>
      <c r="E48" s="36" t="str">
        <f t="shared" si="1"/>
        <v>GbpLiborSwapIsda42Y</v>
      </c>
      <c r="F48" s="35" t="str">
        <f>_xll.qlLiborSwap($E48,Currency,FixingType,$C48,Currency&amp;$D48,Discounting,Permanent,Trigger,ObjectOverwrite)</f>
        <v>GbpLiborSwapIsda42Y#0002</v>
      </c>
      <c r="G48" s="34" t="str">
        <f>_xll.ohRangeRetrieveError(F48)</f>
        <v/>
      </c>
      <c r="H48" s="33"/>
      <c r="J48" s="2">
        <f>_xll.qlInterestRateIndexFixingDays(F48)</f>
        <v>0</v>
      </c>
    </row>
    <row r="49" spans="2:10" s="29" customFormat="1" x14ac:dyDescent="0.2">
      <c r="B49" s="39"/>
      <c r="C49" s="38" t="s">
        <v>44</v>
      </c>
      <c r="D49" s="37" t="s">
        <v>5</v>
      </c>
      <c r="E49" s="36" t="str">
        <f t="shared" si="1"/>
        <v>GbpLiborSwapIsda43Y</v>
      </c>
      <c r="F49" s="35" t="str">
        <f>_xll.qlLiborSwap($E49,Currency,FixingType,$C49,Currency&amp;$D49,Discounting,Permanent,Trigger,ObjectOverwrite)</f>
        <v>GbpLiborSwapIsda43Y#0002</v>
      </c>
      <c r="G49" s="34" t="str">
        <f>_xll.ohRangeRetrieveError(F49)</f>
        <v/>
      </c>
      <c r="H49" s="33"/>
      <c r="J49" s="2">
        <f>_xll.qlInterestRateIndexFixingDays(F49)</f>
        <v>0</v>
      </c>
    </row>
    <row r="50" spans="2:10" s="29" customFormat="1" x14ac:dyDescent="0.2">
      <c r="B50" s="39"/>
      <c r="C50" s="38" t="s">
        <v>43</v>
      </c>
      <c r="D50" s="37" t="s">
        <v>5</v>
      </c>
      <c r="E50" s="36" t="str">
        <f t="shared" si="1"/>
        <v>GbpLiborSwapIsda44Y</v>
      </c>
      <c r="F50" s="35" t="str">
        <f>_xll.qlLiborSwap($E50,Currency,FixingType,$C50,Currency&amp;$D50,Discounting,Permanent,Trigger,ObjectOverwrite)</f>
        <v>GbpLiborSwapIsda44Y#0002</v>
      </c>
      <c r="G50" s="34" t="str">
        <f>_xll.ohRangeRetrieveError(F50)</f>
        <v/>
      </c>
      <c r="H50" s="33"/>
      <c r="J50" s="2">
        <f>_xll.qlInterestRateIndexFixingDays(F50)</f>
        <v>0</v>
      </c>
    </row>
    <row r="51" spans="2:10" s="29" customFormat="1" x14ac:dyDescent="0.2">
      <c r="B51" s="39"/>
      <c r="C51" s="38" t="s">
        <v>42</v>
      </c>
      <c r="D51" s="37" t="s">
        <v>5</v>
      </c>
      <c r="E51" s="36" t="str">
        <f t="shared" si="1"/>
        <v>GbpLiborSwapIsda45Y</v>
      </c>
      <c r="F51" s="35" t="str">
        <f>_xll.qlLiborSwap($E51,Currency,FixingType,$C51,Currency&amp;$D51,Discounting,Permanent,Trigger,ObjectOverwrite)</f>
        <v>GbpLiborSwapIsda45Y#0002</v>
      </c>
      <c r="G51" s="34" t="str">
        <f>_xll.ohRangeRetrieveError(F51)</f>
        <v/>
      </c>
      <c r="H51" s="33"/>
      <c r="J51" s="2">
        <f>_xll.qlInterestRateIndexFixingDays(F51)</f>
        <v>0</v>
      </c>
    </row>
    <row r="52" spans="2:10" s="29" customFormat="1" x14ac:dyDescent="0.2">
      <c r="B52" s="39"/>
      <c r="C52" s="38" t="s">
        <v>41</v>
      </c>
      <c r="D52" s="37" t="s">
        <v>5</v>
      </c>
      <c r="E52" s="36" t="str">
        <f t="shared" si="1"/>
        <v>GbpLiborSwapIsda46Y</v>
      </c>
      <c r="F52" s="35" t="str">
        <f>_xll.qlLiborSwap($E52,Currency,FixingType,$C52,Currency&amp;$D52,Discounting,Permanent,Trigger,ObjectOverwrite)</f>
        <v>GbpLiborSwapIsda46Y#0002</v>
      </c>
      <c r="G52" s="34" t="str">
        <f>_xll.ohRangeRetrieveError(F52)</f>
        <v/>
      </c>
      <c r="H52" s="33"/>
      <c r="J52" s="2">
        <f>_xll.qlInterestRateIndexFixingDays(F52)</f>
        <v>0</v>
      </c>
    </row>
    <row r="53" spans="2:10" s="29" customFormat="1" x14ac:dyDescent="0.2">
      <c r="B53" s="39"/>
      <c r="C53" s="38" t="s">
        <v>40</v>
      </c>
      <c r="D53" s="37" t="s">
        <v>5</v>
      </c>
      <c r="E53" s="36" t="str">
        <f t="shared" si="1"/>
        <v>GbpLiborSwapIsda47Y</v>
      </c>
      <c r="F53" s="35" t="str">
        <f>_xll.qlLiborSwap($E53,Currency,FixingType,$C53,Currency&amp;$D53,Discounting,Permanent,Trigger,ObjectOverwrite)</f>
        <v>GbpLiborSwapIsda47Y#0002</v>
      </c>
      <c r="G53" s="34" t="str">
        <f>_xll.ohRangeRetrieveError(F53)</f>
        <v/>
      </c>
      <c r="H53" s="33"/>
      <c r="J53" s="2">
        <f>_xll.qlInterestRateIndexFixingDays(F53)</f>
        <v>0</v>
      </c>
    </row>
    <row r="54" spans="2:10" s="29" customFormat="1" x14ac:dyDescent="0.2">
      <c r="B54" s="39"/>
      <c r="C54" s="38" t="s">
        <v>39</v>
      </c>
      <c r="D54" s="37" t="s">
        <v>5</v>
      </c>
      <c r="E54" s="36" t="str">
        <f t="shared" si="1"/>
        <v>GbpLiborSwapIsda48Y</v>
      </c>
      <c r="F54" s="35" t="str">
        <f>_xll.qlLiborSwap($E54,Currency,FixingType,$C54,Currency&amp;$D54,Discounting,Permanent,Trigger,ObjectOverwrite)</f>
        <v>GbpLiborSwapIsda48Y#0002</v>
      </c>
      <c r="G54" s="34" t="str">
        <f>_xll.ohRangeRetrieveError(F54)</f>
        <v/>
      </c>
      <c r="H54" s="33"/>
      <c r="J54" s="2">
        <f>_xll.qlInterestRateIndexFixingDays(F54)</f>
        <v>0</v>
      </c>
    </row>
    <row r="55" spans="2:10" s="29" customFormat="1" x14ac:dyDescent="0.2">
      <c r="B55" s="39"/>
      <c r="C55" s="38" t="s">
        <v>38</v>
      </c>
      <c r="D55" s="37" t="s">
        <v>5</v>
      </c>
      <c r="E55" s="36" t="str">
        <f t="shared" si="1"/>
        <v>GbpLiborSwapIsda49Y</v>
      </c>
      <c r="F55" s="35" t="str">
        <f>_xll.qlLiborSwap($E55,Currency,FixingType,$C55,Currency&amp;$D55,Discounting,Permanent,Trigger,ObjectOverwrite)</f>
        <v>GbpLiborSwapIsda49Y#0002</v>
      </c>
      <c r="G55" s="34" t="str">
        <f>_xll.ohRangeRetrieveError(F55)</f>
        <v/>
      </c>
      <c r="H55" s="33"/>
      <c r="J55" s="2">
        <f>_xll.qlInterestRateIndexFixingDays(F55)</f>
        <v>0</v>
      </c>
    </row>
    <row r="56" spans="2:10" s="29" customFormat="1" x14ac:dyDescent="0.2">
      <c r="B56" s="39"/>
      <c r="C56" s="38" t="s">
        <v>37</v>
      </c>
      <c r="D56" s="37" t="s">
        <v>5</v>
      </c>
      <c r="E56" s="36" t="str">
        <f t="shared" si="1"/>
        <v>GbpLiborSwapIsda50Y</v>
      </c>
      <c r="F56" s="35" t="str">
        <f>_xll.qlLiborSwap($E56,Currency,FixingType,$C56,Currency&amp;$D56,Discounting,Permanent,Trigger,ObjectOverwrite)</f>
        <v>GbpLiborSwapIsda50Y#0002</v>
      </c>
      <c r="G56" s="34" t="str">
        <f>_xll.ohRangeRetrieveError(F56)</f>
        <v/>
      </c>
      <c r="H56" s="33"/>
      <c r="J56" s="2">
        <f>_xll.qlInterestRateIndexFixingDays(F56)</f>
        <v>0</v>
      </c>
    </row>
    <row r="57" spans="2:10" s="29" customFormat="1" x14ac:dyDescent="0.2">
      <c r="B57" s="39"/>
      <c r="C57" s="38" t="s">
        <v>36</v>
      </c>
      <c r="D57" s="37" t="s">
        <v>5</v>
      </c>
      <c r="E57" s="36" t="str">
        <f t="shared" si="1"/>
        <v>GbpLiborSwapIsda51Y</v>
      </c>
      <c r="F57" s="35" t="str">
        <f>_xll.qlLiborSwap($E57,Currency,FixingType,$C57,Currency&amp;$D57,Discounting,Permanent,Trigger,ObjectOverwrite)</f>
        <v>GbpLiborSwapIsda51Y#0002</v>
      </c>
      <c r="G57" s="34" t="str">
        <f>_xll.ohRangeRetrieveError(F57)</f>
        <v/>
      </c>
      <c r="H57" s="33"/>
      <c r="J57" s="2">
        <f>_xll.qlInterestRateIndexFixingDays(F57)</f>
        <v>0</v>
      </c>
    </row>
    <row r="58" spans="2:10" s="29" customFormat="1" x14ac:dyDescent="0.2">
      <c r="B58" s="39"/>
      <c r="C58" s="38" t="s">
        <v>35</v>
      </c>
      <c r="D58" s="37" t="s">
        <v>5</v>
      </c>
      <c r="E58" s="36" t="str">
        <f t="shared" si="1"/>
        <v>GbpLiborSwapIsda52Y</v>
      </c>
      <c r="F58" s="35" t="str">
        <f>_xll.qlLiborSwap($E58,Currency,FixingType,$C58,Currency&amp;$D58,Discounting,Permanent,Trigger,ObjectOverwrite)</f>
        <v>GbpLiborSwapIsda52Y#0002</v>
      </c>
      <c r="G58" s="34" t="str">
        <f>_xll.ohRangeRetrieveError(F58)</f>
        <v/>
      </c>
      <c r="H58" s="33"/>
      <c r="J58" s="2">
        <f>_xll.qlInterestRateIndexFixingDays(F58)</f>
        <v>0</v>
      </c>
    </row>
    <row r="59" spans="2:10" s="29" customFormat="1" x14ac:dyDescent="0.2">
      <c r="B59" s="39"/>
      <c r="C59" s="38" t="s">
        <v>34</v>
      </c>
      <c r="D59" s="37" t="s">
        <v>5</v>
      </c>
      <c r="E59" s="36" t="str">
        <f t="shared" si="1"/>
        <v>GbpLiborSwapIsda53Y</v>
      </c>
      <c r="F59" s="35" t="str">
        <f>_xll.qlLiborSwap($E59,Currency,FixingType,$C59,Currency&amp;$D59,Discounting,Permanent,Trigger,ObjectOverwrite)</f>
        <v>GbpLiborSwapIsda53Y#0002</v>
      </c>
      <c r="G59" s="34" t="str">
        <f>_xll.ohRangeRetrieveError(F59)</f>
        <v/>
      </c>
      <c r="H59" s="33"/>
      <c r="J59" s="2">
        <f>_xll.qlInterestRateIndexFixingDays(F59)</f>
        <v>0</v>
      </c>
    </row>
    <row r="60" spans="2:10" s="29" customFormat="1" x14ac:dyDescent="0.2">
      <c r="B60" s="39"/>
      <c r="C60" s="38" t="s">
        <v>33</v>
      </c>
      <c r="D60" s="37" t="s">
        <v>5</v>
      </c>
      <c r="E60" s="36" t="str">
        <f t="shared" si="1"/>
        <v>GbpLiborSwapIsda54Y</v>
      </c>
      <c r="F60" s="35" t="str">
        <f>_xll.qlLiborSwap($E60,Currency,FixingType,$C60,Currency&amp;$D60,Discounting,Permanent,Trigger,ObjectOverwrite)</f>
        <v>GbpLiborSwapIsda54Y#0002</v>
      </c>
      <c r="G60" s="34" t="str">
        <f>_xll.ohRangeRetrieveError(F60)</f>
        <v/>
      </c>
      <c r="H60" s="33"/>
      <c r="J60" s="2">
        <f>_xll.qlInterestRateIndexFixingDays(F60)</f>
        <v>0</v>
      </c>
    </row>
    <row r="61" spans="2:10" s="29" customFormat="1" x14ac:dyDescent="0.2">
      <c r="B61" s="39"/>
      <c r="C61" s="38" t="s">
        <v>32</v>
      </c>
      <c r="D61" s="37" t="s">
        <v>5</v>
      </c>
      <c r="E61" s="36" t="str">
        <f t="shared" si="1"/>
        <v>GbpLiborSwapIsda55Y</v>
      </c>
      <c r="F61" s="35" t="str">
        <f>_xll.qlLiborSwap($E61,Currency,FixingType,$C61,Currency&amp;$D61,Discounting,Permanent,Trigger,ObjectOverwrite)</f>
        <v>GbpLiborSwapIsda55Y#0002</v>
      </c>
      <c r="G61" s="34" t="str">
        <f>_xll.ohRangeRetrieveError(F61)</f>
        <v/>
      </c>
      <c r="H61" s="33"/>
      <c r="J61" s="2">
        <f>_xll.qlInterestRateIndexFixingDays(F61)</f>
        <v>0</v>
      </c>
    </row>
    <row r="62" spans="2:10" s="29" customFormat="1" x14ac:dyDescent="0.2">
      <c r="B62" s="39"/>
      <c r="C62" s="38" t="s">
        <v>31</v>
      </c>
      <c r="D62" s="37" t="s">
        <v>5</v>
      </c>
      <c r="E62" s="36" t="str">
        <f t="shared" si="1"/>
        <v>GbpLiborSwapIsda56Y</v>
      </c>
      <c r="F62" s="35" t="str">
        <f>_xll.qlLiborSwap($E62,Currency,FixingType,$C62,Currency&amp;$D62,Discounting,Permanent,Trigger,ObjectOverwrite)</f>
        <v>GbpLiborSwapIsda56Y#0002</v>
      </c>
      <c r="G62" s="34" t="str">
        <f>_xll.ohRangeRetrieveError(F62)</f>
        <v/>
      </c>
      <c r="H62" s="33"/>
      <c r="J62" s="2">
        <f>_xll.qlInterestRateIndexFixingDays(F62)</f>
        <v>0</v>
      </c>
    </row>
    <row r="63" spans="2:10" s="29" customFormat="1" x14ac:dyDescent="0.2">
      <c r="B63" s="39"/>
      <c r="C63" s="38" t="s">
        <v>30</v>
      </c>
      <c r="D63" s="37" t="s">
        <v>5</v>
      </c>
      <c r="E63" s="36" t="str">
        <f t="shared" si="1"/>
        <v>GbpLiborSwapIsda57Y</v>
      </c>
      <c r="F63" s="35" t="str">
        <f>_xll.qlLiborSwap($E63,Currency,FixingType,$C63,Currency&amp;$D63,Discounting,Permanent,Trigger,ObjectOverwrite)</f>
        <v>GbpLiborSwapIsda57Y#0002</v>
      </c>
      <c r="G63" s="34" t="str">
        <f>_xll.ohRangeRetrieveError(F63)</f>
        <v/>
      </c>
      <c r="H63" s="33"/>
      <c r="J63" s="2">
        <f>_xll.qlInterestRateIndexFixingDays(F63)</f>
        <v>0</v>
      </c>
    </row>
    <row r="64" spans="2:10" s="29" customFormat="1" x14ac:dyDescent="0.2">
      <c r="B64" s="39"/>
      <c r="C64" s="38" t="s">
        <v>29</v>
      </c>
      <c r="D64" s="37" t="s">
        <v>5</v>
      </c>
      <c r="E64" s="36" t="str">
        <f t="shared" si="1"/>
        <v>GbpLiborSwapIsda58Y</v>
      </c>
      <c r="F64" s="35" t="str">
        <f>_xll.qlLiborSwap($E64,Currency,FixingType,$C64,Currency&amp;$D64,Discounting,Permanent,Trigger,ObjectOverwrite)</f>
        <v>GbpLiborSwapIsda58Y#0002</v>
      </c>
      <c r="G64" s="34" t="str">
        <f>_xll.ohRangeRetrieveError(F64)</f>
        <v/>
      </c>
      <c r="H64" s="33"/>
      <c r="J64" s="2">
        <f>_xll.qlInterestRateIndexFixingDays(F64)</f>
        <v>0</v>
      </c>
    </row>
    <row r="65" spans="2:10" s="29" customFormat="1" x14ac:dyDescent="0.2">
      <c r="B65" s="39"/>
      <c r="C65" s="38" t="s">
        <v>28</v>
      </c>
      <c r="D65" s="37" t="s">
        <v>5</v>
      </c>
      <c r="E65" s="36" t="str">
        <f t="shared" si="1"/>
        <v>GbpLiborSwapIsda59Y</v>
      </c>
      <c r="F65" s="35" t="str">
        <f>_xll.qlLiborSwap($E65,Currency,FixingType,$C65,Currency&amp;$D65,Discounting,Permanent,Trigger,ObjectOverwrite)</f>
        <v>GbpLiborSwapIsda59Y#0002</v>
      </c>
      <c r="G65" s="34" t="str">
        <f>_xll.ohRangeRetrieveError(F65)</f>
        <v/>
      </c>
      <c r="H65" s="33"/>
      <c r="J65" s="2">
        <f>_xll.qlInterestRateIndexFixingDays(F65)</f>
        <v>0</v>
      </c>
    </row>
    <row r="66" spans="2:10" s="29" customFormat="1" x14ac:dyDescent="0.2">
      <c r="B66" s="39"/>
      <c r="C66" s="38" t="s">
        <v>27</v>
      </c>
      <c r="D66" s="37" t="s">
        <v>5</v>
      </c>
      <c r="E66" s="36" t="str">
        <f t="shared" si="1"/>
        <v>GbpLiborSwapIsda60Y</v>
      </c>
      <c r="F66" s="35" t="str">
        <f>_xll.qlLiborSwap($E66,Currency,FixingType,$C66,Currency&amp;$D66,Discounting,Permanent,Trigger,ObjectOverwrite)</f>
        <v>GbpLiborSwapIsda60Y#0002</v>
      </c>
      <c r="G66" s="34" t="str">
        <f>_xll.ohRangeRetrieveError(F66)</f>
        <v/>
      </c>
      <c r="H66" s="33"/>
      <c r="J66" s="2">
        <f>_xll.qlInterestRateIndexFixingDays(F66)</f>
        <v>0</v>
      </c>
    </row>
    <row r="67" spans="2:10" s="29" customFormat="1" ht="12" thickBot="1" x14ac:dyDescent="0.25">
      <c r="B67" s="32"/>
      <c r="C67" s="31"/>
      <c r="D67" s="31"/>
      <c r="E67" s="31"/>
      <c r="F67" s="31"/>
      <c r="G67" s="31"/>
      <c r="H67" s="30"/>
    </row>
    <row r="68" spans="2:10" s="29"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41"/>
  <sheetViews>
    <sheetView workbookViewId="0"/>
  </sheetViews>
  <sheetFormatPr defaultRowHeight="11.25" x14ac:dyDescent="0.2"/>
  <cols>
    <col min="1" max="1" width="3.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8" width="4.42578125" style="65" customWidth="1"/>
    <col min="9" max="12" width="3.5703125" style="65" customWidth="1"/>
    <col min="13" max="16384" width="9.140625" style="65"/>
  </cols>
  <sheetData>
    <row r="1" spans="1:12" x14ac:dyDescent="0.2">
      <c r="A1" s="595" t="s">
        <v>350</v>
      </c>
      <c r="B1" s="95"/>
      <c r="C1" s="95"/>
      <c r="D1" s="95"/>
      <c r="E1" s="93"/>
      <c r="F1" s="94"/>
      <c r="G1" s="93"/>
      <c r="H1" s="92"/>
    </row>
    <row r="2" spans="1:12" x14ac:dyDescent="0.2">
      <c r="A2" s="77"/>
      <c r="B2" s="90" t="s">
        <v>125</v>
      </c>
      <c r="C2" s="91"/>
      <c r="D2" s="90"/>
      <c r="E2" s="89" t="str">
        <f>Currency&amp;"_010_Sw"&amp;$C$4&amp;$D$4&amp;".xml"</f>
        <v>GBP_010_Sw1L6L.xml</v>
      </c>
      <c r="F2" s="88">
        <f ca="1">IF(Serialize,_xll.ohObjectSave(F3:F40,SerializationPath&amp;E2,FileOverwrite,Serialize),"---")</f>
        <v>38</v>
      </c>
      <c r="G2" s="72" t="str">
        <f ca="1">_xll.ohRangeRetrieveError(F2)</f>
        <v/>
      </c>
      <c r="H2" s="71"/>
    </row>
    <row r="3" spans="1:12" x14ac:dyDescent="0.2">
      <c r="A3" s="77"/>
      <c r="B3" s="87" t="s">
        <v>8</v>
      </c>
      <c r="C3" s="75" t="str">
        <f>VLOOKUP(Currency,$J$8:$L$12,2)</f>
        <v>1L</v>
      </c>
      <c r="D3" s="74" t="str">
        <f>VLOOKUP(Currency,$J$8:$L$12,3)</f>
        <v>6L</v>
      </c>
      <c r="E3" s="73" t="str">
        <f t="shared" ref="E3:E40" si="0">IF(ISBLANK(C3),"#",Currency&amp;$C3&amp;$D3&amp;$B3&amp;QuoteSuffix)</f>
        <v>GBP1L6L6M_Quote</v>
      </c>
      <c r="F3" s="73" t="str">
        <f>_xll.qlSimpleQuote(E3,,RateTickValue,Permanent,Trigger,ObjectOverwrite)</f>
        <v>GBP1L6L6M_Quote#0002</v>
      </c>
      <c r="G3" s="72" t="str">
        <f>_xll.ohRangeRetrieveError(F3)</f>
        <v/>
      </c>
      <c r="H3" s="71"/>
    </row>
    <row r="4" spans="1:12" x14ac:dyDescent="0.2">
      <c r="A4" s="77"/>
      <c r="B4" s="87" t="s">
        <v>1</v>
      </c>
      <c r="C4" s="75" t="str">
        <f t="shared" ref="C4:C40" si="1">C3</f>
        <v>1L</v>
      </c>
      <c r="D4" s="74" t="str">
        <f t="shared" ref="D4:D40" si="2">D3</f>
        <v>6L</v>
      </c>
      <c r="E4" s="73" t="str">
        <f t="shared" si="0"/>
        <v>GBP1L6L1Y_Quote</v>
      </c>
      <c r="F4" s="73" t="str">
        <f>_xll.qlSimpleQuote(E4,,RateTickValue,Permanent,Trigger,ObjectOverwrite)</f>
        <v>GBP1L6L1Y_Quote#0002</v>
      </c>
      <c r="G4" s="72" t="str">
        <f>_xll.ohRangeRetrieveError(F4)</f>
        <v/>
      </c>
      <c r="H4" s="71"/>
    </row>
    <row r="5" spans="1:12" s="63" customFormat="1" ht="12.75" x14ac:dyDescent="0.2">
      <c r="A5" s="77"/>
      <c r="B5" s="87" t="s">
        <v>124</v>
      </c>
      <c r="C5" s="75" t="str">
        <f t="shared" si="1"/>
        <v>1L</v>
      </c>
      <c r="D5" s="74" t="str">
        <f t="shared" si="2"/>
        <v>6L</v>
      </c>
      <c r="E5" s="73" t="str">
        <f t="shared" si="0"/>
        <v>GBP1L6L15M_Quote</v>
      </c>
      <c r="F5" s="73" t="str">
        <f>_xll.qlSimpleQuote(E5,,RateTickValue,Permanent,Trigger,ObjectOverwrite)</f>
        <v>GBP1L6L15M_Quote#0002</v>
      </c>
      <c r="G5" s="72" t="str">
        <f>_xll.ohRangeRetrieveError(F5)</f>
        <v/>
      </c>
      <c r="H5" s="71"/>
    </row>
    <row r="6" spans="1:12" s="63" customFormat="1" ht="12.75" x14ac:dyDescent="0.2">
      <c r="A6" s="77"/>
      <c r="B6" s="87" t="s">
        <v>123</v>
      </c>
      <c r="C6" s="75" t="str">
        <f t="shared" si="1"/>
        <v>1L</v>
      </c>
      <c r="D6" s="74" t="str">
        <f t="shared" si="2"/>
        <v>6L</v>
      </c>
      <c r="E6" s="73" t="str">
        <f t="shared" si="0"/>
        <v>GBP1L6L18M_Quote</v>
      </c>
      <c r="F6" s="73" t="str">
        <f>_xll.qlSimpleQuote(E6,,RateTickValue,Permanent,Trigger,ObjectOverwrite)</f>
        <v>GBP1L6L18M_Quote#0002</v>
      </c>
      <c r="G6" s="72" t="str">
        <f>_xll.ohRangeRetrieveError(F6)</f>
        <v/>
      </c>
      <c r="H6" s="71"/>
    </row>
    <row r="7" spans="1:12" s="63" customFormat="1" ht="13.5" thickBot="1" x14ac:dyDescent="0.25">
      <c r="A7" s="77"/>
      <c r="B7" s="87" t="s">
        <v>122</v>
      </c>
      <c r="C7" s="75" t="str">
        <f t="shared" si="1"/>
        <v>1L</v>
      </c>
      <c r="D7" s="74" t="str">
        <f t="shared" si="2"/>
        <v>6L</v>
      </c>
      <c r="E7" s="73" t="str">
        <f t="shared" si="0"/>
        <v>GBP1L6L21M_Quote</v>
      </c>
      <c r="F7" s="73" t="str">
        <f>_xll.qlSimpleQuote(E7,,RateTickValue,Permanent,Trigger,ObjectOverwrite)</f>
        <v>GBP1L6L21M_Quote#0002</v>
      </c>
      <c r="G7" s="72" t="str">
        <f>_xll.ohRangeRetrieveError(F7)</f>
        <v/>
      </c>
      <c r="H7" s="71"/>
    </row>
    <row r="8" spans="1:12" x14ac:dyDescent="0.2">
      <c r="A8" s="77"/>
      <c r="B8" s="76" t="s">
        <v>85</v>
      </c>
      <c r="C8" s="75" t="str">
        <f t="shared" si="1"/>
        <v>1L</v>
      </c>
      <c r="D8" s="74" t="str">
        <f t="shared" si="2"/>
        <v>6L</v>
      </c>
      <c r="E8" s="73" t="str">
        <f t="shared" si="0"/>
        <v>GBP1L6L2Y_Quote</v>
      </c>
      <c r="F8" s="73" t="str">
        <f>_xll.qlSimpleQuote(E8,,RateTickValue,Permanent,Trigger,ObjectOverwrite)</f>
        <v>GBP1L6L2Y_Quote#0002</v>
      </c>
      <c r="G8" s="72" t="str">
        <f>_xll.ohRangeRetrieveError(F8)</f>
        <v/>
      </c>
      <c r="H8" s="71"/>
      <c r="J8" s="86" t="s">
        <v>121</v>
      </c>
      <c r="K8" s="85" t="s">
        <v>113</v>
      </c>
      <c r="L8" s="84" t="s">
        <v>116</v>
      </c>
    </row>
    <row r="9" spans="1:12" x14ac:dyDescent="0.2">
      <c r="A9" s="77"/>
      <c r="B9" s="76" t="s">
        <v>84</v>
      </c>
      <c r="C9" s="75" t="str">
        <f t="shared" si="1"/>
        <v>1L</v>
      </c>
      <c r="D9" s="74" t="str">
        <f t="shared" si="2"/>
        <v>6L</v>
      </c>
      <c r="E9" s="73" t="str">
        <f t="shared" si="0"/>
        <v>GBP1L6L3Y_Quote</v>
      </c>
      <c r="F9" s="73" t="str">
        <f>_xll.qlSimpleQuote(E9,,RateTickValue,Permanent,Trigger,ObjectOverwrite)</f>
        <v>GBP1L6L3Y_Quote#0002</v>
      </c>
      <c r="G9" s="72" t="str">
        <f>_xll.ohRangeRetrieveError(F9)</f>
        <v/>
      </c>
      <c r="H9" s="71"/>
      <c r="J9" s="83" t="s">
        <v>120</v>
      </c>
      <c r="K9" s="82" t="s">
        <v>119</v>
      </c>
      <c r="L9" s="81" t="s">
        <v>118</v>
      </c>
    </row>
    <row r="10" spans="1:12" x14ac:dyDescent="0.2">
      <c r="A10" s="77"/>
      <c r="B10" s="76" t="s">
        <v>83</v>
      </c>
      <c r="C10" s="75" t="str">
        <f t="shared" si="1"/>
        <v>1L</v>
      </c>
      <c r="D10" s="74" t="str">
        <f t="shared" si="2"/>
        <v>6L</v>
      </c>
      <c r="E10" s="73" t="str">
        <f t="shared" si="0"/>
        <v>GBP1L6L4Y_Quote</v>
      </c>
      <c r="F10" s="73" t="str">
        <f>_xll.qlSimpleQuote(E10,,RateTickValue,Permanent,Trigger,ObjectOverwrite)</f>
        <v>GBP1L6L4Y_Quote#0002</v>
      </c>
      <c r="G10" s="72" t="str">
        <f>_xll.ohRangeRetrieveError(F10)</f>
        <v/>
      </c>
      <c r="H10" s="71"/>
      <c r="J10" s="83" t="s">
        <v>96</v>
      </c>
      <c r="K10" s="82" t="s">
        <v>113</v>
      </c>
      <c r="L10" s="81" t="s">
        <v>116</v>
      </c>
    </row>
    <row r="11" spans="1:12" x14ac:dyDescent="0.2">
      <c r="A11" s="77"/>
      <c r="B11" s="76" t="s">
        <v>82</v>
      </c>
      <c r="C11" s="75" t="str">
        <f t="shared" si="1"/>
        <v>1L</v>
      </c>
      <c r="D11" s="74" t="str">
        <f t="shared" si="2"/>
        <v>6L</v>
      </c>
      <c r="E11" s="73" t="str">
        <f t="shared" si="0"/>
        <v>GBP1L6L5Y_Quote</v>
      </c>
      <c r="F11" s="73" t="str">
        <f>_xll.qlSimpleQuote(E11,,RateTickValue,Permanent,Trigger,ObjectOverwrite)</f>
        <v>GBP1L6L5Y_Quote#0002</v>
      </c>
      <c r="G11" s="72" t="str">
        <f>_xll.ohRangeRetrieveError(F11)</f>
        <v/>
      </c>
      <c r="H11" s="71"/>
      <c r="J11" s="83" t="s">
        <v>117</v>
      </c>
      <c r="K11" s="82" t="s">
        <v>113</v>
      </c>
      <c r="L11" s="81" t="s">
        <v>116</v>
      </c>
    </row>
    <row r="12" spans="1:12" ht="12" thickBot="1" x14ac:dyDescent="0.25">
      <c r="A12" s="77"/>
      <c r="B12" s="76" t="s">
        <v>81</v>
      </c>
      <c r="C12" s="75" t="str">
        <f t="shared" si="1"/>
        <v>1L</v>
      </c>
      <c r="D12" s="74" t="str">
        <f t="shared" si="2"/>
        <v>6L</v>
      </c>
      <c r="E12" s="73" t="str">
        <f t="shared" si="0"/>
        <v>GBP1L6L6Y_Quote</v>
      </c>
      <c r="F12" s="73" t="str">
        <f>_xll.qlSimpleQuote(E12,,RateTickValue,Permanent,Trigger,ObjectOverwrite)</f>
        <v>GBP1L6L6Y_Quote#0002</v>
      </c>
      <c r="G12" s="72" t="str">
        <f>_xll.ohRangeRetrieveError(F12)</f>
        <v/>
      </c>
      <c r="H12" s="71"/>
      <c r="J12" s="80" t="s">
        <v>115</v>
      </c>
      <c r="K12" s="79" t="s">
        <v>114</v>
      </c>
      <c r="L12" s="78" t="s">
        <v>113</v>
      </c>
    </row>
    <row r="13" spans="1:12" x14ac:dyDescent="0.2">
      <c r="A13" s="77"/>
      <c r="B13" s="76" t="s">
        <v>80</v>
      </c>
      <c r="C13" s="75" t="str">
        <f t="shared" si="1"/>
        <v>1L</v>
      </c>
      <c r="D13" s="74" t="str">
        <f t="shared" si="2"/>
        <v>6L</v>
      </c>
      <c r="E13" s="73" t="str">
        <f t="shared" si="0"/>
        <v>GBP1L6L7Y_Quote</v>
      </c>
      <c r="F13" s="73" t="str">
        <f>_xll.qlSimpleQuote(E13,,RateTickValue,Permanent,Trigger,ObjectOverwrite)</f>
        <v>GBP1L6L7Y_Quote#0002</v>
      </c>
      <c r="G13" s="72" t="str">
        <f>_xll.ohRangeRetrieveError(F13)</f>
        <v/>
      </c>
      <c r="H13" s="71"/>
    </row>
    <row r="14" spans="1:12" x14ac:dyDescent="0.2">
      <c r="A14" s="77"/>
      <c r="B14" s="76" t="s">
        <v>79</v>
      </c>
      <c r="C14" s="75" t="str">
        <f t="shared" si="1"/>
        <v>1L</v>
      </c>
      <c r="D14" s="74" t="str">
        <f t="shared" si="2"/>
        <v>6L</v>
      </c>
      <c r="E14" s="73" t="str">
        <f t="shared" si="0"/>
        <v>GBP1L6L8Y_Quote</v>
      </c>
      <c r="F14" s="73" t="str">
        <f>_xll.qlSimpleQuote(E14,,RateTickValue,Permanent,Trigger,ObjectOverwrite)</f>
        <v>GBP1L6L8Y_Quote#0002</v>
      </c>
      <c r="G14" s="72" t="str">
        <f>_xll.ohRangeRetrieveError(F14)</f>
        <v/>
      </c>
      <c r="H14" s="71"/>
    </row>
    <row r="15" spans="1:12" x14ac:dyDescent="0.2">
      <c r="A15" s="77"/>
      <c r="B15" s="76" t="s">
        <v>78</v>
      </c>
      <c r="C15" s="75" t="str">
        <f t="shared" si="1"/>
        <v>1L</v>
      </c>
      <c r="D15" s="74" t="str">
        <f t="shared" si="2"/>
        <v>6L</v>
      </c>
      <c r="E15" s="73" t="str">
        <f t="shared" si="0"/>
        <v>GBP1L6L9Y_Quote</v>
      </c>
      <c r="F15" s="73" t="str">
        <f>_xll.qlSimpleQuote(E15,,RateTickValue,Permanent,Trigger,ObjectOverwrite)</f>
        <v>GBP1L6L9Y_Quote#0002</v>
      </c>
      <c r="G15" s="72" t="str">
        <f>_xll.ohRangeRetrieveError(F15)</f>
        <v/>
      </c>
      <c r="H15" s="71"/>
    </row>
    <row r="16" spans="1:12" x14ac:dyDescent="0.2">
      <c r="A16" s="77"/>
      <c r="B16" s="76" t="s">
        <v>77</v>
      </c>
      <c r="C16" s="75" t="str">
        <f t="shared" si="1"/>
        <v>1L</v>
      </c>
      <c r="D16" s="74" t="str">
        <f t="shared" si="2"/>
        <v>6L</v>
      </c>
      <c r="E16" s="73" t="str">
        <f t="shared" si="0"/>
        <v>GBP1L6L10Y_Quote</v>
      </c>
      <c r="F16" s="73" t="str">
        <f>_xll.qlSimpleQuote(E16,,RateTickValue,Permanent,Trigger,ObjectOverwrite)</f>
        <v>GBP1L6L10Y_Quote#0002</v>
      </c>
      <c r="G16" s="72" t="str">
        <f>_xll.ohRangeRetrieveError(F16)</f>
        <v/>
      </c>
      <c r="H16" s="71"/>
    </row>
    <row r="17" spans="1:8" x14ac:dyDescent="0.2">
      <c r="A17" s="77"/>
      <c r="B17" s="76" t="s">
        <v>76</v>
      </c>
      <c r="C17" s="75" t="str">
        <f t="shared" si="1"/>
        <v>1L</v>
      </c>
      <c r="D17" s="74" t="str">
        <f t="shared" si="2"/>
        <v>6L</v>
      </c>
      <c r="E17" s="73" t="str">
        <f t="shared" si="0"/>
        <v>GBP1L6L11Y_Quote</v>
      </c>
      <c r="F17" s="73" t="str">
        <f>_xll.qlSimpleQuote(E17,,RateTickValue,Permanent,Trigger,ObjectOverwrite)</f>
        <v>GBP1L6L11Y_Quote#0002</v>
      </c>
      <c r="G17" s="72" t="str">
        <f>_xll.ohRangeRetrieveError(F17)</f>
        <v/>
      </c>
      <c r="H17" s="71"/>
    </row>
    <row r="18" spans="1:8" x14ac:dyDescent="0.2">
      <c r="A18" s="77"/>
      <c r="B18" s="76" t="s">
        <v>75</v>
      </c>
      <c r="C18" s="75" t="str">
        <f t="shared" si="1"/>
        <v>1L</v>
      </c>
      <c r="D18" s="74" t="str">
        <f t="shared" si="2"/>
        <v>6L</v>
      </c>
      <c r="E18" s="73" t="str">
        <f t="shared" si="0"/>
        <v>GBP1L6L12Y_Quote</v>
      </c>
      <c r="F18" s="73" t="str">
        <f>_xll.qlSimpleQuote(E18,,RateTickValue,Permanent,Trigger,ObjectOverwrite)</f>
        <v>GBP1L6L12Y_Quote#0002</v>
      </c>
      <c r="G18" s="72" t="str">
        <f>_xll.ohRangeRetrieveError(F18)</f>
        <v/>
      </c>
      <c r="H18" s="71"/>
    </row>
    <row r="19" spans="1:8" x14ac:dyDescent="0.2">
      <c r="A19" s="77"/>
      <c r="B19" s="76" t="s">
        <v>74</v>
      </c>
      <c r="C19" s="75" t="str">
        <f t="shared" si="1"/>
        <v>1L</v>
      </c>
      <c r="D19" s="74" t="str">
        <f t="shared" si="2"/>
        <v>6L</v>
      </c>
      <c r="E19" s="73" t="str">
        <f t="shared" si="0"/>
        <v>GBP1L6L13Y_Quote</v>
      </c>
      <c r="F19" s="73" t="str">
        <f>_xll.qlSimpleQuote(E19,,RateTickValue,Permanent,Trigger,ObjectOverwrite)</f>
        <v>GBP1L6L13Y_Quote#0002</v>
      </c>
      <c r="G19" s="72" t="str">
        <f>_xll.ohRangeRetrieveError(F19)</f>
        <v/>
      </c>
      <c r="H19" s="71"/>
    </row>
    <row r="20" spans="1:8" x14ac:dyDescent="0.2">
      <c r="A20" s="77"/>
      <c r="B20" s="76" t="s">
        <v>73</v>
      </c>
      <c r="C20" s="75" t="str">
        <f t="shared" si="1"/>
        <v>1L</v>
      </c>
      <c r="D20" s="74" t="str">
        <f t="shared" si="2"/>
        <v>6L</v>
      </c>
      <c r="E20" s="73" t="str">
        <f t="shared" si="0"/>
        <v>GBP1L6L14Y_Quote</v>
      </c>
      <c r="F20" s="73" t="str">
        <f>_xll.qlSimpleQuote(E20,,RateTickValue,Permanent,Trigger,ObjectOverwrite)</f>
        <v>GBP1L6L14Y_Quote#0002</v>
      </c>
      <c r="G20" s="72" t="str">
        <f>_xll.ohRangeRetrieveError(F20)</f>
        <v/>
      </c>
      <c r="H20" s="71"/>
    </row>
    <row r="21" spans="1:8" x14ac:dyDescent="0.2">
      <c r="A21" s="77"/>
      <c r="B21" s="76" t="s">
        <v>72</v>
      </c>
      <c r="C21" s="75" t="str">
        <f t="shared" si="1"/>
        <v>1L</v>
      </c>
      <c r="D21" s="74" t="str">
        <f t="shared" si="2"/>
        <v>6L</v>
      </c>
      <c r="E21" s="73" t="str">
        <f t="shared" si="0"/>
        <v>GBP1L6L15Y_Quote</v>
      </c>
      <c r="F21" s="73" t="str">
        <f>_xll.qlSimpleQuote(E21,,RateTickValue,Permanent,Trigger,ObjectOverwrite)</f>
        <v>GBP1L6L15Y_Quote#0002</v>
      </c>
      <c r="G21" s="72" t="str">
        <f>_xll.ohRangeRetrieveError(F21)</f>
        <v/>
      </c>
      <c r="H21" s="71"/>
    </row>
    <row r="22" spans="1:8" x14ac:dyDescent="0.2">
      <c r="A22" s="77"/>
      <c r="B22" s="76" t="s">
        <v>71</v>
      </c>
      <c r="C22" s="75" t="str">
        <f t="shared" si="1"/>
        <v>1L</v>
      </c>
      <c r="D22" s="74" t="str">
        <f t="shared" si="2"/>
        <v>6L</v>
      </c>
      <c r="E22" s="73" t="str">
        <f t="shared" si="0"/>
        <v>GBP1L6L16Y_Quote</v>
      </c>
      <c r="F22" s="73" t="str">
        <f>_xll.qlSimpleQuote(E22,,RateTickValue,Permanent,Trigger,ObjectOverwrite)</f>
        <v>GBP1L6L16Y_Quote#0002</v>
      </c>
      <c r="G22" s="72" t="str">
        <f>_xll.ohRangeRetrieveError(F22)</f>
        <v/>
      </c>
      <c r="H22" s="71"/>
    </row>
    <row r="23" spans="1:8" x14ac:dyDescent="0.2">
      <c r="A23" s="77"/>
      <c r="B23" s="76" t="s">
        <v>70</v>
      </c>
      <c r="C23" s="75" t="str">
        <f t="shared" si="1"/>
        <v>1L</v>
      </c>
      <c r="D23" s="74" t="str">
        <f t="shared" si="2"/>
        <v>6L</v>
      </c>
      <c r="E23" s="73" t="str">
        <f t="shared" si="0"/>
        <v>GBP1L6L17Y_Quote</v>
      </c>
      <c r="F23" s="73" t="str">
        <f>_xll.qlSimpleQuote(E23,,RateTickValue,Permanent,Trigger,ObjectOverwrite)</f>
        <v>GBP1L6L17Y_Quote#0002</v>
      </c>
      <c r="G23" s="72" t="str">
        <f>_xll.ohRangeRetrieveError(F23)</f>
        <v/>
      </c>
      <c r="H23" s="71"/>
    </row>
    <row r="24" spans="1:8" x14ac:dyDescent="0.2">
      <c r="A24" s="77"/>
      <c r="B24" s="76" t="s">
        <v>69</v>
      </c>
      <c r="C24" s="75" t="str">
        <f t="shared" si="1"/>
        <v>1L</v>
      </c>
      <c r="D24" s="74" t="str">
        <f t="shared" si="2"/>
        <v>6L</v>
      </c>
      <c r="E24" s="73" t="str">
        <f t="shared" si="0"/>
        <v>GBP1L6L18Y_Quote</v>
      </c>
      <c r="F24" s="73" t="str">
        <f>_xll.qlSimpleQuote(E24,,RateTickValue,Permanent,Trigger,ObjectOverwrite)</f>
        <v>GBP1L6L18Y_Quote#0002</v>
      </c>
      <c r="G24" s="72" t="str">
        <f>_xll.ohRangeRetrieveError(F24)</f>
        <v/>
      </c>
      <c r="H24" s="71"/>
    </row>
    <row r="25" spans="1:8" x14ac:dyDescent="0.2">
      <c r="A25" s="77"/>
      <c r="B25" s="76" t="s">
        <v>68</v>
      </c>
      <c r="C25" s="75" t="str">
        <f t="shared" si="1"/>
        <v>1L</v>
      </c>
      <c r="D25" s="74" t="str">
        <f t="shared" si="2"/>
        <v>6L</v>
      </c>
      <c r="E25" s="73" t="str">
        <f t="shared" si="0"/>
        <v>GBP1L6L19Y_Quote</v>
      </c>
      <c r="F25" s="73" t="str">
        <f>_xll.qlSimpleQuote(E25,,RateTickValue,Permanent,Trigger,ObjectOverwrite)</f>
        <v>GBP1L6L19Y_Quote#0002</v>
      </c>
      <c r="G25" s="72" t="str">
        <f>_xll.ohRangeRetrieveError(F25)</f>
        <v/>
      </c>
      <c r="H25" s="71"/>
    </row>
    <row r="26" spans="1:8" x14ac:dyDescent="0.2">
      <c r="A26" s="77"/>
      <c r="B26" s="76" t="s">
        <v>67</v>
      </c>
      <c r="C26" s="75" t="str">
        <f t="shared" si="1"/>
        <v>1L</v>
      </c>
      <c r="D26" s="74" t="str">
        <f t="shared" si="2"/>
        <v>6L</v>
      </c>
      <c r="E26" s="73" t="str">
        <f t="shared" si="0"/>
        <v>GBP1L6L20Y_Quote</v>
      </c>
      <c r="F26" s="73" t="str">
        <f>_xll.qlSimpleQuote(E26,,RateTickValue,Permanent,Trigger,ObjectOverwrite)</f>
        <v>GBP1L6L20Y_Quote#0002</v>
      </c>
      <c r="G26" s="72" t="str">
        <f>_xll.ohRangeRetrieveError(F26)</f>
        <v/>
      </c>
      <c r="H26" s="71"/>
    </row>
    <row r="27" spans="1:8" x14ac:dyDescent="0.2">
      <c r="A27" s="77"/>
      <c r="B27" s="76" t="s">
        <v>66</v>
      </c>
      <c r="C27" s="75" t="str">
        <f t="shared" si="1"/>
        <v>1L</v>
      </c>
      <c r="D27" s="74" t="str">
        <f t="shared" si="2"/>
        <v>6L</v>
      </c>
      <c r="E27" s="73" t="str">
        <f t="shared" si="0"/>
        <v>GBP1L6L21Y_Quote</v>
      </c>
      <c r="F27" s="73" t="str">
        <f>_xll.qlSimpleQuote(E27,,RateTickValue,Permanent,Trigger,ObjectOverwrite)</f>
        <v>GBP1L6L21Y_Quote#0002</v>
      </c>
      <c r="G27" s="72" t="str">
        <f>_xll.ohRangeRetrieveError(F27)</f>
        <v/>
      </c>
      <c r="H27" s="71"/>
    </row>
    <row r="28" spans="1:8" x14ac:dyDescent="0.2">
      <c r="A28" s="77"/>
      <c r="B28" s="76" t="s">
        <v>65</v>
      </c>
      <c r="C28" s="75" t="str">
        <f t="shared" si="1"/>
        <v>1L</v>
      </c>
      <c r="D28" s="74" t="str">
        <f t="shared" si="2"/>
        <v>6L</v>
      </c>
      <c r="E28" s="73" t="str">
        <f t="shared" si="0"/>
        <v>GBP1L6L22Y_Quote</v>
      </c>
      <c r="F28" s="73" t="str">
        <f>_xll.qlSimpleQuote(E28,,RateTickValue,Permanent,Trigger,ObjectOverwrite)</f>
        <v>GBP1L6L22Y_Quote#0002</v>
      </c>
      <c r="G28" s="72" t="str">
        <f>_xll.ohRangeRetrieveError(F28)</f>
        <v/>
      </c>
      <c r="H28" s="71"/>
    </row>
    <row r="29" spans="1:8" x14ac:dyDescent="0.2">
      <c r="A29" s="77"/>
      <c r="B29" s="76" t="s">
        <v>64</v>
      </c>
      <c r="C29" s="75" t="str">
        <f t="shared" si="1"/>
        <v>1L</v>
      </c>
      <c r="D29" s="74" t="str">
        <f t="shared" si="2"/>
        <v>6L</v>
      </c>
      <c r="E29" s="73" t="str">
        <f t="shared" si="0"/>
        <v>GBP1L6L23Y_Quote</v>
      </c>
      <c r="F29" s="73" t="str">
        <f>_xll.qlSimpleQuote(E29,,RateTickValue,Permanent,Trigger,ObjectOverwrite)</f>
        <v>GBP1L6L23Y_Quote#0002</v>
      </c>
      <c r="G29" s="72" t="str">
        <f>_xll.ohRangeRetrieveError(F29)</f>
        <v/>
      </c>
      <c r="H29" s="71"/>
    </row>
    <row r="30" spans="1:8" x14ac:dyDescent="0.2">
      <c r="A30" s="77"/>
      <c r="B30" s="76" t="s">
        <v>63</v>
      </c>
      <c r="C30" s="75" t="str">
        <f t="shared" si="1"/>
        <v>1L</v>
      </c>
      <c r="D30" s="74" t="str">
        <f t="shared" si="2"/>
        <v>6L</v>
      </c>
      <c r="E30" s="73" t="str">
        <f t="shared" si="0"/>
        <v>GBP1L6L24Y_Quote</v>
      </c>
      <c r="F30" s="73" t="str">
        <f>_xll.qlSimpleQuote(E30,,RateTickValue,Permanent,Trigger,ObjectOverwrite)</f>
        <v>GBP1L6L24Y_Quote#0002</v>
      </c>
      <c r="G30" s="72" t="str">
        <f>_xll.ohRangeRetrieveError(F30)</f>
        <v/>
      </c>
      <c r="H30" s="71"/>
    </row>
    <row r="31" spans="1:8" x14ac:dyDescent="0.2">
      <c r="A31" s="77"/>
      <c r="B31" s="76" t="s">
        <v>62</v>
      </c>
      <c r="C31" s="75" t="str">
        <f t="shared" si="1"/>
        <v>1L</v>
      </c>
      <c r="D31" s="74" t="str">
        <f t="shared" si="2"/>
        <v>6L</v>
      </c>
      <c r="E31" s="73" t="str">
        <f t="shared" si="0"/>
        <v>GBP1L6L25Y_Quote</v>
      </c>
      <c r="F31" s="73" t="str">
        <f>_xll.qlSimpleQuote(E31,,RateTickValue,Permanent,Trigger,ObjectOverwrite)</f>
        <v>GBP1L6L25Y_Quote#0002</v>
      </c>
      <c r="G31" s="72" t="str">
        <f>_xll.ohRangeRetrieveError(F31)</f>
        <v/>
      </c>
      <c r="H31" s="71"/>
    </row>
    <row r="32" spans="1:8" x14ac:dyDescent="0.2">
      <c r="A32" s="77"/>
      <c r="B32" s="76" t="s">
        <v>61</v>
      </c>
      <c r="C32" s="75" t="str">
        <f t="shared" si="1"/>
        <v>1L</v>
      </c>
      <c r="D32" s="74" t="str">
        <f t="shared" si="2"/>
        <v>6L</v>
      </c>
      <c r="E32" s="73" t="str">
        <f t="shared" si="0"/>
        <v>GBP1L6L26Y_Quote</v>
      </c>
      <c r="F32" s="73" t="str">
        <f>_xll.qlSimpleQuote(E32,,RateTickValue,Permanent,Trigger,ObjectOverwrite)</f>
        <v>GBP1L6L26Y_Quote#0002</v>
      </c>
      <c r="G32" s="72" t="str">
        <f>_xll.ohRangeRetrieveError(F32)</f>
        <v/>
      </c>
      <c r="H32" s="71"/>
    </row>
    <row r="33" spans="1:8" x14ac:dyDescent="0.2">
      <c r="A33" s="77"/>
      <c r="B33" s="76" t="s">
        <v>60</v>
      </c>
      <c r="C33" s="75" t="str">
        <f t="shared" si="1"/>
        <v>1L</v>
      </c>
      <c r="D33" s="74" t="str">
        <f t="shared" si="2"/>
        <v>6L</v>
      </c>
      <c r="E33" s="73" t="str">
        <f t="shared" si="0"/>
        <v>GBP1L6L27Y_Quote</v>
      </c>
      <c r="F33" s="73" t="str">
        <f>_xll.qlSimpleQuote(E33,,RateTickValue,Permanent,Trigger,ObjectOverwrite)</f>
        <v>GBP1L6L27Y_Quote#0002</v>
      </c>
      <c r="G33" s="72" t="str">
        <f>_xll.ohRangeRetrieveError(F33)</f>
        <v/>
      </c>
      <c r="H33" s="71"/>
    </row>
    <row r="34" spans="1:8" x14ac:dyDescent="0.2">
      <c r="A34" s="77"/>
      <c r="B34" s="76" t="s">
        <v>59</v>
      </c>
      <c r="C34" s="75" t="str">
        <f t="shared" si="1"/>
        <v>1L</v>
      </c>
      <c r="D34" s="74" t="str">
        <f t="shared" si="2"/>
        <v>6L</v>
      </c>
      <c r="E34" s="73" t="str">
        <f t="shared" si="0"/>
        <v>GBP1L6L28Y_Quote</v>
      </c>
      <c r="F34" s="73" t="str">
        <f>_xll.qlSimpleQuote(E34,,RateTickValue,Permanent,Trigger,ObjectOverwrite)</f>
        <v>GBP1L6L28Y_Quote#0002</v>
      </c>
      <c r="G34" s="72" t="str">
        <f>_xll.ohRangeRetrieveError(F34)</f>
        <v/>
      </c>
      <c r="H34" s="71"/>
    </row>
    <row r="35" spans="1:8" x14ac:dyDescent="0.2">
      <c r="A35" s="77"/>
      <c r="B35" s="76" t="s">
        <v>58</v>
      </c>
      <c r="C35" s="75" t="str">
        <f t="shared" si="1"/>
        <v>1L</v>
      </c>
      <c r="D35" s="74" t="str">
        <f t="shared" si="2"/>
        <v>6L</v>
      </c>
      <c r="E35" s="73" t="str">
        <f t="shared" si="0"/>
        <v>GBP1L6L29Y_Quote</v>
      </c>
      <c r="F35" s="73" t="str">
        <f>_xll.qlSimpleQuote(E35,,RateTickValue,Permanent,Trigger,ObjectOverwrite)</f>
        <v>GBP1L6L29Y_Quote#0002</v>
      </c>
      <c r="G35" s="72" t="str">
        <f>_xll.ohRangeRetrieveError(F35)</f>
        <v/>
      </c>
      <c r="H35" s="71"/>
    </row>
    <row r="36" spans="1:8" x14ac:dyDescent="0.2">
      <c r="A36" s="77"/>
      <c r="B36" s="76" t="s">
        <v>57</v>
      </c>
      <c r="C36" s="75" t="str">
        <f t="shared" si="1"/>
        <v>1L</v>
      </c>
      <c r="D36" s="74" t="str">
        <f t="shared" si="2"/>
        <v>6L</v>
      </c>
      <c r="E36" s="73" t="str">
        <f t="shared" si="0"/>
        <v>GBP1L6L30Y_Quote</v>
      </c>
      <c r="F36" s="73" t="str">
        <f>_xll.qlSimpleQuote(E36,,RateTickValue,Permanent,Trigger,ObjectOverwrite)</f>
        <v>GBP1L6L30Y_Quote#0002</v>
      </c>
      <c r="G36" s="72" t="str">
        <f>_xll.ohRangeRetrieveError(F36)</f>
        <v/>
      </c>
      <c r="H36" s="71"/>
    </row>
    <row r="37" spans="1:8" x14ac:dyDescent="0.2">
      <c r="A37" s="77"/>
      <c r="B37" s="76" t="s">
        <v>52</v>
      </c>
      <c r="C37" s="75" t="str">
        <f t="shared" si="1"/>
        <v>1L</v>
      </c>
      <c r="D37" s="74" t="str">
        <f t="shared" si="2"/>
        <v>6L</v>
      </c>
      <c r="E37" s="73" t="str">
        <f t="shared" si="0"/>
        <v>GBP1L6L35Y_Quote</v>
      </c>
      <c r="F37" s="73" t="str">
        <f>_xll.qlSimpleQuote(E37,,RateTickValue,Permanent,Trigger,ObjectOverwrite)</f>
        <v>GBP1L6L35Y_Quote#0002</v>
      </c>
      <c r="G37" s="72" t="str">
        <f>_xll.ohRangeRetrieveError(F37)</f>
        <v/>
      </c>
      <c r="H37" s="71"/>
    </row>
    <row r="38" spans="1:8" x14ac:dyDescent="0.2">
      <c r="A38" s="77"/>
      <c r="B38" s="76" t="s">
        <v>47</v>
      </c>
      <c r="C38" s="75" t="str">
        <f t="shared" si="1"/>
        <v>1L</v>
      </c>
      <c r="D38" s="74" t="str">
        <f t="shared" si="2"/>
        <v>6L</v>
      </c>
      <c r="E38" s="73" t="str">
        <f t="shared" si="0"/>
        <v>GBP1L6L40Y_Quote</v>
      </c>
      <c r="F38" s="73" t="str">
        <f>_xll.qlSimpleQuote(E38,,RateTickValue,Permanent,Trigger,ObjectOverwrite)</f>
        <v>GBP1L6L40Y_Quote#0002</v>
      </c>
      <c r="G38" s="72" t="str">
        <f>_xll.ohRangeRetrieveError(F38)</f>
        <v/>
      </c>
      <c r="H38" s="71"/>
    </row>
    <row r="39" spans="1:8" x14ac:dyDescent="0.2">
      <c r="A39" s="77"/>
      <c r="B39" s="76" t="s">
        <v>37</v>
      </c>
      <c r="C39" s="75" t="str">
        <f t="shared" si="1"/>
        <v>1L</v>
      </c>
      <c r="D39" s="74" t="str">
        <f t="shared" si="2"/>
        <v>6L</v>
      </c>
      <c r="E39" s="73" t="str">
        <f t="shared" si="0"/>
        <v>GBP1L6L50Y_Quote</v>
      </c>
      <c r="F39" s="73" t="str">
        <f>_xll.qlSimpleQuote(E39,,RateTickValue,Permanent,Trigger,ObjectOverwrite)</f>
        <v>GBP1L6L50Y_Quote#0002</v>
      </c>
      <c r="G39" s="72" t="str">
        <f>_xll.ohRangeRetrieveError(F39)</f>
        <v/>
      </c>
      <c r="H39" s="71"/>
    </row>
    <row r="40" spans="1:8" x14ac:dyDescent="0.2">
      <c r="A40" s="77"/>
      <c r="B40" s="76" t="s">
        <v>27</v>
      </c>
      <c r="C40" s="75" t="str">
        <f t="shared" si="1"/>
        <v>1L</v>
      </c>
      <c r="D40" s="74" t="str">
        <f t="shared" si="2"/>
        <v>6L</v>
      </c>
      <c r="E40" s="73" t="str">
        <f t="shared" si="0"/>
        <v>GBP1L6L60Y_Quote</v>
      </c>
      <c r="F40" s="73" t="str">
        <f>_xll.qlSimpleQuote(E40,,RateTickValue,Permanent,Trigger,ObjectOverwrite)</f>
        <v>GBP1L6L60Y_Quote#0002</v>
      </c>
      <c r="G40" s="72" t="str">
        <f>_xll.ohRangeRetrieveError(F40)</f>
        <v/>
      </c>
      <c r="H40" s="71"/>
    </row>
    <row r="41" spans="1:8" x14ac:dyDescent="0.2">
      <c r="A41" s="70"/>
      <c r="B41" s="69"/>
      <c r="C41" s="69"/>
      <c r="D41" s="69"/>
      <c r="E41" s="69"/>
      <c r="F41" s="68"/>
      <c r="G41" s="68"/>
      <c r="H41" s="6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41"/>
  <sheetViews>
    <sheetView workbookViewId="0"/>
  </sheetViews>
  <sheetFormatPr defaultRowHeight="12.75" x14ac:dyDescent="0.2"/>
  <cols>
    <col min="1" max="1" width="4.2851562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8" width="3.7109375" style="63" customWidth="1"/>
    <col min="9" max="12" width="3.5703125" style="63" customWidth="1"/>
    <col min="13" max="16384" width="9.140625" style="63"/>
  </cols>
  <sheetData>
    <row r="1" spans="1:12" x14ac:dyDescent="0.2">
      <c r="A1" s="595" t="s">
        <v>350</v>
      </c>
      <c r="B1" s="95"/>
      <c r="C1" s="95"/>
      <c r="D1" s="95"/>
      <c r="E1" s="96"/>
      <c r="F1" s="97"/>
      <c r="G1" s="96"/>
      <c r="H1" s="92"/>
    </row>
    <row r="2" spans="1:12" x14ac:dyDescent="0.2">
      <c r="A2" s="77"/>
      <c r="B2" s="90" t="s">
        <v>125</v>
      </c>
      <c r="C2" s="91"/>
      <c r="D2" s="90"/>
      <c r="E2" s="89" t="str">
        <f>Currency&amp;"_010_Sw"&amp;$C$4&amp;$D$4&amp;".xml"</f>
        <v>GBP_010_Sw3L6L.xml</v>
      </c>
      <c r="F2" s="88">
        <f ca="1">IF(Serialize,_xll.ohObjectSave(F3:F40,SerializationPath&amp;E2,FileOverwrite,Serialize),"---")</f>
        <v>38</v>
      </c>
      <c r="G2" s="72" t="str">
        <f ca="1">_xll.ohRangeRetrieveError(F2)</f>
        <v/>
      </c>
      <c r="H2" s="71"/>
    </row>
    <row r="3" spans="1:12" x14ac:dyDescent="0.2">
      <c r="A3" s="77"/>
      <c r="B3" s="87" t="s">
        <v>8</v>
      </c>
      <c r="C3" s="75" t="str">
        <f>VLOOKUP(Currency,$J$8:$L$12,2)</f>
        <v>3L</v>
      </c>
      <c r="D3" s="74" t="str">
        <f>VLOOKUP(Currency,$J$8:$L$12,3)</f>
        <v>6L</v>
      </c>
      <c r="E3" s="73" t="str">
        <f t="shared" ref="E3:E40" si="0">IF(ISBLANK(C3),"#",Currency&amp;$C3&amp;$D3&amp;$B3&amp;QuoteSuffix)</f>
        <v>GBP3L6L6M_Quote</v>
      </c>
      <c r="F3" s="73" t="str">
        <f>_xll.qlSimpleQuote(E3,,RateTickValue,Permanent,Trigger,ObjectOverwrite)</f>
        <v>GBP3L6L6M_Quote#0002</v>
      </c>
      <c r="G3" s="72" t="str">
        <f>_xll.ohRangeRetrieveError(F3)</f>
        <v/>
      </c>
      <c r="H3" s="71"/>
    </row>
    <row r="4" spans="1:12" x14ac:dyDescent="0.2">
      <c r="A4" s="77"/>
      <c r="B4" s="87" t="s">
        <v>1</v>
      </c>
      <c r="C4" s="75" t="str">
        <f t="shared" ref="C4:C40" si="1">C3</f>
        <v>3L</v>
      </c>
      <c r="D4" s="74" t="str">
        <f t="shared" ref="D4:D40" si="2">D3</f>
        <v>6L</v>
      </c>
      <c r="E4" s="73" t="str">
        <f t="shared" si="0"/>
        <v>GBP3L6L1Y_Quote</v>
      </c>
      <c r="F4" s="73" t="str">
        <f>_xll.qlSimpleQuote(E4,,RateTickValue,Permanent,Trigger,ObjectOverwrite)</f>
        <v>GBP3L6L1Y_Quote#0002</v>
      </c>
      <c r="G4" s="72" t="str">
        <f>_xll.ohRangeRetrieveError(F4)</f>
        <v/>
      </c>
      <c r="H4" s="71"/>
    </row>
    <row r="5" spans="1:12" x14ac:dyDescent="0.2">
      <c r="A5" s="77"/>
      <c r="B5" s="87" t="s">
        <v>124</v>
      </c>
      <c r="C5" s="75" t="str">
        <f t="shared" si="1"/>
        <v>3L</v>
      </c>
      <c r="D5" s="74" t="str">
        <f t="shared" si="2"/>
        <v>6L</v>
      </c>
      <c r="E5" s="73" t="str">
        <f t="shared" si="0"/>
        <v>GBP3L6L15M_Quote</v>
      </c>
      <c r="F5" s="73" t="str">
        <f>_xll.qlSimpleQuote(E5,,RateTickValue,Permanent,Trigger,ObjectOverwrite)</f>
        <v>GBP3L6L15M_Quote#0002</v>
      </c>
      <c r="G5" s="72" t="str">
        <f>_xll.ohRangeRetrieveError(F5)</f>
        <v/>
      </c>
      <c r="H5" s="71"/>
    </row>
    <row r="6" spans="1:12" x14ac:dyDescent="0.2">
      <c r="A6" s="77"/>
      <c r="B6" s="87" t="s">
        <v>123</v>
      </c>
      <c r="C6" s="75" t="str">
        <f t="shared" si="1"/>
        <v>3L</v>
      </c>
      <c r="D6" s="74" t="str">
        <f t="shared" si="2"/>
        <v>6L</v>
      </c>
      <c r="E6" s="73" t="str">
        <f t="shared" si="0"/>
        <v>GBP3L6L18M_Quote</v>
      </c>
      <c r="F6" s="73" t="str">
        <f>_xll.qlSimpleQuote(E6,,RateTickValue,Permanent,Trigger,ObjectOverwrite)</f>
        <v>GBP3L6L18M_Quote#0002</v>
      </c>
      <c r="G6" s="72" t="str">
        <f>_xll.ohRangeRetrieveError(F6)</f>
        <v/>
      </c>
      <c r="H6" s="71"/>
    </row>
    <row r="7" spans="1:12" ht="13.5" thickBot="1" x14ac:dyDescent="0.25">
      <c r="A7" s="77"/>
      <c r="B7" s="87" t="s">
        <v>122</v>
      </c>
      <c r="C7" s="75" t="str">
        <f t="shared" si="1"/>
        <v>3L</v>
      </c>
      <c r="D7" s="74" t="str">
        <f t="shared" si="2"/>
        <v>6L</v>
      </c>
      <c r="E7" s="73" t="str">
        <f t="shared" si="0"/>
        <v>GBP3L6L21M_Quote</v>
      </c>
      <c r="F7" s="73" t="str">
        <f>_xll.qlSimpleQuote(E7,,RateTickValue,Permanent,Trigger,ObjectOverwrite)</f>
        <v>GBP3L6L21M_Quote#0002</v>
      </c>
      <c r="G7" s="72" t="str">
        <f>_xll.ohRangeRetrieveError(F7)</f>
        <v/>
      </c>
      <c r="H7" s="71"/>
    </row>
    <row r="8" spans="1:12" x14ac:dyDescent="0.2">
      <c r="A8" s="77"/>
      <c r="B8" s="76" t="s">
        <v>85</v>
      </c>
      <c r="C8" s="75" t="str">
        <f t="shared" si="1"/>
        <v>3L</v>
      </c>
      <c r="D8" s="74" t="str">
        <f t="shared" si="2"/>
        <v>6L</v>
      </c>
      <c r="E8" s="73" t="str">
        <f t="shared" si="0"/>
        <v>GBP3L6L2Y_Quote</v>
      </c>
      <c r="F8" s="73" t="str">
        <f>_xll.qlSimpleQuote(E8,,RateTickValue,Permanent,Trigger,ObjectOverwrite)</f>
        <v>GBP3L6L2Y_Quote#0002</v>
      </c>
      <c r="G8" s="72" t="str">
        <f>_xll.ohRangeRetrieveError(F8)</f>
        <v/>
      </c>
      <c r="H8" s="71"/>
      <c r="J8" s="86" t="s">
        <v>121</v>
      </c>
      <c r="K8" s="85" t="s">
        <v>114</v>
      </c>
      <c r="L8" s="84" t="s">
        <v>116</v>
      </c>
    </row>
    <row r="9" spans="1:12" x14ac:dyDescent="0.2">
      <c r="A9" s="77"/>
      <c r="B9" s="76" t="s">
        <v>84</v>
      </c>
      <c r="C9" s="75" t="str">
        <f t="shared" si="1"/>
        <v>3L</v>
      </c>
      <c r="D9" s="74" t="str">
        <f t="shared" si="2"/>
        <v>6L</v>
      </c>
      <c r="E9" s="73" t="str">
        <f t="shared" si="0"/>
        <v>GBP3L6L3Y_Quote</v>
      </c>
      <c r="F9" s="73" t="str">
        <f>_xll.qlSimpleQuote(E9,,RateTickValue,Permanent,Trigger,ObjectOverwrite)</f>
        <v>GBP3L6L3Y_Quote#0002</v>
      </c>
      <c r="G9" s="72" t="str">
        <f>_xll.ohRangeRetrieveError(F9)</f>
        <v/>
      </c>
      <c r="H9" s="71"/>
      <c r="J9" s="83" t="s">
        <v>120</v>
      </c>
      <c r="K9" s="82" t="s">
        <v>126</v>
      </c>
      <c r="L9" s="81" t="s">
        <v>118</v>
      </c>
    </row>
    <row r="10" spans="1:12" x14ac:dyDescent="0.2">
      <c r="A10" s="77"/>
      <c r="B10" s="76" t="s">
        <v>83</v>
      </c>
      <c r="C10" s="75" t="str">
        <f t="shared" si="1"/>
        <v>3L</v>
      </c>
      <c r="D10" s="74" t="str">
        <f t="shared" si="2"/>
        <v>6L</v>
      </c>
      <c r="E10" s="73" t="str">
        <f t="shared" si="0"/>
        <v>GBP3L6L4Y_Quote</v>
      </c>
      <c r="F10" s="73" t="str">
        <f>_xll.qlSimpleQuote(E10,,RateTickValue,Permanent,Trigger,ObjectOverwrite)</f>
        <v>GBP3L6L4Y_Quote#0002</v>
      </c>
      <c r="G10" s="72" t="str">
        <f>_xll.ohRangeRetrieveError(F10)</f>
        <v/>
      </c>
      <c r="H10" s="71"/>
      <c r="J10" s="83" t="s">
        <v>96</v>
      </c>
      <c r="K10" s="82" t="s">
        <v>114</v>
      </c>
      <c r="L10" s="81" t="s">
        <v>116</v>
      </c>
    </row>
    <row r="11" spans="1:12" x14ac:dyDescent="0.2">
      <c r="A11" s="77"/>
      <c r="B11" s="76" t="s">
        <v>82</v>
      </c>
      <c r="C11" s="75" t="str">
        <f t="shared" si="1"/>
        <v>3L</v>
      </c>
      <c r="D11" s="74" t="str">
        <f t="shared" si="2"/>
        <v>6L</v>
      </c>
      <c r="E11" s="73" t="str">
        <f t="shared" si="0"/>
        <v>GBP3L6L5Y_Quote</v>
      </c>
      <c r="F11" s="73" t="str">
        <f>_xll.qlSimpleQuote(E11,,RateTickValue,Permanent,Trigger,ObjectOverwrite)</f>
        <v>GBP3L6L5Y_Quote#0002</v>
      </c>
      <c r="G11" s="72" t="str">
        <f>_xll.ohRangeRetrieveError(F11)</f>
        <v/>
      </c>
      <c r="H11" s="71"/>
      <c r="J11" s="83" t="s">
        <v>117</v>
      </c>
      <c r="K11" s="82" t="s">
        <v>114</v>
      </c>
      <c r="L11" s="81" t="s">
        <v>116</v>
      </c>
    </row>
    <row r="12" spans="1:12" ht="13.5" thickBot="1" x14ac:dyDescent="0.25">
      <c r="A12" s="77"/>
      <c r="B12" s="76" t="s">
        <v>81</v>
      </c>
      <c r="C12" s="75" t="str">
        <f t="shared" si="1"/>
        <v>3L</v>
      </c>
      <c r="D12" s="74" t="str">
        <f t="shared" si="2"/>
        <v>6L</v>
      </c>
      <c r="E12" s="73" t="str">
        <f t="shared" si="0"/>
        <v>GBP3L6L6Y_Quote</v>
      </c>
      <c r="F12" s="73" t="str">
        <f>_xll.qlSimpleQuote(E12,,RateTickValue,Permanent,Trigger,ObjectOverwrite)</f>
        <v>GBP3L6L6Y_Quote#0002</v>
      </c>
      <c r="G12" s="72" t="str">
        <f>_xll.ohRangeRetrieveError(F12)</f>
        <v/>
      </c>
      <c r="H12" s="71"/>
      <c r="J12" s="80" t="s">
        <v>115</v>
      </c>
      <c r="K12" s="79" t="s">
        <v>116</v>
      </c>
      <c r="L12" s="78" t="s">
        <v>114</v>
      </c>
    </row>
    <row r="13" spans="1:12" x14ac:dyDescent="0.2">
      <c r="A13" s="77"/>
      <c r="B13" s="76" t="s">
        <v>80</v>
      </c>
      <c r="C13" s="75" t="str">
        <f t="shared" si="1"/>
        <v>3L</v>
      </c>
      <c r="D13" s="74" t="str">
        <f t="shared" si="2"/>
        <v>6L</v>
      </c>
      <c r="E13" s="73" t="str">
        <f t="shared" si="0"/>
        <v>GBP3L6L7Y_Quote</v>
      </c>
      <c r="F13" s="73" t="str">
        <f>_xll.qlSimpleQuote(E13,,RateTickValue,Permanent,Trigger,ObjectOverwrite)</f>
        <v>GBP3L6L7Y_Quote#0002</v>
      </c>
      <c r="G13" s="72" t="str">
        <f>_xll.ohRangeRetrieveError(F13)</f>
        <v/>
      </c>
      <c r="H13" s="71"/>
    </row>
    <row r="14" spans="1:12" x14ac:dyDescent="0.2">
      <c r="A14" s="77"/>
      <c r="B14" s="76" t="s">
        <v>79</v>
      </c>
      <c r="C14" s="75" t="str">
        <f t="shared" si="1"/>
        <v>3L</v>
      </c>
      <c r="D14" s="74" t="str">
        <f t="shared" si="2"/>
        <v>6L</v>
      </c>
      <c r="E14" s="73" t="str">
        <f t="shared" si="0"/>
        <v>GBP3L6L8Y_Quote</v>
      </c>
      <c r="F14" s="73" t="str">
        <f>_xll.qlSimpleQuote(E14,,RateTickValue,Permanent,Trigger,ObjectOverwrite)</f>
        <v>GBP3L6L8Y_Quote#0002</v>
      </c>
      <c r="G14" s="72" t="str">
        <f>_xll.ohRangeRetrieveError(F14)</f>
        <v/>
      </c>
      <c r="H14" s="71"/>
    </row>
    <row r="15" spans="1:12" x14ac:dyDescent="0.2">
      <c r="A15" s="77"/>
      <c r="B15" s="76" t="s">
        <v>78</v>
      </c>
      <c r="C15" s="75" t="str">
        <f t="shared" si="1"/>
        <v>3L</v>
      </c>
      <c r="D15" s="74" t="str">
        <f t="shared" si="2"/>
        <v>6L</v>
      </c>
      <c r="E15" s="73" t="str">
        <f t="shared" si="0"/>
        <v>GBP3L6L9Y_Quote</v>
      </c>
      <c r="F15" s="73" t="str">
        <f>_xll.qlSimpleQuote(E15,,RateTickValue,Permanent,Trigger,ObjectOverwrite)</f>
        <v>GBP3L6L9Y_Quote#0002</v>
      </c>
      <c r="G15" s="72" t="str">
        <f>_xll.ohRangeRetrieveError(F15)</f>
        <v/>
      </c>
      <c r="H15" s="71"/>
    </row>
    <row r="16" spans="1:12" x14ac:dyDescent="0.2">
      <c r="A16" s="77"/>
      <c r="B16" s="76" t="s">
        <v>77</v>
      </c>
      <c r="C16" s="75" t="str">
        <f t="shared" si="1"/>
        <v>3L</v>
      </c>
      <c r="D16" s="74" t="str">
        <f t="shared" si="2"/>
        <v>6L</v>
      </c>
      <c r="E16" s="73" t="str">
        <f t="shared" si="0"/>
        <v>GBP3L6L10Y_Quote</v>
      </c>
      <c r="F16" s="73" t="str">
        <f>_xll.qlSimpleQuote(E16,,RateTickValue,Permanent,Trigger,ObjectOverwrite)</f>
        <v>GBP3L6L10Y_Quote#0002</v>
      </c>
      <c r="G16" s="72" t="str">
        <f>_xll.ohRangeRetrieveError(F16)</f>
        <v/>
      </c>
      <c r="H16" s="71"/>
    </row>
    <row r="17" spans="1:8" x14ac:dyDescent="0.2">
      <c r="A17" s="77"/>
      <c r="B17" s="76" t="s">
        <v>76</v>
      </c>
      <c r="C17" s="75" t="str">
        <f t="shared" si="1"/>
        <v>3L</v>
      </c>
      <c r="D17" s="74" t="str">
        <f t="shared" si="2"/>
        <v>6L</v>
      </c>
      <c r="E17" s="73" t="str">
        <f t="shared" si="0"/>
        <v>GBP3L6L11Y_Quote</v>
      </c>
      <c r="F17" s="73" t="str">
        <f>_xll.qlSimpleQuote(E17,,RateTickValue,Permanent,Trigger,ObjectOverwrite)</f>
        <v>GBP3L6L11Y_Quote#0002</v>
      </c>
      <c r="G17" s="72" t="str">
        <f>_xll.ohRangeRetrieveError(F17)</f>
        <v/>
      </c>
      <c r="H17" s="71"/>
    </row>
    <row r="18" spans="1:8" x14ac:dyDescent="0.2">
      <c r="A18" s="77"/>
      <c r="B18" s="76" t="s">
        <v>75</v>
      </c>
      <c r="C18" s="75" t="str">
        <f t="shared" si="1"/>
        <v>3L</v>
      </c>
      <c r="D18" s="74" t="str">
        <f t="shared" si="2"/>
        <v>6L</v>
      </c>
      <c r="E18" s="73" t="str">
        <f t="shared" si="0"/>
        <v>GBP3L6L12Y_Quote</v>
      </c>
      <c r="F18" s="73" t="str">
        <f>_xll.qlSimpleQuote(E18,,RateTickValue,Permanent,Trigger,ObjectOverwrite)</f>
        <v>GBP3L6L12Y_Quote#0002</v>
      </c>
      <c r="G18" s="72" t="str">
        <f>_xll.ohRangeRetrieveError(F18)</f>
        <v/>
      </c>
      <c r="H18" s="71"/>
    </row>
    <row r="19" spans="1:8" x14ac:dyDescent="0.2">
      <c r="A19" s="77"/>
      <c r="B19" s="76" t="s">
        <v>74</v>
      </c>
      <c r="C19" s="75" t="str">
        <f t="shared" si="1"/>
        <v>3L</v>
      </c>
      <c r="D19" s="74" t="str">
        <f t="shared" si="2"/>
        <v>6L</v>
      </c>
      <c r="E19" s="73" t="str">
        <f t="shared" si="0"/>
        <v>GBP3L6L13Y_Quote</v>
      </c>
      <c r="F19" s="73" t="str">
        <f>_xll.qlSimpleQuote(E19,,RateTickValue,Permanent,Trigger,ObjectOverwrite)</f>
        <v>GBP3L6L13Y_Quote#0002</v>
      </c>
      <c r="G19" s="72" t="str">
        <f>_xll.ohRangeRetrieveError(F19)</f>
        <v/>
      </c>
      <c r="H19" s="71"/>
    </row>
    <row r="20" spans="1:8" x14ac:dyDescent="0.2">
      <c r="A20" s="77"/>
      <c r="B20" s="76" t="s">
        <v>73</v>
      </c>
      <c r="C20" s="75" t="str">
        <f t="shared" si="1"/>
        <v>3L</v>
      </c>
      <c r="D20" s="74" t="str">
        <f t="shared" si="2"/>
        <v>6L</v>
      </c>
      <c r="E20" s="73" t="str">
        <f t="shared" si="0"/>
        <v>GBP3L6L14Y_Quote</v>
      </c>
      <c r="F20" s="73" t="str">
        <f>_xll.qlSimpleQuote(E20,,RateTickValue,Permanent,Trigger,ObjectOverwrite)</f>
        <v>GBP3L6L14Y_Quote#0002</v>
      </c>
      <c r="G20" s="72" t="str">
        <f>_xll.ohRangeRetrieveError(F20)</f>
        <v/>
      </c>
      <c r="H20" s="71"/>
    </row>
    <row r="21" spans="1:8" x14ac:dyDescent="0.2">
      <c r="A21" s="77"/>
      <c r="B21" s="76" t="s">
        <v>72</v>
      </c>
      <c r="C21" s="75" t="str">
        <f t="shared" si="1"/>
        <v>3L</v>
      </c>
      <c r="D21" s="74" t="str">
        <f t="shared" si="2"/>
        <v>6L</v>
      </c>
      <c r="E21" s="73" t="str">
        <f t="shared" si="0"/>
        <v>GBP3L6L15Y_Quote</v>
      </c>
      <c r="F21" s="73" t="str">
        <f>_xll.qlSimpleQuote(E21,,RateTickValue,Permanent,Trigger,ObjectOverwrite)</f>
        <v>GBP3L6L15Y_Quote#0002</v>
      </c>
      <c r="G21" s="72" t="str">
        <f>_xll.ohRangeRetrieveError(F21)</f>
        <v/>
      </c>
      <c r="H21" s="71"/>
    </row>
    <row r="22" spans="1:8" x14ac:dyDescent="0.2">
      <c r="A22" s="77"/>
      <c r="B22" s="76" t="s">
        <v>71</v>
      </c>
      <c r="C22" s="75" t="str">
        <f t="shared" si="1"/>
        <v>3L</v>
      </c>
      <c r="D22" s="74" t="str">
        <f t="shared" si="2"/>
        <v>6L</v>
      </c>
      <c r="E22" s="73" t="str">
        <f t="shared" si="0"/>
        <v>GBP3L6L16Y_Quote</v>
      </c>
      <c r="F22" s="73" t="str">
        <f>_xll.qlSimpleQuote(E22,,RateTickValue,Permanent,Trigger,ObjectOverwrite)</f>
        <v>GBP3L6L16Y_Quote#0002</v>
      </c>
      <c r="G22" s="72" t="str">
        <f>_xll.ohRangeRetrieveError(F22)</f>
        <v/>
      </c>
      <c r="H22" s="71"/>
    </row>
    <row r="23" spans="1:8" x14ac:dyDescent="0.2">
      <c r="A23" s="77"/>
      <c r="B23" s="76" t="s">
        <v>70</v>
      </c>
      <c r="C23" s="75" t="str">
        <f t="shared" si="1"/>
        <v>3L</v>
      </c>
      <c r="D23" s="74" t="str">
        <f t="shared" si="2"/>
        <v>6L</v>
      </c>
      <c r="E23" s="73" t="str">
        <f t="shared" si="0"/>
        <v>GBP3L6L17Y_Quote</v>
      </c>
      <c r="F23" s="73" t="str">
        <f>_xll.qlSimpleQuote(E23,,RateTickValue,Permanent,Trigger,ObjectOverwrite)</f>
        <v>GBP3L6L17Y_Quote#0002</v>
      </c>
      <c r="G23" s="72" t="str">
        <f>_xll.ohRangeRetrieveError(F23)</f>
        <v/>
      </c>
      <c r="H23" s="71"/>
    </row>
    <row r="24" spans="1:8" x14ac:dyDescent="0.2">
      <c r="A24" s="77"/>
      <c r="B24" s="76" t="s">
        <v>69</v>
      </c>
      <c r="C24" s="75" t="str">
        <f t="shared" si="1"/>
        <v>3L</v>
      </c>
      <c r="D24" s="74" t="str">
        <f t="shared" si="2"/>
        <v>6L</v>
      </c>
      <c r="E24" s="73" t="str">
        <f t="shared" si="0"/>
        <v>GBP3L6L18Y_Quote</v>
      </c>
      <c r="F24" s="73" t="str">
        <f>_xll.qlSimpleQuote(E24,,RateTickValue,Permanent,Trigger,ObjectOverwrite)</f>
        <v>GBP3L6L18Y_Quote#0002</v>
      </c>
      <c r="G24" s="72" t="str">
        <f>_xll.ohRangeRetrieveError(F24)</f>
        <v/>
      </c>
      <c r="H24" s="71"/>
    </row>
    <row r="25" spans="1:8" x14ac:dyDescent="0.2">
      <c r="A25" s="77"/>
      <c r="B25" s="76" t="s">
        <v>68</v>
      </c>
      <c r="C25" s="75" t="str">
        <f t="shared" si="1"/>
        <v>3L</v>
      </c>
      <c r="D25" s="74" t="str">
        <f t="shared" si="2"/>
        <v>6L</v>
      </c>
      <c r="E25" s="73" t="str">
        <f t="shared" si="0"/>
        <v>GBP3L6L19Y_Quote</v>
      </c>
      <c r="F25" s="73" t="str">
        <f>_xll.qlSimpleQuote(E25,,RateTickValue,Permanent,Trigger,ObjectOverwrite)</f>
        <v>GBP3L6L19Y_Quote#0002</v>
      </c>
      <c r="G25" s="72" t="str">
        <f>_xll.ohRangeRetrieveError(F25)</f>
        <v/>
      </c>
      <c r="H25" s="71"/>
    </row>
    <row r="26" spans="1:8" x14ac:dyDescent="0.2">
      <c r="A26" s="77"/>
      <c r="B26" s="76" t="s">
        <v>67</v>
      </c>
      <c r="C26" s="75" t="str">
        <f t="shared" si="1"/>
        <v>3L</v>
      </c>
      <c r="D26" s="74" t="str">
        <f t="shared" si="2"/>
        <v>6L</v>
      </c>
      <c r="E26" s="73" t="str">
        <f t="shared" si="0"/>
        <v>GBP3L6L20Y_Quote</v>
      </c>
      <c r="F26" s="73" t="str">
        <f>_xll.qlSimpleQuote(E26,,RateTickValue,Permanent,Trigger,ObjectOverwrite)</f>
        <v>GBP3L6L20Y_Quote#0002</v>
      </c>
      <c r="G26" s="72" t="str">
        <f>_xll.ohRangeRetrieveError(F26)</f>
        <v/>
      </c>
      <c r="H26" s="71"/>
    </row>
    <row r="27" spans="1:8" x14ac:dyDescent="0.2">
      <c r="A27" s="77"/>
      <c r="B27" s="76" t="s">
        <v>66</v>
      </c>
      <c r="C27" s="75" t="str">
        <f t="shared" si="1"/>
        <v>3L</v>
      </c>
      <c r="D27" s="74" t="str">
        <f t="shared" si="2"/>
        <v>6L</v>
      </c>
      <c r="E27" s="73" t="str">
        <f t="shared" si="0"/>
        <v>GBP3L6L21Y_Quote</v>
      </c>
      <c r="F27" s="73" t="str">
        <f>_xll.qlSimpleQuote(E27,,RateTickValue,Permanent,Trigger,ObjectOverwrite)</f>
        <v>GBP3L6L21Y_Quote#0002</v>
      </c>
      <c r="G27" s="72" t="str">
        <f>_xll.ohRangeRetrieveError(F27)</f>
        <v/>
      </c>
      <c r="H27" s="71"/>
    </row>
    <row r="28" spans="1:8" x14ac:dyDescent="0.2">
      <c r="A28" s="77"/>
      <c r="B28" s="76" t="s">
        <v>65</v>
      </c>
      <c r="C28" s="75" t="str">
        <f t="shared" si="1"/>
        <v>3L</v>
      </c>
      <c r="D28" s="74" t="str">
        <f t="shared" si="2"/>
        <v>6L</v>
      </c>
      <c r="E28" s="73" t="str">
        <f t="shared" si="0"/>
        <v>GBP3L6L22Y_Quote</v>
      </c>
      <c r="F28" s="73" t="str">
        <f>_xll.qlSimpleQuote(E28,,RateTickValue,Permanent,Trigger,ObjectOverwrite)</f>
        <v>GBP3L6L22Y_Quote#0002</v>
      </c>
      <c r="G28" s="72" t="str">
        <f>_xll.ohRangeRetrieveError(F28)</f>
        <v/>
      </c>
      <c r="H28" s="71"/>
    </row>
    <row r="29" spans="1:8" x14ac:dyDescent="0.2">
      <c r="A29" s="77"/>
      <c r="B29" s="76" t="s">
        <v>64</v>
      </c>
      <c r="C29" s="75" t="str">
        <f t="shared" si="1"/>
        <v>3L</v>
      </c>
      <c r="D29" s="74" t="str">
        <f t="shared" si="2"/>
        <v>6L</v>
      </c>
      <c r="E29" s="73" t="str">
        <f t="shared" si="0"/>
        <v>GBP3L6L23Y_Quote</v>
      </c>
      <c r="F29" s="73" t="str">
        <f>_xll.qlSimpleQuote(E29,,RateTickValue,Permanent,Trigger,ObjectOverwrite)</f>
        <v>GBP3L6L23Y_Quote#0002</v>
      </c>
      <c r="G29" s="72" t="str">
        <f>_xll.ohRangeRetrieveError(F29)</f>
        <v/>
      </c>
      <c r="H29" s="71"/>
    </row>
    <row r="30" spans="1:8" x14ac:dyDescent="0.2">
      <c r="A30" s="77"/>
      <c r="B30" s="76" t="s">
        <v>63</v>
      </c>
      <c r="C30" s="75" t="str">
        <f t="shared" si="1"/>
        <v>3L</v>
      </c>
      <c r="D30" s="74" t="str">
        <f t="shared" si="2"/>
        <v>6L</v>
      </c>
      <c r="E30" s="73" t="str">
        <f t="shared" si="0"/>
        <v>GBP3L6L24Y_Quote</v>
      </c>
      <c r="F30" s="73" t="str">
        <f>_xll.qlSimpleQuote(E30,,RateTickValue,Permanent,Trigger,ObjectOverwrite)</f>
        <v>GBP3L6L24Y_Quote#0002</v>
      </c>
      <c r="G30" s="72" t="str">
        <f>_xll.ohRangeRetrieveError(F30)</f>
        <v/>
      </c>
      <c r="H30" s="71"/>
    </row>
    <row r="31" spans="1:8" x14ac:dyDescent="0.2">
      <c r="A31" s="77"/>
      <c r="B31" s="76" t="s">
        <v>62</v>
      </c>
      <c r="C31" s="75" t="str">
        <f t="shared" si="1"/>
        <v>3L</v>
      </c>
      <c r="D31" s="74" t="str">
        <f t="shared" si="2"/>
        <v>6L</v>
      </c>
      <c r="E31" s="73" t="str">
        <f t="shared" si="0"/>
        <v>GBP3L6L25Y_Quote</v>
      </c>
      <c r="F31" s="73" t="str">
        <f>_xll.qlSimpleQuote(E31,,RateTickValue,Permanent,Trigger,ObjectOverwrite)</f>
        <v>GBP3L6L25Y_Quote#0002</v>
      </c>
      <c r="G31" s="72" t="str">
        <f>_xll.ohRangeRetrieveError(F31)</f>
        <v/>
      </c>
      <c r="H31" s="71"/>
    </row>
    <row r="32" spans="1:8" x14ac:dyDescent="0.2">
      <c r="A32" s="77"/>
      <c r="B32" s="76" t="s">
        <v>61</v>
      </c>
      <c r="C32" s="75" t="str">
        <f t="shared" si="1"/>
        <v>3L</v>
      </c>
      <c r="D32" s="74" t="str">
        <f t="shared" si="2"/>
        <v>6L</v>
      </c>
      <c r="E32" s="73" t="str">
        <f t="shared" si="0"/>
        <v>GBP3L6L26Y_Quote</v>
      </c>
      <c r="F32" s="73" t="str">
        <f>_xll.qlSimpleQuote(E32,,RateTickValue,Permanent,Trigger,ObjectOverwrite)</f>
        <v>GBP3L6L26Y_Quote#0002</v>
      </c>
      <c r="G32" s="72" t="str">
        <f>_xll.ohRangeRetrieveError(F32)</f>
        <v/>
      </c>
      <c r="H32" s="71"/>
    </row>
    <row r="33" spans="1:8" x14ac:dyDescent="0.2">
      <c r="A33" s="77"/>
      <c r="B33" s="76" t="s">
        <v>60</v>
      </c>
      <c r="C33" s="75" t="str">
        <f t="shared" si="1"/>
        <v>3L</v>
      </c>
      <c r="D33" s="74" t="str">
        <f t="shared" si="2"/>
        <v>6L</v>
      </c>
      <c r="E33" s="73" t="str">
        <f t="shared" si="0"/>
        <v>GBP3L6L27Y_Quote</v>
      </c>
      <c r="F33" s="73" t="str">
        <f>_xll.qlSimpleQuote(E33,,RateTickValue,Permanent,Trigger,ObjectOverwrite)</f>
        <v>GBP3L6L27Y_Quote#0002</v>
      </c>
      <c r="G33" s="72" t="str">
        <f>_xll.ohRangeRetrieveError(F33)</f>
        <v/>
      </c>
      <c r="H33" s="71"/>
    </row>
    <row r="34" spans="1:8" x14ac:dyDescent="0.2">
      <c r="A34" s="77"/>
      <c r="B34" s="76" t="s">
        <v>59</v>
      </c>
      <c r="C34" s="75" t="str">
        <f t="shared" si="1"/>
        <v>3L</v>
      </c>
      <c r="D34" s="74" t="str">
        <f t="shared" si="2"/>
        <v>6L</v>
      </c>
      <c r="E34" s="73" t="str">
        <f t="shared" si="0"/>
        <v>GBP3L6L28Y_Quote</v>
      </c>
      <c r="F34" s="73" t="str">
        <f>_xll.qlSimpleQuote(E34,,RateTickValue,Permanent,Trigger,ObjectOverwrite)</f>
        <v>GBP3L6L28Y_Quote#0002</v>
      </c>
      <c r="G34" s="72" t="str">
        <f>_xll.ohRangeRetrieveError(F34)</f>
        <v/>
      </c>
      <c r="H34" s="71"/>
    </row>
    <row r="35" spans="1:8" x14ac:dyDescent="0.2">
      <c r="A35" s="77"/>
      <c r="B35" s="76" t="s">
        <v>58</v>
      </c>
      <c r="C35" s="75" t="str">
        <f t="shared" si="1"/>
        <v>3L</v>
      </c>
      <c r="D35" s="74" t="str">
        <f t="shared" si="2"/>
        <v>6L</v>
      </c>
      <c r="E35" s="73" t="str">
        <f t="shared" si="0"/>
        <v>GBP3L6L29Y_Quote</v>
      </c>
      <c r="F35" s="73" t="str">
        <f>_xll.qlSimpleQuote(E35,,RateTickValue,Permanent,Trigger,ObjectOverwrite)</f>
        <v>GBP3L6L29Y_Quote#0002</v>
      </c>
      <c r="G35" s="72" t="str">
        <f>_xll.ohRangeRetrieveError(F35)</f>
        <v/>
      </c>
      <c r="H35" s="71"/>
    </row>
    <row r="36" spans="1:8" x14ac:dyDescent="0.2">
      <c r="A36" s="77"/>
      <c r="B36" s="76" t="s">
        <v>57</v>
      </c>
      <c r="C36" s="75" t="str">
        <f t="shared" si="1"/>
        <v>3L</v>
      </c>
      <c r="D36" s="74" t="str">
        <f t="shared" si="2"/>
        <v>6L</v>
      </c>
      <c r="E36" s="73" t="str">
        <f t="shared" si="0"/>
        <v>GBP3L6L30Y_Quote</v>
      </c>
      <c r="F36" s="73" t="str">
        <f>_xll.qlSimpleQuote(E36,,RateTickValue,Permanent,Trigger,ObjectOverwrite)</f>
        <v>GBP3L6L30Y_Quote#0002</v>
      </c>
      <c r="G36" s="72" t="str">
        <f>_xll.ohRangeRetrieveError(F36)</f>
        <v/>
      </c>
      <c r="H36" s="71"/>
    </row>
    <row r="37" spans="1:8" x14ac:dyDescent="0.2">
      <c r="A37" s="77"/>
      <c r="B37" s="76" t="s">
        <v>52</v>
      </c>
      <c r="C37" s="75" t="str">
        <f t="shared" si="1"/>
        <v>3L</v>
      </c>
      <c r="D37" s="74" t="str">
        <f t="shared" si="2"/>
        <v>6L</v>
      </c>
      <c r="E37" s="73" t="str">
        <f t="shared" si="0"/>
        <v>GBP3L6L35Y_Quote</v>
      </c>
      <c r="F37" s="73" t="str">
        <f>_xll.qlSimpleQuote(E37,,RateTickValue,Permanent,Trigger,ObjectOverwrite)</f>
        <v>GBP3L6L35Y_Quote#0002</v>
      </c>
      <c r="G37" s="72" t="str">
        <f>_xll.ohRangeRetrieveError(F37)</f>
        <v/>
      </c>
      <c r="H37" s="71"/>
    </row>
    <row r="38" spans="1:8" x14ac:dyDescent="0.2">
      <c r="A38" s="77"/>
      <c r="B38" s="76" t="s">
        <v>47</v>
      </c>
      <c r="C38" s="75" t="str">
        <f t="shared" si="1"/>
        <v>3L</v>
      </c>
      <c r="D38" s="74" t="str">
        <f t="shared" si="2"/>
        <v>6L</v>
      </c>
      <c r="E38" s="73" t="str">
        <f t="shared" si="0"/>
        <v>GBP3L6L40Y_Quote</v>
      </c>
      <c r="F38" s="73" t="str">
        <f>_xll.qlSimpleQuote(E38,,RateTickValue,Permanent,Trigger,ObjectOverwrite)</f>
        <v>GBP3L6L40Y_Quote#0002</v>
      </c>
      <c r="G38" s="72" t="str">
        <f>_xll.ohRangeRetrieveError(F38)</f>
        <v/>
      </c>
      <c r="H38" s="71"/>
    </row>
    <row r="39" spans="1:8" x14ac:dyDescent="0.2">
      <c r="A39" s="77"/>
      <c r="B39" s="76" t="s">
        <v>37</v>
      </c>
      <c r="C39" s="75" t="str">
        <f t="shared" si="1"/>
        <v>3L</v>
      </c>
      <c r="D39" s="74" t="str">
        <f t="shared" si="2"/>
        <v>6L</v>
      </c>
      <c r="E39" s="73" t="str">
        <f t="shared" si="0"/>
        <v>GBP3L6L50Y_Quote</v>
      </c>
      <c r="F39" s="73" t="str">
        <f>_xll.qlSimpleQuote(E39,,RateTickValue,Permanent,Trigger,ObjectOverwrite)</f>
        <v>GBP3L6L50Y_Quote#0002</v>
      </c>
      <c r="G39" s="72" t="str">
        <f>_xll.ohRangeRetrieveError(F39)</f>
        <v/>
      </c>
      <c r="H39" s="71"/>
    </row>
    <row r="40" spans="1:8" x14ac:dyDescent="0.2">
      <c r="A40" s="77"/>
      <c r="B40" s="76" t="s">
        <v>27</v>
      </c>
      <c r="C40" s="75" t="str">
        <f t="shared" si="1"/>
        <v>3L</v>
      </c>
      <c r="D40" s="74" t="str">
        <f t="shared" si="2"/>
        <v>6L</v>
      </c>
      <c r="E40" s="73" t="str">
        <f t="shared" si="0"/>
        <v>GBP3L6L60Y_Quote</v>
      </c>
      <c r="F40" s="73" t="str">
        <f>_xll.qlSimpleQuote(E40,,RateTickValue,Permanent,Trigger,ObjectOverwrite)</f>
        <v>GBP3L6L60Y_Quote#0002</v>
      </c>
      <c r="G40" s="72" t="str">
        <f>_xll.ohRangeRetrieveError(F40)</f>
        <v/>
      </c>
      <c r="H40" s="71"/>
    </row>
    <row r="41" spans="1:8" x14ac:dyDescent="0.2">
      <c r="A41" s="70"/>
      <c r="B41" s="69"/>
      <c r="C41" s="69"/>
      <c r="D41" s="69"/>
      <c r="E41" s="69"/>
      <c r="F41" s="68"/>
      <c r="G41" s="68"/>
      <c r="H41" s="67"/>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1"/>
  <sheetViews>
    <sheetView workbookViewId="0"/>
  </sheetViews>
  <sheetFormatPr defaultRowHeight="12.75" x14ac:dyDescent="0.2"/>
  <cols>
    <col min="1" max="1" width="4.14062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8" width="3.7109375" style="63" customWidth="1"/>
    <col min="9" max="9" width="3.140625" style="63" customWidth="1"/>
    <col min="10" max="10" width="4" style="63" bestFit="1" customWidth="1"/>
    <col min="11" max="11" width="3.5703125" style="63" customWidth="1"/>
    <col min="12" max="12" width="3.5703125" style="63" bestFit="1" customWidth="1"/>
    <col min="13" max="16384" width="9.140625" style="63"/>
  </cols>
  <sheetData>
    <row r="1" spans="1:12" x14ac:dyDescent="0.2">
      <c r="A1" s="595" t="s">
        <v>350</v>
      </c>
      <c r="B1" s="95"/>
      <c r="C1" s="95"/>
      <c r="D1" s="95"/>
      <c r="E1" s="96"/>
      <c r="F1" s="97"/>
      <c r="G1" s="96"/>
      <c r="H1" s="92"/>
    </row>
    <row r="2" spans="1:12" x14ac:dyDescent="0.2">
      <c r="A2" s="77"/>
      <c r="B2" s="90" t="s">
        <v>125</v>
      </c>
      <c r="C2" s="91"/>
      <c r="D2" s="90"/>
      <c r="E2" s="89" t="str">
        <f>Currency&amp;"_010_Sw"&amp;$C$7&amp;$D$7&amp;".xml"</f>
        <v>GBP_010_Sw6L12L.xml</v>
      </c>
      <c r="F2" s="88">
        <f ca="1">IF(Serialize,_xll.ohObjectSave(F3:F40,SerializationPath&amp;E2,FileOverwrite,Serialize),"---")</f>
        <v>38</v>
      </c>
      <c r="G2" s="72" t="str">
        <f ca="1">_xll.ohRangeRetrieveError(F2)</f>
        <v/>
      </c>
      <c r="H2" s="71"/>
    </row>
    <row r="3" spans="1:12" x14ac:dyDescent="0.2">
      <c r="A3" s="77"/>
      <c r="B3" s="87" t="s">
        <v>8</v>
      </c>
      <c r="C3" s="75" t="str">
        <f>VLOOKUP(Currency,$J$8:$L$12,2)</f>
        <v>6L</v>
      </c>
      <c r="D3" s="74" t="str">
        <f>VLOOKUP(Currency,$J$8:$L$12,3)</f>
        <v>12L</v>
      </c>
      <c r="E3" s="73" t="str">
        <f t="shared" ref="E3:E40" si="0">IF(ISBLANK(C3),"#",Currency&amp;$C3&amp;$D3&amp;$B3&amp;QuoteSuffix)</f>
        <v>GBP6L12L6M_Quote</v>
      </c>
      <c r="F3" s="73" t="str">
        <f>_xll.qlSimpleQuote(E3,,RateTickValue,Permanent,Trigger,ObjectOverwrite)</f>
        <v>GBP6L12L6M_Quote#0002</v>
      </c>
      <c r="G3" s="72" t="str">
        <f>_xll.ohRangeRetrieveError(F3)</f>
        <v/>
      </c>
      <c r="H3" s="71"/>
    </row>
    <row r="4" spans="1:12" x14ac:dyDescent="0.2">
      <c r="A4" s="77"/>
      <c r="B4" s="87" t="s">
        <v>1</v>
      </c>
      <c r="C4" s="75" t="str">
        <f t="shared" ref="C4:C40" si="1">C3</f>
        <v>6L</v>
      </c>
      <c r="D4" s="74" t="str">
        <f t="shared" ref="D4:D40" si="2">D3</f>
        <v>12L</v>
      </c>
      <c r="E4" s="73" t="str">
        <f t="shared" si="0"/>
        <v>GBP6L12L1Y_Quote</v>
      </c>
      <c r="F4" s="73" t="str">
        <f>_xll.qlSimpleQuote(E4,,RateTickValue,Permanent,Trigger,ObjectOverwrite)</f>
        <v>GBP6L12L1Y_Quote#0002</v>
      </c>
      <c r="G4" s="72" t="str">
        <f>_xll.ohRangeRetrieveError(F4)</f>
        <v/>
      </c>
      <c r="H4" s="71"/>
    </row>
    <row r="5" spans="1:12" x14ac:dyDescent="0.2">
      <c r="A5" s="77"/>
      <c r="B5" s="87" t="s">
        <v>124</v>
      </c>
      <c r="C5" s="75" t="str">
        <f t="shared" si="1"/>
        <v>6L</v>
      </c>
      <c r="D5" s="74" t="str">
        <f t="shared" si="2"/>
        <v>12L</v>
      </c>
      <c r="E5" s="73" t="str">
        <f t="shared" si="0"/>
        <v>GBP6L12L15M_Quote</v>
      </c>
      <c r="F5" s="73" t="str">
        <f>_xll.qlSimpleQuote(E5,,RateTickValue,Permanent,Trigger,ObjectOverwrite)</f>
        <v>GBP6L12L15M_Quote#0002</v>
      </c>
      <c r="G5" s="72" t="str">
        <f>_xll.ohRangeRetrieveError(F5)</f>
        <v/>
      </c>
      <c r="H5" s="71"/>
    </row>
    <row r="6" spans="1:12" x14ac:dyDescent="0.2">
      <c r="A6" s="77"/>
      <c r="B6" s="87" t="s">
        <v>123</v>
      </c>
      <c r="C6" s="75" t="str">
        <f t="shared" si="1"/>
        <v>6L</v>
      </c>
      <c r="D6" s="74" t="str">
        <f t="shared" si="2"/>
        <v>12L</v>
      </c>
      <c r="E6" s="73" t="str">
        <f t="shared" si="0"/>
        <v>GBP6L12L18M_Quote</v>
      </c>
      <c r="F6" s="73" t="str">
        <f>_xll.qlSimpleQuote(E6,,RateTickValue,Permanent,Trigger,ObjectOverwrite)</f>
        <v>GBP6L12L18M_Quote#0002</v>
      </c>
      <c r="G6" s="72" t="str">
        <f>_xll.ohRangeRetrieveError(F6)</f>
        <v/>
      </c>
      <c r="H6" s="71"/>
    </row>
    <row r="7" spans="1:12" ht="13.5" thickBot="1" x14ac:dyDescent="0.25">
      <c r="A7" s="77"/>
      <c r="B7" s="87" t="s">
        <v>122</v>
      </c>
      <c r="C7" s="75" t="str">
        <f t="shared" si="1"/>
        <v>6L</v>
      </c>
      <c r="D7" s="74" t="str">
        <f t="shared" si="2"/>
        <v>12L</v>
      </c>
      <c r="E7" s="73" t="str">
        <f t="shared" si="0"/>
        <v>GBP6L12L21M_Quote</v>
      </c>
      <c r="F7" s="73" t="str">
        <f>_xll.qlSimpleQuote(E7,,RateTickValue,Permanent,Trigger,ObjectOverwrite)</f>
        <v>GBP6L12L21M_Quote#0002</v>
      </c>
      <c r="G7" s="72" t="str">
        <f>_xll.ohRangeRetrieveError(F7)</f>
        <v/>
      </c>
      <c r="H7" s="71"/>
    </row>
    <row r="8" spans="1:12" x14ac:dyDescent="0.2">
      <c r="A8" s="77"/>
      <c r="B8" s="76" t="s">
        <v>85</v>
      </c>
      <c r="C8" s="75" t="str">
        <f t="shared" si="1"/>
        <v>6L</v>
      </c>
      <c r="D8" s="74" t="str">
        <f t="shared" si="2"/>
        <v>12L</v>
      </c>
      <c r="E8" s="73" t="str">
        <f t="shared" si="0"/>
        <v>GBP6L12L2Y_Quote</v>
      </c>
      <c r="F8" s="73" t="str">
        <f>_xll.qlSimpleQuote(E8,,RateTickValue,Permanent,Trigger,ObjectOverwrite)</f>
        <v>GBP6L12L2Y_Quote#0002</v>
      </c>
      <c r="G8" s="72" t="str">
        <f>_xll.ohRangeRetrieveError(F8)</f>
        <v/>
      </c>
      <c r="H8" s="71"/>
      <c r="J8" s="86" t="s">
        <v>121</v>
      </c>
      <c r="K8" s="85" t="s">
        <v>116</v>
      </c>
      <c r="L8" s="84" t="s">
        <v>127</v>
      </c>
    </row>
    <row r="9" spans="1:12" x14ac:dyDescent="0.2">
      <c r="A9" s="77"/>
      <c r="B9" s="76" t="s">
        <v>84</v>
      </c>
      <c r="C9" s="75" t="str">
        <f t="shared" si="1"/>
        <v>6L</v>
      </c>
      <c r="D9" s="74" t="str">
        <f t="shared" si="2"/>
        <v>12L</v>
      </c>
      <c r="E9" s="73" t="str">
        <f t="shared" si="0"/>
        <v>GBP6L12L3Y_Quote</v>
      </c>
      <c r="F9" s="73" t="str">
        <f>_xll.qlSimpleQuote(E9,,RateTickValue,Permanent,Trigger,ObjectOverwrite)</f>
        <v>GBP6L12L3Y_Quote#0002</v>
      </c>
      <c r="G9" s="72" t="str">
        <f>_xll.ohRangeRetrieveError(F9)</f>
        <v/>
      </c>
      <c r="H9" s="71"/>
      <c r="J9" s="83" t="s">
        <v>120</v>
      </c>
      <c r="K9" s="82" t="s">
        <v>118</v>
      </c>
      <c r="L9" s="81" t="s">
        <v>128</v>
      </c>
    </row>
    <row r="10" spans="1:12" x14ac:dyDescent="0.2">
      <c r="A10" s="77"/>
      <c r="B10" s="76" t="s">
        <v>83</v>
      </c>
      <c r="C10" s="75" t="str">
        <f t="shared" si="1"/>
        <v>6L</v>
      </c>
      <c r="D10" s="74" t="str">
        <f t="shared" si="2"/>
        <v>12L</v>
      </c>
      <c r="E10" s="73" t="str">
        <f t="shared" si="0"/>
        <v>GBP6L12L4Y_Quote</v>
      </c>
      <c r="F10" s="73" t="str">
        <f>_xll.qlSimpleQuote(E10,,RateTickValue,Permanent,Trigger,ObjectOverwrite)</f>
        <v>GBP6L12L4Y_Quote#0002</v>
      </c>
      <c r="G10" s="72" t="str">
        <f>_xll.ohRangeRetrieveError(F10)</f>
        <v/>
      </c>
      <c r="H10" s="71"/>
      <c r="J10" s="83" t="s">
        <v>96</v>
      </c>
      <c r="K10" s="82" t="s">
        <v>116</v>
      </c>
      <c r="L10" s="81" t="s">
        <v>127</v>
      </c>
    </row>
    <row r="11" spans="1:12" x14ac:dyDescent="0.2">
      <c r="A11" s="77"/>
      <c r="B11" s="76" t="s">
        <v>82</v>
      </c>
      <c r="C11" s="75" t="str">
        <f t="shared" si="1"/>
        <v>6L</v>
      </c>
      <c r="D11" s="74" t="str">
        <f t="shared" si="2"/>
        <v>12L</v>
      </c>
      <c r="E11" s="73" t="str">
        <f t="shared" si="0"/>
        <v>GBP6L12L5Y_Quote</v>
      </c>
      <c r="F11" s="73" t="str">
        <f>_xll.qlSimpleQuote(E11,,RateTickValue,Permanent,Trigger,ObjectOverwrite)</f>
        <v>GBP6L12L5Y_Quote#0002</v>
      </c>
      <c r="G11" s="72" t="str">
        <f>_xll.ohRangeRetrieveError(F11)</f>
        <v/>
      </c>
      <c r="H11" s="71"/>
      <c r="J11" s="83" t="s">
        <v>117</v>
      </c>
      <c r="K11" s="82" t="s">
        <v>116</v>
      </c>
      <c r="L11" s="81" t="s">
        <v>127</v>
      </c>
    </row>
    <row r="12" spans="1:12" ht="13.5" thickBot="1" x14ac:dyDescent="0.25">
      <c r="A12" s="77"/>
      <c r="B12" s="76" t="s">
        <v>81</v>
      </c>
      <c r="C12" s="75" t="str">
        <f t="shared" si="1"/>
        <v>6L</v>
      </c>
      <c r="D12" s="74" t="str">
        <f t="shared" si="2"/>
        <v>12L</v>
      </c>
      <c r="E12" s="73" t="str">
        <f t="shared" si="0"/>
        <v>GBP6L12L6Y_Quote</v>
      </c>
      <c r="F12" s="73" t="str">
        <f>_xll.qlSimpleQuote(E12,,RateTickValue,Permanent,Trigger,ObjectOverwrite)</f>
        <v>GBP6L12L6Y_Quote#0002</v>
      </c>
      <c r="G12" s="72" t="str">
        <f>_xll.ohRangeRetrieveError(F12)</f>
        <v/>
      </c>
      <c r="H12" s="71"/>
      <c r="J12" s="80" t="s">
        <v>115</v>
      </c>
      <c r="K12" s="79" t="s">
        <v>127</v>
      </c>
      <c r="L12" s="78" t="s">
        <v>114</v>
      </c>
    </row>
    <row r="13" spans="1:12" x14ac:dyDescent="0.2">
      <c r="A13" s="77"/>
      <c r="B13" s="76" t="s">
        <v>80</v>
      </c>
      <c r="C13" s="75" t="str">
        <f t="shared" si="1"/>
        <v>6L</v>
      </c>
      <c r="D13" s="74" t="str">
        <f t="shared" si="2"/>
        <v>12L</v>
      </c>
      <c r="E13" s="73" t="str">
        <f t="shared" si="0"/>
        <v>GBP6L12L7Y_Quote</v>
      </c>
      <c r="F13" s="73" t="str">
        <f>_xll.qlSimpleQuote(E13,,RateTickValue,Permanent,Trigger,ObjectOverwrite)</f>
        <v>GBP6L12L7Y_Quote#0002</v>
      </c>
      <c r="G13" s="72" t="str">
        <f>_xll.ohRangeRetrieveError(F13)</f>
        <v/>
      </c>
      <c r="H13" s="71"/>
    </row>
    <row r="14" spans="1:12" x14ac:dyDescent="0.2">
      <c r="A14" s="77"/>
      <c r="B14" s="76" t="s">
        <v>79</v>
      </c>
      <c r="C14" s="75" t="str">
        <f t="shared" si="1"/>
        <v>6L</v>
      </c>
      <c r="D14" s="74" t="str">
        <f t="shared" si="2"/>
        <v>12L</v>
      </c>
      <c r="E14" s="73" t="str">
        <f t="shared" si="0"/>
        <v>GBP6L12L8Y_Quote</v>
      </c>
      <c r="F14" s="73" t="str">
        <f>_xll.qlSimpleQuote(E14,,RateTickValue,Permanent,Trigger,ObjectOverwrite)</f>
        <v>GBP6L12L8Y_Quote#0002</v>
      </c>
      <c r="G14" s="72" t="str">
        <f>_xll.ohRangeRetrieveError(F14)</f>
        <v/>
      </c>
      <c r="H14" s="71"/>
    </row>
    <row r="15" spans="1:12" x14ac:dyDescent="0.2">
      <c r="A15" s="77"/>
      <c r="B15" s="76" t="s">
        <v>78</v>
      </c>
      <c r="C15" s="75" t="str">
        <f t="shared" si="1"/>
        <v>6L</v>
      </c>
      <c r="D15" s="74" t="str">
        <f t="shared" si="2"/>
        <v>12L</v>
      </c>
      <c r="E15" s="73" t="str">
        <f t="shared" si="0"/>
        <v>GBP6L12L9Y_Quote</v>
      </c>
      <c r="F15" s="73" t="str">
        <f>_xll.qlSimpleQuote(E15,,RateTickValue,Permanent,Trigger,ObjectOverwrite)</f>
        <v>GBP6L12L9Y_Quote#0002</v>
      </c>
      <c r="G15" s="72" t="str">
        <f>_xll.ohRangeRetrieveError(F15)</f>
        <v/>
      </c>
      <c r="H15" s="71"/>
    </row>
    <row r="16" spans="1:12" x14ac:dyDescent="0.2">
      <c r="A16" s="77"/>
      <c r="B16" s="76" t="s">
        <v>77</v>
      </c>
      <c r="C16" s="75" t="str">
        <f t="shared" si="1"/>
        <v>6L</v>
      </c>
      <c r="D16" s="74" t="str">
        <f t="shared" si="2"/>
        <v>12L</v>
      </c>
      <c r="E16" s="73" t="str">
        <f t="shared" si="0"/>
        <v>GBP6L12L10Y_Quote</v>
      </c>
      <c r="F16" s="73" t="str">
        <f>_xll.qlSimpleQuote(E16,,RateTickValue,Permanent,Trigger,ObjectOverwrite)</f>
        <v>GBP6L12L10Y_Quote#0002</v>
      </c>
      <c r="G16" s="72" t="str">
        <f>_xll.ohRangeRetrieveError(F16)</f>
        <v/>
      </c>
      <c r="H16" s="71"/>
    </row>
    <row r="17" spans="1:8" x14ac:dyDescent="0.2">
      <c r="A17" s="77"/>
      <c r="B17" s="76" t="s">
        <v>76</v>
      </c>
      <c r="C17" s="75" t="str">
        <f t="shared" si="1"/>
        <v>6L</v>
      </c>
      <c r="D17" s="74" t="str">
        <f t="shared" si="2"/>
        <v>12L</v>
      </c>
      <c r="E17" s="73" t="str">
        <f t="shared" si="0"/>
        <v>GBP6L12L11Y_Quote</v>
      </c>
      <c r="F17" s="73" t="str">
        <f>_xll.qlSimpleQuote(E17,,RateTickValue,Permanent,Trigger,ObjectOverwrite)</f>
        <v>GBP6L12L11Y_Quote#0002</v>
      </c>
      <c r="G17" s="72" t="str">
        <f>_xll.ohRangeRetrieveError(F17)</f>
        <v/>
      </c>
      <c r="H17" s="71"/>
    </row>
    <row r="18" spans="1:8" x14ac:dyDescent="0.2">
      <c r="A18" s="77"/>
      <c r="B18" s="76" t="s">
        <v>75</v>
      </c>
      <c r="C18" s="75" t="str">
        <f t="shared" si="1"/>
        <v>6L</v>
      </c>
      <c r="D18" s="74" t="str">
        <f t="shared" si="2"/>
        <v>12L</v>
      </c>
      <c r="E18" s="73" t="str">
        <f t="shared" si="0"/>
        <v>GBP6L12L12Y_Quote</v>
      </c>
      <c r="F18" s="73" t="str">
        <f>_xll.qlSimpleQuote(E18,,RateTickValue,Permanent,Trigger,ObjectOverwrite)</f>
        <v>GBP6L12L12Y_Quote#0002</v>
      </c>
      <c r="G18" s="72" t="str">
        <f>_xll.ohRangeRetrieveError(F18)</f>
        <v/>
      </c>
      <c r="H18" s="71"/>
    </row>
    <row r="19" spans="1:8" x14ac:dyDescent="0.2">
      <c r="A19" s="77"/>
      <c r="B19" s="76" t="s">
        <v>74</v>
      </c>
      <c r="C19" s="75" t="str">
        <f t="shared" si="1"/>
        <v>6L</v>
      </c>
      <c r="D19" s="74" t="str">
        <f t="shared" si="2"/>
        <v>12L</v>
      </c>
      <c r="E19" s="73" t="str">
        <f t="shared" si="0"/>
        <v>GBP6L12L13Y_Quote</v>
      </c>
      <c r="F19" s="73" t="str">
        <f>_xll.qlSimpleQuote(E19,,RateTickValue,Permanent,Trigger,ObjectOverwrite)</f>
        <v>GBP6L12L13Y_Quote#0002</v>
      </c>
      <c r="G19" s="72" t="str">
        <f>_xll.ohRangeRetrieveError(F19)</f>
        <v/>
      </c>
      <c r="H19" s="71"/>
    </row>
    <row r="20" spans="1:8" x14ac:dyDescent="0.2">
      <c r="A20" s="77"/>
      <c r="B20" s="76" t="s">
        <v>73</v>
      </c>
      <c r="C20" s="75" t="str">
        <f t="shared" si="1"/>
        <v>6L</v>
      </c>
      <c r="D20" s="74" t="str">
        <f t="shared" si="2"/>
        <v>12L</v>
      </c>
      <c r="E20" s="73" t="str">
        <f t="shared" si="0"/>
        <v>GBP6L12L14Y_Quote</v>
      </c>
      <c r="F20" s="73" t="str">
        <f>_xll.qlSimpleQuote(E20,,RateTickValue,Permanent,Trigger,ObjectOverwrite)</f>
        <v>GBP6L12L14Y_Quote#0002</v>
      </c>
      <c r="G20" s="72" t="str">
        <f>_xll.ohRangeRetrieveError(F20)</f>
        <v/>
      </c>
      <c r="H20" s="71"/>
    </row>
    <row r="21" spans="1:8" x14ac:dyDescent="0.2">
      <c r="A21" s="77"/>
      <c r="B21" s="76" t="s">
        <v>72</v>
      </c>
      <c r="C21" s="75" t="str">
        <f t="shared" si="1"/>
        <v>6L</v>
      </c>
      <c r="D21" s="74" t="str">
        <f t="shared" si="2"/>
        <v>12L</v>
      </c>
      <c r="E21" s="73" t="str">
        <f t="shared" si="0"/>
        <v>GBP6L12L15Y_Quote</v>
      </c>
      <c r="F21" s="73" t="str">
        <f>_xll.qlSimpleQuote(E21,,RateTickValue,Permanent,Trigger,ObjectOverwrite)</f>
        <v>GBP6L12L15Y_Quote#0002</v>
      </c>
      <c r="G21" s="72" t="str">
        <f>_xll.ohRangeRetrieveError(F21)</f>
        <v/>
      </c>
      <c r="H21" s="71"/>
    </row>
    <row r="22" spans="1:8" x14ac:dyDescent="0.2">
      <c r="A22" s="77"/>
      <c r="B22" s="76" t="s">
        <v>71</v>
      </c>
      <c r="C22" s="75" t="str">
        <f t="shared" si="1"/>
        <v>6L</v>
      </c>
      <c r="D22" s="74" t="str">
        <f t="shared" si="2"/>
        <v>12L</v>
      </c>
      <c r="E22" s="73" t="str">
        <f t="shared" si="0"/>
        <v>GBP6L12L16Y_Quote</v>
      </c>
      <c r="F22" s="73" t="str">
        <f>_xll.qlSimpleQuote(E22,,RateTickValue,Permanent,Trigger,ObjectOverwrite)</f>
        <v>GBP6L12L16Y_Quote#0002</v>
      </c>
      <c r="G22" s="72" t="str">
        <f>_xll.ohRangeRetrieveError(F22)</f>
        <v/>
      </c>
      <c r="H22" s="71"/>
    </row>
    <row r="23" spans="1:8" x14ac:dyDescent="0.2">
      <c r="A23" s="77"/>
      <c r="B23" s="76" t="s">
        <v>70</v>
      </c>
      <c r="C23" s="75" t="str">
        <f t="shared" si="1"/>
        <v>6L</v>
      </c>
      <c r="D23" s="74" t="str">
        <f t="shared" si="2"/>
        <v>12L</v>
      </c>
      <c r="E23" s="73" t="str">
        <f t="shared" si="0"/>
        <v>GBP6L12L17Y_Quote</v>
      </c>
      <c r="F23" s="73" t="str">
        <f>_xll.qlSimpleQuote(E23,,RateTickValue,Permanent,Trigger,ObjectOverwrite)</f>
        <v>GBP6L12L17Y_Quote#0002</v>
      </c>
      <c r="G23" s="72" t="str">
        <f>_xll.ohRangeRetrieveError(F23)</f>
        <v/>
      </c>
      <c r="H23" s="71"/>
    </row>
    <row r="24" spans="1:8" x14ac:dyDescent="0.2">
      <c r="A24" s="77"/>
      <c r="B24" s="76" t="s">
        <v>69</v>
      </c>
      <c r="C24" s="75" t="str">
        <f t="shared" si="1"/>
        <v>6L</v>
      </c>
      <c r="D24" s="74" t="str">
        <f t="shared" si="2"/>
        <v>12L</v>
      </c>
      <c r="E24" s="73" t="str">
        <f t="shared" si="0"/>
        <v>GBP6L12L18Y_Quote</v>
      </c>
      <c r="F24" s="73" t="str">
        <f>_xll.qlSimpleQuote(E24,,RateTickValue,Permanent,Trigger,ObjectOverwrite)</f>
        <v>GBP6L12L18Y_Quote#0002</v>
      </c>
      <c r="G24" s="72" t="str">
        <f>_xll.ohRangeRetrieveError(F24)</f>
        <v/>
      </c>
      <c r="H24" s="71"/>
    </row>
    <row r="25" spans="1:8" x14ac:dyDescent="0.2">
      <c r="A25" s="77"/>
      <c r="B25" s="76" t="s">
        <v>68</v>
      </c>
      <c r="C25" s="75" t="str">
        <f t="shared" si="1"/>
        <v>6L</v>
      </c>
      <c r="D25" s="74" t="str">
        <f t="shared" si="2"/>
        <v>12L</v>
      </c>
      <c r="E25" s="73" t="str">
        <f t="shared" si="0"/>
        <v>GBP6L12L19Y_Quote</v>
      </c>
      <c r="F25" s="73" t="str">
        <f>_xll.qlSimpleQuote(E25,,RateTickValue,Permanent,Trigger,ObjectOverwrite)</f>
        <v>GBP6L12L19Y_Quote#0002</v>
      </c>
      <c r="G25" s="72" t="str">
        <f>_xll.ohRangeRetrieveError(F25)</f>
        <v/>
      </c>
      <c r="H25" s="71"/>
    </row>
    <row r="26" spans="1:8" x14ac:dyDescent="0.2">
      <c r="A26" s="77"/>
      <c r="B26" s="76" t="s">
        <v>67</v>
      </c>
      <c r="C26" s="75" t="str">
        <f t="shared" si="1"/>
        <v>6L</v>
      </c>
      <c r="D26" s="74" t="str">
        <f t="shared" si="2"/>
        <v>12L</v>
      </c>
      <c r="E26" s="73" t="str">
        <f t="shared" si="0"/>
        <v>GBP6L12L20Y_Quote</v>
      </c>
      <c r="F26" s="73" t="str">
        <f>_xll.qlSimpleQuote(E26,,RateTickValue,Permanent,Trigger,ObjectOverwrite)</f>
        <v>GBP6L12L20Y_Quote#0002</v>
      </c>
      <c r="G26" s="72" t="str">
        <f>_xll.ohRangeRetrieveError(F26)</f>
        <v/>
      </c>
      <c r="H26" s="71"/>
    </row>
    <row r="27" spans="1:8" x14ac:dyDescent="0.2">
      <c r="A27" s="77"/>
      <c r="B27" s="76" t="s">
        <v>66</v>
      </c>
      <c r="C27" s="75" t="str">
        <f t="shared" si="1"/>
        <v>6L</v>
      </c>
      <c r="D27" s="74" t="str">
        <f t="shared" si="2"/>
        <v>12L</v>
      </c>
      <c r="E27" s="73" t="str">
        <f t="shared" si="0"/>
        <v>GBP6L12L21Y_Quote</v>
      </c>
      <c r="F27" s="73" t="str">
        <f>_xll.qlSimpleQuote(E27,,RateTickValue,Permanent,Trigger,ObjectOverwrite)</f>
        <v>GBP6L12L21Y_Quote#0002</v>
      </c>
      <c r="G27" s="72" t="str">
        <f>_xll.ohRangeRetrieveError(F27)</f>
        <v/>
      </c>
      <c r="H27" s="71"/>
    </row>
    <row r="28" spans="1:8" x14ac:dyDescent="0.2">
      <c r="A28" s="77"/>
      <c r="B28" s="76" t="s">
        <v>65</v>
      </c>
      <c r="C28" s="75" t="str">
        <f t="shared" si="1"/>
        <v>6L</v>
      </c>
      <c r="D28" s="74" t="str">
        <f t="shared" si="2"/>
        <v>12L</v>
      </c>
      <c r="E28" s="73" t="str">
        <f t="shared" si="0"/>
        <v>GBP6L12L22Y_Quote</v>
      </c>
      <c r="F28" s="73" t="str">
        <f>_xll.qlSimpleQuote(E28,,RateTickValue,Permanent,Trigger,ObjectOverwrite)</f>
        <v>GBP6L12L22Y_Quote#0002</v>
      </c>
      <c r="G28" s="72" t="str">
        <f>_xll.ohRangeRetrieveError(F28)</f>
        <v/>
      </c>
      <c r="H28" s="71"/>
    </row>
    <row r="29" spans="1:8" x14ac:dyDescent="0.2">
      <c r="A29" s="77"/>
      <c r="B29" s="76" t="s">
        <v>64</v>
      </c>
      <c r="C29" s="75" t="str">
        <f t="shared" si="1"/>
        <v>6L</v>
      </c>
      <c r="D29" s="74" t="str">
        <f t="shared" si="2"/>
        <v>12L</v>
      </c>
      <c r="E29" s="73" t="str">
        <f t="shared" si="0"/>
        <v>GBP6L12L23Y_Quote</v>
      </c>
      <c r="F29" s="73" t="str">
        <f>_xll.qlSimpleQuote(E29,,RateTickValue,Permanent,Trigger,ObjectOverwrite)</f>
        <v>GBP6L12L23Y_Quote#0002</v>
      </c>
      <c r="G29" s="72" t="str">
        <f>_xll.ohRangeRetrieveError(F29)</f>
        <v/>
      </c>
      <c r="H29" s="71"/>
    </row>
    <row r="30" spans="1:8" x14ac:dyDescent="0.2">
      <c r="A30" s="77"/>
      <c r="B30" s="76" t="s">
        <v>63</v>
      </c>
      <c r="C30" s="75" t="str">
        <f t="shared" si="1"/>
        <v>6L</v>
      </c>
      <c r="D30" s="74" t="str">
        <f t="shared" si="2"/>
        <v>12L</v>
      </c>
      <c r="E30" s="73" t="str">
        <f t="shared" si="0"/>
        <v>GBP6L12L24Y_Quote</v>
      </c>
      <c r="F30" s="73" t="str">
        <f>_xll.qlSimpleQuote(E30,,RateTickValue,Permanent,Trigger,ObjectOverwrite)</f>
        <v>GBP6L12L24Y_Quote#0002</v>
      </c>
      <c r="G30" s="72" t="str">
        <f>_xll.ohRangeRetrieveError(F30)</f>
        <v/>
      </c>
      <c r="H30" s="71"/>
    </row>
    <row r="31" spans="1:8" x14ac:dyDescent="0.2">
      <c r="A31" s="77"/>
      <c r="B31" s="76" t="s">
        <v>62</v>
      </c>
      <c r="C31" s="75" t="str">
        <f t="shared" si="1"/>
        <v>6L</v>
      </c>
      <c r="D31" s="74" t="str">
        <f t="shared" si="2"/>
        <v>12L</v>
      </c>
      <c r="E31" s="73" t="str">
        <f t="shared" si="0"/>
        <v>GBP6L12L25Y_Quote</v>
      </c>
      <c r="F31" s="73" t="str">
        <f>_xll.qlSimpleQuote(E31,,RateTickValue,Permanent,Trigger,ObjectOverwrite)</f>
        <v>GBP6L12L25Y_Quote#0002</v>
      </c>
      <c r="G31" s="72" t="str">
        <f>_xll.ohRangeRetrieveError(F31)</f>
        <v/>
      </c>
      <c r="H31" s="71"/>
    </row>
    <row r="32" spans="1:8" x14ac:dyDescent="0.2">
      <c r="A32" s="77"/>
      <c r="B32" s="76" t="s">
        <v>61</v>
      </c>
      <c r="C32" s="75" t="str">
        <f t="shared" si="1"/>
        <v>6L</v>
      </c>
      <c r="D32" s="74" t="str">
        <f t="shared" si="2"/>
        <v>12L</v>
      </c>
      <c r="E32" s="73" t="str">
        <f t="shared" si="0"/>
        <v>GBP6L12L26Y_Quote</v>
      </c>
      <c r="F32" s="73" t="str">
        <f>_xll.qlSimpleQuote(E32,,RateTickValue,Permanent,Trigger,ObjectOverwrite)</f>
        <v>GBP6L12L26Y_Quote#0002</v>
      </c>
      <c r="G32" s="72" t="str">
        <f>_xll.ohRangeRetrieveError(F32)</f>
        <v/>
      </c>
      <c r="H32" s="71"/>
    </row>
    <row r="33" spans="1:8" x14ac:dyDescent="0.2">
      <c r="A33" s="77"/>
      <c r="B33" s="76" t="s">
        <v>60</v>
      </c>
      <c r="C33" s="75" t="str">
        <f t="shared" si="1"/>
        <v>6L</v>
      </c>
      <c r="D33" s="74" t="str">
        <f t="shared" si="2"/>
        <v>12L</v>
      </c>
      <c r="E33" s="73" t="str">
        <f t="shared" si="0"/>
        <v>GBP6L12L27Y_Quote</v>
      </c>
      <c r="F33" s="73" t="str">
        <f>_xll.qlSimpleQuote(E33,,RateTickValue,Permanent,Trigger,ObjectOverwrite)</f>
        <v>GBP6L12L27Y_Quote#0002</v>
      </c>
      <c r="G33" s="72" t="str">
        <f>_xll.ohRangeRetrieveError(F33)</f>
        <v/>
      </c>
      <c r="H33" s="71"/>
    </row>
    <row r="34" spans="1:8" x14ac:dyDescent="0.2">
      <c r="A34" s="77"/>
      <c r="B34" s="76" t="s">
        <v>59</v>
      </c>
      <c r="C34" s="75" t="str">
        <f t="shared" si="1"/>
        <v>6L</v>
      </c>
      <c r="D34" s="74" t="str">
        <f t="shared" si="2"/>
        <v>12L</v>
      </c>
      <c r="E34" s="73" t="str">
        <f t="shared" si="0"/>
        <v>GBP6L12L28Y_Quote</v>
      </c>
      <c r="F34" s="73" t="str">
        <f>_xll.qlSimpleQuote(E34,,RateTickValue,Permanent,Trigger,ObjectOverwrite)</f>
        <v>GBP6L12L28Y_Quote#0002</v>
      </c>
      <c r="G34" s="72" t="str">
        <f>_xll.ohRangeRetrieveError(F34)</f>
        <v/>
      </c>
      <c r="H34" s="71"/>
    </row>
    <row r="35" spans="1:8" x14ac:dyDescent="0.2">
      <c r="A35" s="77"/>
      <c r="B35" s="76" t="s">
        <v>58</v>
      </c>
      <c r="C35" s="75" t="str">
        <f t="shared" si="1"/>
        <v>6L</v>
      </c>
      <c r="D35" s="74" t="str">
        <f t="shared" si="2"/>
        <v>12L</v>
      </c>
      <c r="E35" s="73" t="str">
        <f t="shared" si="0"/>
        <v>GBP6L12L29Y_Quote</v>
      </c>
      <c r="F35" s="73" t="str">
        <f>_xll.qlSimpleQuote(E35,,RateTickValue,Permanent,Trigger,ObjectOverwrite)</f>
        <v>GBP6L12L29Y_Quote#0002</v>
      </c>
      <c r="G35" s="72" t="str">
        <f>_xll.ohRangeRetrieveError(F35)</f>
        <v/>
      </c>
      <c r="H35" s="71"/>
    </row>
    <row r="36" spans="1:8" x14ac:dyDescent="0.2">
      <c r="A36" s="77"/>
      <c r="B36" s="76" t="s">
        <v>57</v>
      </c>
      <c r="C36" s="75" t="str">
        <f t="shared" si="1"/>
        <v>6L</v>
      </c>
      <c r="D36" s="74" t="str">
        <f t="shared" si="2"/>
        <v>12L</v>
      </c>
      <c r="E36" s="73" t="str">
        <f t="shared" si="0"/>
        <v>GBP6L12L30Y_Quote</v>
      </c>
      <c r="F36" s="73" t="str">
        <f>_xll.qlSimpleQuote(E36,,RateTickValue,Permanent,Trigger,ObjectOverwrite)</f>
        <v>GBP6L12L30Y_Quote#0002</v>
      </c>
      <c r="G36" s="72" t="str">
        <f>_xll.ohRangeRetrieveError(F36)</f>
        <v/>
      </c>
      <c r="H36" s="71"/>
    </row>
    <row r="37" spans="1:8" x14ac:dyDescent="0.2">
      <c r="A37" s="77"/>
      <c r="B37" s="76" t="s">
        <v>52</v>
      </c>
      <c r="C37" s="75" t="str">
        <f t="shared" si="1"/>
        <v>6L</v>
      </c>
      <c r="D37" s="74" t="str">
        <f t="shared" si="2"/>
        <v>12L</v>
      </c>
      <c r="E37" s="73" t="str">
        <f t="shared" si="0"/>
        <v>GBP6L12L35Y_Quote</v>
      </c>
      <c r="F37" s="73" t="str">
        <f>_xll.qlSimpleQuote(E37,,RateTickValue,Permanent,Trigger,ObjectOverwrite)</f>
        <v>GBP6L12L35Y_Quote#0002</v>
      </c>
      <c r="G37" s="72" t="str">
        <f>_xll.ohRangeRetrieveError(F37)</f>
        <v/>
      </c>
      <c r="H37" s="71"/>
    </row>
    <row r="38" spans="1:8" x14ac:dyDescent="0.2">
      <c r="A38" s="77"/>
      <c r="B38" s="76" t="s">
        <v>47</v>
      </c>
      <c r="C38" s="75" t="str">
        <f t="shared" si="1"/>
        <v>6L</v>
      </c>
      <c r="D38" s="74" t="str">
        <f t="shared" si="2"/>
        <v>12L</v>
      </c>
      <c r="E38" s="73" t="str">
        <f t="shared" si="0"/>
        <v>GBP6L12L40Y_Quote</v>
      </c>
      <c r="F38" s="73" t="str">
        <f>_xll.qlSimpleQuote(E38,,RateTickValue,Permanent,Trigger,ObjectOverwrite)</f>
        <v>GBP6L12L40Y_Quote#0002</v>
      </c>
      <c r="G38" s="72" t="str">
        <f>_xll.ohRangeRetrieveError(F38)</f>
        <v/>
      </c>
      <c r="H38" s="71"/>
    </row>
    <row r="39" spans="1:8" x14ac:dyDescent="0.2">
      <c r="A39" s="77"/>
      <c r="B39" s="76" t="s">
        <v>37</v>
      </c>
      <c r="C39" s="75" t="str">
        <f t="shared" si="1"/>
        <v>6L</v>
      </c>
      <c r="D39" s="74" t="str">
        <f t="shared" si="2"/>
        <v>12L</v>
      </c>
      <c r="E39" s="73" t="str">
        <f t="shared" si="0"/>
        <v>GBP6L12L50Y_Quote</v>
      </c>
      <c r="F39" s="73" t="str">
        <f>_xll.qlSimpleQuote(E39,,RateTickValue,Permanent,Trigger,ObjectOverwrite)</f>
        <v>GBP6L12L50Y_Quote#0002</v>
      </c>
      <c r="G39" s="72" t="str">
        <f>_xll.ohRangeRetrieveError(F39)</f>
        <v/>
      </c>
      <c r="H39" s="71"/>
    </row>
    <row r="40" spans="1:8" x14ac:dyDescent="0.2">
      <c r="A40" s="77"/>
      <c r="B40" s="76" t="s">
        <v>27</v>
      </c>
      <c r="C40" s="75" t="str">
        <f t="shared" si="1"/>
        <v>6L</v>
      </c>
      <c r="D40" s="74" t="str">
        <f t="shared" si="2"/>
        <v>12L</v>
      </c>
      <c r="E40" s="73" t="str">
        <f t="shared" si="0"/>
        <v>GBP6L12L60Y_Quote</v>
      </c>
      <c r="F40" s="73" t="str">
        <f>_xll.qlSimpleQuote(E40,,RateTickValue,Permanent,Trigger,ObjectOverwrite)</f>
        <v>GBP6L12L60Y_Quote#0002</v>
      </c>
      <c r="G40" s="72" t="str">
        <f>_xll.ohRangeRetrieveError(F40)</f>
        <v/>
      </c>
      <c r="H40" s="71"/>
    </row>
    <row r="41" spans="1:8" x14ac:dyDescent="0.2">
      <c r="A41" s="70"/>
      <c r="B41" s="69"/>
      <c r="C41" s="69"/>
      <c r="D41" s="69"/>
      <c r="E41" s="69"/>
      <c r="F41" s="68"/>
      <c r="G41" s="68"/>
      <c r="H41" s="67"/>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21"/>
  <sheetViews>
    <sheetView workbookViewId="0"/>
  </sheetViews>
  <sheetFormatPr defaultRowHeight="11.25" x14ac:dyDescent="0.2"/>
  <cols>
    <col min="1" max="1" width="4.42578125" style="65" customWidth="1"/>
    <col min="2" max="2" width="5.140625" style="65" bestFit="1" customWidth="1"/>
    <col min="3" max="3" width="17.85546875" style="65" bestFit="1" customWidth="1"/>
    <col min="4" max="4" width="16.7109375" style="65" bestFit="1" customWidth="1"/>
    <col min="5" max="5" width="36.85546875" style="65" bestFit="1" customWidth="1"/>
    <col min="6" max="6" width="5" style="65" customWidth="1"/>
    <col min="7" max="16384" width="9.140625" style="65"/>
  </cols>
  <sheetData>
    <row r="1" spans="1:6" x14ac:dyDescent="0.2">
      <c r="A1" s="109" t="s">
        <v>349</v>
      </c>
      <c r="B1" s="108"/>
      <c r="C1" s="108"/>
      <c r="D1" s="108"/>
      <c r="E1" s="108"/>
      <c r="F1" s="107"/>
    </row>
    <row r="2" spans="1:6" ht="21" customHeight="1" x14ac:dyDescent="0.2">
      <c r="A2" s="77"/>
      <c r="B2" s="106"/>
      <c r="C2" s="89" t="str">
        <f>Currency&amp;"_010_"&amp;"Deposits.xml"</f>
        <v>GBP_010_Deposits.xml</v>
      </c>
      <c r="D2" s="105">
        <f ca="1">IF(Serialize,_xll.ohObjectSave(D3:D20,SerializationPath&amp;C2,FileOverwrite,Serialize),"---")</f>
        <v>18</v>
      </c>
      <c r="E2" s="104" t="str">
        <f ca="1">_xll.ohRangeRetrieveError(D2)</f>
        <v/>
      </c>
      <c r="F2" s="100"/>
    </row>
    <row r="3" spans="1:6" x14ac:dyDescent="0.2">
      <c r="A3" s="77"/>
      <c r="B3" s="103" t="s">
        <v>151</v>
      </c>
      <c r="C3" s="102" t="str">
        <f t="shared" ref="C3:C20" si="0">Currency&amp;$B3&amp;QuoteSuffix</f>
        <v>GBPOND_Quote</v>
      </c>
      <c r="D3" s="102" t="str">
        <f>_xll.qlSimpleQuote(C3,,RateTickValue,Permanent,Trigger,ObjectOverwrite)</f>
        <v>GBPOND_Quote#0002</v>
      </c>
      <c r="E3" s="101" t="str">
        <f>_xll.ohRangeRetrieveError(D3)</f>
        <v/>
      </c>
      <c r="F3" s="100"/>
    </row>
    <row r="4" spans="1:6" x14ac:dyDescent="0.2">
      <c r="A4" s="77"/>
      <c r="B4" s="103" t="s">
        <v>150</v>
      </c>
      <c r="C4" s="102" t="str">
        <f t="shared" si="0"/>
        <v>GBPTND_Quote</v>
      </c>
      <c r="D4" s="102" t="str">
        <f>_xll.qlSimpleQuote(C4,,RateTickValue,Permanent,Trigger,ObjectOverwrite)</f>
        <v>GBPTND_Quote#0002</v>
      </c>
      <c r="E4" s="101" t="str">
        <f>_xll.ohRangeRetrieveError(D4)</f>
        <v/>
      </c>
      <c r="F4" s="100"/>
    </row>
    <row r="5" spans="1:6" x14ac:dyDescent="0.2">
      <c r="A5" s="77"/>
      <c r="B5" s="103" t="s">
        <v>149</v>
      </c>
      <c r="C5" s="102" t="str">
        <f t="shared" si="0"/>
        <v>GBPSND_Quote</v>
      </c>
      <c r="D5" s="102" t="str">
        <f>_xll.qlSimpleQuote(C5,,RateTickValue,Permanent,Trigger,ObjectOverwrite)</f>
        <v>GBPSND_Quote#0002</v>
      </c>
      <c r="E5" s="101" t="str">
        <f>_xll.ohRangeRetrieveError(D5)</f>
        <v/>
      </c>
      <c r="F5" s="100"/>
    </row>
    <row r="6" spans="1:6" x14ac:dyDescent="0.2">
      <c r="A6" s="77"/>
      <c r="B6" s="103" t="s">
        <v>148</v>
      </c>
      <c r="C6" s="102" t="str">
        <f t="shared" si="0"/>
        <v>GBPSWD_Quote</v>
      </c>
      <c r="D6" s="102" t="str">
        <f>_xll.qlSimpleQuote(C6,,RateTickValue,Permanent,Trigger,ObjectOverwrite)</f>
        <v>GBPSWD_Quote#0002</v>
      </c>
      <c r="E6" s="101" t="str">
        <f>_xll.ohRangeRetrieveError(D6)</f>
        <v/>
      </c>
      <c r="F6" s="100"/>
    </row>
    <row r="7" spans="1:6" x14ac:dyDescent="0.2">
      <c r="A7" s="77"/>
      <c r="B7" s="103" t="s">
        <v>147</v>
      </c>
      <c r="C7" s="102" t="str">
        <f t="shared" si="0"/>
        <v>GBP2WD_Quote</v>
      </c>
      <c r="D7" s="102" t="str">
        <f>_xll.qlSimpleQuote(C7,,RateTickValue,Permanent,Trigger,ObjectOverwrite)</f>
        <v>GBP2WD_Quote#0002</v>
      </c>
      <c r="E7" s="101" t="str">
        <f>_xll.ohRangeRetrieveError(D7)</f>
        <v/>
      </c>
      <c r="F7" s="100"/>
    </row>
    <row r="8" spans="1:6" x14ac:dyDescent="0.2">
      <c r="A8" s="77"/>
      <c r="B8" s="103" t="s">
        <v>146</v>
      </c>
      <c r="C8" s="102" t="str">
        <f t="shared" si="0"/>
        <v>GBP3WD_Quote</v>
      </c>
      <c r="D8" s="102" t="str">
        <f>_xll.qlSimpleQuote(C8,,RateTickValue,Permanent,Trigger,ObjectOverwrite)</f>
        <v>GBP3WD_Quote#0002</v>
      </c>
      <c r="E8" s="101" t="str">
        <f>_xll.ohRangeRetrieveError(D8)</f>
        <v/>
      </c>
      <c r="F8" s="100"/>
    </row>
    <row r="9" spans="1:6" x14ac:dyDescent="0.2">
      <c r="A9" s="77"/>
      <c r="B9" s="103" t="s">
        <v>145</v>
      </c>
      <c r="C9" s="102" t="str">
        <f t="shared" si="0"/>
        <v>GBP1MD_Quote</v>
      </c>
      <c r="D9" s="102" t="str">
        <f>_xll.qlSimpleQuote(C9,,RateTickValue,Permanent,Trigger,ObjectOverwrite)</f>
        <v>GBP1MD_Quote#0002</v>
      </c>
      <c r="E9" s="101" t="str">
        <f>_xll.ohRangeRetrieveError(D9)</f>
        <v/>
      </c>
      <c r="F9" s="100"/>
    </row>
    <row r="10" spans="1:6" x14ac:dyDescent="0.2">
      <c r="A10" s="77"/>
      <c r="B10" s="103" t="s">
        <v>144</v>
      </c>
      <c r="C10" s="102" t="str">
        <f t="shared" si="0"/>
        <v>GBP2MD_Quote</v>
      </c>
      <c r="D10" s="102" t="str">
        <f>_xll.qlSimpleQuote(C10,,RateTickValue,Permanent,Trigger,ObjectOverwrite)</f>
        <v>GBP2MD_Quote#0002</v>
      </c>
      <c r="E10" s="101" t="str">
        <f>_xll.ohRangeRetrieveError(D10)</f>
        <v/>
      </c>
      <c r="F10" s="100"/>
    </row>
    <row r="11" spans="1:6" x14ac:dyDescent="0.2">
      <c r="A11" s="77"/>
      <c r="B11" s="103" t="s">
        <v>143</v>
      </c>
      <c r="C11" s="102" t="str">
        <f t="shared" si="0"/>
        <v>GBP3MD_Quote</v>
      </c>
      <c r="D11" s="102" t="str">
        <f>_xll.qlSimpleQuote(C11,,RateTickValue,Permanent,Trigger,ObjectOverwrite)</f>
        <v>GBP3MD_Quote#0002</v>
      </c>
      <c r="E11" s="101" t="str">
        <f>_xll.ohRangeRetrieveError(D11)</f>
        <v/>
      </c>
      <c r="F11" s="100"/>
    </row>
    <row r="12" spans="1:6" x14ac:dyDescent="0.2">
      <c r="A12" s="77"/>
      <c r="B12" s="103" t="s">
        <v>142</v>
      </c>
      <c r="C12" s="102" t="str">
        <f t="shared" si="0"/>
        <v>GBP4MD_Quote</v>
      </c>
      <c r="D12" s="102" t="str">
        <f>_xll.qlSimpleQuote(C12,,RateTickValue,Permanent,Trigger,ObjectOverwrite)</f>
        <v>GBP4MD_Quote#0002</v>
      </c>
      <c r="E12" s="101" t="str">
        <f>_xll.ohRangeRetrieveError(D12)</f>
        <v/>
      </c>
      <c r="F12" s="100"/>
    </row>
    <row r="13" spans="1:6" x14ac:dyDescent="0.2">
      <c r="A13" s="77"/>
      <c r="B13" s="103" t="s">
        <v>141</v>
      </c>
      <c r="C13" s="102" t="str">
        <f t="shared" si="0"/>
        <v>GBP5MD_Quote</v>
      </c>
      <c r="D13" s="102" t="str">
        <f>_xll.qlSimpleQuote(C13,,RateTickValue,Permanent,Trigger,ObjectOverwrite)</f>
        <v>GBP5MD_Quote#0002</v>
      </c>
      <c r="E13" s="101" t="str">
        <f>_xll.ohRangeRetrieveError(D13)</f>
        <v/>
      </c>
      <c r="F13" s="100"/>
    </row>
    <row r="14" spans="1:6" x14ac:dyDescent="0.2">
      <c r="A14" s="77"/>
      <c r="B14" s="103" t="s">
        <v>140</v>
      </c>
      <c r="C14" s="102" t="str">
        <f t="shared" si="0"/>
        <v>GBP6MD_Quote</v>
      </c>
      <c r="D14" s="102" t="str">
        <f>_xll.qlSimpleQuote(C14,,RateTickValue,Permanent,Trigger,ObjectOverwrite)</f>
        <v>GBP6MD_Quote#0002</v>
      </c>
      <c r="E14" s="101" t="str">
        <f>_xll.ohRangeRetrieveError(D14)</f>
        <v/>
      </c>
      <c r="F14" s="100"/>
    </row>
    <row r="15" spans="1:6" x14ac:dyDescent="0.2">
      <c r="A15" s="77"/>
      <c r="B15" s="103" t="s">
        <v>139</v>
      </c>
      <c r="C15" s="102" t="str">
        <f t="shared" si="0"/>
        <v>GBP7MD_Quote</v>
      </c>
      <c r="D15" s="102" t="str">
        <f>_xll.qlSimpleQuote(C15,,RateTickValue,Permanent,Trigger,ObjectOverwrite)</f>
        <v>GBP7MD_Quote#0002</v>
      </c>
      <c r="E15" s="101" t="str">
        <f>_xll.ohRangeRetrieveError(D15)</f>
        <v/>
      </c>
      <c r="F15" s="100"/>
    </row>
    <row r="16" spans="1:6" x14ac:dyDescent="0.2">
      <c r="A16" s="77"/>
      <c r="B16" s="103" t="s">
        <v>138</v>
      </c>
      <c r="C16" s="102" t="str">
        <f t="shared" si="0"/>
        <v>GBP8MD_Quote</v>
      </c>
      <c r="D16" s="102" t="str">
        <f>_xll.qlSimpleQuote(C16,,RateTickValue,Permanent,Trigger,ObjectOverwrite)</f>
        <v>GBP8MD_Quote#0002</v>
      </c>
      <c r="E16" s="101" t="str">
        <f>_xll.ohRangeRetrieveError(D16)</f>
        <v/>
      </c>
      <c r="F16" s="100"/>
    </row>
    <row r="17" spans="1:6" x14ac:dyDescent="0.2">
      <c r="A17" s="77"/>
      <c r="B17" s="103" t="s">
        <v>137</v>
      </c>
      <c r="C17" s="102" t="str">
        <f t="shared" si="0"/>
        <v>GBP9MD_Quote</v>
      </c>
      <c r="D17" s="102" t="str">
        <f>_xll.qlSimpleQuote(C17,,RateTickValue,Permanent,Trigger,ObjectOverwrite)</f>
        <v>GBP9MD_Quote#0002</v>
      </c>
      <c r="E17" s="101" t="str">
        <f>_xll.ohRangeRetrieveError(D17)</f>
        <v/>
      </c>
      <c r="F17" s="100"/>
    </row>
    <row r="18" spans="1:6" x14ac:dyDescent="0.2">
      <c r="A18" s="77"/>
      <c r="B18" s="103" t="s">
        <v>136</v>
      </c>
      <c r="C18" s="102" t="str">
        <f t="shared" si="0"/>
        <v>GBP10MD_Quote</v>
      </c>
      <c r="D18" s="102" t="str">
        <f>_xll.qlSimpleQuote(C18,,RateTickValue,Permanent,Trigger,ObjectOverwrite)</f>
        <v>GBP10MD_Quote#0002</v>
      </c>
      <c r="E18" s="101" t="str">
        <f>_xll.ohRangeRetrieveError(D18)</f>
        <v/>
      </c>
      <c r="F18" s="100"/>
    </row>
    <row r="19" spans="1:6" x14ac:dyDescent="0.2">
      <c r="A19" s="77"/>
      <c r="B19" s="103" t="s">
        <v>135</v>
      </c>
      <c r="C19" s="102" t="str">
        <f t="shared" si="0"/>
        <v>GBP11MD_Quote</v>
      </c>
      <c r="D19" s="102" t="str">
        <f>_xll.qlSimpleQuote(C19,,RateTickValue,Permanent,Trigger,ObjectOverwrite)</f>
        <v>GBP11MD_Quote#0002</v>
      </c>
      <c r="E19" s="101" t="str">
        <f>_xll.ohRangeRetrieveError(D19)</f>
        <v/>
      </c>
      <c r="F19" s="100"/>
    </row>
    <row r="20" spans="1:6" x14ac:dyDescent="0.2">
      <c r="A20" s="77"/>
      <c r="B20" s="103" t="s">
        <v>134</v>
      </c>
      <c r="C20" s="102" t="str">
        <f t="shared" si="0"/>
        <v>GBP1YD_Quote</v>
      </c>
      <c r="D20" s="102" t="str">
        <f>_xll.qlSimpleQuote(C20,,RateTickValue,Permanent,Trigger,ObjectOverwrite)</f>
        <v>GBP1YD_Quote#0002</v>
      </c>
      <c r="E20" s="101" t="str">
        <f>_xll.ohRangeRetrieveError(D20)</f>
        <v/>
      </c>
      <c r="F20" s="100"/>
    </row>
    <row r="21" spans="1:6" x14ac:dyDescent="0.2">
      <c r="A21" s="70"/>
      <c r="B21" s="69"/>
      <c r="C21" s="69"/>
      <c r="D21" s="69"/>
      <c r="E21" s="69"/>
      <c r="F21" s="67"/>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7"/>
  <sheetViews>
    <sheetView workbookViewId="0"/>
  </sheetViews>
  <sheetFormatPr defaultRowHeight="12.75" x14ac:dyDescent="0.2"/>
  <cols>
    <col min="1" max="1" width="4.2851562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7" width="4.28515625" style="63" customWidth="1"/>
    <col min="8" max="8" width="4.42578125" style="63" customWidth="1"/>
    <col min="9" max="16384" width="9.140625" style="63"/>
  </cols>
  <sheetData>
    <row r="1" spans="1:7" x14ac:dyDescent="0.2">
      <c r="A1" s="109" t="s">
        <v>349</v>
      </c>
      <c r="B1" s="133"/>
      <c r="C1" s="133"/>
      <c r="D1" s="63"/>
      <c r="E1" s="110"/>
      <c r="F1" s="63"/>
      <c r="G1" s="33"/>
    </row>
    <row r="2" spans="1:7"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row>
    <row r="3" spans="1:7" x14ac:dyDescent="0.2">
      <c r="A3" s="118"/>
      <c r="B3" s="122" t="s">
        <v>172</v>
      </c>
      <c r="C3" s="123" t="s">
        <v>153</v>
      </c>
      <c r="D3" s="122" t="str">
        <f t="shared" ref="D3:D26" si="0">Currency&amp;$B3&amp;$C3&amp;QuoteSuffix</f>
        <v>GBPT1F1_Quote</v>
      </c>
      <c r="E3" s="121" t="str">
        <f>_xll.qlSimpleQuote(D3,,RateTickValue,Permanent,Trigger,ObjectOverwrite)</f>
        <v>GBPT1F1_Quote#0002</v>
      </c>
      <c r="F3" s="120" t="str">
        <f>_xll.ohRangeRetrieveError(E3)</f>
        <v/>
      </c>
      <c r="G3" s="33"/>
    </row>
    <row r="4" spans="1:7" x14ac:dyDescent="0.2">
      <c r="A4" s="118"/>
      <c r="B4" s="115" t="s">
        <v>171</v>
      </c>
      <c r="C4" s="119" t="s">
        <v>153</v>
      </c>
      <c r="D4" s="115" t="str">
        <f t="shared" si="0"/>
        <v>GBPTOM1F1_Quote</v>
      </c>
      <c r="E4" s="114" t="str">
        <f>_xll.qlSimpleQuote(D4,,RateTickValue,Permanent,Trigger,ObjectOverwrite)</f>
        <v>GBPTOM1F1_Quote#0002</v>
      </c>
      <c r="F4" s="113" t="str">
        <f>_xll.ohRangeRetrieveError(E4)</f>
        <v/>
      </c>
      <c r="G4" s="33"/>
    </row>
    <row r="5" spans="1:7" x14ac:dyDescent="0.2">
      <c r="A5" s="118"/>
      <c r="B5" s="122" t="s">
        <v>170</v>
      </c>
      <c r="C5" s="123" t="s">
        <v>153</v>
      </c>
      <c r="D5" s="122" t="str">
        <f t="shared" si="0"/>
        <v>GBPT3F1_Quote</v>
      </c>
      <c r="E5" s="121" t="str">
        <f>_xll.qlSimpleQuote(D5,,RateTickValue,Permanent,Trigger,ObjectOverwrite)</f>
        <v>GBPT3F1_Quote#0002</v>
      </c>
      <c r="F5" s="120" t="str">
        <f>_xll.ohRangeRetrieveError(E5)</f>
        <v/>
      </c>
      <c r="G5" s="33"/>
    </row>
    <row r="6" spans="1:7" x14ac:dyDescent="0.2">
      <c r="A6" s="118"/>
      <c r="B6" s="115" t="s">
        <v>169</v>
      </c>
      <c r="C6" s="119" t="s">
        <v>153</v>
      </c>
      <c r="D6" s="115" t="str">
        <f t="shared" si="0"/>
        <v>GBPTOM3F1_Quote</v>
      </c>
      <c r="E6" s="114" t="str">
        <f>_xll.qlSimpleQuote(D6,,RateTickValue,Permanent,Trigger,ObjectOverwrite)</f>
        <v>GBPTOM3F1_Quote#0002</v>
      </c>
      <c r="F6" s="113" t="str">
        <f>_xll.ohRangeRetrieveError(E6)</f>
        <v/>
      </c>
      <c r="G6" s="33"/>
    </row>
    <row r="7" spans="1:7" x14ac:dyDescent="0.2">
      <c r="A7" s="118"/>
      <c r="B7" s="122">
        <v>1</v>
      </c>
      <c r="C7" s="123" t="s">
        <v>168</v>
      </c>
      <c r="D7" s="122" t="str">
        <f t="shared" si="0"/>
        <v>GBP1x4F_Quote</v>
      </c>
      <c r="E7" s="121" t="str">
        <f>_xll.qlSimpleQuote(D7,,RateTickValue,Permanent,Trigger,ObjectOverwrite)</f>
        <v>GBP1x4F_Quote#0002</v>
      </c>
      <c r="F7" s="120" t="str">
        <f>_xll.ohRangeRetrieveError(E7)</f>
        <v/>
      </c>
      <c r="G7" s="33"/>
    </row>
    <row r="8" spans="1:7" x14ac:dyDescent="0.2">
      <c r="A8" s="118"/>
      <c r="B8" s="126">
        <v>2</v>
      </c>
      <c r="C8" s="127" t="s">
        <v>167</v>
      </c>
      <c r="D8" s="126" t="str">
        <f t="shared" si="0"/>
        <v>GBP2x5F_Quote</v>
      </c>
      <c r="E8" s="125" t="str">
        <f>_xll.qlSimpleQuote(D8,,RateTickValue,Permanent,Trigger,ObjectOverwrite)</f>
        <v>GBP2x5F_Quote#0002</v>
      </c>
      <c r="F8" s="124" t="str">
        <f>_xll.ohRangeRetrieveError(E8)</f>
        <v/>
      </c>
      <c r="G8" s="33"/>
    </row>
    <row r="9" spans="1:7" x14ac:dyDescent="0.2">
      <c r="A9" s="118"/>
      <c r="B9" s="126">
        <v>3</v>
      </c>
      <c r="C9" s="127" t="s">
        <v>166</v>
      </c>
      <c r="D9" s="126" t="str">
        <f t="shared" si="0"/>
        <v>GBP3x6F_Quote</v>
      </c>
      <c r="E9" s="125" t="str">
        <f>_xll.qlSimpleQuote(D9,,RateTickValue,Permanent,Trigger,ObjectOverwrite)</f>
        <v>GBP3x6F_Quote#0002</v>
      </c>
      <c r="F9" s="124" t="str">
        <f>_xll.ohRangeRetrieveError(E9)</f>
        <v/>
      </c>
      <c r="G9" s="33"/>
    </row>
    <row r="10" spans="1:7" x14ac:dyDescent="0.2">
      <c r="A10" s="118"/>
      <c r="B10" s="126">
        <v>4</v>
      </c>
      <c r="C10" s="127" t="s">
        <v>163</v>
      </c>
      <c r="D10" s="126" t="str">
        <f t="shared" si="0"/>
        <v>GBP4x7F_Quote</v>
      </c>
      <c r="E10" s="125" t="str">
        <f>_xll.qlSimpleQuote(D10,,RateTickValue,Permanent,Trigger,ObjectOverwrite)</f>
        <v>GBP4x7F_Quote#0002</v>
      </c>
      <c r="F10" s="124" t="str">
        <f>_xll.ohRangeRetrieveError(E10)</f>
        <v/>
      </c>
      <c r="G10" s="33"/>
    </row>
    <row r="11" spans="1:7" x14ac:dyDescent="0.2">
      <c r="A11" s="118"/>
      <c r="B11" s="126">
        <v>5</v>
      </c>
      <c r="C11" s="127" t="s">
        <v>162</v>
      </c>
      <c r="D11" s="126" t="str">
        <f t="shared" si="0"/>
        <v>GBP5x8F_Quote</v>
      </c>
      <c r="E11" s="125" t="str">
        <f>_xll.qlSimpleQuote(D11,,RateTickValue,Permanent,Trigger,ObjectOverwrite)</f>
        <v>GBP5x8F_Quote#0002</v>
      </c>
      <c r="F11" s="124" t="str">
        <f>_xll.ohRangeRetrieveError(E11)</f>
        <v/>
      </c>
      <c r="G11" s="33"/>
    </row>
    <row r="12" spans="1:7" x14ac:dyDescent="0.2">
      <c r="A12" s="118"/>
      <c r="B12" s="115">
        <v>6</v>
      </c>
      <c r="C12" s="119" t="s">
        <v>161</v>
      </c>
      <c r="D12" s="115" t="str">
        <f t="shared" si="0"/>
        <v>GBP6x9F_Quote</v>
      </c>
      <c r="E12" s="114" t="str">
        <f>_xll.qlSimpleQuote(D12,,RateTickValue,Permanent,Trigger,ObjectOverwrite)</f>
        <v>GBP6x9F_Quote#0002</v>
      </c>
      <c r="F12" s="113" t="str">
        <f>_xll.ohRangeRetrieveError(E12)</f>
        <v/>
      </c>
      <c r="G12" s="33"/>
    </row>
    <row r="13" spans="1:7" x14ac:dyDescent="0.2">
      <c r="A13" s="118"/>
      <c r="B13" s="122" t="s">
        <v>165</v>
      </c>
      <c r="C13" s="123" t="s">
        <v>153</v>
      </c>
      <c r="D13" s="122" t="str">
        <f t="shared" si="0"/>
        <v>GBPT6F1_Quote</v>
      </c>
      <c r="E13" s="121" t="str">
        <f>_xll.qlSimpleQuote(D13,,RateTickValue,Permanent,Trigger,ObjectOverwrite)</f>
        <v>GBPT6F1_Quote#0002</v>
      </c>
      <c r="F13" s="120" t="str">
        <f>_xll.ohRangeRetrieveError(E13)</f>
        <v/>
      </c>
      <c r="G13" s="33"/>
    </row>
    <row r="14" spans="1:7" x14ac:dyDescent="0.2">
      <c r="A14" s="118"/>
      <c r="B14" s="115" t="s">
        <v>164</v>
      </c>
      <c r="C14" s="119" t="s">
        <v>153</v>
      </c>
      <c r="D14" s="115" t="str">
        <f t="shared" si="0"/>
        <v>GBPTOM6F1_Quote</v>
      </c>
      <c r="E14" s="114" t="str">
        <f>_xll.qlSimpleQuote(D14,,RateTickValue,Permanent,Trigger,ObjectOverwrite)</f>
        <v>GBPTOM6F1_Quote#0002</v>
      </c>
      <c r="F14" s="113" t="str">
        <f>_xll.ohRangeRetrieveError(E14)</f>
        <v/>
      </c>
      <c r="G14" s="33"/>
    </row>
    <row r="15" spans="1:7" x14ac:dyDescent="0.2">
      <c r="A15" s="118"/>
      <c r="B15" s="122">
        <v>1</v>
      </c>
      <c r="C15" s="123" t="s">
        <v>163</v>
      </c>
      <c r="D15" s="122" t="str">
        <f t="shared" si="0"/>
        <v>GBP1x7F_Quote</v>
      </c>
      <c r="E15" s="121" t="str">
        <f>_xll.qlSimpleQuote(D15,,RateTickValue,Permanent,Trigger,ObjectOverwrite)</f>
        <v>GBP1x7F_Quote#0002</v>
      </c>
      <c r="F15" s="120" t="str">
        <f>_xll.ohRangeRetrieveError(E15)</f>
        <v/>
      </c>
      <c r="G15" s="33"/>
    </row>
    <row r="16" spans="1:7" x14ac:dyDescent="0.2">
      <c r="A16" s="118"/>
      <c r="B16" s="126">
        <v>2</v>
      </c>
      <c r="C16" s="127" t="s">
        <v>162</v>
      </c>
      <c r="D16" s="126" t="str">
        <f t="shared" si="0"/>
        <v>GBP2x8F_Quote</v>
      </c>
      <c r="E16" s="125" t="str">
        <f>_xll.qlSimpleQuote(D16,,RateTickValue,Permanent,Trigger,ObjectOverwrite)</f>
        <v>GBP2x8F_Quote#0002</v>
      </c>
      <c r="F16" s="124" t="str">
        <f>_xll.ohRangeRetrieveError(E16)</f>
        <v/>
      </c>
      <c r="G16" s="33"/>
    </row>
    <row r="17" spans="1:7" x14ac:dyDescent="0.2">
      <c r="A17" s="118"/>
      <c r="B17" s="126">
        <v>3</v>
      </c>
      <c r="C17" s="127" t="s">
        <v>161</v>
      </c>
      <c r="D17" s="126" t="str">
        <f t="shared" si="0"/>
        <v>GBP3x9F_Quote</v>
      </c>
      <c r="E17" s="125" t="str">
        <f>_xll.qlSimpleQuote(D17,,RateTickValue,Permanent,Trigger,ObjectOverwrite)</f>
        <v>GBP3x9F_Quote#0002</v>
      </c>
      <c r="F17" s="124" t="str">
        <f>_xll.ohRangeRetrieveError(E17)</f>
        <v/>
      </c>
      <c r="G17" s="33"/>
    </row>
    <row r="18" spans="1:7" x14ac:dyDescent="0.2">
      <c r="A18" s="118"/>
      <c r="B18" s="126">
        <v>4</v>
      </c>
      <c r="C18" s="127" t="s">
        <v>160</v>
      </c>
      <c r="D18" s="126" t="str">
        <f t="shared" si="0"/>
        <v>GBP4x10F_Quote</v>
      </c>
      <c r="E18" s="125" t="str">
        <f>_xll.qlSimpleQuote(D18,,RateTickValue,Permanent,Trigger,ObjectOverwrite)</f>
        <v>GBP4x10F_Quote#0002</v>
      </c>
      <c r="F18" s="124" t="str">
        <f>_xll.ohRangeRetrieveError(E18)</f>
        <v/>
      </c>
      <c r="G18" s="33"/>
    </row>
    <row r="19" spans="1:7" x14ac:dyDescent="0.2">
      <c r="A19" s="118"/>
      <c r="B19" s="126">
        <v>5</v>
      </c>
      <c r="C19" s="127" t="s">
        <v>159</v>
      </c>
      <c r="D19" s="126" t="str">
        <f t="shared" si="0"/>
        <v>GBP5x11F_Quote</v>
      </c>
      <c r="E19" s="125" t="str">
        <f>_xll.qlSimpleQuote(D19,,RateTickValue,Permanent,Trigger,ObjectOverwrite)</f>
        <v>GBP5x11F_Quote#0002</v>
      </c>
      <c r="F19" s="124" t="str">
        <f>_xll.ohRangeRetrieveError(E19)</f>
        <v/>
      </c>
      <c r="G19" s="33"/>
    </row>
    <row r="20" spans="1:7" x14ac:dyDescent="0.2">
      <c r="A20" s="118"/>
      <c r="B20" s="126">
        <v>6</v>
      </c>
      <c r="C20" s="127" t="s">
        <v>158</v>
      </c>
      <c r="D20" s="126" t="str">
        <f t="shared" si="0"/>
        <v>GBP6x12F_Quote</v>
      </c>
      <c r="E20" s="125" t="str">
        <f>_xll.qlSimpleQuote(D20,,RateTickValue,Permanent,Trigger,ObjectOverwrite)</f>
        <v>GBP6x12F_Quote#0002</v>
      </c>
      <c r="F20" s="124" t="str">
        <f>_xll.ohRangeRetrieveError(E20)</f>
        <v/>
      </c>
      <c r="G20" s="33"/>
    </row>
    <row r="21" spans="1:7" x14ac:dyDescent="0.2">
      <c r="A21" s="118"/>
      <c r="B21" s="126">
        <v>9</v>
      </c>
      <c r="C21" s="127" t="s">
        <v>157</v>
      </c>
      <c r="D21" s="126" t="str">
        <f t="shared" si="0"/>
        <v>GBP9x15F_Quote</v>
      </c>
      <c r="E21" s="125" t="str">
        <f>_xll.qlSimpleQuote(D21,,RateTickValue,Permanent,Trigger,ObjectOverwrite)</f>
        <v>GBP9x15F_Quote#0002</v>
      </c>
      <c r="F21" s="124" t="str">
        <f>_xll.ohRangeRetrieveError(E21)</f>
        <v/>
      </c>
      <c r="G21" s="33"/>
    </row>
    <row r="22" spans="1:7" x14ac:dyDescent="0.2">
      <c r="A22" s="118"/>
      <c r="B22" s="126">
        <v>12</v>
      </c>
      <c r="C22" s="127" t="s">
        <v>156</v>
      </c>
      <c r="D22" s="126" t="str">
        <f t="shared" si="0"/>
        <v>GBP12x18F_Quote</v>
      </c>
      <c r="E22" s="125" t="str">
        <f>_xll.qlSimpleQuote(D22,,RateTickValue,Permanent,Trigger,ObjectOverwrite)</f>
        <v>GBP12x18F_Quote#0002</v>
      </c>
      <c r="F22" s="124" t="str">
        <f>_xll.ohRangeRetrieveError(E22)</f>
        <v/>
      </c>
      <c r="G22" s="33"/>
    </row>
    <row r="23" spans="1:7" x14ac:dyDescent="0.2">
      <c r="A23" s="118"/>
      <c r="B23" s="115">
        <v>18</v>
      </c>
      <c r="C23" s="119" t="s">
        <v>152</v>
      </c>
      <c r="D23" s="115" t="str">
        <f t="shared" si="0"/>
        <v>GBP18x24F_Quote</v>
      </c>
      <c r="E23" s="114" t="str">
        <f>_xll.qlSimpleQuote(D23,,RateTickValue,Permanent,Trigger,ObjectOverwrite)</f>
        <v>GBP18x24F_Quote#0002</v>
      </c>
      <c r="F23" s="113" t="str">
        <f>_xll.ohRangeRetrieveError(E23)</f>
        <v/>
      </c>
      <c r="G23" s="33"/>
    </row>
    <row r="24" spans="1:7" x14ac:dyDescent="0.2">
      <c r="A24" s="118"/>
      <c r="B24" s="122" t="s">
        <v>155</v>
      </c>
      <c r="C24" s="123" t="s">
        <v>153</v>
      </c>
      <c r="D24" s="122" t="str">
        <f t="shared" si="0"/>
        <v>GBPT12F1_Quote</v>
      </c>
      <c r="E24" s="121" t="str">
        <f>_xll.qlSimpleQuote(D24,,RateTickValue,Permanent,Trigger,ObjectOverwrite)</f>
        <v>GBPT12F1_Quote#0002</v>
      </c>
      <c r="F24" s="120" t="str">
        <f>_xll.ohRangeRetrieveError(E24)</f>
        <v/>
      </c>
      <c r="G24" s="33"/>
    </row>
    <row r="25" spans="1:7" x14ac:dyDescent="0.2">
      <c r="A25" s="118"/>
      <c r="B25" s="115" t="s">
        <v>154</v>
      </c>
      <c r="C25" s="119" t="s">
        <v>153</v>
      </c>
      <c r="D25" s="115" t="str">
        <f t="shared" si="0"/>
        <v>GBPTOM12F1_Quote</v>
      </c>
      <c r="E25" s="114" t="str">
        <f>_xll.qlSimpleQuote(D25,,RateTickValue,Permanent,Trigger,ObjectOverwrite)</f>
        <v>GBPTOM12F1_Quote#0002</v>
      </c>
      <c r="F25" s="113" t="str">
        <f>_xll.ohRangeRetrieveError(E25)</f>
        <v/>
      </c>
      <c r="G25" s="33"/>
    </row>
    <row r="26" spans="1:7" x14ac:dyDescent="0.2">
      <c r="A26" s="118"/>
      <c r="B26" s="117">
        <v>12</v>
      </c>
      <c r="C26" s="116" t="s">
        <v>152</v>
      </c>
      <c r="D26" s="115" t="str">
        <f t="shared" si="0"/>
        <v>GBP12x24F_Quote</v>
      </c>
      <c r="E26" s="114" t="str">
        <f>_xll.qlSimpleQuote(D26,,RateTickValue,Permanent,Trigger,ObjectOverwrite)</f>
        <v>GBP12x24F_Quote#0002</v>
      </c>
      <c r="F26" s="113" t="str">
        <f>_xll.ohRangeRetrieveError(E26)</f>
        <v/>
      </c>
      <c r="G26" s="33"/>
    </row>
    <row r="27" spans="1:7" ht="13.5" thickBot="1" x14ac:dyDescent="0.25">
      <c r="A27" s="32"/>
      <c r="B27" s="31"/>
      <c r="C27" s="31"/>
      <c r="D27" s="31"/>
      <c r="E27" s="112"/>
      <c r="F27" s="112"/>
      <c r="G27" s="30"/>
    </row>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8" width="4.5703125" style="65" customWidth="1"/>
    <col min="9" max="16384" width="9.140625" style="65"/>
  </cols>
  <sheetData>
    <row r="1" spans="1:8" x14ac:dyDescent="0.2">
      <c r="A1" s="109" t="s">
        <v>349</v>
      </c>
      <c r="B1" s="153"/>
      <c r="C1" s="153"/>
      <c r="D1" s="152" t="s">
        <v>176</v>
      </c>
      <c r="E1" s="152" t="s">
        <v>15</v>
      </c>
      <c r="F1" s="151"/>
      <c r="G1" s="151"/>
      <c r="H1" s="150"/>
    </row>
    <row r="2" spans="1:8" ht="22.5" x14ac:dyDescent="0.2">
      <c r="A2" s="149"/>
      <c r="B2" s="90" t="s">
        <v>175</v>
      </c>
      <c r="C2" s="91" t="s">
        <v>174</v>
      </c>
      <c r="D2" s="91" t="s">
        <v>173</v>
      </c>
      <c r="E2" s="89" t="str">
        <f>Currency&amp;"_010_"&amp;$D$1&amp;$E$1&amp;".xml"</f>
        <v>GBP_010_FUT1M.xml</v>
      </c>
      <c r="F2" s="88">
        <f ca="1">IF(Serialize,_xll.ohObjectSave(F3:F122,SerializationPath&amp;E2,FileOverwrite,Serialize),"---")</f>
        <v>120</v>
      </c>
      <c r="G2" s="104" t="str">
        <f ca="1">_xll.ohRangeRetrieveError(F2)</f>
        <v/>
      </c>
      <c r="H2" s="137"/>
    </row>
    <row r="3" spans="1:8" x14ac:dyDescent="0.2">
      <c r="A3" s="143"/>
      <c r="B3" s="148">
        <v>1</v>
      </c>
      <c r="C3" s="147" t="b">
        <v>0</v>
      </c>
      <c r="D3" s="146" t="str">
        <f t="array" ref="D3:D122">_xll.qlIMMNextCodes(_xll.qlSettingsEvaluationDate(Trigger)-1,$C3:$C122)</f>
        <v>Z3</v>
      </c>
      <c r="E3" s="139" t="str">
        <f t="shared" ref="E3:E34" si="0">Currency&amp;$D$1&amp;$E$1&amp;$D3&amp;QuoteSuffix</f>
        <v>GBPFUT1MZ3_Quote</v>
      </c>
      <c r="F3" s="145" t="str">
        <f>_xll.qlSimpleQuote(E3,,PriceTickValue,Permanent,Trigger,ObjectOverwrite)</f>
        <v>GBPFUT1MZ3_Quote#0002</v>
      </c>
      <c r="G3" s="144" t="str">
        <f>_xll.ohRangeRetrieveError(F3)</f>
        <v/>
      </c>
      <c r="H3" s="137"/>
    </row>
    <row r="4" spans="1:8" x14ac:dyDescent="0.2">
      <c r="A4" s="143"/>
      <c r="B4" s="142">
        <v>2</v>
      </c>
      <c r="C4" s="141" t="b">
        <v>0</v>
      </c>
      <c r="D4" s="140" t="str">
        <v>F4</v>
      </c>
      <c r="E4" s="139" t="str">
        <f t="shared" si="0"/>
        <v>GBPFUT1MF4_Quote</v>
      </c>
      <c r="F4" s="138" t="str">
        <f>_xll.qlSimpleQuote(E4,,PriceTickValue,Permanent,Trigger,ObjectOverwrite)</f>
        <v>GBPFUT1MF4_Quote#0002</v>
      </c>
      <c r="G4" s="101" t="str">
        <f>_xll.ohRangeRetrieveError(F4)</f>
        <v/>
      </c>
      <c r="H4" s="137"/>
    </row>
    <row r="5" spans="1:8" x14ac:dyDescent="0.2">
      <c r="A5" s="143"/>
      <c r="B5" s="142">
        <v>3</v>
      </c>
      <c r="C5" s="141" t="b">
        <v>0</v>
      </c>
      <c r="D5" s="140" t="str">
        <v>G4</v>
      </c>
      <c r="E5" s="139" t="str">
        <f t="shared" si="0"/>
        <v>GBPFUT1MG4_Quote</v>
      </c>
      <c r="F5" s="138" t="str">
        <f>_xll.qlSimpleQuote(E5,,PriceTickValue,Permanent,Trigger,ObjectOverwrite)</f>
        <v>GBPFUT1MG4_Quote#0002</v>
      </c>
      <c r="G5" s="101" t="str">
        <f>_xll.ohRangeRetrieveError(F5)</f>
        <v/>
      </c>
      <c r="H5" s="137"/>
    </row>
    <row r="6" spans="1:8" x14ac:dyDescent="0.2">
      <c r="A6" s="143"/>
      <c r="B6" s="142">
        <v>4</v>
      </c>
      <c r="C6" s="141" t="b">
        <v>0</v>
      </c>
      <c r="D6" s="140" t="str">
        <v>H4</v>
      </c>
      <c r="E6" s="139" t="str">
        <f t="shared" si="0"/>
        <v>GBPFUT1MH4_Quote</v>
      </c>
      <c r="F6" s="138" t="str">
        <f>_xll.qlSimpleQuote(E6,,PriceTickValue,Permanent,Trigger,ObjectOverwrite)</f>
        <v>GBPFUT1MH4_Quote#0002</v>
      </c>
      <c r="G6" s="101" t="str">
        <f>_xll.ohRangeRetrieveError(F6)</f>
        <v/>
      </c>
      <c r="H6" s="137"/>
    </row>
    <row r="7" spans="1:8" x14ac:dyDescent="0.2">
      <c r="A7" s="143"/>
      <c r="B7" s="142">
        <v>5</v>
      </c>
      <c r="C7" s="141" t="b">
        <v>0</v>
      </c>
      <c r="D7" s="140" t="str">
        <v>J4</v>
      </c>
      <c r="E7" s="139" t="str">
        <f t="shared" si="0"/>
        <v>GBPFUT1MJ4_Quote</v>
      </c>
      <c r="F7" s="138" t="str">
        <f>_xll.qlSimpleQuote(E7,,PriceTickValue,Permanent,Trigger,ObjectOverwrite)</f>
        <v>GBPFUT1MJ4_Quote#0002</v>
      </c>
      <c r="G7" s="101" t="str">
        <f>_xll.ohRangeRetrieveError(F7)</f>
        <v/>
      </c>
      <c r="H7" s="137"/>
    </row>
    <row r="8" spans="1:8" x14ac:dyDescent="0.2">
      <c r="A8" s="143"/>
      <c r="B8" s="142">
        <v>6</v>
      </c>
      <c r="C8" s="141" t="b">
        <v>0</v>
      </c>
      <c r="D8" s="140" t="str">
        <v>K4</v>
      </c>
      <c r="E8" s="139" t="str">
        <f t="shared" si="0"/>
        <v>GBPFUT1MK4_Quote</v>
      </c>
      <c r="F8" s="138" t="str">
        <f>_xll.qlSimpleQuote(E8,,PriceTickValue,Permanent,Trigger,ObjectOverwrite)</f>
        <v>GBPFUT1MK4_Quote#0002</v>
      </c>
      <c r="G8" s="101" t="str">
        <f>_xll.ohRangeRetrieveError(F8)</f>
        <v/>
      </c>
      <c r="H8" s="137"/>
    </row>
    <row r="9" spans="1:8" x14ac:dyDescent="0.2">
      <c r="A9" s="143"/>
      <c r="B9" s="142">
        <v>7</v>
      </c>
      <c r="C9" s="141" t="b">
        <v>0</v>
      </c>
      <c r="D9" s="140" t="str">
        <v>M4</v>
      </c>
      <c r="E9" s="139" t="str">
        <f t="shared" si="0"/>
        <v>GBPFUT1MM4_Quote</v>
      </c>
      <c r="F9" s="138" t="str">
        <f>_xll.qlSimpleQuote(E9,,PriceTickValue,Permanent,Trigger,ObjectOverwrite)</f>
        <v>GBPFUT1MM4_Quote#0002</v>
      </c>
      <c r="G9" s="101" t="str">
        <f>_xll.ohRangeRetrieveError(F9)</f>
        <v/>
      </c>
      <c r="H9" s="137"/>
    </row>
    <row r="10" spans="1:8" x14ac:dyDescent="0.2">
      <c r="A10" s="143"/>
      <c r="B10" s="142">
        <v>8</v>
      </c>
      <c r="C10" s="141" t="b">
        <v>0</v>
      </c>
      <c r="D10" s="140" t="str">
        <v>N4</v>
      </c>
      <c r="E10" s="139" t="str">
        <f t="shared" si="0"/>
        <v>GBPFUT1MN4_Quote</v>
      </c>
      <c r="F10" s="138" t="str">
        <f>_xll.qlSimpleQuote(E10,,PriceTickValue,Permanent,Trigger,ObjectOverwrite)</f>
        <v>GBPFUT1MN4_Quote#0002</v>
      </c>
      <c r="G10" s="101" t="str">
        <f>_xll.ohRangeRetrieveError(F10)</f>
        <v/>
      </c>
      <c r="H10" s="137"/>
    </row>
    <row r="11" spans="1:8" x14ac:dyDescent="0.2">
      <c r="A11" s="143"/>
      <c r="B11" s="142">
        <v>9</v>
      </c>
      <c r="C11" s="141" t="b">
        <v>0</v>
      </c>
      <c r="D11" s="140" t="str">
        <v>Q4</v>
      </c>
      <c r="E11" s="139" t="str">
        <f t="shared" si="0"/>
        <v>GBPFUT1MQ4_Quote</v>
      </c>
      <c r="F11" s="138" t="str">
        <f>_xll.qlSimpleQuote(E11,,PriceTickValue,Permanent,Trigger,ObjectOverwrite)</f>
        <v>GBPFUT1MQ4_Quote#0002</v>
      </c>
      <c r="G11" s="101" t="str">
        <f>_xll.ohRangeRetrieveError(F11)</f>
        <v/>
      </c>
      <c r="H11" s="137"/>
    </row>
    <row r="12" spans="1:8" x14ac:dyDescent="0.2">
      <c r="A12" s="143"/>
      <c r="B12" s="142">
        <v>10</v>
      </c>
      <c r="C12" s="141" t="b">
        <v>0</v>
      </c>
      <c r="D12" s="140" t="str">
        <v>U4</v>
      </c>
      <c r="E12" s="139" t="str">
        <f t="shared" si="0"/>
        <v>GBPFUT1MU4_Quote</v>
      </c>
      <c r="F12" s="138" t="str">
        <f>_xll.qlSimpleQuote(E12,,PriceTickValue,Permanent,Trigger,ObjectOverwrite)</f>
        <v>GBPFUT1MU4_Quote#0002</v>
      </c>
      <c r="G12" s="101" t="str">
        <f>_xll.ohRangeRetrieveError(F12)</f>
        <v/>
      </c>
      <c r="H12" s="137"/>
    </row>
    <row r="13" spans="1:8" x14ac:dyDescent="0.2">
      <c r="A13" s="143"/>
      <c r="B13" s="142">
        <v>11</v>
      </c>
      <c r="C13" s="141" t="b">
        <v>0</v>
      </c>
      <c r="D13" s="140" t="str">
        <v>V4</v>
      </c>
      <c r="E13" s="139" t="str">
        <f t="shared" si="0"/>
        <v>GBPFUT1MV4_Quote</v>
      </c>
      <c r="F13" s="138" t="str">
        <f>_xll.qlSimpleQuote(E13,,PriceTickValue,Permanent,Trigger,ObjectOverwrite)</f>
        <v>GBPFUT1MV4_Quote#0002</v>
      </c>
      <c r="G13" s="101" t="str">
        <f>_xll.ohRangeRetrieveError(F13)</f>
        <v/>
      </c>
      <c r="H13" s="137"/>
    </row>
    <row r="14" spans="1:8" x14ac:dyDescent="0.2">
      <c r="A14" s="143"/>
      <c r="B14" s="142">
        <v>12</v>
      </c>
      <c r="C14" s="141" t="b">
        <v>0</v>
      </c>
      <c r="D14" s="140" t="str">
        <v>X4</v>
      </c>
      <c r="E14" s="139" t="str">
        <f t="shared" si="0"/>
        <v>GBPFUT1MX4_Quote</v>
      </c>
      <c r="F14" s="138" t="str">
        <f>_xll.qlSimpleQuote(E14,,PriceTickValue,Permanent,Trigger,ObjectOverwrite)</f>
        <v>GBPFUT1MX4_Quote#0002</v>
      </c>
      <c r="G14" s="101" t="str">
        <f>_xll.ohRangeRetrieveError(F14)</f>
        <v/>
      </c>
      <c r="H14" s="137"/>
    </row>
    <row r="15" spans="1:8" x14ac:dyDescent="0.2">
      <c r="A15" s="143"/>
      <c r="B15" s="142">
        <v>13</v>
      </c>
      <c r="C15" s="141" t="b">
        <v>0</v>
      </c>
      <c r="D15" s="140" t="str">
        <v>Z4</v>
      </c>
      <c r="E15" s="139" t="str">
        <f t="shared" si="0"/>
        <v>GBPFUT1MZ4_Quote</v>
      </c>
      <c r="F15" s="138" t="str">
        <f>_xll.qlSimpleQuote(E15,,PriceTickValue,Permanent,Trigger,ObjectOverwrite)</f>
        <v>GBPFUT1MZ4_Quote#0002</v>
      </c>
      <c r="G15" s="101" t="str">
        <f>_xll.ohRangeRetrieveError(F15)</f>
        <v/>
      </c>
      <c r="H15" s="137"/>
    </row>
    <row r="16" spans="1:8" x14ac:dyDescent="0.2">
      <c r="A16" s="143"/>
      <c r="B16" s="142">
        <v>14</v>
      </c>
      <c r="C16" s="141" t="b">
        <v>0</v>
      </c>
      <c r="D16" s="140" t="str">
        <v>F5</v>
      </c>
      <c r="E16" s="139" t="str">
        <f t="shared" si="0"/>
        <v>GBPFUT1MF5_Quote</v>
      </c>
      <c r="F16" s="138" t="str">
        <f>_xll.qlSimpleQuote(E16,,PriceTickValue,Permanent,Trigger,ObjectOverwrite)</f>
        <v>GBPFUT1MF5_Quote#0002</v>
      </c>
      <c r="G16" s="101" t="str">
        <f>_xll.ohRangeRetrieveError(F16)</f>
        <v/>
      </c>
      <c r="H16" s="137"/>
    </row>
    <row r="17" spans="1:8" x14ac:dyDescent="0.2">
      <c r="A17" s="143"/>
      <c r="B17" s="142">
        <v>15</v>
      </c>
      <c r="C17" s="141" t="b">
        <v>0</v>
      </c>
      <c r="D17" s="140" t="str">
        <v>G5</v>
      </c>
      <c r="E17" s="139" t="str">
        <f t="shared" si="0"/>
        <v>GBPFUT1MG5_Quote</v>
      </c>
      <c r="F17" s="138" t="str">
        <f>_xll.qlSimpleQuote(E17,,PriceTickValue,Permanent,Trigger,ObjectOverwrite)</f>
        <v>GBPFUT1MG5_Quote#0002</v>
      </c>
      <c r="G17" s="101" t="str">
        <f>_xll.ohRangeRetrieveError(F17)</f>
        <v/>
      </c>
      <c r="H17" s="137"/>
    </row>
    <row r="18" spans="1:8" x14ac:dyDescent="0.2">
      <c r="A18" s="143"/>
      <c r="B18" s="142">
        <v>16</v>
      </c>
      <c r="C18" s="141" t="b">
        <v>0</v>
      </c>
      <c r="D18" s="140" t="str">
        <v>H5</v>
      </c>
      <c r="E18" s="139" t="str">
        <f t="shared" si="0"/>
        <v>GBPFUT1MH5_Quote</v>
      </c>
      <c r="F18" s="138" t="str">
        <f>_xll.qlSimpleQuote(E18,,PriceTickValue,Permanent,Trigger,ObjectOverwrite)</f>
        <v>GBPFUT1MH5_Quote#0002</v>
      </c>
      <c r="G18" s="101" t="str">
        <f>_xll.ohRangeRetrieveError(F18)</f>
        <v/>
      </c>
      <c r="H18" s="137"/>
    </row>
    <row r="19" spans="1:8" x14ac:dyDescent="0.2">
      <c r="A19" s="143"/>
      <c r="B19" s="142">
        <v>17</v>
      </c>
      <c r="C19" s="141" t="b">
        <v>0</v>
      </c>
      <c r="D19" s="140" t="str">
        <v>J5</v>
      </c>
      <c r="E19" s="139" t="str">
        <f t="shared" si="0"/>
        <v>GBPFUT1MJ5_Quote</v>
      </c>
      <c r="F19" s="138" t="str">
        <f>_xll.qlSimpleQuote(E19,,PriceTickValue,Permanent,Trigger,ObjectOverwrite)</f>
        <v>GBPFUT1MJ5_Quote#0002</v>
      </c>
      <c r="G19" s="101" t="str">
        <f>_xll.ohRangeRetrieveError(F19)</f>
        <v/>
      </c>
      <c r="H19" s="137"/>
    </row>
    <row r="20" spans="1:8" x14ac:dyDescent="0.2">
      <c r="A20" s="143"/>
      <c r="B20" s="142">
        <v>18</v>
      </c>
      <c r="C20" s="141" t="b">
        <v>0</v>
      </c>
      <c r="D20" s="140" t="str">
        <v>K5</v>
      </c>
      <c r="E20" s="139" t="str">
        <f t="shared" si="0"/>
        <v>GBPFUT1MK5_Quote</v>
      </c>
      <c r="F20" s="138" t="str">
        <f>_xll.qlSimpleQuote(E20,,PriceTickValue,Permanent,Trigger,ObjectOverwrite)</f>
        <v>GBPFUT1MK5_Quote#0002</v>
      </c>
      <c r="G20" s="101" t="str">
        <f>_xll.ohRangeRetrieveError(F20)</f>
        <v/>
      </c>
      <c r="H20" s="137"/>
    </row>
    <row r="21" spans="1:8" x14ac:dyDescent="0.2">
      <c r="A21" s="143"/>
      <c r="B21" s="142">
        <v>19</v>
      </c>
      <c r="C21" s="141" t="b">
        <v>0</v>
      </c>
      <c r="D21" s="140" t="str">
        <v>M5</v>
      </c>
      <c r="E21" s="139" t="str">
        <f t="shared" si="0"/>
        <v>GBPFUT1MM5_Quote</v>
      </c>
      <c r="F21" s="138" t="str">
        <f>_xll.qlSimpleQuote(E21,,PriceTickValue,Permanent,Trigger,ObjectOverwrite)</f>
        <v>GBPFUT1MM5_Quote#0002</v>
      </c>
      <c r="G21" s="101" t="str">
        <f>_xll.ohRangeRetrieveError(F21)</f>
        <v/>
      </c>
      <c r="H21" s="137"/>
    </row>
    <row r="22" spans="1:8" x14ac:dyDescent="0.2">
      <c r="A22" s="143"/>
      <c r="B22" s="142">
        <v>20</v>
      </c>
      <c r="C22" s="141" t="b">
        <v>0</v>
      </c>
      <c r="D22" s="140" t="str">
        <v>N5</v>
      </c>
      <c r="E22" s="139" t="str">
        <f t="shared" si="0"/>
        <v>GBPFUT1MN5_Quote</v>
      </c>
      <c r="F22" s="138" t="str">
        <f>_xll.qlSimpleQuote(E22,,PriceTickValue,Permanent,Trigger,ObjectOverwrite)</f>
        <v>GBPFUT1MN5_Quote#0002</v>
      </c>
      <c r="G22" s="101" t="str">
        <f>_xll.ohRangeRetrieveError(F22)</f>
        <v/>
      </c>
      <c r="H22" s="137"/>
    </row>
    <row r="23" spans="1:8" x14ac:dyDescent="0.2">
      <c r="A23" s="143"/>
      <c r="B23" s="142">
        <v>21</v>
      </c>
      <c r="C23" s="141" t="b">
        <v>0</v>
      </c>
      <c r="D23" s="140" t="str">
        <v>Q5</v>
      </c>
      <c r="E23" s="139" t="str">
        <f t="shared" si="0"/>
        <v>GBPFUT1MQ5_Quote</v>
      </c>
      <c r="F23" s="138" t="str">
        <f>_xll.qlSimpleQuote(E23,,PriceTickValue,Permanent,Trigger,ObjectOverwrite)</f>
        <v>GBPFUT1MQ5_Quote#0002</v>
      </c>
      <c r="G23" s="101" t="str">
        <f>_xll.ohRangeRetrieveError(F23)</f>
        <v/>
      </c>
      <c r="H23" s="137"/>
    </row>
    <row r="24" spans="1:8" x14ac:dyDescent="0.2">
      <c r="A24" s="143"/>
      <c r="B24" s="142">
        <v>22</v>
      </c>
      <c r="C24" s="141" t="b">
        <v>0</v>
      </c>
      <c r="D24" s="140" t="str">
        <v>U5</v>
      </c>
      <c r="E24" s="139" t="str">
        <f t="shared" si="0"/>
        <v>GBPFUT1MU5_Quote</v>
      </c>
      <c r="F24" s="138" t="str">
        <f>_xll.qlSimpleQuote(E24,,PriceTickValue,Permanent,Trigger,ObjectOverwrite)</f>
        <v>GBPFUT1MU5_Quote#0002</v>
      </c>
      <c r="G24" s="101" t="str">
        <f>_xll.ohRangeRetrieveError(F24)</f>
        <v/>
      </c>
      <c r="H24" s="137"/>
    </row>
    <row r="25" spans="1:8" x14ac:dyDescent="0.2">
      <c r="A25" s="143"/>
      <c r="B25" s="142">
        <v>23</v>
      </c>
      <c r="C25" s="141" t="b">
        <v>0</v>
      </c>
      <c r="D25" s="140" t="str">
        <v>V5</v>
      </c>
      <c r="E25" s="139" t="str">
        <f t="shared" si="0"/>
        <v>GBPFUT1MV5_Quote</v>
      </c>
      <c r="F25" s="138" t="str">
        <f>_xll.qlSimpleQuote(E25,,PriceTickValue,Permanent,Trigger,ObjectOverwrite)</f>
        <v>GBPFUT1MV5_Quote#0002</v>
      </c>
      <c r="G25" s="101" t="str">
        <f>_xll.ohRangeRetrieveError(F25)</f>
        <v/>
      </c>
      <c r="H25" s="137"/>
    </row>
    <row r="26" spans="1:8" x14ac:dyDescent="0.2">
      <c r="A26" s="143"/>
      <c r="B26" s="142">
        <v>24</v>
      </c>
      <c r="C26" s="141" t="b">
        <v>0</v>
      </c>
      <c r="D26" s="140" t="str">
        <v>X5</v>
      </c>
      <c r="E26" s="139" t="str">
        <f t="shared" si="0"/>
        <v>GBPFUT1MX5_Quote</v>
      </c>
      <c r="F26" s="138" t="str">
        <f>_xll.qlSimpleQuote(E26,,PriceTickValue,Permanent,Trigger,ObjectOverwrite)</f>
        <v>GBPFUT1MX5_Quote#0002</v>
      </c>
      <c r="G26" s="101" t="str">
        <f>_xll.ohRangeRetrieveError(F26)</f>
        <v/>
      </c>
      <c r="H26" s="137"/>
    </row>
    <row r="27" spans="1:8" x14ac:dyDescent="0.2">
      <c r="A27" s="143"/>
      <c r="B27" s="142">
        <v>25</v>
      </c>
      <c r="C27" s="141" t="b">
        <v>0</v>
      </c>
      <c r="D27" s="140" t="str">
        <v>Z5</v>
      </c>
      <c r="E27" s="139" t="str">
        <f t="shared" si="0"/>
        <v>GBPFUT1MZ5_Quote</v>
      </c>
      <c r="F27" s="138" t="str">
        <f>_xll.qlSimpleQuote(E27,,PriceTickValue,Permanent,Trigger,ObjectOverwrite)</f>
        <v>GBPFUT1MZ5_Quote#0002</v>
      </c>
      <c r="G27" s="101" t="str">
        <f>_xll.ohRangeRetrieveError(F27)</f>
        <v/>
      </c>
      <c r="H27" s="137"/>
    </row>
    <row r="28" spans="1:8" x14ac:dyDescent="0.2">
      <c r="A28" s="143"/>
      <c r="B28" s="142">
        <v>26</v>
      </c>
      <c r="C28" s="141" t="b">
        <v>0</v>
      </c>
      <c r="D28" s="140" t="str">
        <v>F6</v>
      </c>
      <c r="E28" s="139" t="str">
        <f t="shared" si="0"/>
        <v>GBPFUT1MF6_Quote</v>
      </c>
      <c r="F28" s="138" t="str">
        <f>_xll.qlSimpleQuote(E28,,PriceTickValue,Permanent,Trigger,ObjectOverwrite)</f>
        <v>GBPFUT1MF6_Quote#0002</v>
      </c>
      <c r="G28" s="101" t="str">
        <f>_xll.ohRangeRetrieveError(F28)</f>
        <v/>
      </c>
      <c r="H28" s="137"/>
    </row>
    <row r="29" spans="1:8" x14ac:dyDescent="0.2">
      <c r="A29" s="143"/>
      <c r="B29" s="142">
        <v>27</v>
      </c>
      <c r="C29" s="141" t="b">
        <v>0</v>
      </c>
      <c r="D29" s="140" t="str">
        <v>G6</v>
      </c>
      <c r="E29" s="139" t="str">
        <f t="shared" si="0"/>
        <v>GBPFUT1MG6_Quote</v>
      </c>
      <c r="F29" s="138" t="str">
        <f>_xll.qlSimpleQuote(E29,,PriceTickValue,Permanent,Trigger,ObjectOverwrite)</f>
        <v>GBPFUT1MG6_Quote#0002</v>
      </c>
      <c r="G29" s="101" t="str">
        <f>_xll.ohRangeRetrieveError(F29)</f>
        <v/>
      </c>
      <c r="H29" s="137"/>
    </row>
    <row r="30" spans="1:8" x14ac:dyDescent="0.2">
      <c r="A30" s="143"/>
      <c r="B30" s="142">
        <v>28</v>
      </c>
      <c r="C30" s="141" t="b">
        <v>0</v>
      </c>
      <c r="D30" s="140" t="str">
        <v>H6</v>
      </c>
      <c r="E30" s="139" t="str">
        <f t="shared" si="0"/>
        <v>GBPFUT1MH6_Quote</v>
      </c>
      <c r="F30" s="138" t="str">
        <f>_xll.qlSimpleQuote(E30,,PriceTickValue,Permanent,Trigger,ObjectOverwrite)</f>
        <v>GBPFUT1MH6_Quote#0002</v>
      </c>
      <c r="G30" s="101" t="str">
        <f>_xll.ohRangeRetrieveError(F30)</f>
        <v/>
      </c>
      <c r="H30" s="137"/>
    </row>
    <row r="31" spans="1:8" x14ac:dyDescent="0.2">
      <c r="A31" s="143"/>
      <c r="B31" s="142">
        <v>29</v>
      </c>
      <c r="C31" s="141" t="b">
        <v>0</v>
      </c>
      <c r="D31" s="140" t="str">
        <v>J6</v>
      </c>
      <c r="E31" s="139" t="str">
        <f t="shared" si="0"/>
        <v>GBPFUT1MJ6_Quote</v>
      </c>
      <c r="F31" s="138" t="str">
        <f>_xll.qlSimpleQuote(E31,,PriceTickValue,Permanent,Trigger,ObjectOverwrite)</f>
        <v>GBPFUT1MJ6_Quote#0002</v>
      </c>
      <c r="G31" s="101" t="str">
        <f>_xll.ohRangeRetrieveError(F31)</f>
        <v/>
      </c>
      <c r="H31" s="137"/>
    </row>
    <row r="32" spans="1:8" x14ac:dyDescent="0.2">
      <c r="A32" s="143"/>
      <c r="B32" s="142">
        <v>30</v>
      </c>
      <c r="C32" s="141" t="b">
        <v>0</v>
      </c>
      <c r="D32" s="140" t="str">
        <v>K6</v>
      </c>
      <c r="E32" s="139" t="str">
        <f t="shared" si="0"/>
        <v>GBPFUT1MK6_Quote</v>
      </c>
      <c r="F32" s="138" t="str">
        <f>_xll.qlSimpleQuote(E32,,PriceTickValue,Permanent,Trigger,ObjectOverwrite)</f>
        <v>GBPFUT1MK6_Quote#0002</v>
      </c>
      <c r="G32" s="101" t="str">
        <f>_xll.ohRangeRetrieveError(F32)</f>
        <v/>
      </c>
      <c r="H32" s="137"/>
    </row>
    <row r="33" spans="1:8" x14ac:dyDescent="0.2">
      <c r="A33" s="143"/>
      <c r="B33" s="142">
        <v>31</v>
      </c>
      <c r="C33" s="141" t="b">
        <v>0</v>
      </c>
      <c r="D33" s="140" t="str">
        <v>M6</v>
      </c>
      <c r="E33" s="139" t="str">
        <f t="shared" si="0"/>
        <v>GBPFUT1MM6_Quote</v>
      </c>
      <c r="F33" s="138" t="str">
        <f>_xll.qlSimpleQuote(E33,,PriceTickValue,Permanent,Trigger,ObjectOverwrite)</f>
        <v>GBPFUT1MM6_Quote#0002</v>
      </c>
      <c r="G33" s="101" t="str">
        <f>_xll.ohRangeRetrieveError(F33)</f>
        <v/>
      </c>
      <c r="H33" s="137"/>
    </row>
    <row r="34" spans="1:8" x14ac:dyDescent="0.2">
      <c r="A34" s="143"/>
      <c r="B34" s="142">
        <v>32</v>
      </c>
      <c r="C34" s="141" t="b">
        <v>0</v>
      </c>
      <c r="D34" s="140" t="str">
        <v>N6</v>
      </c>
      <c r="E34" s="139" t="str">
        <f t="shared" si="0"/>
        <v>GBPFUT1MN6_Quote</v>
      </c>
      <c r="F34" s="138" t="str">
        <f>_xll.qlSimpleQuote(E34,,PriceTickValue,Permanent,Trigger,ObjectOverwrite)</f>
        <v>GBPFUT1MN6_Quote#0002</v>
      </c>
      <c r="G34" s="101" t="str">
        <f>_xll.ohRangeRetrieveError(F34)</f>
        <v/>
      </c>
      <c r="H34" s="137"/>
    </row>
    <row r="35" spans="1:8" x14ac:dyDescent="0.2">
      <c r="A35" s="143"/>
      <c r="B35" s="142">
        <v>33</v>
      </c>
      <c r="C35" s="141" t="b">
        <v>0</v>
      </c>
      <c r="D35" s="140" t="str">
        <v>Q6</v>
      </c>
      <c r="E35" s="139" t="str">
        <f t="shared" ref="E35:E66" si="1">Currency&amp;$D$1&amp;$E$1&amp;$D35&amp;QuoteSuffix</f>
        <v>GBPFUT1MQ6_Quote</v>
      </c>
      <c r="F35" s="138" t="str">
        <f>_xll.qlSimpleQuote(E35,,PriceTickValue,Permanent,Trigger,ObjectOverwrite)</f>
        <v>GBPFUT1MQ6_Quote#0002</v>
      </c>
      <c r="G35" s="101" t="str">
        <f>_xll.ohRangeRetrieveError(F35)</f>
        <v/>
      </c>
      <c r="H35" s="137"/>
    </row>
    <row r="36" spans="1:8" x14ac:dyDescent="0.2">
      <c r="A36" s="143"/>
      <c r="B36" s="142">
        <v>34</v>
      </c>
      <c r="C36" s="141" t="b">
        <v>0</v>
      </c>
      <c r="D36" s="140" t="str">
        <v>U6</v>
      </c>
      <c r="E36" s="139" t="str">
        <f t="shared" si="1"/>
        <v>GBPFUT1MU6_Quote</v>
      </c>
      <c r="F36" s="138" t="str">
        <f>_xll.qlSimpleQuote(E36,,PriceTickValue,Permanent,Trigger,ObjectOverwrite)</f>
        <v>GBPFUT1MU6_Quote#0002</v>
      </c>
      <c r="G36" s="101" t="str">
        <f>_xll.ohRangeRetrieveError(F36)</f>
        <v/>
      </c>
      <c r="H36" s="137"/>
    </row>
    <row r="37" spans="1:8" x14ac:dyDescent="0.2">
      <c r="A37" s="143"/>
      <c r="B37" s="142">
        <v>35</v>
      </c>
      <c r="C37" s="141" t="b">
        <v>0</v>
      </c>
      <c r="D37" s="140" t="str">
        <v>V6</v>
      </c>
      <c r="E37" s="139" t="str">
        <f t="shared" si="1"/>
        <v>GBPFUT1MV6_Quote</v>
      </c>
      <c r="F37" s="138" t="str">
        <f>_xll.qlSimpleQuote(E37,,PriceTickValue,Permanent,Trigger,ObjectOverwrite)</f>
        <v>GBPFUT1MV6_Quote#0002</v>
      </c>
      <c r="G37" s="101" t="str">
        <f>_xll.ohRangeRetrieveError(F37)</f>
        <v/>
      </c>
      <c r="H37" s="137"/>
    </row>
    <row r="38" spans="1:8" x14ac:dyDescent="0.2">
      <c r="A38" s="143"/>
      <c r="B38" s="142">
        <v>36</v>
      </c>
      <c r="C38" s="141" t="b">
        <v>0</v>
      </c>
      <c r="D38" s="140" t="str">
        <v>X6</v>
      </c>
      <c r="E38" s="139" t="str">
        <f t="shared" si="1"/>
        <v>GBPFUT1MX6_Quote</v>
      </c>
      <c r="F38" s="138" t="str">
        <f>_xll.qlSimpleQuote(E38,,PriceTickValue,Permanent,Trigger,ObjectOverwrite)</f>
        <v>GBPFUT1MX6_Quote#0002</v>
      </c>
      <c r="G38" s="101" t="str">
        <f>_xll.ohRangeRetrieveError(F38)</f>
        <v/>
      </c>
      <c r="H38" s="137"/>
    </row>
    <row r="39" spans="1:8" x14ac:dyDescent="0.2">
      <c r="A39" s="143"/>
      <c r="B39" s="142">
        <v>37</v>
      </c>
      <c r="C39" s="141" t="b">
        <v>0</v>
      </c>
      <c r="D39" s="140" t="str">
        <v>Z6</v>
      </c>
      <c r="E39" s="139" t="str">
        <f t="shared" si="1"/>
        <v>GBPFUT1MZ6_Quote</v>
      </c>
      <c r="F39" s="138" t="str">
        <f>_xll.qlSimpleQuote(E39,,PriceTickValue,Permanent,Trigger,ObjectOverwrite)</f>
        <v>GBPFUT1MZ6_Quote#0002</v>
      </c>
      <c r="G39" s="101" t="str">
        <f>_xll.ohRangeRetrieveError(F39)</f>
        <v/>
      </c>
      <c r="H39" s="137"/>
    </row>
    <row r="40" spans="1:8" x14ac:dyDescent="0.2">
      <c r="A40" s="143"/>
      <c r="B40" s="142">
        <v>38</v>
      </c>
      <c r="C40" s="141" t="b">
        <v>0</v>
      </c>
      <c r="D40" s="140" t="str">
        <v>F7</v>
      </c>
      <c r="E40" s="139" t="str">
        <f t="shared" si="1"/>
        <v>GBPFUT1MF7_Quote</v>
      </c>
      <c r="F40" s="138" t="str">
        <f>_xll.qlSimpleQuote(E40,,PriceTickValue,Permanent,Trigger,ObjectOverwrite)</f>
        <v>GBPFUT1MF7_Quote#0002</v>
      </c>
      <c r="G40" s="101" t="str">
        <f>_xll.ohRangeRetrieveError(F40)</f>
        <v/>
      </c>
      <c r="H40" s="137"/>
    </row>
    <row r="41" spans="1:8" x14ac:dyDescent="0.2">
      <c r="A41" s="143"/>
      <c r="B41" s="142">
        <v>39</v>
      </c>
      <c r="C41" s="141" t="b">
        <v>0</v>
      </c>
      <c r="D41" s="140" t="str">
        <v>G7</v>
      </c>
      <c r="E41" s="139" t="str">
        <f t="shared" si="1"/>
        <v>GBPFUT1MG7_Quote</v>
      </c>
      <c r="F41" s="138" t="str">
        <f>_xll.qlSimpleQuote(E41,,PriceTickValue,Permanent,Trigger,ObjectOverwrite)</f>
        <v>GBPFUT1MG7_Quote#0002</v>
      </c>
      <c r="G41" s="101" t="str">
        <f>_xll.ohRangeRetrieveError(F41)</f>
        <v/>
      </c>
      <c r="H41" s="137"/>
    </row>
    <row r="42" spans="1:8" x14ac:dyDescent="0.2">
      <c r="A42" s="143"/>
      <c r="B42" s="142">
        <v>40</v>
      </c>
      <c r="C42" s="141" t="b">
        <v>0</v>
      </c>
      <c r="D42" s="140" t="str">
        <v>H7</v>
      </c>
      <c r="E42" s="139" t="str">
        <f t="shared" si="1"/>
        <v>GBPFUT1MH7_Quote</v>
      </c>
      <c r="F42" s="138" t="str">
        <f>_xll.qlSimpleQuote(E42,,PriceTickValue,Permanent,Trigger,ObjectOverwrite)</f>
        <v>GBPFUT1MH7_Quote#0002</v>
      </c>
      <c r="G42" s="101" t="str">
        <f>_xll.ohRangeRetrieveError(F42)</f>
        <v/>
      </c>
      <c r="H42" s="137"/>
    </row>
    <row r="43" spans="1:8" x14ac:dyDescent="0.2">
      <c r="A43" s="143"/>
      <c r="B43" s="142">
        <v>41</v>
      </c>
      <c r="C43" s="141" t="b">
        <v>0</v>
      </c>
      <c r="D43" s="140" t="str">
        <v>J7</v>
      </c>
      <c r="E43" s="139" t="str">
        <f t="shared" si="1"/>
        <v>GBPFUT1MJ7_Quote</v>
      </c>
      <c r="F43" s="138" t="str">
        <f>_xll.qlSimpleQuote(E43,,PriceTickValue,Permanent,Trigger,ObjectOverwrite)</f>
        <v>GBPFUT1MJ7_Quote#0002</v>
      </c>
      <c r="G43" s="101" t="str">
        <f>_xll.ohRangeRetrieveError(F43)</f>
        <v/>
      </c>
      <c r="H43" s="137"/>
    </row>
    <row r="44" spans="1:8" x14ac:dyDescent="0.2">
      <c r="A44" s="143"/>
      <c r="B44" s="142">
        <v>42</v>
      </c>
      <c r="C44" s="141" t="b">
        <v>0</v>
      </c>
      <c r="D44" s="140" t="str">
        <v>K7</v>
      </c>
      <c r="E44" s="139" t="str">
        <f t="shared" si="1"/>
        <v>GBPFUT1MK7_Quote</v>
      </c>
      <c r="F44" s="138" t="str">
        <f>_xll.qlSimpleQuote(E44,,PriceTickValue,Permanent,Trigger,ObjectOverwrite)</f>
        <v>GBPFUT1MK7_Quote#0002</v>
      </c>
      <c r="G44" s="101" t="str">
        <f>_xll.ohRangeRetrieveError(F44)</f>
        <v/>
      </c>
      <c r="H44" s="137"/>
    </row>
    <row r="45" spans="1:8" x14ac:dyDescent="0.2">
      <c r="A45" s="143"/>
      <c r="B45" s="142">
        <v>43</v>
      </c>
      <c r="C45" s="141" t="b">
        <v>0</v>
      </c>
      <c r="D45" s="140" t="str">
        <v>M7</v>
      </c>
      <c r="E45" s="139" t="str">
        <f t="shared" si="1"/>
        <v>GBPFUT1MM7_Quote</v>
      </c>
      <c r="F45" s="138" t="str">
        <f>_xll.qlSimpleQuote(E45,,PriceTickValue,Permanent,Trigger,ObjectOverwrite)</f>
        <v>GBPFUT1MM7_Quote#0002</v>
      </c>
      <c r="G45" s="101" t="str">
        <f>_xll.ohRangeRetrieveError(F45)</f>
        <v/>
      </c>
      <c r="H45" s="137"/>
    </row>
    <row r="46" spans="1:8" x14ac:dyDescent="0.2">
      <c r="A46" s="143"/>
      <c r="B46" s="142">
        <v>44</v>
      </c>
      <c r="C46" s="141" t="b">
        <v>0</v>
      </c>
      <c r="D46" s="140" t="str">
        <v>N7</v>
      </c>
      <c r="E46" s="139" t="str">
        <f t="shared" si="1"/>
        <v>GBPFUT1MN7_Quote</v>
      </c>
      <c r="F46" s="138" t="str">
        <f>_xll.qlSimpleQuote(E46,,PriceTickValue,Permanent,Trigger,ObjectOverwrite)</f>
        <v>GBPFUT1MN7_Quote#0002</v>
      </c>
      <c r="G46" s="101" t="str">
        <f>_xll.ohRangeRetrieveError(F46)</f>
        <v/>
      </c>
      <c r="H46" s="137"/>
    </row>
    <row r="47" spans="1:8" x14ac:dyDescent="0.2">
      <c r="A47" s="143"/>
      <c r="B47" s="142">
        <v>45</v>
      </c>
      <c r="C47" s="141" t="b">
        <v>0</v>
      </c>
      <c r="D47" s="140" t="str">
        <v>Q7</v>
      </c>
      <c r="E47" s="139" t="str">
        <f t="shared" si="1"/>
        <v>GBPFUT1MQ7_Quote</v>
      </c>
      <c r="F47" s="138" t="str">
        <f>_xll.qlSimpleQuote(E47,,PriceTickValue,Permanent,Trigger,ObjectOverwrite)</f>
        <v>GBPFUT1MQ7_Quote#0002</v>
      </c>
      <c r="G47" s="101" t="str">
        <f>_xll.ohRangeRetrieveError(F47)</f>
        <v/>
      </c>
      <c r="H47" s="137"/>
    </row>
    <row r="48" spans="1:8" x14ac:dyDescent="0.2">
      <c r="A48" s="143"/>
      <c r="B48" s="142">
        <v>46</v>
      </c>
      <c r="C48" s="141" t="b">
        <v>0</v>
      </c>
      <c r="D48" s="140" t="str">
        <v>U7</v>
      </c>
      <c r="E48" s="139" t="str">
        <f t="shared" si="1"/>
        <v>GBPFUT1MU7_Quote</v>
      </c>
      <c r="F48" s="138" t="str">
        <f>_xll.qlSimpleQuote(E48,,PriceTickValue,Permanent,Trigger,ObjectOverwrite)</f>
        <v>GBPFUT1MU7_Quote#0002</v>
      </c>
      <c r="G48" s="101" t="str">
        <f>_xll.ohRangeRetrieveError(F48)</f>
        <v/>
      </c>
      <c r="H48" s="137"/>
    </row>
    <row r="49" spans="1:8" x14ac:dyDescent="0.2">
      <c r="A49" s="143"/>
      <c r="B49" s="142">
        <v>47</v>
      </c>
      <c r="C49" s="141" t="b">
        <v>0</v>
      </c>
      <c r="D49" s="140" t="str">
        <v>V7</v>
      </c>
      <c r="E49" s="139" t="str">
        <f t="shared" si="1"/>
        <v>GBPFUT1MV7_Quote</v>
      </c>
      <c r="F49" s="138" t="str">
        <f>_xll.qlSimpleQuote(E49,,PriceTickValue,Permanent,Trigger,ObjectOverwrite)</f>
        <v>GBPFUT1MV7_Quote#0002</v>
      </c>
      <c r="G49" s="101" t="str">
        <f>_xll.ohRangeRetrieveError(F49)</f>
        <v/>
      </c>
      <c r="H49" s="137"/>
    </row>
    <row r="50" spans="1:8" x14ac:dyDescent="0.2">
      <c r="A50" s="143"/>
      <c r="B50" s="142">
        <v>48</v>
      </c>
      <c r="C50" s="141" t="b">
        <v>0</v>
      </c>
      <c r="D50" s="140" t="str">
        <v>X7</v>
      </c>
      <c r="E50" s="139" t="str">
        <f t="shared" si="1"/>
        <v>GBPFUT1MX7_Quote</v>
      </c>
      <c r="F50" s="138" t="str">
        <f>_xll.qlSimpleQuote(E50,,PriceTickValue,Permanent,Trigger,ObjectOverwrite)</f>
        <v>GBPFUT1MX7_Quote#0002</v>
      </c>
      <c r="G50" s="101" t="str">
        <f>_xll.ohRangeRetrieveError(F50)</f>
        <v/>
      </c>
      <c r="H50" s="137"/>
    </row>
    <row r="51" spans="1:8" x14ac:dyDescent="0.2">
      <c r="A51" s="143"/>
      <c r="B51" s="142">
        <v>49</v>
      </c>
      <c r="C51" s="141" t="b">
        <v>0</v>
      </c>
      <c r="D51" s="140" t="str">
        <v>Z7</v>
      </c>
      <c r="E51" s="139" t="str">
        <f t="shared" si="1"/>
        <v>GBPFUT1MZ7_Quote</v>
      </c>
      <c r="F51" s="138" t="str">
        <f>_xll.qlSimpleQuote(E51,,PriceTickValue,Permanent,Trigger,ObjectOverwrite)</f>
        <v>GBPFUT1MZ7_Quote#0002</v>
      </c>
      <c r="G51" s="101" t="str">
        <f>_xll.ohRangeRetrieveError(F51)</f>
        <v/>
      </c>
      <c r="H51" s="137"/>
    </row>
    <row r="52" spans="1:8" x14ac:dyDescent="0.2">
      <c r="A52" s="143"/>
      <c r="B52" s="142">
        <v>50</v>
      </c>
      <c r="C52" s="141" t="b">
        <v>0</v>
      </c>
      <c r="D52" s="140" t="str">
        <v>F8</v>
      </c>
      <c r="E52" s="139" t="str">
        <f t="shared" si="1"/>
        <v>GBPFUT1MF8_Quote</v>
      </c>
      <c r="F52" s="138" t="str">
        <f>_xll.qlSimpleQuote(E52,,PriceTickValue,Permanent,Trigger,ObjectOverwrite)</f>
        <v>GBPFUT1MF8_Quote#0002</v>
      </c>
      <c r="G52" s="101" t="str">
        <f>_xll.ohRangeRetrieveError(F52)</f>
        <v/>
      </c>
      <c r="H52" s="137"/>
    </row>
    <row r="53" spans="1:8" x14ac:dyDescent="0.2">
      <c r="A53" s="143"/>
      <c r="B53" s="142">
        <v>51</v>
      </c>
      <c r="C53" s="141" t="b">
        <v>0</v>
      </c>
      <c r="D53" s="140" t="str">
        <v>G8</v>
      </c>
      <c r="E53" s="139" t="str">
        <f t="shared" si="1"/>
        <v>GBPFUT1MG8_Quote</v>
      </c>
      <c r="F53" s="138" t="str">
        <f>_xll.qlSimpleQuote(E53,,PriceTickValue,Permanent,Trigger,ObjectOverwrite)</f>
        <v>GBPFUT1MG8_Quote#0002</v>
      </c>
      <c r="G53" s="101" t="str">
        <f>_xll.ohRangeRetrieveError(F53)</f>
        <v/>
      </c>
      <c r="H53" s="137"/>
    </row>
    <row r="54" spans="1:8" x14ac:dyDescent="0.2">
      <c r="A54" s="143"/>
      <c r="B54" s="142">
        <v>52</v>
      </c>
      <c r="C54" s="141" t="b">
        <v>0</v>
      </c>
      <c r="D54" s="140" t="str">
        <v>H8</v>
      </c>
      <c r="E54" s="139" t="str">
        <f t="shared" si="1"/>
        <v>GBPFUT1MH8_Quote</v>
      </c>
      <c r="F54" s="138" t="str">
        <f>_xll.qlSimpleQuote(E54,,PriceTickValue,Permanent,Trigger,ObjectOverwrite)</f>
        <v>GBPFUT1MH8_Quote#0002</v>
      </c>
      <c r="G54" s="101" t="str">
        <f>_xll.ohRangeRetrieveError(F54)</f>
        <v/>
      </c>
      <c r="H54" s="137"/>
    </row>
    <row r="55" spans="1:8" x14ac:dyDescent="0.2">
      <c r="A55" s="143"/>
      <c r="B55" s="142">
        <v>53</v>
      </c>
      <c r="C55" s="141" t="b">
        <v>0</v>
      </c>
      <c r="D55" s="140" t="str">
        <v>J8</v>
      </c>
      <c r="E55" s="139" t="str">
        <f t="shared" si="1"/>
        <v>GBPFUT1MJ8_Quote</v>
      </c>
      <c r="F55" s="138" t="str">
        <f>_xll.qlSimpleQuote(E55,,PriceTickValue,Permanent,Trigger,ObjectOverwrite)</f>
        <v>GBPFUT1MJ8_Quote#0002</v>
      </c>
      <c r="G55" s="101" t="str">
        <f>_xll.ohRangeRetrieveError(F55)</f>
        <v/>
      </c>
      <c r="H55" s="137"/>
    </row>
    <row r="56" spans="1:8" x14ac:dyDescent="0.2">
      <c r="A56" s="143"/>
      <c r="B56" s="142">
        <v>54</v>
      </c>
      <c r="C56" s="141" t="b">
        <v>0</v>
      </c>
      <c r="D56" s="140" t="str">
        <v>K8</v>
      </c>
      <c r="E56" s="139" t="str">
        <f t="shared" si="1"/>
        <v>GBPFUT1MK8_Quote</v>
      </c>
      <c r="F56" s="138" t="str">
        <f>_xll.qlSimpleQuote(E56,,PriceTickValue,Permanent,Trigger,ObjectOverwrite)</f>
        <v>GBPFUT1MK8_Quote#0002</v>
      </c>
      <c r="G56" s="101" t="str">
        <f>_xll.ohRangeRetrieveError(F56)</f>
        <v/>
      </c>
      <c r="H56" s="137"/>
    </row>
    <row r="57" spans="1:8" x14ac:dyDescent="0.2">
      <c r="A57" s="143"/>
      <c r="B57" s="142">
        <v>55</v>
      </c>
      <c r="C57" s="141" t="b">
        <v>0</v>
      </c>
      <c r="D57" s="140" t="str">
        <v>M8</v>
      </c>
      <c r="E57" s="139" t="str">
        <f t="shared" si="1"/>
        <v>GBPFUT1MM8_Quote</v>
      </c>
      <c r="F57" s="138" t="str">
        <f>_xll.qlSimpleQuote(E57,,PriceTickValue,Permanent,Trigger,ObjectOverwrite)</f>
        <v>GBPFUT1MM8_Quote#0002</v>
      </c>
      <c r="G57" s="101" t="str">
        <f>_xll.ohRangeRetrieveError(F57)</f>
        <v/>
      </c>
      <c r="H57" s="137"/>
    </row>
    <row r="58" spans="1:8" x14ac:dyDescent="0.2">
      <c r="A58" s="143"/>
      <c r="B58" s="142">
        <v>56</v>
      </c>
      <c r="C58" s="141" t="b">
        <v>0</v>
      </c>
      <c r="D58" s="140" t="str">
        <v>N8</v>
      </c>
      <c r="E58" s="139" t="str">
        <f t="shared" si="1"/>
        <v>GBPFUT1MN8_Quote</v>
      </c>
      <c r="F58" s="138" t="str">
        <f>_xll.qlSimpleQuote(E58,,PriceTickValue,Permanent,Trigger,ObjectOverwrite)</f>
        <v>GBPFUT1MN8_Quote#0002</v>
      </c>
      <c r="G58" s="101" t="str">
        <f>_xll.ohRangeRetrieveError(F58)</f>
        <v/>
      </c>
      <c r="H58" s="137"/>
    </row>
    <row r="59" spans="1:8" x14ac:dyDescent="0.2">
      <c r="A59" s="143"/>
      <c r="B59" s="142">
        <v>57</v>
      </c>
      <c r="C59" s="141" t="b">
        <v>0</v>
      </c>
      <c r="D59" s="140" t="str">
        <v>Q8</v>
      </c>
      <c r="E59" s="139" t="str">
        <f t="shared" si="1"/>
        <v>GBPFUT1MQ8_Quote</v>
      </c>
      <c r="F59" s="138" t="str">
        <f>_xll.qlSimpleQuote(E59,,PriceTickValue,Permanent,Trigger,ObjectOverwrite)</f>
        <v>GBPFUT1MQ8_Quote#0002</v>
      </c>
      <c r="G59" s="101" t="str">
        <f>_xll.ohRangeRetrieveError(F59)</f>
        <v/>
      </c>
      <c r="H59" s="137"/>
    </row>
    <row r="60" spans="1:8" x14ac:dyDescent="0.2">
      <c r="A60" s="143"/>
      <c r="B60" s="142">
        <v>58</v>
      </c>
      <c r="C60" s="141" t="b">
        <v>0</v>
      </c>
      <c r="D60" s="140" t="str">
        <v>U8</v>
      </c>
      <c r="E60" s="139" t="str">
        <f t="shared" si="1"/>
        <v>GBPFUT1MU8_Quote</v>
      </c>
      <c r="F60" s="138" t="str">
        <f>_xll.qlSimpleQuote(E60,,PriceTickValue,Permanent,Trigger,ObjectOverwrite)</f>
        <v>GBPFUT1MU8_Quote#0002</v>
      </c>
      <c r="G60" s="101" t="str">
        <f>_xll.ohRangeRetrieveError(F60)</f>
        <v/>
      </c>
      <c r="H60" s="137"/>
    </row>
    <row r="61" spans="1:8" x14ac:dyDescent="0.2">
      <c r="A61" s="143"/>
      <c r="B61" s="142">
        <v>59</v>
      </c>
      <c r="C61" s="141" t="b">
        <v>0</v>
      </c>
      <c r="D61" s="140" t="str">
        <v>V8</v>
      </c>
      <c r="E61" s="139" t="str">
        <f t="shared" si="1"/>
        <v>GBPFUT1MV8_Quote</v>
      </c>
      <c r="F61" s="138" t="str">
        <f>_xll.qlSimpleQuote(E61,,PriceTickValue,Permanent,Trigger,ObjectOverwrite)</f>
        <v>GBPFUT1MV8_Quote#0002</v>
      </c>
      <c r="G61" s="101" t="str">
        <f>_xll.ohRangeRetrieveError(F61)</f>
        <v/>
      </c>
      <c r="H61" s="137"/>
    </row>
    <row r="62" spans="1:8" x14ac:dyDescent="0.2">
      <c r="A62" s="143"/>
      <c r="B62" s="142">
        <v>60</v>
      </c>
      <c r="C62" s="141" t="b">
        <v>0</v>
      </c>
      <c r="D62" s="140" t="str">
        <v>X8</v>
      </c>
      <c r="E62" s="139" t="str">
        <f t="shared" si="1"/>
        <v>GBPFUT1MX8_Quote</v>
      </c>
      <c r="F62" s="138" t="str">
        <f>_xll.qlSimpleQuote(E62,,PriceTickValue,Permanent,Trigger,ObjectOverwrite)</f>
        <v>GBPFUT1MX8_Quote#0002</v>
      </c>
      <c r="G62" s="101" t="str">
        <f>_xll.ohRangeRetrieveError(F62)</f>
        <v/>
      </c>
      <c r="H62" s="137"/>
    </row>
    <row r="63" spans="1:8" x14ac:dyDescent="0.2">
      <c r="A63" s="143"/>
      <c r="B63" s="142">
        <v>61</v>
      </c>
      <c r="C63" s="141" t="b">
        <v>0</v>
      </c>
      <c r="D63" s="140" t="str">
        <v>Z8</v>
      </c>
      <c r="E63" s="139" t="str">
        <f t="shared" si="1"/>
        <v>GBPFUT1MZ8_Quote</v>
      </c>
      <c r="F63" s="138" t="str">
        <f>_xll.qlSimpleQuote(E63,,PriceTickValue,Permanent,Trigger,ObjectOverwrite)</f>
        <v>GBPFUT1MZ8_Quote#0002</v>
      </c>
      <c r="G63" s="101" t="str">
        <f>_xll.ohRangeRetrieveError(F63)</f>
        <v/>
      </c>
      <c r="H63" s="137"/>
    </row>
    <row r="64" spans="1:8" x14ac:dyDescent="0.2">
      <c r="A64" s="143"/>
      <c r="B64" s="142">
        <v>62</v>
      </c>
      <c r="C64" s="141" t="b">
        <v>0</v>
      </c>
      <c r="D64" s="140" t="str">
        <v>F9</v>
      </c>
      <c r="E64" s="139" t="str">
        <f t="shared" si="1"/>
        <v>GBPFUT1MF9_Quote</v>
      </c>
      <c r="F64" s="138" t="str">
        <f>_xll.qlSimpleQuote(E64,,PriceTickValue,Permanent,Trigger,ObjectOverwrite)</f>
        <v>GBPFUT1MF9_Quote#0002</v>
      </c>
      <c r="G64" s="101" t="str">
        <f>_xll.ohRangeRetrieveError(F64)</f>
        <v/>
      </c>
      <c r="H64" s="137"/>
    </row>
    <row r="65" spans="1:8" x14ac:dyDescent="0.2">
      <c r="A65" s="143"/>
      <c r="B65" s="142">
        <v>63</v>
      </c>
      <c r="C65" s="141" t="b">
        <v>0</v>
      </c>
      <c r="D65" s="140" t="str">
        <v>G9</v>
      </c>
      <c r="E65" s="139" t="str">
        <f t="shared" si="1"/>
        <v>GBPFUT1MG9_Quote</v>
      </c>
      <c r="F65" s="138" t="str">
        <f>_xll.qlSimpleQuote(E65,,PriceTickValue,Permanent,Trigger,ObjectOverwrite)</f>
        <v>GBPFUT1MG9_Quote#0002</v>
      </c>
      <c r="G65" s="101" t="str">
        <f>_xll.ohRangeRetrieveError(F65)</f>
        <v/>
      </c>
      <c r="H65" s="137"/>
    </row>
    <row r="66" spans="1:8" x14ac:dyDescent="0.2">
      <c r="A66" s="143"/>
      <c r="B66" s="142">
        <v>64</v>
      </c>
      <c r="C66" s="141" t="b">
        <v>0</v>
      </c>
      <c r="D66" s="140" t="str">
        <v>H9</v>
      </c>
      <c r="E66" s="139" t="str">
        <f t="shared" si="1"/>
        <v>GBPFUT1MH9_Quote</v>
      </c>
      <c r="F66" s="138" t="str">
        <f>_xll.qlSimpleQuote(E66,,PriceTickValue,Permanent,Trigger,ObjectOverwrite)</f>
        <v>GBPFUT1MH9_Quote#0002</v>
      </c>
      <c r="G66" s="101" t="str">
        <f>_xll.ohRangeRetrieveError(F66)</f>
        <v/>
      </c>
      <c r="H66" s="137"/>
    </row>
    <row r="67" spans="1:8" x14ac:dyDescent="0.2">
      <c r="A67" s="143"/>
      <c r="B67" s="142">
        <v>65</v>
      </c>
      <c r="C67" s="141" t="b">
        <v>0</v>
      </c>
      <c r="D67" s="140" t="str">
        <v>J9</v>
      </c>
      <c r="E67" s="139" t="str">
        <f t="shared" ref="E67:E98" si="2">Currency&amp;$D$1&amp;$E$1&amp;$D67&amp;QuoteSuffix</f>
        <v>GBPFUT1MJ9_Quote</v>
      </c>
      <c r="F67" s="138" t="str">
        <f>_xll.qlSimpleQuote(E67,,PriceTickValue,Permanent,Trigger,ObjectOverwrite)</f>
        <v>GBPFUT1MJ9_Quote#0002</v>
      </c>
      <c r="G67" s="101" t="str">
        <f>_xll.ohRangeRetrieveError(F67)</f>
        <v/>
      </c>
      <c r="H67" s="137"/>
    </row>
    <row r="68" spans="1:8" x14ac:dyDescent="0.2">
      <c r="A68" s="143"/>
      <c r="B68" s="142">
        <v>66</v>
      </c>
      <c r="C68" s="141" t="b">
        <v>0</v>
      </c>
      <c r="D68" s="140" t="str">
        <v>K9</v>
      </c>
      <c r="E68" s="139" t="str">
        <f t="shared" si="2"/>
        <v>GBPFUT1MK9_Quote</v>
      </c>
      <c r="F68" s="138" t="str">
        <f>_xll.qlSimpleQuote(E68,,PriceTickValue,Permanent,Trigger,ObjectOverwrite)</f>
        <v>GBPFUT1MK9_Quote#0002</v>
      </c>
      <c r="G68" s="101" t="str">
        <f>_xll.ohRangeRetrieveError(F68)</f>
        <v/>
      </c>
      <c r="H68" s="137"/>
    </row>
    <row r="69" spans="1:8" x14ac:dyDescent="0.2">
      <c r="A69" s="143"/>
      <c r="B69" s="142">
        <v>67</v>
      </c>
      <c r="C69" s="141" t="b">
        <v>0</v>
      </c>
      <c r="D69" s="140" t="str">
        <v>M9</v>
      </c>
      <c r="E69" s="139" t="str">
        <f t="shared" si="2"/>
        <v>GBPFUT1MM9_Quote</v>
      </c>
      <c r="F69" s="138" t="str">
        <f>_xll.qlSimpleQuote(E69,,PriceTickValue,Permanent,Trigger,ObjectOverwrite)</f>
        <v>GBPFUT1MM9_Quote#0002</v>
      </c>
      <c r="G69" s="101" t="str">
        <f>_xll.ohRangeRetrieveError(F69)</f>
        <v/>
      </c>
      <c r="H69" s="137"/>
    </row>
    <row r="70" spans="1:8" x14ac:dyDescent="0.2">
      <c r="A70" s="143"/>
      <c r="B70" s="142">
        <v>68</v>
      </c>
      <c r="C70" s="141" t="b">
        <v>0</v>
      </c>
      <c r="D70" s="140" t="str">
        <v>N9</v>
      </c>
      <c r="E70" s="139" t="str">
        <f t="shared" si="2"/>
        <v>GBPFUT1MN9_Quote</v>
      </c>
      <c r="F70" s="138" t="str">
        <f>_xll.qlSimpleQuote(E70,,PriceTickValue,Permanent,Trigger,ObjectOverwrite)</f>
        <v>GBPFUT1MN9_Quote#0002</v>
      </c>
      <c r="G70" s="101" t="str">
        <f>_xll.ohRangeRetrieveError(F70)</f>
        <v/>
      </c>
      <c r="H70" s="137"/>
    </row>
    <row r="71" spans="1:8" x14ac:dyDescent="0.2">
      <c r="A71" s="143"/>
      <c r="B71" s="142">
        <v>69</v>
      </c>
      <c r="C71" s="141" t="b">
        <v>0</v>
      </c>
      <c r="D71" s="140" t="str">
        <v>Q9</v>
      </c>
      <c r="E71" s="139" t="str">
        <f t="shared" si="2"/>
        <v>GBPFUT1MQ9_Quote</v>
      </c>
      <c r="F71" s="138" t="str">
        <f>_xll.qlSimpleQuote(E71,,PriceTickValue,Permanent,Trigger,ObjectOverwrite)</f>
        <v>GBPFUT1MQ9_Quote#0002</v>
      </c>
      <c r="G71" s="101" t="str">
        <f>_xll.ohRangeRetrieveError(F71)</f>
        <v/>
      </c>
      <c r="H71" s="137"/>
    </row>
    <row r="72" spans="1:8" x14ac:dyDescent="0.2">
      <c r="A72" s="143"/>
      <c r="B72" s="142">
        <v>70</v>
      </c>
      <c r="C72" s="141" t="b">
        <v>0</v>
      </c>
      <c r="D72" s="140" t="str">
        <v>U9</v>
      </c>
      <c r="E72" s="139" t="str">
        <f t="shared" si="2"/>
        <v>GBPFUT1MU9_Quote</v>
      </c>
      <c r="F72" s="138" t="str">
        <f>_xll.qlSimpleQuote(E72,,PriceTickValue,Permanent,Trigger,ObjectOverwrite)</f>
        <v>GBPFUT1MU9_Quote#0002</v>
      </c>
      <c r="G72" s="101" t="str">
        <f>_xll.ohRangeRetrieveError(F72)</f>
        <v/>
      </c>
      <c r="H72" s="137"/>
    </row>
    <row r="73" spans="1:8" x14ac:dyDescent="0.2">
      <c r="A73" s="143"/>
      <c r="B73" s="142">
        <v>71</v>
      </c>
      <c r="C73" s="141" t="b">
        <v>0</v>
      </c>
      <c r="D73" s="140" t="str">
        <v>V9</v>
      </c>
      <c r="E73" s="139" t="str">
        <f t="shared" si="2"/>
        <v>GBPFUT1MV9_Quote</v>
      </c>
      <c r="F73" s="138" t="str">
        <f>_xll.qlSimpleQuote(E73,,PriceTickValue,Permanent,Trigger,ObjectOverwrite)</f>
        <v>GBPFUT1MV9_Quote#0002</v>
      </c>
      <c r="G73" s="101" t="str">
        <f>_xll.ohRangeRetrieveError(F73)</f>
        <v/>
      </c>
      <c r="H73" s="137"/>
    </row>
    <row r="74" spans="1:8" x14ac:dyDescent="0.2">
      <c r="A74" s="143"/>
      <c r="B74" s="142">
        <v>72</v>
      </c>
      <c r="C74" s="141" t="b">
        <v>0</v>
      </c>
      <c r="D74" s="140" t="str">
        <v>X9</v>
      </c>
      <c r="E74" s="139" t="str">
        <f t="shared" si="2"/>
        <v>GBPFUT1MX9_Quote</v>
      </c>
      <c r="F74" s="138" t="str">
        <f>_xll.qlSimpleQuote(E74,,PriceTickValue,Permanent,Trigger,ObjectOverwrite)</f>
        <v>GBPFUT1MX9_Quote#0002</v>
      </c>
      <c r="G74" s="101" t="str">
        <f>_xll.ohRangeRetrieveError(F74)</f>
        <v/>
      </c>
      <c r="H74" s="137"/>
    </row>
    <row r="75" spans="1:8" x14ac:dyDescent="0.2">
      <c r="A75" s="143"/>
      <c r="B75" s="142">
        <v>73</v>
      </c>
      <c r="C75" s="141" t="b">
        <v>0</v>
      </c>
      <c r="D75" s="140" t="str">
        <v>Z9</v>
      </c>
      <c r="E75" s="139" t="str">
        <f t="shared" si="2"/>
        <v>GBPFUT1MZ9_Quote</v>
      </c>
      <c r="F75" s="138" t="str">
        <f>_xll.qlSimpleQuote(E75,,PriceTickValue,Permanent,Trigger,ObjectOverwrite)</f>
        <v>GBPFUT1MZ9_Quote#0002</v>
      </c>
      <c r="G75" s="101" t="str">
        <f>_xll.ohRangeRetrieveError(F75)</f>
        <v/>
      </c>
      <c r="H75" s="137"/>
    </row>
    <row r="76" spans="1:8" x14ac:dyDescent="0.2">
      <c r="A76" s="143"/>
      <c r="B76" s="142">
        <v>74</v>
      </c>
      <c r="C76" s="141" t="b">
        <v>0</v>
      </c>
      <c r="D76" s="140" t="str">
        <v>F0</v>
      </c>
      <c r="E76" s="139" t="str">
        <f t="shared" si="2"/>
        <v>GBPFUT1MF0_Quote</v>
      </c>
      <c r="F76" s="138" t="str">
        <f>_xll.qlSimpleQuote(E76,,PriceTickValue,Permanent,Trigger,ObjectOverwrite)</f>
        <v>GBPFUT1MF0_Quote#0002</v>
      </c>
      <c r="G76" s="101" t="str">
        <f>_xll.ohRangeRetrieveError(F76)</f>
        <v/>
      </c>
      <c r="H76" s="137"/>
    </row>
    <row r="77" spans="1:8" x14ac:dyDescent="0.2">
      <c r="A77" s="143"/>
      <c r="B77" s="142">
        <v>75</v>
      </c>
      <c r="C77" s="141" t="b">
        <v>0</v>
      </c>
      <c r="D77" s="140" t="str">
        <v>G0</v>
      </c>
      <c r="E77" s="139" t="str">
        <f t="shared" si="2"/>
        <v>GBPFUT1MG0_Quote</v>
      </c>
      <c r="F77" s="138" t="str">
        <f>_xll.qlSimpleQuote(E77,,PriceTickValue,Permanent,Trigger,ObjectOverwrite)</f>
        <v>GBPFUT1MG0_Quote#0002</v>
      </c>
      <c r="G77" s="101" t="str">
        <f>_xll.ohRangeRetrieveError(F77)</f>
        <v/>
      </c>
      <c r="H77" s="137"/>
    </row>
    <row r="78" spans="1:8" x14ac:dyDescent="0.2">
      <c r="A78" s="143"/>
      <c r="B78" s="142">
        <v>76</v>
      </c>
      <c r="C78" s="141" t="b">
        <v>0</v>
      </c>
      <c r="D78" s="140" t="str">
        <v>H0</v>
      </c>
      <c r="E78" s="139" t="str">
        <f t="shared" si="2"/>
        <v>GBPFUT1MH0_Quote</v>
      </c>
      <c r="F78" s="138" t="str">
        <f>_xll.qlSimpleQuote(E78,,PriceTickValue,Permanent,Trigger,ObjectOverwrite)</f>
        <v>GBPFUT1MH0_Quote#0002</v>
      </c>
      <c r="G78" s="101" t="str">
        <f>_xll.ohRangeRetrieveError(F78)</f>
        <v/>
      </c>
      <c r="H78" s="137"/>
    </row>
    <row r="79" spans="1:8" x14ac:dyDescent="0.2">
      <c r="A79" s="143"/>
      <c r="B79" s="142">
        <v>77</v>
      </c>
      <c r="C79" s="141" t="b">
        <v>0</v>
      </c>
      <c r="D79" s="140" t="str">
        <v>J0</v>
      </c>
      <c r="E79" s="139" t="str">
        <f t="shared" si="2"/>
        <v>GBPFUT1MJ0_Quote</v>
      </c>
      <c r="F79" s="138" t="str">
        <f>_xll.qlSimpleQuote(E79,,PriceTickValue,Permanent,Trigger,ObjectOverwrite)</f>
        <v>GBPFUT1MJ0_Quote#0002</v>
      </c>
      <c r="G79" s="101" t="str">
        <f>_xll.ohRangeRetrieveError(F79)</f>
        <v/>
      </c>
      <c r="H79" s="137"/>
    </row>
    <row r="80" spans="1:8" x14ac:dyDescent="0.2">
      <c r="A80" s="143"/>
      <c r="B80" s="142">
        <v>78</v>
      </c>
      <c r="C80" s="141" t="b">
        <v>0</v>
      </c>
      <c r="D80" s="140" t="str">
        <v>K0</v>
      </c>
      <c r="E80" s="139" t="str">
        <f t="shared" si="2"/>
        <v>GBPFUT1MK0_Quote</v>
      </c>
      <c r="F80" s="138" t="str">
        <f>_xll.qlSimpleQuote(E80,,PriceTickValue,Permanent,Trigger,ObjectOverwrite)</f>
        <v>GBPFUT1MK0_Quote#0002</v>
      </c>
      <c r="G80" s="101" t="str">
        <f>_xll.ohRangeRetrieveError(F80)</f>
        <v/>
      </c>
      <c r="H80" s="137"/>
    </row>
    <row r="81" spans="1:8" x14ac:dyDescent="0.2">
      <c r="A81" s="143"/>
      <c r="B81" s="142">
        <v>79</v>
      </c>
      <c r="C81" s="141" t="b">
        <v>0</v>
      </c>
      <c r="D81" s="140" t="str">
        <v>M0</v>
      </c>
      <c r="E81" s="139" t="str">
        <f t="shared" si="2"/>
        <v>GBPFUT1MM0_Quote</v>
      </c>
      <c r="F81" s="138" t="str">
        <f>_xll.qlSimpleQuote(E81,,PriceTickValue,Permanent,Trigger,ObjectOverwrite)</f>
        <v>GBPFUT1MM0_Quote#0002</v>
      </c>
      <c r="G81" s="101" t="str">
        <f>_xll.ohRangeRetrieveError(F81)</f>
        <v/>
      </c>
      <c r="H81" s="137"/>
    </row>
    <row r="82" spans="1:8" x14ac:dyDescent="0.2">
      <c r="A82" s="143"/>
      <c r="B82" s="142">
        <v>80</v>
      </c>
      <c r="C82" s="141" t="b">
        <v>0</v>
      </c>
      <c r="D82" s="140" t="str">
        <v>N0</v>
      </c>
      <c r="E82" s="139" t="str">
        <f t="shared" si="2"/>
        <v>GBPFUT1MN0_Quote</v>
      </c>
      <c r="F82" s="138" t="str">
        <f>_xll.qlSimpleQuote(E82,,PriceTickValue,Permanent,Trigger,ObjectOverwrite)</f>
        <v>GBPFUT1MN0_Quote#0002</v>
      </c>
      <c r="G82" s="101" t="str">
        <f>_xll.ohRangeRetrieveError(F82)</f>
        <v/>
      </c>
      <c r="H82" s="137"/>
    </row>
    <row r="83" spans="1:8" x14ac:dyDescent="0.2">
      <c r="A83" s="143"/>
      <c r="B83" s="142">
        <v>81</v>
      </c>
      <c r="C83" s="141" t="b">
        <v>0</v>
      </c>
      <c r="D83" s="140" t="str">
        <v>Q0</v>
      </c>
      <c r="E83" s="139" t="str">
        <f t="shared" si="2"/>
        <v>GBPFUT1MQ0_Quote</v>
      </c>
      <c r="F83" s="138" t="str">
        <f>_xll.qlSimpleQuote(E83,,PriceTickValue,Permanent,Trigger,ObjectOverwrite)</f>
        <v>GBPFUT1MQ0_Quote#0002</v>
      </c>
      <c r="G83" s="101" t="str">
        <f>_xll.ohRangeRetrieveError(F83)</f>
        <v/>
      </c>
      <c r="H83" s="137"/>
    </row>
    <row r="84" spans="1:8" x14ac:dyDescent="0.2">
      <c r="A84" s="143"/>
      <c r="B84" s="142">
        <v>82</v>
      </c>
      <c r="C84" s="141" t="b">
        <v>0</v>
      </c>
      <c r="D84" s="140" t="str">
        <v>U0</v>
      </c>
      <c r="E84" s="139" t="str">
        <f t="shared" si="2"/>
        <v>GBPFUT1MU0_Quote</v>
      </c>
      <c r="F84" s="138" t="str">
        <f>_xll.qlSimpleQuote(E84,,PriceTickValue,Permanent,Trigger,ObjectOverwrite)</f>
        <v>GBPFUT1MU0_Quote#0002</v>
      </c>
      <c r="G84" s="101" t="str">
        <f>_xll.ohRangeRetrieveError(F84)</f>
        <v/>
      </c>
      <c r="H84" s="137"/>
    </row>
    <row r="85" spans="1:8" x14ac:dyDescent="0.2">
      <c r="A85" s="143"/>
      <c r="B85" s="142">
        <v>83</v>
      </c>
      <c r="C85" s="141" t="b">
        <v>0</v>
      </c>
      <c r="D85" s="140" t="str">
        <v>V0</v>
      </c>
      <c r="E85" s="139" t="str">
        <f t="shared" si="2"/>
        <v>GBPFUT1MV0_Quote</v>
      </c>
      <c r="F85" s="138" t="str">
        <f>_xll.qlSimpleQuote(E85,,PriceTickValue,Permanent,Trigger,ObjectOverwrite)</f>
        <v>GBPFUT1MV0_Quote#0002</v>
      </c>
      <c r="G85" s="101" t="str">
        <f>_xll.ohRangeRetrieveError(F85)</f>
        <v/>
      </c>
      <c r="H85" s="137"/>
    </row>
    <row r="86" spans="1:8" x14ac:dyDescent="0.2">
      <c r="A86" s="143"/>
      <c r="B86" s="142">
        <v>84</v>
      </c>
      <c r="C86" s="141" t="b">
        <v>0</v>
      </c>
      <c r="D86" s="140" t="str">
        <v>X0</v>
      </c>
      <c r="E86" s="139" t="str">
        <f t="shared" si="2"/>
        <v>GBPFUT1MX0_Quote</v>
      </c>
      <c r="F86" s="138" t="str">
        <f>_xll.qlSimpleQuote(E86,,PriceTickValue,Permanent,Trigger,ObjectOverwrite)</f>
        <v>GBPFUT1MX0_Quote#0002</v>
      </c>
      <c r="G86" s="101" t="str">
        <f>_xll.ohRangeRetrieveError(F86)</f>
        <v/>
      </c>
      <c r="H86" s="137"/>
    </row>
    <row r="87" spans="1:8" x14ac:dyDescent="0.2">
      <c r="A87" s="143"/>
      <c r="B87" s="142">
        <v>85</v>
      </c>
      <c r="C87" s="141" t="b">
        <v>0</v>
      </c>
      <c r="D87" s="140" t="str">
        <v>Z0</v>
      </c>
      <c r="E87" s="139" t="str">
        <f t="shared" si="2"/>
        <v>GBPFUT1MZ0_Quote</v>
      </c>
      <c r="F87" s="138" t="str">
        <f>_xll.qlSimpleQuote(E87,,PriceTickValue,Permanent,Trigger,ObjectOverwrite)</f>
        <v>GBPFUT1MZ0_Quote#0002</v>
      </c>
      <c r="G87" s="101" t="str">
        <f>_xll.ohRangeRetrieveError(F87)</f>
        <v/>
      </c>
      <c r="H87" s="137"/>
    </row>
    <row r="88" spans="1:8" x14ac:dyDescent="0.2">
      <c r="A88" s="143"/>
      <c r="B88" s="142">
        <v>86</v>
      </c>
      <c r="C88" s="141" t="b">
        <v>0</v>
      </c>
      <c r="D88" s="140" t="str">
        <v>F1</v>
      </c>
      <c r="E88" s="139" t="str">
        <f t="shared" si="2"/>
        <v>GBPFUT1MF1_Quote</v>
      </c>
      <c r="F88" s="138" t="str">
        <f>_xll.qlSimpleQuote(E88,,PriceTickValue,Permanent,Trigger,ObjectOverwrite)</f>
        <v>GBPFUT1MF1_Quote#0002</v>
      </c>
      <c r="G88" s="101" t="str">
        <f>_xll.ohRangeRetrieveError(F88)</f>
        <v/>
      </c>
      <c r="H88" s="137"/>
    </row>
    <row r="89" spans="1:8" x14ac:dyDescent="0.2">
      <c r="A89" s="143"/>
      <c r="B89" s="142">
        <v>87</v>
      </c>
      <c r="C89" s="141" t="b">
        <v>0</v>
      </c>
      <c r="D89" s="140" t="str">
        <v>G1</v>
      </c>
      <c r="E89" s="139" t="str">
        <f t="shared" si="2"/>
        <v>GBPFUT1MG1_Quote</v>
      </c>
      <c r="F89" s="138" t="str">
        <f>_xll.qlSimpleQuote(E89,,PriceTickValue,Permanent,Trigger,ObjectOverwrite)</f>
        <v>GBPFUT1MG1_Quote#0002</v>
      </c>
      <c r="G89" s="101" t="str">
        <f>_xll.ohRangeRetrieveError(F89)</f>
        <v/>
      </c>
      <c r="H89" s="137"/>
    </row>
    <row r="90" spans="1:8" x14ac:dyDescent="0.2">
      <c r="A90" s="143"/>
      <c r="B90" s="142">
        <v>88</v>
      </c>
      <c r="C90" s="141" t="b">
        <v>0</v>
      </c>
      <c r="D90" s="140" t="str">
        <v>H1</v>
      </c>
      <c r="E90" s="139" t="str">
        <f t="shared" si="2"/>
        <v>GBPFUT1MH1_Quote</v>
      </c>
      <c r="F90" s="138" t="str">
        <f>_xll.qlSimpleQuote(E90,,PriceTickValue,Permanent,Trigger,ObjectOverwrite)</f>
        <v>GBPFUT1MH1_Quote#0002</v>
      </c>
      <c r="G90" s="101" t="str">
        <f>_xll.ohRangeRetrieveError(F90)</f>
        <v/>
      </c>
      <c r="H90" s="137"/>
    </row>
    <row r="91" spans="1:8" x14ac:dyDescent="0.2">
      <c r="A91" s="143"/>
      <c r="B91" s="142">
        <v>89</v>
      </c>
      <c r="C91" s="141" t="b">
        <v>0</v>
      </c>
      <c r="D91" s="140" t="str">
        <v>J1</v>
      </c>
      <c r="E91" s="139" t="str">
        <f t="shared" si="2"/>
        <v>GBPFUT1MJ1_Quote</v>
      </c>
      <c r="F91" s="138" t="str">
        <f>_xll.qlSimpleQuote(E91,,PriceTickValue,Permanent,Trigger,ObjectOverwrite)</f>
        <v>GBPFUT1MJ1_Quote#0002</v>
      </c>
      <c r="G91" s="101" t="str">
        <f>_xll.ohRangeRetrieveError(F91)</f>
        <v/>
      </c>
      <c r="H91" s="137"/>
    </row>
    <row r="92" spans="1:8" x14ac:dyDescent="0.2">
      <c r="A92" s="143"/>
      <c r="B92" s="142">
        <v>90</v>
      </c>
      <c r="C92" s="141" t="b">
        <v>0</v>
      </c>
      <c r="D92" s="140" t="str">
        <v>K1</v>
      </c>
      <c r="E92" s="139" t="str">
        <f t="shared" si="2"/>
        <v>GBPFUT1MK1_Quote</v>
      </c>
      <c r="F92" s="138" t="str">
        <f>_xll.qlSimpleQuote(E92,,PriceTickValue,Permanent,Trigger,ObjectOverwrite)</f>
        <v>GBPFUT1MK1_Quote#0002</v>
      </c>
      <c r="G92" s="101" t="str">
        <f>_xll.ohRangeRetrieveError(F92)</f>
        <v/>
      </c>
      <c r="H92" s="137"/>
    </row>
    <row r="93" spans="1:8" x14ac:dyDescent="0.2">
      <c r="A93" s="143"/>
      <c r="B93" s="142">
        <v>91</v>
      </c>
      <c r="C93" s="141" t="b">
        <v>0</v>
      </c>
      <c r="D93" s="140" t="str">
        <v>M1</v>
      </c>
      <c r="E93" s="139" t="str">
        <f t="shared" si="2"/>
        <v>GBPFUT1MM1_Quote</v>
      </c>
      <c r="F93" s="138" t="str">
        <f>_xll.qlSimpleQuote(E93,,PriceTickValue,Permanent,Trigger,ObjectOverwrite)</f>
        <v>GBPFUT1MM1_Quote#0002</v>
      </c>
      <c r="G93" s="101" t="str">
        <f>_xll.ohRangeRetrieveError(F93)</f>
        <v/>
      </c>
      <c r="H93" s="137"/>
    </row>
    <row r="94" spans="1:8" x14ac:dyDescent="0.2">
      <c r="A94" s="143"/>
      <c r="B94" s="142">
        <v>92</v>
      </c>
      <c r="C94" s="141" t="b">
        <v>0</v>
      </c>
      <c r="D94" s="140" t="str">
        <v>N1</v>
      </c>
      <c r="E94" s="139" t="str">
        <f t="shared" si="2"/>
        <v>GBPFUT1MN1_Quote</v>
      </c>
      <c r="F94" s="138" t="str">
        <f>_xll.qlSimpleQuote(E94,,PriceTickValue,Permanent,Trigger,ObjectOverwrite)</f>
        <v>GBPFUT1MN1_Quote#0002</v>
      </c>
      <c r="G94" s="101" t="str">
        <f>_xll.ohRangeRetrieveError(F94)</f>
        <v/>
      </c>
      <c r="H94" s="137"/>
    </row>
    <row r="95" spans="1:8" x14ac:dyDescent="0.2">
      <c r="A95" s="143"/>
      <c r="B95" s="142">
        <v>93</v>
      </c>
      <c r="C95" s="141" t="b">
        <v>0</v>
      </c>
      <c r="D95" s="140" t="str">
        <v>Q1</v>
      </c>
      <c r="E95" s="139" t="str">
        <f t="shared" si="2"/>
        <v>GBPFUT1MQ1_Quote</v>
      </c>
      <c r="F95" s="138" t="str">
        <f>_xll.qlSimpleQuote(E95,,PriceTickValue,Permanent,Trigger,ObjectOverwrite)</f>
        <v>GBPFUT1MQ1_Quote#0002</v>
      </c>
      <c r="G95" s="101" t="str">
        <f>_xll.ohRangeRetrieveError(F95)</f>
        <v/>
      </c>
      <c r="H95" s="137"/>
    </row>
    <row r="96" spans="1:8" x14ac:dyDescent="0.2">
      <c r="A96" s="143"/>
      <c r="B96" s="142">
        <v>94</v>
      </c>
      <c r="C96" s="141" t="b">
        <v>0</v>
      </c>
      <c r="D96" s="140" t="str">
        <v>U1</v>
      </c>
      <c r="E96" s="139" t="str">
        <f t="shared" si="2"/>
        <v>GBPFUT1MU1_Quote</v>
      </c>
      <c r="F96" s="138" t="str">
        <f>_xll.qlSimpleQuote(E96,,PriceTickValue,Permanent,Trigger,ObjectOverwrite)</f>
        <v>GBPFUT1MU1_Quote#0002</v>
      </c>
      <c r="G96" s="101" t="str">
        <f>_xll.ohRangeRetrieveError(F96)</f>
        <v/>
      </c>
      <c r="H96" s="137"/>
    </row>
    <row r="97" spans="1:8" x14ac:dyDescent="0.2">
      <c r="A97" s="143"/>
      <c r="B97" s="142">
        <v>95</v>
      </c>
      <c r="C97" s="141" t="b">
        <v>0</v>
      </c>
      <c r="D97" s="140" t="str">
        <v>V1</v>
      </c>
      <c r="E97" s="139" t="str">
        <f t="shared" si="2"/>
        <v>GBPFUT1MV1_Quote</v>
      </c>
      <c r="F97" s="138" t="str">
        <f>_xll.qlSimpleQuote(E97,,PriceTickValue,Permanent,Trigger,ObjectOverwrite)</f>
        <v>GBPFUT1MV1_Quote#0002</v>
      </c>
      <c r="G97" s="101" t="str">
        <f>_xll.ohRangeRetrieveError(F97)</f>
        <v/>
      </c>
      <c r="H97" s="137"/>
    </row>
    <row r="98" spans="1:8" x14ac:dyDescent="0.2">
      <c r="A98" s="143"/>
      <c r="B98" s="142">
        <v>96</v>
      </c>
      <c r="C98" s="141" t="b">
        <v>0</v>
      </c>
      <c r="D98" s="140" t="str">
        <v>X1</v>
      </c>
      <c r="E98" s="139" t="str">
        <f t="shared" si="2"/>
        <v>GBPFUT1MX1_Quote</v>
      </c>
      <c r="F98" s="138" t="str">
        <f>_xll.qlSimpleQuote(E98,,PriceTickValue,Permanent,Trigger,ObjectOverwrite)</f>
        <v>GBPFUT1MX1_Quote#0002</v>
      </c>
      <c r="G98" s="101" t="str">
        <f>_xll.ohRangeRetrieveError(F98)</f>
        <v/>
      </c>
      <c r="H98" s="137"/>
    </row>
    <row r="99" spans="1:8" x14ac:dyDescent="0.2">
      <c r="A99" s="143"/>
      <c r="B99" s="142">
        <v>97</v>
      </c>
      <c r="C99" s="141" t="b">
        <v>0</v>
      </c>
      <c r="D99" s="140" t="str">
        <v>Z1</v>
      </c>
      <c r="E99" s="139" t="str">
        <f t="shared" ref="E99:E122" si="3">Currency&amp;$D$1&amp;$E$1&amp;$D99&amp;QuoteSuffix</f>
        <v>GBPFUT1MZ1_Quote</v>
      </c>
      <c r="F99" s="138" t="str">
        <f>_xll.qlSimpleQuote(E99,,PriceTickValue,Permanent,Trigger,ObjectOverwrite)</f>
        <v>GBPFUT1MZ1_Quote#0002</v>
      </c>
      <c r="G99" s="101" t="str">
        <f>_xll.ohRangeRetrieveError(F99)</f>
        <v/>
      </c>
      <c r="H99" s="137"/>
    </row>
    <row r="100" spans="1:8" x14ac:dyDescent="0.2">
      <c r="A100" s="143"/>
      <c r="B100" s="142">
        <v>98</v>
      </c>
      <c r="C100" s="141" t="b">
        <v>0</v>
      </c>
      <c r="D100" s="140" t="str">
        <v>F2</v>
      </c>
      <c r="E100" s="139" t="str">
        <f t="shared" si="3"/>
        <v>GBPFUT1MF2_Quote</v>
      </c>
      <c r="F100" s="138" t="str">
        <f>_xll.qlSimpleQuote(E100,,PriceTickValue,Permanent,Trigger,ObjectOverwrite)</f>
        <v>GBPFUT1MF2_Quote#0002</v>
      </c>
      <c r="G100" s="101" t="str">
        <f>_xll.ohRangeRetrieveError(F100)</f>
        <v/>
      </c>
      <c r="H100" s="137"/>
    </row>
    <row r="101" spans="1:8" x14ac:dyDescent="0.2">
      <c r="A101" s="143"/>
      <c r="B101" s="142">
        <v>99</v>
      </c>
      <c r="C101" s="141" t="b">
        <v>0</v>
      </c>
      <c r="D101" s="140" t="str">
        <v>G2</v>
      </c>
      <c r="E101" s="139" t="str">
        <f t="shared" si="3"/>
        <v>GBPFUT1MG2_Quote</v>
      </c>
      <c r="F101" s="138" t="str">
        <f>_xll.qlSimpleQuote(E101,,PriceTickValue,Permanent,Trigger,ObjectOverwrite)</f>
        <v>GBPFUT1MG2_Quote#0002</v>
      </c>
      <c r="G101" s="101" t="str">
        <f>_xll.ohRangeRetrieveError(F101)</f>
        <v/>
      </c>
      <c r="H101" s="137"/>
    </row>
    <row r="102" spans="1:8" x14ac:dyDescent="0.2">
      <c r="A102" s="143"/>
      <c r="B102" s="142">
        <v>100</v>
      </c>
      <c r="C102" s="141" t="b">
        <v>0</v>
      </c>
      <c r="D102" s="140" t="str">
        <v>H2</v>
      </c>
      <c r="E102" s="139" t="str">
        <f t="shared" si="3"/>
        <v>GBPFUT1MH2_Quote</v>
      </c>
      <c r="F102" s="138" t="str">
        <f>_xll.qlSimpleQuote(E102,,PriceTickValue,Permanent,Trigger,ObjectOverwrite)</f>
        <v>GBPFUT1MH2_Quote#0002</v>
      </c>
      <c r="G102" s="101" t="str">
        <f>_xll.ohRangeRetrieveError(F102)</f>
        <v/>
      </c>
      <c r="H102" s="137"/>
    </row>
    <row r="103" spans="1:8" x14ac:dyDescent="0.2">
      <c r="A103" s="143"/>
      <c r="B103" s="142">
        <v>101</v>
      </c>
      <c r="C103" s="141" t="b">
        <v>0</v>
      </c>
      <c r="D103" s="140" t="str">
        <v>J2</v>
      </c>
      <c r="E103" s="139" t="str">
        <f t="shared" si="3"/>
        <v>GBPFUT1MJ2_Quote</v>
      </c>
      <c r="F103" s="138" t="str">
        <f>_xll.qlSimpleQuote(E103,,PriceTickValue,Permanent,Trigger,ObjectOverwrite)</f>
        <v>GBPFUT1MJ2_Quote#0002</v>
      </c>
      <c r="G103" s="101" t="str">
        <f>_xll.ohRangeRetrieveError(F103)</f>
        <v/>
      </c>
      <c r="H103" s="137"/>
    </row>
    <row r="104" spans="1:8" x14ac:dyDescent="0.2">
      <c r="A104" s="143"/>
      <c r="B104" s="142">
        <v>102</v>
      </c>
      <c r="C104" s="141" t="b">
        <v>0</v>
      </c>
      <c r="D104" s="140" t="str">
        <v>K2</v>
      </c>
      <c r="E104" s="139" t="str">
        <f t="shared" si="3"/>
        <v>GBPFUT1MK2_Quote</v>
      </c>
      <c r="F104" s="138" t="str">
        <f>_xll.qlSimpleQuote(E104,,PriceTickValue,Permanent,Trigger,ObjectOverwrite)</f>
        <v>GBPFUT1MK2_Quote#0002</v>
      </c>
      <c r="G104" s="101" t="str">
        <f>_xll.ohRangeRetrieveError(F104)</f>
        <v/>
      </c>
      <c r="H104" s="137"/>
    </row>
    <row r="105" spans="1:8" x14ac:dyDescent="0.2">
      <c r="A105" s="143"/>
      <c r="B105" s="142">
        <v>103</v>
      </c>
      <c r="C105" s="141" t="b">
        <v>0</v>
      </c>
      <c r="D105" s="140" t="str">
        <v>M2</v>
      </c>
      <c r="E105" s="139" t="str">
        <f t="shared" si="3"/>
        <v>GBPFUT1MM2_Quote</v>
      </c>
      <c r="F105" s="138" t="str">
        <f>_xll.qlSimpleQuote(E105,,PriceTickValue,Permanent,Trigger,ObjectOverwrite)</f>
        <v>GBPFUT1MM2_Quote#0002</v>
      </c>
      <c r="G105" s="101" t="str">
        <f>_xll.ohRangeRetrieveError(F105)</f>
        <v/>
      </c>
      <c r="H105" s="137"/>
    </row>
    <row r="106" spans="1:8" x14ac:dyDescent="0.2">
      <c r="A106" s="143"/>
      <c r="B106" s="142">
        <v>104</v>
      </c>
      <c r="C106" s="141" t="b">
        <v>0</v>
      </c>
      <c r="D106" s="140" t="str">
        <v>N2</v>
      </c>
      <c r="E106" s="139" t="str">
        <f t="shared" si="3"/>
        <v>GBPFUT1MN2_Quote</v>
      </c>
      <c r="F106" s="138" t="str">
        <f>_xll.qlSimpleQuote(E106,,PriceTickValue,Permanent,Trigger,ObjectOverwrite)</f>
        <v>GBPFUT1MN2_Quote#0002</v>
      </c>
      <c r="G106" s="101" t="str">
        <f>_xll.ohRangeRetrieveError(F106)</f>
        <v/>
      </c>
      <c r="H106" s="137"/>
    </row>
    <row r="107" spans="1:8" x14ac:dyDescent="0.2">
      <c r="A107" s="143"/>
      <c r="B107" s="142">
        <v>105</v>
      </c>
      <c r="C107" s="141" t="b">
        <v>0</v>
      </c>
      <c r="D107" s="140" t="str">
        <v>Q2</v>
      </c>
      <c r="E107" s="139" t="str">
        <f t="shared" si="3"/>
        <v>GBPFUT1MQ2_Quote</v>
      </c>
      <c r="F107" s="138" t="str">
        <f>_xll.qlSimpleQuote(E107,,PriceTickValue,Permanent,Trigger,ObjectOverwrite)</f>
        <v>GBPFUT1MQ2_Quote#0002</v>
      </c>
      <c r="G107" s="101" t="str">
        <f>_xll.ohRangeRetrieveError(F107)</f>
        <v/>
      </c>
      <c r="H107" s="137"/>
    </row>
    <row r="108" spans="1:8" x14ac:dyDescent="0.2">
      <c r="A108" s="143"/>
      <c r="B108" s="142">
        <v>106</v>
      </c>
      <c r="C108" s="141" t="b">
        <v>0</v>
      </c>
      <c r="D108" s="140" t="str">
        <v>U2</v>
      </c>
      <c r="E108" s="139" t="str">
        <f t="shared" si="3"/>
        <v>GBPFUT1MU2_Quote</v>
      </c>
      <c r="F108" s="138" t="str">
        <f>_xll.qlSimpleQuote(E108,,PriceTickValue,Permanent,Trigger,ObjectOverwrite)</f>
        <v>GBPFUT1MU2_Quote#0002</v>
      </c>
      <c r="G108" s="101" t="str">
        <f>_xll.ohRangeRetrieveError(F108)</f>
        <v/>
      </c>
      <c r="H108" s="137"/>
    </row>
    <row r="109" spans="1:8" x14ac:dyDescent="0.2">
      <c r="A109" s="143"/>
      <c r="B109" s="142">
        <v>107</v>
      </c>
      <c r="C109" s="141" t="b">
        <v>0</v>
      </c>
      <c r="D109" s="140" t="str">
        <v>V2</v>
      </c>
      <c r="E109" s="139" t="str">
        <f t="shared" si="3"/>
        <v>GBPFUT1MV2_Quote</v>
      </c>
      <c r="F109" s="138" t="str">
        <f>_xll.qlSimpleQuote(E109,,PriceTickValue,Permanent,Trigger,ObjectOverwrite)</f>
        <v>GBPFUT1MV2_Quote#0002</v>
      </c>
      <c r="G109" s="101" t="str">
        <f>_xll.ohRangeRetrieveError(F109)</f>
        <v/>
      </c>
      <c r="H109" s="137"/>
    </row>
    <row r="110" spans="1:8" x14ac:dyDescent="0.2">
      <c r="A110" s="143"/>
      <c r="B110" s="142">
        <v>108</v>
      </c>
      <c r="C110" s="141" t="b">
        <v>0</v>
      </c>
      <c r="D110" s="140" t="str">
        <v>X2</v>
      </c>
      <c r="E110" s="139" t="str">
        <f t="shared" si="3"/>
        <v>GBPFUT1MX2_Quote</v>
      </c>
      <c r="F110" s="138" t="str">
        <f>_xll.qlSimpleQuote(E110,,PriceTickValue,Permanent,Trigger,ObjectOverwrite)</f>
        <v>GBPFUT1MX2_Quote#0002</v>
      </c>
      <c r="G110" s="101" t="str">
        <f>_xll.ohRangeRetrieveError(F110)</f>
        <v/>
      </c>
      <c r="H110" s="137"/>
    </row>
    <row r="111" spans="1:8" x14ac:dyDescent="0.2">
      <c r="A111" s="143"/>
      <c r="B111" s="142">
        <v>109</v>
      </c>
      <c r="C111" s="141" t="b">
        <v>0</v>
      </c>
      <c r="D111" s="140" t="str">
        <v>Z2</v>
      </c>
      <c r="E111" s="139" t="str">
        <f t="shared" si="3"/>
        <v>GBPFUT1MZ2_Quote</v>
      </c>
      <c r="F111" s="138" t="str">
        <f>_xll.qlSimpleQuote(E111,,PriceTickValue,Permanent,Trigger,ObjectOverwrite)</f>
        <v>GBPFUT1MZ2_Quote#0002</v>
      </c>
      <c r="G111" s="101" t="str">
        <f>_xll.ohRangeRetrieveError(F111)</f>
        <v/>
      </c>
      <c r="H111" s="137"/>
    </row>
    <row r="112" spans="1:8" x14ac:dyDescent="0.2">
      <c r="A112" s="143"/>
      <c r="B112" s="142">
        <v>110</v>
      </c>
      <c r="C112" s="141" t="b">
        <v>0</v>
      </c>
      <c r="D112" s="140" t="str">
        <v>F3</v>
      </c>
      <c r="E112" s="139" t="str">
        <f t="shared" si="3"/>
        <v>GBPFUT1MF3_Quote</v>
      </c>
      <c r="F112" s="138" t="str">
        <f>_xll.qlSimpleQuote(E112,,PriceTickValue,Permanent,Trigger,ObjectOverwrite)</f>
        <v>GBPFUT1MF3_Quote#0002</v>
      </c>
      <c r="G112" s="101" t="str">
        <f>_xll.ohRangeRetrieveError(F112)</f>
        <v/>
      </c>
      <c r="H112" s="137"/>
    </row>
    <row r="113" spans="1:8" x14ac:dyDescent="0.2">
      <c r="A113" s="143"/>
      <c r="B113" s="142">
        <v>111</v>
      </c>
      <c r="C113" s="141" t="b">
        <v>0</v>
      </c>
      <c r="D113" s="140" t="str">
        <v>G3</v>
      </c>
      <c r="E113" s="139" t="str">
        <f t="shared" si="3"/>
        <v>GBPFUT1MG3_Quote</v>
      </c>
      <c r="F113" s="138" t="str">
        <f>_xll.qlSimpleQuote(E113,,PriceTickValue,Permanent,Trigger,ObjectOverwrite)</f>
        <v>GBPFUT1MG3_Quote#0002</v>
      </c>
      <c r="G113" s="101" t="str">
        <f>_xll.ohRangeRetrieveError(F113)</f>
        <v/>
      </c>
      <c r="H113" s="137"/>
    </row>
    <row r="114" spans="1:8" x14ac:dyDescent="0.2">
      <c r="A114" s="143"/>
      <c r="B114" s="142">
        <v>112</v>
      </c>
      <c r="C114" s="141" t="b">
        <v>0</v>
      </c>
      <c r="D114" s="140" t="str">
        <v>H3</v>
      </c>
      <c r="E114" s="139" t="str">
        <f t="shared" si="3"/>
        <v>GBPFUT1MH3_Quote</v>
      </c>
      <c r="F114" s="138" t="str">
        <f>_xll.qlSimpleQuote(E114,,PriceTickValue,Permanent,Trigger,ObjectOverwrite)</f>
        <v>GBPFUT1MH3_Quote#0002</v>
      </c>
      <c r="G114" s="101" t="str">
        <f>_xll.ohRangeRetrieveError(F114)</f>
        <v/>
      </c>
      <c r="H114" s="137"/>
    </row>
    <row r="115" spans="1:8" x14ac:dyDescent="0.2">
      <c r="A115" s="143"/>
      <c r="B115" s="142">
        <v>113</v>
      </c>
      <c r="C115" s="141" t="b">
        <v>0</v>
      </c>
      <c r="D115" s="140" t="str">
        <v>J3</v>
      </c>
      <c r="E115" s="139" t="str">
        <f t="shared" si="3"/>
        <v>GBPFUT1MJ3_Quote</v>
      </c>
      <c r="F115" s="138" t="str">
        <f>_xll.qlSimpleQuote(E115,,PriceTickValue,Permanent,Trigger,ObjectOverwrite)</f>
        <v>GBPFUT1MJ3_Quote#0002</v>
      </c>
      <c r="G115" s="101" t="str">
        <f>_xll.ohRangeRetrieveError(F115)</f>
        <v/>
      </c>
      <c r="H115" s="137"/>
    </row>
    <row r="116" spans="1:8" x14ac:dyDescent="0.2">
      <c r="A116" s="143"/>
      <c r="B116" s="142">
        <v>114</v>
      </c>
      <c r="C116" s="141" t="b">
        <v>0</v>
      </c>
      <c r="D116" s="140" t="str">
        <v>K3</v>
      </c>
      <c r="E116" s="139" t="str">
        <f t="shared" si="3"/>
        <v>GBPFUT1MK3_Quote</v>
      </c>
      <c r="F116" s="138" t="str">
        <f>_xll.qlSimpleQuote(E116,,PriceTickValue,Permanent,Trigger,ObjectOverwrite)</f>
        <v>GBPFUT1MK3_Quote#0002</v>
      </c>
      <c r="G116" s="101" t="str">
        <f>_xll.ohRangeRetrieveError(F116)</f>
        <v/>
      </c>
      <c r="H116" s="137"/>
    </row>
    <row r="117" spans="1:8" x14ac:dyDescent="0.2">
      <c r="A117" s="143"/>
      <c r="B117" s="142">
        <v>115</v>
      </c>
      <c r="C117" s="141" t="b">
        <v>0</v>
      </c>
      <c r="D117" s="140" t="str">
        <v>M3</v>
      </c>
      <c r="E117" s="139" t="str">
        <f t="shared" si="3"/>
        <v>GBPFUT1MM3_Quote</v>
      </c>
      <c r="F117" s="138" t="str">
        <f>_xll.qlSimpleQuote(E117,,PriceTickValue,Permanent,Trigger,ObjectOverwrite)</f>
        <v>GBPFUT1MM3_Quote#0002</v>
      </c>
      <c r="G117" s="101" t="str">
        <f>_xll.ohRangeRetrieveError(F117)</f>
        <v/>
      </c>
      <c r="H117" s="137"/>
    </row>
    <row r="118" spans="1:8" x14ac:dyDescent="0.2">
      <c r="A118" s="143"/>
      <c r="B118" s="142">
        <v>116</v>
      </c>
      <c r="C118" s="141" t="b">
        <v>0</v>
      </c>
      <c r="D118" s="140" t="str">
        <v>N3</v>
      </c>
      <c r="E118" s="139" t="str">
        <f t="shared" si="3"/>
        <v>GBPFUT1MN3_Quote</v>
      </c>
      <c r="F118" s="138" t="str">
        <f>_xll.qlSimpleQuote(E118,,PriceTickValue,Permanent,Trigger,ObjectOverwrite)</f>
        <v>GBPFUT1MN3_Quote#0002</v>
      </c>
      <c r="G118" s="101" t="str">
        <f>_xll.ohRangeRetrieveError(F118)</f>
        <v/>
      </c>
      <c r="H118" s="137"/>
    </row>
    <row r="119" spans="1:8" x14ac:dyDescent="0.2">
      <c r="A119" s="143"/>
      <c r="B119" s="142">
        <v>117</v>
      </c>
      <c r="C119" s="141" t="b">
        <v>0</v>
      </c>
      <c r="D119" s="140" t="str">
        <v>Q3</v>
      </c>
      <c r="E119" s="139" t="str">
        <f t="shared" si="3"/>
        <v>GBPFUT1MQ3_Quote</v>
      </c>
      <c r="F119" s="138" t="str">
        <f>_xll.qlSimpleQuote(E119,,PriceTickValue,Permanent,Trigger,ObjectOverwrite)</f>
        <v>GBPFUT1MQ3_Quote#0002</v>
      </c>
      <c r="G119" s="101" t="str">
        <f>_xll.ohRangeRetrieveError(F119)</f>
        <v/>
      </c>
      <c r="H119" s="137"/>
    </row>
    <row r="120" spans="1:8" x14ac:dyDescent="0.2">
      <c r="A120" s="143"/>
      <c r="B120" s="142">
        <v>118</v>
      </c>
      <c r="C120" s="141" t="b">
        <v>0</v>
      </c>
      <c r="D120" s="140" t="str">
        <v>U3</v>
      </c>
      <c r="E120" s="139" t="str">
        <f t="shared" si="3"/>
        <v>GBPFUT1MU3_Quote</v>
      </c>
      <c r="F120" s="138" t="str">
        <f>_xll.qlSimpleQuote(E120,,PriceTickValue,Permanent,Trigger,ObjectOverwrite)</f>
        <v>GBPFUT1MU3_Quote#0002</v>
      </c>
      <c r="G120" s="101" t="str">
        <f>_xll.ohRangeRetrieveError(F120)</f>
        <v/>
      </c>
      <c r="H120" s="137"/>
    </row>
    <row r="121" spans="1:8" x14ac:dyDescent="0.2">
      <c r="A121" s="143"/>
      <c r="B121" s="142">
        <v>119</v>
      </c>
      <c r="C121" s="141" t="b">
        <v>0</v>
      </c>
      <c r="D121" s="140" t="str">
        <v>V3</v>
      </c>
      <c r="E121" s="139" t="str">
        <f t="shared" si="3"/>
        <v>GBPFUT1MV3_Quote</v>
      </c>
      <c r="F121" s="138" t="str">
        <f>_xll.qlSimpleQuote(E121,,PriceTickValue,Permanent,Trigger,ObjectOverwrite)</f>
        <v>GBPFUT1MV3_Quote#0002</v>
      </c>
      <c r="G121" s="101" t="str">
        <f>_xll.ohRangeRetrieveError(F121)</f>
        <v/>
      </c>
      <c r="H121" s="137"/>
    </row>
    <row r="122" spans="1:8" x14ac:dyDescent="0.2">
      <c r="A122" s="143"/>
      <c r="B122" s="142">
        <v>120</v>
      </c>
      <c r="C122" s="141" t="b">
        <v>0</v>
      </c>
      <c r="D122" s="140" t="str">
        <v>X3</v>
      </c>
      <c r="E122" s="139" t="str">
        <f t="shared" si="3"/>
        <v>GBPFUT1MX3_Quote</v>
      </c>
      <c r="F122" s="138" t="str">
        <f>_xll.qlSimpleQuote(E122,,PriceTickValue,Permanent,Trigger,ObjectOverwrite)</f>
        <v>GBPFUT1MX3_Quote#0002</v>
      </c>
      <c r="G122" s="101" t="str">
        <f>_xll.ohRangeRetrieveError(F122)</f>
        <v/>
      </c>
      <c r="H122" s="137"/>
    </row>
    <row r="123" spans="1:8" ht="12" thickBot="1" x14ac:dyDescent="0.25">
      <c r="A123" s="136"/>
      <c r="B123" s="135"/>
      <c r="C123" s="135"/>
      <c r="D123" s="135"/>
      <c r="E123" s="135"/>
      <c r="F123" s="135"/>
      <c r="G123" s="135"/>
      <c r="H123" s="134"/>
    </row>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8" width="4.5703125" style="65" customWidth="1"/>
    <col min="9" max="16384" width="9.140625" style="65"/>
  </cols>
  <sheetData>
    <row r="1" spans="1:8" x14ac:dyDescent="0.2">
      <c r="A1" s="109" t="s">
        <v>349</v>
      </c>
      <c r="B1" s="153"/>
      <c r="C1" s="153"/>
      <c r="D1" s="152" t="s">
        <v>176</v>
      </c>
      <c r="E1" s="152" t="s">
        <v>12</v>
      </c>
      <c r="F1" s="151"/>
      <c r="G1" s="151"/>
      <c r="H1" s="150"/>
    </row>
    <row r="2" spans="1:8" ht="22.5" x14ac:dyDescent="0.2">
      <c r="A2" s="149"/>
      <c r="B2" s="90" t="s">
        <v>175</v>
      </c>
      <c r="C2" s="91" t="s">
        <v>174</v>
      </c>
      <c r="D2" s="91" t="s">
        <v>173</v>
      </c>
      <c r="E2" s="89" t="str">
        <f>Currency&amp;"_010_"&amp;$D$1&amp;$E$1&amp;".xml"</f>
        <v>GBP_010_FUT3M.xml</v>
      </c>
      <c r="F2" s="88">
        <f ca="1">IF(Serialize,_xll.ohObjectSave(F3:F122,SerializationPath&amp;E2,FileOverwrite,Serialize),"---")</f>
        <v>120</v>
      </c>
      <c r="G2" s="104" t="str">
        <f ca="1">_xll.ohRangeRetrieveError(F2)</f>
        <v/>
      </c>
      <c r="H2" s="137"/>
    </row>
    <row r="3" spans="1:8" x14ac:dyDescent="0.2">
      <c r="A3" s="143"/>
      <c r="B3" s="148">
        <v>1</v>
      </c>
      <c r="C3" s="147" t="b">
        <v>0</v>
      </c>
      <c r="D3" s="146" t="str">
        <f t="array" ref="D3:D122">_xll.qlIMMNextCodes(_xll.qlSettingsEvaluationDate(Trigger)-1,$C3:$C122)</f>
        <v>Z3</v>
      </c>
      <c r="E3" s="139" t="str">
        <f t="shared" ref="E3:E34" si="0">Currency&amp;$D$1&amp;$E$1&amp;$D3&amp;QuoteSuffix</f>
        <v>GBPFUT3MZ3_Quote</v>
      </c>
      <c r="F3" s="145" t="str">
        <f>_xll.qlSimpleQuote(E3,,PriceTickValue,Permanent,Trigger,ObjectOverwrite)</f>
        <v>GBPFUT3MZ3_Quote#0002</v>
      </c>
      <c r="G3" s="144" t="str">
        <f>_xll.ohRangeRetrieveError(F3)</f>
        <v/>
      </c>
      <c r="H3" s="137"/>
    </row>
    <row r="4" spans="1:8" x14ac:dyDescent="0.2">
      <c r="A4" s="143"/>
      <c r="B4" s="142">
        <v>2</v>
      </c>
      <c r="C4" s="141" t="b">
        <v>0</v>
      </c>
      <c r="D4" s="140" t="str">
        <v>F4</v>
      </c>
      <c r="E4" s="139" t="str">
        <f t="shared" si="0"/>
        <v>GBPFUT3MF4_Quote</v>
      </c>
      <c r="F4" s="138" t="str">
        <f>_xll.qlSimpleQuote(E4,,PriceTickValue,Permanent,Trigger,ObjectOverwrite)</f>
        <v>GBPFUT3MF4_Quote#0002</v>
      </c>
      <c r="G4" s="101" t="str">
        <f>_xll.ohRangeRetrieveError(F4)</f>
        <v/>
      </c>
      <c r="H4" s="137"/>
    </row>
    <row r="5" spans="1:8" x14ac:dyDescent="0.2">
      <c r="A5" s="143"/>
      <c r="B5" s="142">
        <v>3</v>
      </c>
      <c r="C5" s="141" t="b">
        <v>0</v>
      </c>
      <c r="D5" s="140" t="str">
        <v>G4</v>
      </c>
      <c r="E5" s="139" t="str">
        <f t="shared" si="0"/>
        <v>GBPFUT3MG4_Quote</v>
      </c>
      <c r="F5" s="138" t="str">
        <f>_xll.qlSimpleQuote(E5,,PriceTickValue,Permanent,Trigger,ObjectOverwrite)</f>
        <v>GBPFUT3MG4_Quote#0002</v>
      </c>
      <c r="G5" s="101" t="str">
        <f>_xll.ohRangeRetrieveError(F5)</f>
        <v/>
      </c>
      <c r="H5" s="137"/>
    </row>
    <row r="6" spans="1:8" x14ac:dyDescent="0.2">
      <c r="A6" s="143"/>
      <c r="B6" s="142">
        <v>4</v>
      </c>
      <c r="C6" s="141" t="b">
        <v>0</v>
      </c>
      <c r="D6" s="140" t="str">
        <v>H4</v>
      </c>
      <c r="E6" s="139" t="str">
        <f t="shared" si="0"/>
        <v>GBPFUT3MH4_Quote</v>
      </c>
      <c r="F6" s="138" t="str">
        <f>_xll.qlSimpleQuote(E6,,PriceTickValue,Permanent,Trigger,ObjectOverwrite)</f>
        <v>GBPFUT3MH4_Quote#0002</v>
      </c>
      <c r="G6" s="101" t="str">
        <f>_xll.ohRangeRetrieveError(F6)</f>
        <v/>
      </c>
      <c r="H6" s="137"/>
    </row>
    <row r="7" spans="1:8" x14ac:dyDescent="0.2">
      <c r="A7" s="143"/>
      <c r="B7" s="142">
        <v>5</v>
      </c>
      <c r="C7" s="141" t="b">
        <v>0</v>
      </c>
      <c r="D7" s="140" t="str">
        <v>J4</v>
      </c>
      <c r="E7" s="139" t="str">
        <f t="shared" si="0"/>
        <v>GBPFUT3MJ4_Quote</v>
      </c>
      <c r="F7" s="138" t="str">
        <f>_xll.qlSimpleQuote(E7,,PriceTickValue,Permanent,Trigger,ObjectOverwrite)</f>
        <v>GBPFUT3MJ4_Quote#0002</v>
      </c>
      <c r="G7" s="101" t="str">
        <f>_xll.ohRangeRetrieveError(F7)</f>
        <v/>
      </c>
      <c r="H7" s="137"/>
    </row>
    <row r="8" spans="1:8" x14ac:dyDescent="0.2">
      <c r="A8" s="143"/>
      <c r="B8" s="142">
        <v>6</v>
      </c>
      <c r="C8" s="141" t="b">
        <v>0</v>
      </c>
      <c r="D8" s="140" t="str">
        <v>K4</v>
      </c>
      <c r="E8" s="139" t="str">
        <f t="shared" si="0"/>
        <v>GBPFUT3MK4_Quote</v>
      </c>
      <c r="F8" s="138" t="str">
        <f>_xll.qlSimpleQuote(E8,,PriceTickValue,Permanent,Trigger,ObjectOverwrite)</f>
        <v>GBPFUT3MK4_Quote#0002</v>
      </c>
      <c r="G8" s="101" t="str">
        <f>_xll.ohRangeRetrieveError(F8)</f>
        <v/>
      </c>
      <c r="H8" s="137"/>
    </row>
    <row r="9" spans="1:8" x14ac:dyDescent="0.2">
      <c r="A9" s="143"/>
      <c r="B9" s="142">
        <v>7</v>
      </c>
      <c r="C9" s="141" t="b">
        <v>0</v>
      </c>
      <c r="D9" s="140" t="str">
        <v>M4</v>
      </c>
      <c r="E9" s="139" t="str">
        <f t="shared" si="0"/>
        <v>GBPFUT3MM4_Quote</v>
      </c>
      <c r="F9" s="138" t="str">
        <f>_xll.qlSimpleQuote(E9,,PriceTickValue,Permanent,Trigger,ObjectOverwrite)</f>
        <v>GBPFUT3MM4_Quote#0002</v>
      </c>
      <c r="G9" s="101" t="str">
        <f>_xll.ohRangeRetrieveError(F9)</f>
        <v/>
      </c>
      <c r="H9" s="137"/>
    </row>
    <row r="10" spans="1:8" x14ac:dyDescent="0.2">
      <c r="A10" s="143"/>
      <c r="B10" s="142">
        <v>8</v>
      </c>
      <c r="C10" s="141" t="b">
        <v>0</v>
      </c>
      <c r="D10" s="140" t="str">
        <v>N4</v>
      </c>
      <c r="E10" s="139" t="str">
        <f t="shared" si="0"/>
        <v>GBPFUT3MN4_Quote</v>
      </c>
      <c r="F10" s="138" t="str">
        <f>_xll.qlSimpleQuote(E10,,PriceTickValue,Permanent,Trigger,ObjectOverwrite)</f>
        <v>GBPFUT3MN4_Quote#0002</v>
      </c>
      <c r="G10" s="101" t="str">
        <f>_xll.ohRangeRetrieveError(F10)</f>
        <v/>
      </c>
      <c r="H10" s="137"/>
    </row>
    <row r="11" spans="1:8" x14ac:dyDescent="0.2">
      <c r="A11" s="143"/>
      <c r="B11" s="142">
        <v>9</v>
      </c>
      <c r="C11" s="141" t="b">
        <v>0</v>
      </c>
      <c r="D11" s="140" t="str">
        <v>Q4</v>
      </c>
      <c r="E11" s="139" t="str">
        <f t="shared" si="0"/>
        <v>GBPFUT3MQ4_Quote</v>
      </c>
      <c r="F11" s="138" t="str">
        <f>_xll.qlSimpleQuote(E11,,PriceTickValue,Permanent,Trigger,ObjectOverwrite)</f>
        <v>GBPFUT3MQ4_Quote#0002</v>
      </c>
      <c r="G11" s="101" t="str">
        <f>_xll.ohRangeRetrieveError(F11)</f>
        <v/>
      </c>
      <c r="H11" s="137"/>
    </row>
    <row r="12" spans="1:8" x14ac:dyDescent="0.2">
      <c r="A12" s="143"/>
      <c r="B12" s="142">
        <v>10</v>
      </c>
      <c r="C12" s="141" t="b">
        <v>0</v>
      </c>
      <c r="D12" s="140" t="str">
        <v>U4</v>
      </c>
      <c r="E12" s="139" t="str">
        <f t="shared" si="0"/>
        <v>GBPFUT3MU4_Quote</v>
      </c>
      <c r="F12" s="138" t="str">
        <f>_xll.qlSimpleQuote(E12,,PriceTickValue,Permanent,Trigger,ObjectOverwrite)</f>
        <v>GBPFUT3MU4_Quote#0002</v>
      </c>
      <c r="G12" s="101" t="str">
        <f>_xll.ohRangeRetrieveError(F12)</f>
        <v/>
      </c>
      <c r="H12" s="137"/>
    </row>
    <row r="13" spans="1:8" x14ac:dyDescent="0.2">
      <c r="A13" s="143"/>
      <c r="B13" s="142">
        <v>11</v>
      </c>
      <c r="C13" s="141" t="b">
        <v>0</v>
      </c>
      <c r="D13" s="140" t="str">
        <v>V4</v>
      </c>
      <c r="E13" s="139" t="str">
        <f t="shared" si="0"/>
        <v>GBPFUT3MV4_Quote</v>
      </c>
      <c r="F13" s="138" t="str">
        <f>_xll.qlSimpleQuote(E13,,PriceTickValue,Permanent,Trigger,ObjectOverwrite)</f>
        <v>GBPFUT3MV4_Quote#0002</v>
      </c>
      <c r="G13" s="101" t="str">
        <f>_xll.ohRangeRetrieveError(F13)</f>
        <v/>
      </c>
      <c r="H13" s="137"/>
    </row>
    <row r="14" spans="1:8" x14ac:dyDescent="0.2">
      <c r="A14" s="143"/>
      <c r="B14" s="142">
        <v>12</v>
      </c>
      <c r="C14" s="141" t="b">
        <v>0</v>
      </c>
      <c r="D14" s="140" t="str">
        <v>X4</v>
      </c>
      <c r="E14" s="139" t="str">
        <f t="shared" si="0"/>
        <v>GBPFUT3MX4_Quote</v>
      </c>
      <c r="F14" s="138" t="str">
        <f>_xll.qlSimpleQuote(E14,,PriceTickValue,Permanent,Trigger,ObjectOverwrite)</f>
        <v>GBPFUT3MX4_Quote#0002</v>
      </c>
      <c r="G14" s="101" t="str">
        <f>_xll.ohRangeRetrieveError(F14)</f>
        <v/>
      </c>
      <c r="H14" s="137"/>
    </row>
    <row r="15" spans="1:8" x14ac:dyDescent="0.2">
      <c r="A15" s="143"/>
      <c r="B15" s="142">
        <v>13</v>
      </c>
      <c r="C15" s="141" t="b">
        <v>0</v>
      </c>
      <c r="D15" s="140" t="str">
        <v>Z4</v>
      </c>
      <c r="E15" s="139" t="str">
        <f t="shared" si="0"/>
        <v>GBPFUT3MZ4_Quote</v>
      </c>
      <c r="F15" s="138" t="str">
        <f>_xll.qlSimpleQuote(E15,,PriceTickValue,Permanent,Trigger,ObjectOverwrite)</f>
        <v>GBPFUT3MZ4_Quote#0002</v>
      </c>
      <c r="G15" s="101" t="str">
        <f>_xll.ohRangeRetrieveError(F15)</f>
        <v/>
      </c>
      <c r="H15" s="137"/>
    </row>
    <row r="16" spans="1:8" x14ac:dyDescent="0.2">
      <c r="A16" s="143"/>
      <c r="B16" s="142">
        <v>14</v>
      </c>
      <c r="C16" s="141" t="b">
        <v>0</v>
      </c>
      <c r="D16" s="140" t="str">
        <v>F5</v>
      </c>
      <c r="E16" s="139" t="str">
        <f t="shared" si="0"/>
        <v>GBPFUT3MF5_Quote</v>
      </c>
      <c r="F16" s="138" t="str">
        <f>_xll.qlSimpleQuote(E16,,PriceTickValue,Permanent,Trigger,ObjectOverwrite)</f>
        <v>GBPFUT3MF5_Quote#0002</v>
      </c>
      <c r="G16" s="101" t="str">
        <f>_xll.ohRangeRetrieveError(F16)</f>
        <v/>
      </c>
      <c r="H16" s="137"/>
    </row>
    <row r="17" spans="1:8" x14ac:dyDescent="0.2">
      <c r="A17" s="143"/>
      <c r="B17" s="142">
        <v>15</v>
      </c>
      <c r="C17" s="141" t="b">
        <v>0</v>
      </c>
      <c r="D17" s="140" t="str">
        <v>G5</v>
      </c>
      <c r="E17" s="139" t="str">
        <f t="shared" si="0"/>
        <v>GBPFUT3MG5_Quote</v>
      </c>
      <c r="F17" s="138" t="str">
        <f>_xll.qlSimpleQuote(E17,,PriceTickValue,Permanent,Trigger,ObjectOverwrite)</f>
        <v>GBPFUT3MG5_Quote#0002</v>
      </c>
      <c r="G17" s="101" t="str">
        <f>_xll.ohRangeRetrieveError(F17)</f>
        <v/>
      </c>
      <c r="H17" s="137"/>
    </row>
    <row r="18" spans="1:8" x14ac:dyDescent="0.2">
      <c r="A18" s="143"/>
      <c r="B18" s="142">
        <v>16</v>
      </c>
      <c r="C18" s="141" t="b">
        <v>0</v>
      </c>
      <c r="D18" s="140" t="str">
        <v>H5</v>
      </c>
      <c r="E18" s="139" t="str">
        <f t="shared" si="0"/>
        <v>GBPFUT3MH5_Quote</v>
      </c>
      <c r="F18" s="138" t="str">
        <f>_xll.qlSimpleQuote(E18,,PriceTickValue,Permanent,Trigger,ObjectOverwrite)</f>
        <v>GBPFUT3MH5_Quote#0002</v>
      </c>
      <c r="G18" s="101" t="str">
        <f>_xll.ohRangeRetrieveError(F18)</f>
        <v/>
      </c>
      <c r="H18" s="137"/>
    </row>
    <row r="19" spans="1:8" x14ac:dyDescent="0.2">
      <c r="A19" s="143"/>
      <c r="B19" s="142">
        <v>17</v>
      </c>
      <c r="C19" s="141" t="b">
        <v>0</v>
      </c>
      <c r="D19" s="140" t="str">
        <v>J5</v>
      </c>
      <c r="E19" s="139" t="str">
        <f t="shared" si="0"/>
        <v>GBPFUT3MJ5_Quote</v>
      </c>
      <c r="F19" s="138" t="str">
        <f>_xll.qlSimpleQuote(E19,,PriceTickValue,Permanent,Trigger,ObjectOverwrite)</f>
        <v>GBPFUT3MJ5_Quote#0002</v>
      </c>
      <c r="G19" s="101" t="str">
        <f>_xll.ohRangeRetrieveError(F19)</f>
        <v/>
      </c>
      <c r="H19" s="137"/>
    </row>
    <row r="20" spans="1:8" x14ac:dyDescent="0.2">
      <c r="A20" s="143"/>
      <c r="B20" s="142">
        <v>18</v>
      </c>
      <c r="C20" s="141" t="b">
        <v>0</v>
      </c>
      <c r="D20" s="140" t="str">
        <v>K5</v>
      </c>
      <c r="E20" s="139" t="str">
        <f t="shared" si="0"/>
        <v>GBPFUT3MK5_Quote</v>
      </c>
      <c r="F20" s="138" t="str">
        <f>_xll.qlSimpleQuote(E20,,PriceTickValue,Permanent,Trigger,ObjectOverwrite)</f>
        <v>GBPFUT3MK5_Quote#0002</v>
      </c>
      <c r="G20" s="101" t="str">
        <f>_xll.ohRangeRetrieveError(F20)</f>
        <v/>
      </c>
      <c r="H20" s="137"/>
    </row>
    <row r="21" spans="1:8" x14ac:dyDescent="0.2">
      <c r="A21" s="143"/>
      <c r="B21" s="142">
        <v>19</v>
      </c>
      <c r="C21" s="141" t="b">
        <v>0</v>
      </c>
      <c r="D21" s="140" t="str">
        <v>M5</v>
      </c>
      <c r="E21" s="139" t="str">
        <f t="shared" si="0"/>
        <v>GBPFUT3MM5_Quote</v>
      </c>
      <c r="F21" s="138" t="str">
        <f>_xll.qlSimpleQuote(E21,,PriceTickValue,Permanent,Trigger,ObjectOverwrite)</f>
        <v>GBPFUT3MM5_Quote#0002</v>
      </c>
      <c r="G21" s="101" t="str">
        <f>_xll.ohRangeRetrieveError(F21)</f>
        <v/>
      </c>
      <c r="H21" s="137"/>
    </row>
    <row r="22" spans="1:8" x14ac:dyDescent="0.2">
      <c r="A22" s="143"/>
      <c r="B22" s="142">
        <v>20</v>
      </c>
      <c r="C22" s="141" t="b">
        <v>0</v>
      </c>
      <c r="D22" s="140" t="str">
        <v>N5</v>
      </c>
      <c r="E22" s="139" t="str">
        <f t="shared" si="0"/>
        <v>GBPFUT3MN5_Quote</v>
      </c>
      <c r="F22" s="138" t="str">
        <f>_xll.qlSimpleQuote(E22,,PriceTickValue,Permanent,Trigger,ObjectOverwrite)</f>
        <v>GBPFUT3MN5_Quote#0002</v>
      </c>
      <c r="G22" s="101" t="str">
        <f>_xll.ohRangeRetrieveError(F22)</f>
        <v/>
      </c>
      <c r="H22" s="137"/>
    </row>
    <row r="23" spans="1:8" x14ac:dyDescent="0.2">
      <c r="A23" s="143"/>
      <c r="B23" s="142">
        <v>21</v>
      </c>
      <c r="C23" s="141" t="b">
        <v>0</v>
      </c>
      <c r="D23" s="140" t="str">
        <v>Q5</v>
      </c>
      <c r="E23" s="139" t="str">
        <f t="shared" si="0"/>
        <v>GBPFUT3MQ5_Quote</v>
      </c>
      <c r="F23" s="138" t="str">
        <f>_xll.qlSimpleQuote(E23,,PriceTickValue,Permanent,Trigger,ObjectOverwrite)</f>
        <v>GBPFUT3MQ5_Quote#0002</v>
      </c>
      <c r="G23" s="101" t="str">
        <f>_xll.ohRangeRetrieveError(F23)</f>
        <v/>
      </c>
      <c r="H23" s="137"/>
    </row>
    <row r="24" spans="1:8" x14ac:dyDescent="0.2">
      <c r="A24" s="143"/>
      <c r="B24" s="142">
        <v>22</v>
      </c>
      <c r="C24" s="141" t="b">
        <v>0</v>
      </c>
      <c r="D24" s="140" t="str">
        <v>U5</v>
      </c>
      <c r="E24" s="139" t="str">
        <f t="shared" si="0"/>
        <v>GBPFUT3MU5_Quote</v>
      </c>
      <c r="F24" s="138" t="str">
        <f>_xll.qlSimpleQuote(E24,,PriceTickValue,Permanent,Trigger,ObjectOverwrite)</f>
        <v>GBPFUT3MU5_Quote#0002</v>
      </c>
      <c r="G24" s="101" t="str">
        <f>_xll.ohRangeRetrieveError(F24)</f>
        <v/>
      </c>
      <c r="H24" s="137"/>
    </row>
    <row r="25" spans="1:8" x14ac:dyDescent="0.2">
      <c r="A25" s="143"/>
      <c r="B25" s="142">
        <v>23</v>
      </c>
      <c r="C25" s="141" t="b">
        <v>0</v>
      </c>
      <c r="D25" s="140" t="str">
        <v>V5</v>
      </c>
      <c r="E25" s="139" t="str">
        <f t="shared" si="0"/>
        <v>GBPFUT3MV5_Quote</v>
      </c>
      <c r="F25" s="138" t="str">
        <f>_xll.qlSimpleQuote(E25,,PriceTickValue,Permanent,Trigger,ObjectOverwrite)</f>
        <v>GBPFUT3MV5_Quote#0002</v>
      </c>
      <c r="G25" s="101" t="str">
        <f>_xll.ohRangeRetrieveError(F25)</f>
        <v/>
      </c>
      <c r="H25" s="137"/>
    </row>
    <row r="26" spans="1:8" x14ac:dyDescent="0.2">
      <c r="A26" s="143"/>
      <c r="B26" s="142">
        <v>24</v>
      </c>
      <c r="C26" s="141" t="b">
        <v>0</v>
      </c>
      <c r="D26" s="140" t="str">
        <v>X5</v>
      </c>
      <c r="E26" s="139" t="str">
        <f t="shared" si="0"/>
        <v>GBPFUT3MX5_Quote</v>
      </c>
      <c r="F26" s="138" t="str">
        <f>_xll.qlSimpleQuote(E26,,PriceTickValue,Permanent,Trigger,ObjectOverwrite)</f>
        <v>GBPFUT3MX5_Quote#0002</v>
      </c>
      <c r="G26" s="101" t="str">
        <f>_xll.ohRangeRetrieveError(F26)</f>
        <v/>
      </c>
      <c r="H26" s="137"/>
    </row>
    <row r="27" spans="1:8" x14ac:dyDescent="0.2">
      <c r="A27" s="143"/>
      <c r="B27" s="142">
        <v>25</v>
      </c>
      <c r="C27" s="141" t="b">
        <v>0</v>
      </c>
      <c r="D27" s="140" t="str">
        <v>Z5</v>
      </c>
      <c r="E27" s="139" t="str">
        <f t="shared" si="0"/>
        <v>GBPFUT3MZ5_Quote</v>
      </c>
      <c r="F27" s="138" t="str">
        <f>_xll.qlSimpleQuote(E27,,PriceTickValue,Permanent,Trigger,ObjectOverwrite)</f>
        <v>GBPFUT3MZ5_Quote#0002</v>
      </c>
      <c r="G27" s="101" t="str">
        <f>_xll.ohRangeRetrieveError(F27)</f>
        <v/>
      </c>
      <c r="H27" s="137"/>
    </row>
    <row r="28" spans="1:8" x14ac:dyDescent="0.2">
      <c r="A28" s="143"/>
      <c r="B28" s="142">
        <v>26</v>
      </c>
      <c r="C28" s="141" t="b">
        <v>0</v>
      </c>
      <c r="D28" s="140" t="str">
        <v>F6</v>
      </c>
      <c r="E28" s="139" t="str">
        <f t="shared" si="0"/>
        <v>GBPFUT3MF6_Quote</v>
      </c>
      <c r="F28" s="138" t="str">
        <f>_xll.qlSimpleQuote(E28,,PriceTickValue,Permanent,Trigger,ObjectOverwrite)</f>
        <v>GBPFUT3MF6_Quote#0002</v>
      </c>
      <c r="G28" s="101" t="str">
        <f>_xll.ohRangeRetrieveError(F28)</f>
        <v/>
      </c>
      <c r="H28" s="137"/>
    </row>
    <row r="29" spans="1:8" x14ac:dyDescent="0.2">
      <c r="A29" s="143"/>
      <c r="B29" s="142">
        <v>27</v>
      </c>
      <c r="C29" s="141" t="b">
        <v>0</v>
      </c>
      <c r="D29" s="140" t="str">
        <v>G6</v>
      </c>
      <c r="E29" s="139" t="str">
        <f t="shared" si="0"/>
        <v>GBPFUT3MG6_Quote</v>
      </c>
      <c r="F29" s="138" t="str">
        <f>_xll.qlSimpleQuote(E29,,PriceTickValue,Permanent,Trigger,ObjectOverwrite)</f>
        <v>GBPFUT3MG6_Quote#0002</v>
      </c>
      <c r="G29" s="101" t="str">
        <f>_xll.ohRangeRetrieveError(F29)</f>
        <v/>
      </c>
      <c r="H29" s="137"/>
    </row>
    <row r="30" spans="1:8" x14ac:dyDescent="0.2">
      <c r="A30" s="143"/>
      <c r="B30" s="142">
        <v>28</v>
      </c>
      <c r="C30" s="141" t="b">
        <v>0</v>
      </c>
      <c r="D30" s="140" t="str">
        <v>H6</v>
      </c>
      <c r="E30" s="139" t="str">
        <f t="shared" si="0"/>
        <v>GBPFUT3MH6_Quote</v>
      </c>
      <c r="F30" s="138" t="str">
        <f>_xll.qlSimpleQuote(E30,,PriceTickValue,Permanent,Trigger,ObjectOverwrite)</f>
        <v>GBPFUT3MH6_Quote#0002</v>
      </c>
      <c r="G30" s="101" t="str">
        <f>_xll.ohRangeRetrieveError(F30)</f>
        <v/>
      </c>
      <c r="H30" s="137"/>
    </row>
    <row r="31" spans="1:8" x14ac:dyDescent="0.2">
      <c r="A31" s="143"/>
      <c r="B31" s="142">
        <v>29</v>
      </c>
      <c r="C31" s="141" t="b">
        <v>0</v>
      </c>
      <c r="D31" s="140" t="str">
        <v>J6</v>
      </c>
      <c r="E31" s="139" t="str">
        <f t="shared" si="0"/>
        <v>GBPFUT3MJ6_Quote</v>
      </c>
      <c r="F31" s="138" t="str">
        <f>_xll.qlSimpleQuote(E31,,PriceTickValue,Permanent,Trigger,ObjectOverwrite)</f>
        <v>GBPFUT3MJ6_Quote#0002</v>
      </c>
      <c r="G31" s="101" t="str">
        <f>_xll.ohRangeRetrieveError(F31)</f>
        <v/>
      </c>
      <c r="H31" s="137"/>
    </row>
    <row r="32" spans="1:8" x14ac:dyDescent="0.2">
      <c r="A32" s="143"/>
      <c r="B32" s="142">
        <v>30</v>
      </c>
      <c r="C32" s="141" t="b">
        <v>0</v>
      </c>
      <c r="D32" s="140" t="str">
        <v>K6</v>
      </c>
      <c r="E32" s="139" t="str">
        <f t="shared" si="0"/>
        <v>GBPFUT3MK6_Quote</v>
      </c>
      <c r="F32" s="138" t="str">
        <f>_xll.qlSimpleQuote(E32,,PriceTickValue,Permanent,Trigger,ObjectOverwrite)</f>
        <v>GBPFUT3MK6_Quote#0002</v>
      </c>
      <c r="G32" s="101" t="str">
        <f>_xll.ohRangeRetrieveError(F32)</f>
        <v/>
      </c>
      <c r="H32" s="137"/>
    </row>
    <row r="33" spans="1:8" x14ac:dyDescent="0.2">
      <c r="A33" s="143"/>
      <c r="B33" s="142">
        <v>31</v>
      </c>
      <c r="C33" s="141" t="b">
        <v>0</v>
      </c>
      <c r="D33" s="140" t="str">
        <v>M6</v>
      </c>
      <c r="E33" s="139" t="str">
        <f t="shared" si="0"/>
        <v>GBPFUT3MM6_Quote</v>
      </c>
      <c r="F33" s="138" t="str">
        <f>_xll.qlSimpleQuote(E33,,PriceTickValue,Permanent,Trigger,ObjectOverwrite)</f>
        <v>GBPFUT3MM6_Quote#0002</v>
      </c>
      <c r="G33" s="101" t="str">
        <f>_xll.ohRangeRetrieveError(F33)</f>
        <v/>
      </c>
      <c r="H33" s="137"/>
    </row>
    <row r="34" spans="1:8" x14ac:dyDescent="0.2">
      <c r="A34" s="143"/>
      <c r="B34" s="142">
        <v>32</v>
      </c>
      <c r="C34" s="141" t="b">
        <v>0</v>
      </c>
      <c r="D34" s="140" t="str">
        <v>N6</v>
      </c>
      <c r="E34" s="139" t="str">
        <f t="shared" si="0"/>
        <v>GBPFUT3MN6_Quote</v>
      </c>
      <c r="F34" s="138" t="str">
        <f>_xll.qlSimpleQuote(E34,,PriceTickValue,Permanent,Trigger,ObjectOverwrite)</f>
        <v>GBPFUT3MN6_Quote#0002</v>
      </c>
      <c r="G34" s="101" t="str">
        <f>_xll.ohRangeRetrieveError(F34)</f>
        <v/>
      </c>
      <c r="H34" s="137"/>
    </row>
    <row r="35" spans="1:8" x14ac:dyDescent="0.2">
      <c r="A35" s="143"/>
      <c r="B35" s="142">
        <v>33</v>
      </c>
      <c r="C35" s="141" t="b">
        <v>0</v>
      </c>
      <c r="D35" s="140" t="str">
        <v>Q6</v>
      </c>
      <c r="E35" s="139" t="str">
        <f t="shared" ref="E35:E66" si="1">Currency&amp;$D$1&amp;$E$1&amp;$D35&amp;QuoteSuffix</f>
        <v>GBPFUT3MQ6_Quote</v>
      </c>
      <c r="F35" s="138" t="str">
        <f>_xll.qlSimpleQuote(E35,,PriceTickValue,Permanent,Trigger,ObjectOverwrite)</f>
        <v>GBPFUT3MQ6_Quote#0002</v>
      </c>
      <c r="G35" s="101" t="str">
        <f>_xll.ohRangeRetrieveError(F35)</f>
        <v/>
      </c>
      <c r="H35" s="137"/>
    </row>
    <row r="36" spans="1:8" x14ac:dyDescent="0.2">
      <c r="A36" s="143"/>
      <c r="B36" s="142">
        <v>34</v>
      </c>
      <c r="C36" s="141" t="b">
        <v>0</v>
      </c>
      <c r="D36" s="140" t="str">
        <v>U6</v>
      </c>
      <c r="E36" s="139" t="str">
        <f t="shared" si="1"/>
        <v>GBPFUT3MU6_Quote</v>
      </c>
      <c r="F36" s="138" t="str">
        <f>_xll.qlSimpleQuote(E36,,PriceTickValue,Permanent,Trigger,ObjectOverwrite)</f>
        <v>GBPFUT3MU6_Quote#0002</v>
      </c>
      <c r="G36" s="101" t="str">
        <f>_xll.ohRangeRetrieveError(F36)</f>
        <v/>
      </c>
      <c r="H36" s="137"/>
    </row>
    <row r="37" spans="1:8" x14ac:dyDescent="0.2">
      <c r="A37" s="143"/>
      <c r="B37" s="142">
        <v>35</v>
      </c>
      <c r="C37" s="141" t="b">
        <v>0</v>
      </c>
      <c r="D37" s="140" t="str">
        <v>V6</v>
      </c>
      <c r="E37" s="139" t="str">
        <f t="shared" si="1"/>
        <v>GBPFUT3MV6_Quote</v>
      </c>
      <c r="F37" s="138" t="str">
        <f>_xll.qlSimpleQuote(E37,,PriceTickValue,Permanent,Trigger,ObjectOverwrite)</f>
        <v>GBPFUT3MV6_Quote#0002</v>
      </c>
      <c r="G37" s="101" t="str">
        <f>_xll.ohRangeRetrieveError(F37)</f>
        <v/>
      </c>
      <c r="H37" s="137"/>
    </row>
    <row r="38" spans="1:8" x14ac:dyDescent="0.2">
      <c r="A38" s="143"/>
      <c r="B38" s="142">
        <v>36</v>
      </c>
      <c r="C38" s="141" t="b">
        <v>0</v>
      </c>
      <c r="D38" s="140" t="str">
        <v>X6</v>
      </c>
      <c r="E38" s="139" t="str">
        <f t="shared" si="1"/>
        <v>GBPFUT3MX6_Quote</v>
      </c>
      <c r="F38" s="138" t="str">
        <f>_xll.qlSimpleQuote(E38,,PriceTickValue,Permanent,Trigger,ObjectOverwrite)</f>
        <v>GBPFUT3MX6_Quote#0002</v>
      </c>
      <c r="G38" s="101" t="str">
        <f>_xll.ohRangeRetrieveError(F38)</f>
        <v/>
      </c>
      <c r="H38" s="137"/>
    </row>
    <row r="39" spans="1:8" x14ac:dyDescent="0.2">
      <c r="A39" s="143"/>
      <c r="B39" s="142">
        <v>37</v>
      </c>
      <c r="C39" s="141" t="b">
        <v>0</v>
      </c>
      <c r="D39" s="140" t="str">
        <v>Z6</v>
      </c>
      <c r="E39" s="139" t="str">
        <f t="shared" si="1"/>
        <v>GBPFUT3MZ6_Quote</v>
      </c>
      <c r="F39" s="138" t="str">
        <f>_xll.qlSimpleQuote(E39,,PriceTickValue,Permanent,Trigger,ObjectOverwrite)</f>
        <v>GBPFUT3MZ6_Quote#0002</v>
      </c>
      <c r="G39" s="101" t="str">
        <f>_xll.ohRangeRetrieveError(F39)</f>
        <v/>
      </c>
      <c r="H39" s="137"/>
    </row>
    <row r="40" spans="1:8" x14ac:dyDescent="0.2">
      <c r="A40" s="143"/>
      <c r="B40" s="142">
        <v>38</v>
      </c>
      <c r="C40" s="141" t="b">
        <v>0</v>
      </c>
      <c r="D40" s="140" t="str">
        <v>F7</v>
      </c>
      <c r="E40" s="139" t="str">
        <f t="shared" si="1"/>
        <v>GBPFUT3MF7_Quote</v>
      </c>
      <c r="F40" s="138" t="str">
        <f>_xll.qlSimpleQuote(E40,,PriceTickValue,Permanent,Trigger,ObjectOverwrite)</f>
        <v>GBPFUT3MF7_Quote#0002</v>
      </c>
      <c r="G40" s="101" t="str">
        <f>_xll.ohRangeRetrieveError(F40)</f>
        <v/>
      </c>
      <c r="H40" s="137"/>
    </row>
    <row r="41" spans="1:8" x14ac:dyDescent="0.2">
      <c r="A41" s="143"/>
      <c r="B41" s="142">
        <v>39</v>
      </c>
      <c r="C41" s="141" t="b">
        <v>0</v>
      </c>
      <c r="D41" s="140" t="str">
        <v>G7</v>
      </c>
      <c r="E41" s="139" t="str">
        <f t="shared" si="1"/>
        <v>GBPFUT3MG7_Quote</v>
      </c>
      <c r="F41" s="138" t="str">
        <f>_xll.qlSimpleQuote(E41,,PriceTickValue,Permanent,Trigger,ObjectOverwrite)</f>
        <v>GBPFUT3MG7_Quote#0002</v>
      </c>
      <c r="G41" s="101" t="str">
        <f>_xll.ohRangeRetrieveError(F41)</f>
        <v/>
      </c>
      <c r="H41" s="137"/>
    </row>
    <row r="42" spans="1:8" x14ac:dyDescent="0.2">
      <c r="A42" s="143"/>
      <c r="B42" s="142">
        <v>40</v>
      </c>
      <c r="C42" s="141" t="b">
        <v>0</v>
      </c>
      <c r="D42" s="140" t="str">
        <v>H7</v>
      </c>
      <c r="E42" s="139" t="str">
        <f t="shared" si="1"/>
        <v>GBPFUT3MH7_Quote</v>
      </c>
      <c r="F42" s="138" t="str">
        <f>_xll.qlSimpleQuote(E42,,PriceTickValue,Permanent,Trigger,ObjectOverwrite)</f>
        <v>GBPFUT3MH7_Quote#0002</v>
      </c>
      <c r="G42" s="101" t="str">
        <f>_xll.ohRangeRetrieveError(F42)</f>
        <v/>
      </c>
      <c r="H42" s="137"/>
    </row>
    <row r="43" spans="1:8" x14ac:dyDescent="0.2">
      <c r="A43" s="143"/>
      <c r="B43" s="142">
        <v>41</v>
      </c>
      <c r="C43" s="141" t="b">
        <v>0</v>
      </c>
      <c r="D43" s="140" t="str">
        <v>J7</v>
      </c>
      <c r="E43" s="139" t="str">
        <f t="shared" si="1"/>
        <v>GBPFUT3MJ7_Quote</v>
      </c>
      <c r="F43" s="138" t="str">
        <f>_xll.qlSimpleQuote(E43,,PriceTickValue,Permanent,Trigger,ObjectOverwrite)</f>
        <v>GBPFUT3MJ7_Quote#0002</v>
      </c>
      <c r="G43" s="101" t="str">
        <f>_xll.ohRangeRetrieveError(F43)</f>
        <v/>
      </c>
      <c r="H43" s="137"/>
    </row>
    <row r="44" spans="1:8" x14ac:dyDescent="0.2">
      <c r="A44" s="143"/>
      <c r="B44" s="142">
        <v>42</v>
      </c>
      <c r="C44" s="141" t="b">
        <v>0</v>
      </c>
      <c r="D44" s="140" t="str">
        <v>K7</v>
      </c>
      <c r="E44" s="139" t="str">
        <f t="shared" si="1"/>
        <v>GBPFUT3MK7_Quote</v>
      </c>
      <c r="F44" s="138" t="str">
        <f>_xll.qlSimpleQuote(E44,,PriceTickValue,Permanent,Trigger,ObjectOverwrite)</f>
        <v>GBPFUT3MK7_Quote#0002</v>
      </c>
      <c r="G44" s="101" t="str">
        <f>_xll.ohRangeRetrieveError(F44)</f>
        <v/>
      </c>
      <c r="H44" s="137"/>
    </row>
    <row r="45" spans="1:8" x14ac:dyDescent="0.2">
      <c r="A45" s="143"/>
      <c r="B45" s="142">
        <v>43</v>
      </c>
      <c r="C45" s="141" t="b">
        <v>0</v>
      </c>
      <c r="D45" s="140" t="str">
        <v>M7</v>
      </c>
      <c r="E45" s="139" t="str">
        <f t="shared" si="1"/>
        <v>GBPFUT3MM7_Quote</v>
      </c>
      <c r="F45" s="138" t="str">
        <f>_xll.qlSimpleQuote(E45,,PriceTickValue,Permanent,Trigger,ObjectOverwrite)</f>
        <v>GBPFUT3MM7_Quote#0002</v>
      </c>
      <c r="G45" s="101" t="str">
        <f>_xll.ohRangeRetrieveError(F45)</f>
        <v/>
      </c>
      <c r="H45" s="137"/>
    </row>
    <row r="46" spans="1:8" x14ac:dyDescent="0.2">
      <c r="A46" s="143"/>
      <c r="B46" s="142">
        <v>44</v>
      </c>
      <c r="C46" s="141" t="b">
        <v>0</v>
      </c>
      <c r="D46" s="140" t="str">
        <v>N7</v>
      </c>
      <c r="E46" s="139" t="str">
        <f t="shared" si="1"/>
        <v>GBPFUT3MN7_Quote</v>
      </c>
      <c r="F46" s="138" t="str">
        <f>_xll.qlSimpleQuote(E46,,PriceTickValue,Permanent,Trigger,ObjectOverwrite)</f>
        <v>GBPFUT3MN7_Quote#0002</v>
      </c>
      <c r="G46" s="101" t="str">
        <f>_xll.ohRangeRetrieveError(F46)</f>
        <v/>
      </c>
      <c r="H46" s="137"/>
    </row>
    <row r="47" spans="1:8" x14ac:dyDescent="0.2">
      <c r="A47" s="143"/>
      <c r="B47" s="142">
        <v>45</v>
      </c>
      <c r="C47" s="141" t="b">
        <v>0</v>
      </c>
      <c r="D47" s="140" t="str">
        <v>Q7</v>
      </c>
      <c r="E47" s="139" t="str">
        <f t="shared" si="1"/>
        <v>GBPFUT3MQ7_Quote</v>
      </c>
      <c r="F47" s="138" t="str">
        <f>_xll.qlSimpleQuote(E47,,PriceTickValue,Permanent,Trigger,ObjectOverwrite)</f>
        <v>GBPFUT3MQ7_Quote#0002</v>
      </c>
      <c r="G47" s="101" t="str">
        <f>_xll.ohRangeRetrieveError(F47)</f>
        <v/>
      </c>
      <c r="H47" s="137"/>
    </row>
    <row r="48" spans="1:8" x14ac:dyDescent="0.2">
      <c r="A48" s="143"/>
      <c r="B48" s="142">
        <v>46</v>
      </c>
      <c r="C48" s="141" t="b">
        <v>0</v>
      </c>
      <c r="D48" s="140" t="str">
        <v>U7</v>
      </c>
      <c r="E48" s="139" t="str">
        <f t="shared" si="1"/>
        <v>GBPFUT3MU7_Quote</v>
      </c>
      <c r="F48" s="138" t="str">
        <f>_xll.qlSimpleQuote(E48,,PriceTickValue,Permanent,Trigger,ObjectOverwrite)</f>
        <v>GBPFUT3MU7_Quote#0002</v>
      </c>
      <c r="G48" s="101" t="str">
        <f>_xll.ohRangeRetrieveError(F48)</f>
        <v/>
      </c>
      <c r="H48" s="137"/>
    </row>
    <row r="49" spans="1:8" x14ac:dyDescent="0.2">
      <c r="A49" s="143"/>
      <c r="B49" s="142">
        <v>47</v>
      </c>
      <c r="C49" s="141" t="b">
        <v>0</v>
      </c>
      <c r="D49" s="140" t="str">
        <v>V7</v>
      </c>
      <c r="E49" s="139" t="str">
        <f t="shared" si="1"/>
        <v>GBPFUT3MV7_Quote</v>
      </c>
      <c r="F49" s="138" t="str">
        <f>_xll.qlSimpleQuote(E49,,PriceTickValue,Permanent,Trigger,ObjectOverwrite)</f>
        <v>GBPFUT3MV7_Quote#0002</v>
      </c>
      <c r="G49" s="101" t="str">
        <f>_xll.ohRangeRetrieveError(F49)</f>
        <v/>
      </c>
      <c r="H49" s="137"/>
    </row>
    <row r="50" spans="1:8" x14ac:dyDescent="0.2">
      <c r="A50" s="143"/>
      <c r="B50" s="142">
        <v>48</v>
      </c>
      <c r="C50" s="141" t="b">
        <v>0</v>
      </c>
      <c r="D50" s="140" t="str">
        <v>X7</v>
      </c>
      <c r="E50" s="139" t="str">
        <f t="shared" si="1"/>
        <v>GBPFUT3MX7_Quote</v>
      </c>
      <c r="F50" s="138" t="str">
        <f>_xll.qlSimpleQuote(E50,,PriceTickValue,Permanent,Trigger,ObjectOverwrite)</f>
        <v>GBPFUT3MX7_Quote#0002</v>
      </c>
      <c r="G50" s="101" t="str">
        <f>_xll.ohRangeRetrieveError(F50)</f>
        <v/>
      </c>
      <c r="H50" s="137"/>
    </row>
    <row r="51" spans="1:8" x14ac:dyDescent="0.2">
      <c r="A51" s="143"/>
      <c r="B51" s="142">
        <v>49</v>
      </c>
      <c r="C51" s="141" t="b">
        <v>0</v>
      </c>
      <c r="D51" s="140" t="str">
        <v>Z7</v>
      </c>
      <c r="E51" s="139" t="str">
        <f t="shared" si="1"/>
        <v>GBPFUT3MZ7_Quote</v>
      </c>
      <c r="F51" s="138" t="str">
        <f>_xll.qlSimpleQuote(E51,,PriceTickValue,Permanent,Trigger,ObjectOverwrite)</f>
        <v>GBPFUT3MZ7_Quote#0002</v>
      </c>
      <c r="G51" s="101" t="str">
        <f>_xll.ohRangeRetrieveError(F51)</f>
        <v/>
      </c>
      <c r="H51" s="137"/>
    </row>
    <row r="52" spans="1:8" x14ac:dyDescent="0.2">
      <c r="A52" s="143"/>
      <c r="B52" s="142">
        <v>50</v>
      </c>
      <c r="C52" s="141" t="b">
        <v>0</v>
      </c>
      <c r="D52" s="140" t="str">
        <v>F8</v>
      </c>
      <c r="E52" s="139" t="str">
        <f t="shared" si="1"/>
        <v>GBPFUT3MF8_Quote</v>
      </c>
      <c r="F52" s="138" t="str">
        <f>_xll.qlSimpleQuote(E52,,PriceTickValue,Permanent,Trigger,ObjectOverwrite)</f>
        <v>GBPFUT3MF8_Quote#0002</v>
      </c>
      <c r="G52" s="101" t="str">
        <f>_xll.ohRangeRetrieveError(F52)</f>
        <v/>
      </c>
      <c r="H52" s="137"/>
    </row>
    <row r="53" spans="1:8" x14ac:dyDescent="0.2">
      <c r="A53" s="143"/>
      <c r="B53" s="142">
        <v>51</v>
      </c>
      <c r="C53" s="141" t="b">
        <v>0</v>
      </c>
      <c r="D53" s="140" t="str">
        <v>G8</v>
      </c>
      <c r="E53" s="139" t="str">
        <f t="shared" si="1"/>
        <v>GBPFUT3MG8_Quote</v>
      </c>
      <c r="F53" s="138" t="str">
        <f>_xll.qlSimpleQuote(E53,,PriceTickValue,Permanent,Trigger,ObjectOverwrite)</f>
        <v>GBPFUT3MG8_Quote#0002</v>
      </c>
      <c r="G53" s="101" t="str">
        <f>_xll.ohRangeRetrieveError(F53)</f>
        <v/>
      </c>
      <c r="H53" s="137"/>
    </row>
    <row r="54" spans="1:8" x14ac:dyDescent="0.2">
      <c r="A54" s="143"/>
      <c r="B54" s="142">
        <v>52</v>
      </c>
      <c r="C54" s="141" t="b">
        <v>0</v>
      </c>
      <c r="D54" s="140" t="str">
        <v>H8</v>
      </c>
      <c r="E54" s="139" t="str">
        <f t="shared" si="1"/>
        <v>GBPFUT3MH8_Quote</v>
      </c>
      <c r="F54" s="138" t="str">
        <f>_xll.qlSimpleQuote(E54,,PriceTickValue,Permanent,Trigger,ObjectOverwrite)</f>
        <v>GBPFUT3MH8_Quote#0002</v>
      </c>
      <c r="G54" s="101" t="str">
        <f>_xll.ohRangeRetrieveError(F54)</f>
        <v/>
      </c>
      <c r="H54" s="137"/>
    </row>
    <row r="55" spans="1:8" x14ac:dyDescent="0.2">
      <c r="A55" s="143"/>
      <c r="B55" s="142">
        <v>53</v>
      </c>
      <c r="C55" s="141" t="b">
        <v>0</v>
      </c>
      <c r="D55" s="140" t="str">
        <v>J8</v>
      </c>
      <c r="E55" s="139" t="str">
        <f t="shared" si="1"/>
        <v>GBPFUT3MJ8_Quote</v>
      </c>
      <c r="F55" s="138" t="str">
        <f>_xll.qlSimpleQuote(E55,,PriceTickValue,Permanent,Trigger,ObjectOverwrite)</f>
        <v>GBPFUT3MJ8_Quote#0002</v>
      </c>
      <c r="G55" s="101" t="str">
        <f>_xll.ohRangeRetrieveError(F55)</f>
        <v/>
      </c>
      <c r="H55" s="137"/>
    </row>
    <row r="56" spans="1:8" x14ac:dyDescent="0.2">
      <c r="A56" s="143"/>
      <c r="B56" s="142">
        <v>54</v>
      </c>
      <c r="C56" s="141" t="b">
        <v>0</v>
      </c>
      <c r="D56" s="140" t="str">
        <v>K8</v>
      </c>
      <c r="E56" s="139" t="str">
        <f t="shared" si="1"/>
        <v>GBPFUT3MK8_Quote</v>
      </c>
      <c r="F56" s="138" t="str">
        <f>_xll.qlSimpleQuote(E56,,PriceTickValue,Permanent,Trigger,ObjectOverwrite)</f>
        <v>GBPFUT3MK8_Quote#0002</v>
      </c>
      <c r="G56" s="101" t="str">
        <f>_xll.ohRangeRetrieveError(F56)</f>
        <v/>
      </c>
      <c r="H56" s="137"/>
    </row>
    <row r="57" spans="1:8" x14ac:dyDescent="0.2">
      <c r="A57" s="143"/>
      <c r="B57" s="142">
        <v>55</v>
      </c>
      <c r="C57" s="141" t="b">
        <v>0</v>
      </c>
      <c r="D57" s="140" t="str">
        <v>M8</v>
      </c>
      <c r="E57" s="139" t="str">
        <f t="shared" si="1"/>
        <v>GBPFUT3MM8_Quote</v>
      </c>
      <c r="F57" s="138" t="str">
        <f>_xll.qlSimpleQuote(E57,,PriceTickValue,Permanent,Trigger,ObjectOverwrite)</f>
        <v>GBPFUT3MM8_Quote#0002</v>
      </c>
      <c r="G57" s="101" t="str">
        <f>_xll.ohRangeRetrieveError(F57)</f>
        <v/>
      </c>
      <c r="H57" s="137"/>
    </row>
    <row r="58" spans="1:8" x14ac:dyDescent="0.2">
      <c r="A58" s="143"/>
      <c r="B58" s="142">
        <v>56</v>
      </c>
      <c r="C58" s="141" t="b">
        <v>0</v>
      </c>
      <c r="D58" s="140" t="str">
        <v>N8</v>
      </c>
      <c r="E58" s="139" t="str">
        <f t="shared" si="1"/>
        <v>GBPFUT3MN8_Quote</v>
      </c>
      <c r="F58" s="138" t="str">
        <f>_xll.qlSimpleQuote(E58,,PriceTickValue,Permanent,Trigger,ObjectOverwrite)</f>
        <v>GBPFUT3MN8_Quote#0002</v>
      </c>
      <c r="G58" s="101" t="str">
        <f>_xll.ohRangeRetrieveError(F58)</f>
        <v/>
      </c>
      <c r="H58" s="137"/>
    </row>
    <row r="59" spans="1:8" x14ac:dyDescent="0.2">
      <c r="A59" s="143"/>
      <c r="B59" s="142">
        <v>57</v>
      </c>
      <c r="C59" s="141" t="b">
        <v>0</v>
      </c>
      <c r="D59" s="140" t="str">
        <v>Q8</v>
      </c>
      <c r="E59" s="139" t="str">
        <f t="shared" si="1"/>
        <v>GBPFUT3MQ8_Quote</v>
      </c>
      <c r="F59" s="138" t="str">
        <f>_xll.qlSimpleQuote(E59,,PriceTickValue,Permanent,Trigger,ObjectOverwrite)</f>
        <v>GBPFUT3MQ8_Quote#0002</v>
      </c>
      <c r="G59" s="101" t="str">
        <f>_xll.ohRangeRetrieveError(F59)</f>
        <v/>
      </c>
      <c r="H59" s="137"/>
    </row>
    <row r="60" spans="1:8" x14ac:dyDescent="0.2">
      <c r="A60" s="143"/>
      <c r="B60" s="142">
        <v>58</v>
      </c>
      <c r="C60" s="141" t="b">
        <v>0</v>
      </c>
      <c r="D60" s="140" t="str">
        <v>U8</v>
      </c>
      <c r="E60" s="139" t="str">
        <f t="shared" si="1"/>
        <v>GBPFUT3MU8_Quote</v>
      </c>
      <c r="F60" s="138" t="str">
        <f>_xll.qlSimpleQuote(E60,,PriceTickValue,Permanent,Trigger,ObjectOverwrite)</f>
        <v>GBPFUT3MU8_Quote#0002</v>
      </c>
      <c r="G60" s="101" t="str">
        <f>_xll.ohRangeRetrieveError(F60)</f>
        <v/>
      </c>
      <c r="H60" s="137"/>
    </row>
    <row r="61" spans="1:8" x14ac:dyDescent="0.2">
      <c r="A61" s="143"/>
      <c r="B61" s="142">
        <v>59</v>
      </c>
      <c r="C61" s="141" t="b">
        <v>0</v>
      </c>
      <c r="D61" s="140" t="str">
        <v>V8</v>
      </c>
      <c r="E61" s="139" t="str">
        <f t="shared" si="1"/>
        <v>GBPFUT3MV8_Quote</v>
      </c>
      <c r="F61" s="138" t="str">
        <f>_xll.qlSimpleQuote(E61,,PriceTickValue,Permanent,Trigger,ObjectOverwrite)</f>
        <v>GBPFUT3MV8_Quote#0002</v>
      </c>
      <c r="G61" s="101" t="str">
        <f>_xll.ohRangeRetrieveError(F61)</f>
        <v/>
      </c>
      <c r="H61" s="137"/>
    </row>
    <row r="62" spans="1:8" x14ac:dyDescent="0.2">
      <c r="A62" s="143"/>
      <c r="B62" s="142">
        <v>60</v>
      </c>
      <c r="C62" s="141" t="b">
        <v>0</v>
      </c>
      <c r="D62" s="140" t="str">
        <v>X8</v>
      </c>
      <c r="E62" s="139" t="str">
        <f t="shared" si="1"/>
        <v>GBPFUT3MX8_Quote</v>
      </c>
      <c r="F62" s="138" t="str">
        <f>_xll.qlSimpleQuote(E62,,PriceTickValue,Permanent,Trigger,ObjectOverwrite)</f>
        <v>GBPFUT3MX8_Quote#0002</v>
      </c>
      <c r="G62" s="101" t="str">
        <f>_xll.ohRangeRetrieveError(F62)</f>
        <v/>
      </c>
      <c r="H62" s="137"/>
    </row>
    <row r="63" spans="1:8" x14ac:dyDescent="0.2">
      <c r="A63" s="143"/>
      <c r="B63" s="142">
        <v>61</v>
      </c>
      <c r="C63" s="141" t="b">
        <v>0</v>
      </c>
      <c r="D63" s="140" t="str">
        <v>Z8</v>
      </c>
      <c r="E63" s="139" t="str">
        <f t="shared" si="1"/>
        <v>GBPFUT3MZ8_Quote</v>
      </c>
      <c r="F63" s="138" t="str">
        <f>_xll.qlSimpleQuote(E63,,PriceTickValue,Permanent,Trigger,ObjectOverwrite)</f>
        <v>GBPFUT3MZ8_Quote#0002</v>
      </c>
      <c r="G63" s="101" t="str">
        <f>_xll.ohRangeRetrieveError(F63)</f>
        <v/>
      </c>
      <c r="H63" s="137"/>
    </row>
    <row r="64" spans="1:8" x14ac:dyDescent="0.2">
      <c r="A64" s="143"/>
      <c r="B64" s="142">
        <v>62</v>
      </c>
      <c r="C64" s="141" t="b">
        <v>0</v>
      </c>
      <c r="D64" s="140" t="str">
        <v>F9</v>
      </c>
      <c r="E64" s="139" t="str">
        <f t="shared" si="1"/>
        <v>GBPFUT3MF9_Quote</v>
      </c>
      <c r="F64" s="138" t="str">
        <f>_xll.qlSimpleQuote(E64,,PriceTickValue,Permanent,Trigger,ObjectOverwrite)</f>
        <v>GBPFUT3MF9_Quote#0002</v>
      </c>
      <c r="G64" s="101" t="str">
        <f>_xll.ohRangeRetrieveError(F64)</f>
        <v/>
      </c>
      <c r="H64" s="137"/>
    </row>
    <row r="65" spans="1:8" x14ac:dyDescent="0.2">
      <c r="A65" s="143"/>
      <c r="B65" s="142">
        <v>63</v>
      </c>
      <c r="C65" s="141" t="b">
        <v>0</v>
      </c>
      <c r="D65" s="140" t="str">
        <v>G9</v>
      </c>
      <c r="E65" s="139" t="str">
        <f t="shared" si="1"/>
        <v>GBPFUT3MG9_Quote</v>
      </c>
      <c r="F65" s="138" t="str">
        <f>_xll.qlSimpleQuote(E65,,PriceTickValue,Permanent,Trigger,ObjectOverwrite)</f>
        <v>GBPFUT3MG9_Quote#0002</v>
      </c>
      <c r="G65" s="101" t="str">
        <f>_xll.ohRangeRetrieveError(F65)</f>
        <v/>
      </c>
      <c r="H65" s="137"/>
    </row>
    <row r="66" spans="1:8" x14ac:dyDescent="0.2">
      <c r="A66" s="143"/>
      <c r="B66" s="142">
        <v>64</v>
      </c>
      <c r="C66" s="141" t="b">
        <v>0</v>
      </c>
      <c r="D66" s="140" t="str">
        <v>H9</v>
      </c>
      <c r="E66" s="139" t="str">
        <f t="shared" si="1"/>
        <v>GBPFUT3MH9_Quote</v>
      </c>
      <c r="F66" s="138" t="str">
        <f>_xll.qlSimpleQuote(E66,,PriceTickValue,Permanent,Trigger,ObjectOverwrite)</f>
        <v>GBPFUT3MH9_Quote#0002</v>
      </c>
      <c r="G66" s="101" t="str">
        <f>_xll.ohRangeRetrieveError(F66)</f>
        <v/>
      </c>
      <c r="H66" s="137"/>
    </row>
    <row r="67" spans="1:8" x14ac:dyDescent="0.2">
      <c r="A67" s="143"/>
      <c r="B67" s="142">
        <v>65</v>
      </c>
      <c r="C67" s="141" t="b">
        <v>0</v>
      </c>
      <c r="D67" s="140" t="str">
        <v>J9</v>
      </c>
      <c r="E67" s="139" t="str">
        <f t="shared" ref="E67:E98" si="2">Currency&amp;$D$1&amp;$E$1&amp;$D67&amp;QuoteSuffix</f>
        <v>GBPFUT3MJ9_Quote</v>
      </c>
      <c r="F67" s="138" t="str">
        <f>_xll.qlSimpleQuote(E67,,PriceTickValue,Permanent,Trigger,ObjectOverwrite)</f>
        <v>GBPFUT3MJ9_Quote#0002</v>
      </c>
      <c r="G67" s="101" t="str">
        <f>_xll.ohRangeRetrieveError(F67)</f>
        <v/>
      </c>
      <c r="H67" s="137"/>
    </row>
    <row r="68" spans="1:8" x14ac:dyDescent="0.2">
      <c r="A68" s="143"/>
      <c r="B68" s="142">
        <v>66</v>
      </c>
      <c r="C68" s="141" t="b">
        <v>0</v>
      </c>
      <c r="D68" s="140" t="str">
        <v>K9</v>
      </c>
      <c r="E68" s="139" t="str">
        <f t="shared" si="2"/>
        <v>GBPFUT3MK9_Quote</v>
      </c>
      <c r="F68" s="138" t="str">
        <f>_xll.qlSimpleQuote(E68,,PriceTickValue,Permanent,Trigger,ObjectOverwrite)</f>
        <v>GBPFUT3MK9_Quote#0002</v>
      </c>
      <c r="G68" s="101" t="str">
        <f>_xll.ohRangeRetrieveError(F68)</f>
        <v/>
      </c>
      <c r="H68" s="137"/>
    </row>
    <row r="69" spans="1:8" x14ac:dyDescent="0.2">
      <c r="A69" s="143"/>
      <c r="B69" s="142">
        <v>67</v>
      </c>
      <c r="C69" s="141" t="b">
        <v>0</v>
      </c>
      <c r="D69" s="140" t="str">
        <v>M9</v>
      </c>
      <c r="E69" s="139" t="str">
        <f t="shared" si="2"/>
        <v>GBPFUT3MM9_Quote</v>
      </c>
      <c r="F69" s="138" t="str">
        <f>_xll.qlSimpleQuote(E69,,PriceTickValue,Permanent,Trigger,ObjectOverwrite)</f>
        <v>GBPFUT3MM9_Quote#0002</v>
      </c>
      <c r="G69" s="101" t="str">
        <f>_xll.ohRangeRetrieveError(F69)</f>
        <v/>
      </c>
      <c r="H69" s="137"/>
    </row>
    <row r="70" spans="1:8" x14ac:dyDescent="0.2">
      <c r="A70" s="143"/>
      <c r="B70" s="142">
        <v>68</v>
      </c>
      <c r="C70" s="141" t="b">
        <v>0</v>
      </c>
      <c r="D70" s="140" t="str">
        <v>N9</v>
      </c>
      <c r="E70" s="139" t="str">
        <f t="shared" si="2"/>
        <v>GBPFUT3MN9_Quote</v>
      </c>
      <c r="F70" s="138" t="str">
        <f>_xll.qlSimpleQuote(E70,,PriceTickValue,Permanent,Trigger,ObjectOverwrite)</f>
        <v>GBPFUT3MN9_Quote#0002</v>
      </c>
      <c r="G70" s="101" t="str">
        <f>_xll.ohRangeRetrieveError(F70)</f>
        <v/>
      </c>
      <c r="H70" s="137"/>
    </row>
    <row r="71" spans="1:8" x14ac:dyDescent="0.2">
      <c r="A71" s="143"/>
      <c r="B71" s="142">
        <v>69</v>
      </c>
      <c r="C71" s="141" t="b">
        <v>0</v>
      </c>
      <c r="D71" s="140" t="str">
        <v>Q9</v>
      </c>
      <c r="E71" s="139" t="str">
        <f t="shared" si="2"/>
        <v>GBPFUT3MQ9_Quote</v>
      </c>
      <c r="F71" s="138" t="str">
        <f>_xll.qlSimpleQuote(E71,,PriceTickValue,Permanent,Trigger,ObjectOverwrite)</f>
        <v>GBPFUT3MQ9_Quote#0002</v>
      </c>
      <c r="G71" s="101" t="str">
        <f>_xll.ohRangeRetrieveError(F71)</f>
        <v/>
      </c>
      <c r="H71" s="137"/>
    </row>
    <row r="72" spans="1:8" x14ac:dyDescent="0.2">
      <c r="A72" s="143"/>
      <c r="B72" s="142">
        <v>70</v>
      </c>
      <c r="C72" s="141" t="b">
        <v>0</v>
      </c>
      <c r="D72" s="140" t="str">
        <v>U9</v>
      </c>
      <c r="E72" s="139" t="str">
        <f t="shared" si="2"/>
        <v>GBPFUT3MU9_Quote</v>
      </c>
      <c r="F72" s="138" t="str">
        <f>_xll.qlSimpleQuote(E72,,PriceTickValue,Permanent,Trigger,ObjectOverwrite)</f>
        <v>GBPFUT3MU9_Quote#0002</v>
      </c>
      <c r="G72" s="101" t="str">
        <f>_xll.ohRangeRetrieveError(F72)</f>
        <v/>
      </c>
      <c r="H72" s="137"/>
    </row>
    <row r="73" spans="1:8" x14ac:dyDescent="0.2">
      <c r="A73" s="143"/>
      <c r="B73" s="142">
        <v>71</v>
      </c>
      <c r="C73" s="141" t="b">
        <v>0</v>
      </c>
      <c r="D73" s="140" t="str">
        <v>V9</v>
      </c>
      <c r="E73" s="139" t="str">
        <f t="shared" si="2"/>
        <v>GBPFUT3MV9_Quote</v>
      </c>
      <c r="F73" s="138" t="str">
        <f>_xll.qlSimpleQuote(E73,,PriceTickValue,Permanent,Trigger,ObjectOverwrite)</f>
        <v>GBPFUT3MV9_Quote#0002</v>
      </c>
      <c r="G73" s="101" t="str">
        <f>_xll.ohRangeRetrieveError(F73)</f>
        <v/>
      </c>
      <c r="H73" s="137"/>
    </row>
    <row r="74" spans="1:8" x14ac:dyDescent="0.2">
      <c r="A74" s="143"/>
      <c r="B74" s="142">
        <v>72</v>
      </c>
      <c r="C74" s="141" t="b">
        <v>0</v>
      </c>
      <c r="D74" s="140" t="str">
        <v>X9</v>
      </c>
      <c r="E74" s="139" t="str">
        <f t="shared" si="2"/>
        <v>GBPFUT3MX9_Quote</v>
      </c>
      <c r="F74" s="138" t="str">
        <f>_xll.qlSimpleQuote(E74,,PriceTickValue,Permanent,Trigger,ObjectOverwrite)</f>
        <v>GBPFUT3MX9_Quote#0002</v>
      </c>
      <c r="G74" s="101" t="str">
        <f>_xll.ohRangeRetrieveError(F74)</f>
        <v/>
      </c>
      <c r="H74" s="137"/>
    </row>
    <row r="75" spans="1:8" x14ac:dyDescent="0.2">
      <c r="A75" s="143"/>
      <c r="B75" s="142">
        <v>73</v>
      </c>
      <c r="C75" s="141" t="b">
        <v>0</v>
      </c>
      <c r="D75" s="140" t="str">
        <v>Z9</v>
      </c>
      <c r="E75" s="139" t="str">
        <f t="shared" si="2"/>
        <v>GBPFUT3MZ9_Quote</v>
      </c>
      <c r="F75" s="138" t="str">
        <f>_xll.qlSimpleQuote(E75,,PriceTickValue,Permanent,Trigger,ObjectOverwrite)</f>
        <v>GBPFUT3MZ9_Quote#0002</v>
      </c>
      <c r="G75" s="101" t="str">
        <f>_xll.ohRangeRetrieveError(F75)</f>
        <v/>
      </c>
      <c r="H75" s="137"/>
    </row>
    <row r="76" spans="1:8" x14ac:dyDescent="0.2">
      <c r="A76" s="143"/>
      <c r="B76" s="142">
        <v>74</v>
      </c>
      <c r="C76" s="141" t="b">
        <v>0</v>
      </c>
      <c r="D76" s="140" t="str">
        <v>F0</v>
      </c>
      <c r="E76" s="139" t="str">
        <f t="shared" si="2"/>
        <v>GBPFUT3MF0_Quote</v>
      </c>
      <c r="F76" s="138" t="str">
        <f>_xll.qlSimpleQuote(E76,,PriceTickValue,Permanent,Trigger,ObjectOverwrite)</f>
        <v>GBPFUT3MF0_Quote#0002</v>
      </c>
      <c r="G76" s="101" t="str">
        <f>_xll.ohRangeRetrieveError(F76)</f>
        <v/>
      </c>
      <c r="H76" s="137"/>
    </row>
    <row r="77" spans="1:8" x14ac:dyDescent="0.2">
      <c r="A77" s="143"/>
      <c r="B77" s="142">
        <v>75</v>
      </c>
      <c r="C77" s="141" t="b">
        <v>0</v>
      </c>
      <c r="D77" s="140" t="str">
        <v>G0</v>
      </c>
      <c r="E77" s="139" t="str">
        <f t="shared" si="2"/>
        <v>GBPFUT3MG0_Quote</v>
      </c>
      <c r="F77" s="138" t="str">
        <f>_xll.qlSimpleQuote(E77,,PriceTickValue,Permanent,Trigger,ObjectOverwrite)</f>
        <v>GBPFUT3MG0_Quote#0002</v>
      </c>
      <c r="G77" s="101" t="str">
        <f>_xll.ohRangeRetrieveError(F77)</f>
        <v/>
      </c>
      <c r="H77" s="137"/>
    </row>
    <row r="78" spans="1:8" x14ac:dyDescent="0.2">
      <c r="A78" s="143"/>
      <c r="B78" s="142">
        <v>76</v>
      </c>
      <c r="C78" s="141" t="b">
        <v>0</v>
      </c>
      <c r="D78" s="140" t="str">
        <v>H0</v>
      </c>
      <c r="E78" s="139" t="str">
        <f t="shared" si="2"/>
        <v>GBPFUT3MH0_Quote</v>
      </c>
      <c r="F78" s="138" t="str">
        <f>_xll.qlSimpleQuote(E78,,PriceTickValue,Permanent,Trigger,ObjectOverwrite)</f>
        <v>GBPFUT3MH0_Quote#0002</v>
      </c>
      <c r="G78" s="101" t="str">
        <f>_xll.ohRangeRetrieveError(F78)</f>
        <v/>
      </c>
      <c r="H78" s="137"/>
    </row>
    <row r="79" spans="1:8" x14ac:dyDescent="0.2">
      <c r="A79" s="143"/>
      <c r="B79" s="142">
        <v>77</v>
      </c>
      <c r="C79" s="141" t="b">
        <v>0</v>
      </c>
      <c r="D79" s="140" t="str">
        <v>J0</v>
      </c>
      <c r="E79" s="139" t="str">
        <f t="shared" si="2"/>
        <v>GBPFUT3MJ0_Quote</v>
      </c>
      <c r="F79" s="138" t="str">
        <f>_xll.qlSimpleQuote(E79,,PriceTickValue,Permanent,Trigger,ObjectOverwrite)</f>
        <v>GBPFUT3MJ0_Quote#0002</v>
      </c>
      <c r="G79" s="101" t="str">
        <f>_xll.ohRangeRetrieveError(F79)</f>
        <v/>
      </c>
      <c r="H79" s="137"/>
    </row>
    <row r="80" spans="1:8" x14ac:dyDescent="0.2">
      <c r="A80" s="143"/>
      <c r="B80" s="142">
        <v>78</v>
      </c>
      <c r="C80" s="141" t="b">
        <v>0</v>
      </c>
      <c r="D80" s="140" t="str">
        <v>K0</v>
      </c>
      <c r="E80" s="139" t="str">
        <f t="shared" si="2"/>
        <v>GBPFUT3MK0_Quote</v>
      </c>
      <c r="F80" s="138" t="str">
        <f>_xll.qlSimpleQuote(E80,,PriceTickValue,Permanent,Trigger,ObjectOverwrite)</f>
        <v>GBPFUT3MK0_Quote#0002</v>
      </c>
      <c r="G80" s="101" t="str">
        <f>_xll.ohRangeRetrieveError(F80)</f>
        <v/>
      </c>
      <c r="H80" s="137"/>
    </row>
    <row r="81" spans="1:8" x14ac:dyDescent="0.2">
      <c r="A81" s="143"/>
      <c r="B81" s="142">
        <v>79</v>
      </c>
      <c r="C81" s="141" t="b">
        <v>0</v>
      </c>
      <c r="D81" s="140" t="str">
        <v>M0</v>
      </c>
      <c r="E81" s="139" t="str">
        <f t="shared" si="2"/>
        <v>GBPFUT3MM0_Quote</v>
      </c>
      <c r="F81" s="138" t="str">
        <f>_xll.qlSimpleQuote(E81,,PriceTickValue,Permanent,Trigger,ObjectOverwrite)</f>
        <v>GBPFUT3MM0_Quote#0002</v>
      </c>
      <c r="G81" s="101" t="str">
        <f>_xll.ohRangeRetrieveError(F81)</f>
        <v/>
      </c>
      <c r="H81" s="137"/>
    </row>
    <row r="82" spans="1:8" x14ac:dyDescent="0.2">
      <c r="A82" s="143"/>
      <c r="B82" s="142">
        <v>80</v>
      </c>
      <c r="C82" s="141" t="b">
        <v>0</v>
      </c>
      <c r="D82" s="140" t="str">
        <v>N0</v>
      </c>
      <c r="E82" s="139" t="str">
        <f t="shared" si="2"/>
        <v>GBPFUT3MN0_Quote</v>
      </c>
      <c r="F82" s="138" t="str">
        <f>_xll.qlSimpleQuote(E82,,PriceTickValue,Permanent,Trigger,ObjectOverwrite)</f>
        <v>GBPFUT3MN0_Quote#0002</v>
      </c>
      <c r="G82" s="101" t="str">
        <f>_xll.ohRangeRetrieveError(F82)</f>
        <v/>
      </c>
      <c r="H82" s="137"/>
    </row>
    <row r="83" spans="1:8" x14ac:dyDescent="0.2">
      <c r="A83" s="143"/>
      <c r="B83" s="142">
        <v>81</v>
      </c>
      <c r="C83" s="141" t="b">
        <v>0</v>
      </c>
      <c r="D83" s="140" t="str">
        <v>Q0</v>
      </c>
      <c r="E83" s="139" t="str">
        <f t="shared" si="2"/>
        <v>GBPFUT3MQ0_Quote</v>
      </c>
      <c r="F83" s="138" t="str">
        <f>_xll.qlSimpleQuote(E83,,PriceTickValue,Permanent,Trigger,ObjectOverwrite)</f>
        <v>GBPFUT3MQ0_Quote#0002</v>
      </c>
      <c r="G83" s="101" t="str">
        <f>_xll.ohRangeRetrieveError(F83)</f>
        <v/>
      </c>
      <c r="H83" s="137"/>
    </row>
    <row r="84" spans="1:8" x14ac:dyDescent="0.2">
      <c r="A84" s="143"/>
      <c r="B84" s="142">
        <v>82</v>
      </c>
      <c r="C84" s="141" t="b">
        <v>0</v>
      </c>
      <c r="D84" s="140" t="str">
        <v>U0</v>
      </c>
      <c r="E84" s="139" t="str">
        <f t="shared" si="2"/>
        <v>GBPFUT3MU0_Quote</v>
      </c>
      <c r="F84" s="138" t="str">
        <f>_xll.qlSimpleQuote(E84,,PriceTickValue,Permanent,Trigger,ObjectOverwrite)</f>
        <v>GBPFUT3MU0_Quote#0002</v>
      </c>
      <c r="G84" s="101" t="str">
        <f>_xll.ohRangeRetrieveError(F84)</f>
        <v/>
      </c>
      <c r="H84" s="137"/>
    </row>
    <row r="85" spans="1:8" x14ac:dyDescent="0.2">
      <c r="A85" s="143"/>
      <c r="B85" s="142">
        <v>83</v>
      </c>
      <c r="C85" s="141" t="b">
        <v>0</v>
      </c>
      <c r="D85" s="140" t="str">
        <v>V0</v>
      </c>
      <c r="E85" s="139" t="str">
        <f t="shared" si="2"/>
        <v>GBPFUT3MV0_Quote</v>
      </c>
      <c r="F85" s="138" t="str">
        <f>_xll.qlSimpleQuote(E85,,PriceTickValue,Permanent,Trigger,ObjectOverwrite)</f>
        <v>GBPFUT3MV0_Quote#0002</v>
      </c>
      <c r="G85" s="101" t="str">
        <f>_xll.ohRangeRetrieveError(F85)</f>
        <v/>
      </c>
      <c r="H85" s="137"/>
    </row>
    <row r="86" spans="1:8" x14ac:dyDescent="0.2">
      <c r="A86" s="143"/>
      <c r="B86" s="142">
        <v>84</v>
      </c>
      <c r="C86" s="141" t="b">
        <v>0</v>
      </c>
      <c r="D86" s="140" t="str">
        <v>X0</v>
      </c>
      <c r="E86" s="139" t="str">
        <f t="shared" si="2"/>
        <v>GBPFUT3MX0_Quote</v>
      </c>
      <c r="F86" s="138" t="str">
        <f>_xll.qlSimpleQuote(E86,,PriceTickValue,Permanent,Trigger,ObjectOverwrite)</f>
        <v>GBPFUT3MX0_Quote#0002</v>
      </c>
      <c r="G86" s="101" t="str">
        <f>_xll.ohRangeRetrieveError(F86)</f>
        <v/>
      </c>
      <c r="H86" s="137"/>
    </row>
    <row r="87" spans="1:8" x14ac:dyDescent="0.2">
      <c r="A87" s="143"/>
      <c r="B87" s="142">
        <v>85</v>
      </c>
      <c r="C87" s="141" t="b">
        <v>0</v>
      </c>
      <c r="D87" s="140" t="str">
        <v>Z0</v>
      </c>
      <c r="E87" s="139" t="str">
        <f t="shared" si="2"/>
        <v>GBPFUT3MZ0_Quote</v>
      </c>
      <c r="F87" s="138" t="str">
        <f>_xll.qlSimpleQuote(E87,,PriceTickValue,Permanent,Trigger,ObjectOverwrite)</f>
        <v>GBPFUT3MZ0_Quote#0002</v>
      </c>
      <c r="G87" s="101" t="str">
        <f>_xll.ohRangeRetrieveError(F87)</f>
        <v/>
      </c>
      <c r="H87" s="137"/>
    </row>
    <row r="88" spans="1:8" x14ac:dyDescent="0.2">
      <c r="A88" s="143"/>
      <c r="B88" s="142">
        <v>86</v>
      </c>
      <c r="C88" s="141" t="b">
        <v>0</v>
      </c>
      <c r="D88" s="140" t="str">
        <v>F1</v>
      </c>
      <c r="E88" s="139" t="str">
        <f t="shared" si="2"/>
        <v>GBPFUT3MF1_Quote</v>
      </c>
      <c r="F88" s="138" t="str">
        <f>_xll.qlSimpleQuote(E88,,PriceTickValue,Permanent,Trigger,ObjectOverwrite)</f>
        <v>GBPFUT3MF1_Quote#0002</v>
      </c>
      <c r="G88" s="101" t="str">
        <f>_xll.ohRangeRetrieveError(F88)</f>
        <v/>
      </c>
      <c r="H88" s="137"/>
    </row>
    <row r="89" spans="1:8" x14ac:dyDescent="0.2">
      <c r="A89" s="143"/>
      <c r="B89" s="142">
        <v>87</v>
      </c>
      <c r="C89" s="141" t="b">
        <v>0</v>
      </c>
      <c r="D89" s="140" t="str">
        <v>G1</v>
      </c>
      <c r="E89" s="139" t="str">
        <f t="shared" si="2"/>
        <v>GBPFUT3MG1_Quote</v>
      </c>
      <c r="F89" s="138" t="str">
        <f>_xll.qlSimpleQuote(E89,,PriceTickValue,Permanent,Trigger,ObjectOverwrite)</f>
        <v>GBPFUT3MG1_Quote#0002</v>
      </c>
      <c r="G89" s="101" t="str">
        <f>_xll.ohRangeRetrieveError(F89)</f>
        <v/>
      </c>
      <c r="H89" s="137"/>
    </row>
    <row r="90" spans="1:8" x14ac:dyDescent="0.2">
      <c r="A90" s="143"/>
      <c r="B90" s="142">
        <v>88</v>
      </c>
      <c r="C90" s="141" t="b">
        <v>0</v>
      </c>
      <c r="D90" s="140" t="str">
        <v>H1</v>
      </c>
      <c r="E90" s="139" t="str">
        <f t="shared" si="2"/>
        <v>GBPFUT3MH1_Quote</v>
      </c>
      <c r="F90" s="138" t="str">
        <f>_xll.qlSimpleQuote(E90,,PriceTickValue,Permanent,Trigger,ObjectOverwrite)</f>
        <v>GBPFUT3MH1_Quote#0002</v>
      </c>
      <c r="G90" s="101" t="str">
        <f>_xll.ohRangeRetrieveError(F90)</f>
        <v/>
      </c>
      <c r="H90" s="137"/>
    </row>
    <row r="91" spans="1:8" x14ac:dyDescent="0.2">
      <c r="A91" s="143"/>
      <c r="B91" s="142">
        <v>89</v>
      </c>
      <c r="C91" s="141" t="b">
        <v>0</v>
      </c>
      <c r="D91" s="140" t="str">
        <v>J1</v>
      </c>
      <c r="E91" s="139" t="str">
        <f t="shared" si="2"/>
        <v>GBPFUT3MJ1_Quote</v>
      </c>
      <c r="F91" s="138" t="str">
        <f>_xll.qlSimpleQuote(E91,,PriceTickValue,Permanent,Trigger,ObjectOverwrite)</f>
        <v>GBPFUT3MJ1_Quote#0002</v>
      </c>
      <c r="G91" s="101" t="str">
        <f>_xll.ohRangeRetrieveError(F91)</f>
        <v/>
      </c>
      <c r="H91" s="137"/>
    </row>
    <row r="92" spans="1:8" x14ac:dyDescent="0.2">
      <c r="A92" s="143"/>
      <c r="B92" s="142">
        <v>90</v>
      </c>
      <c r="C92" s="141" t="b">
        <v>0</v>
      </c>
      <c r="D92" s="140" t="str">
        <v>K1</v>
      </c>
      <c r="E92" s="139" t="str">
        <f t="shared" si="2"/>
        <v>GBPFUT3MK1_Quote</v>
      </c>
      <c r="F92" s="138" t="str">
        <f>_xll.qlSimpleQuote(E92,,PriceTickValue,Permanent,Trigger,ObjectOverwrite)</f>
        <v>GBPFUT3MK1_Quote#0002</v>
      </c>
      <c r="G92" s="101" t="str">
        <f>_xll.ohRangeRetrieveError(F92)</f>
        <v/>
      </c>
      <c r="H92" s="137"/>
    </row>
    <row r="93" spans="1:8" x14ac:dyDescent="0.2">
      <c r="A93" s="143"/>
      <c r="B93" s="142">
        <v>91</v>
      </c>
      <c r="C93" s="141" t="b">
        <v>0</v>
      </c>
      <c r="D93" s="140" t="str">
        <v>M1</v>
      </c>
      <c r="E93" s="139" t="str">
        <f t="shared" si="2"/>
        <v>GBPFUT3MM1_Quote</v>
      </c>
      <c r="F93" s="138" t="str">
        <f>_xll.qlSimpleQuote(E93,,PriceTickValue,Permanent,Trigger,ObjectOverwrite)</f>
        <v>GBPFUT3MM1_Quote#0002</v>
      </c>
      <c r="G93" s="101" t="str">
        <f>_xll.ohRangeRetrieveError(F93)</f>
        <v/>
      </c>
      <c r="H93" s="137"/>
    </row>
    <row r="94" spans="1:8" x14ac:dyDescent="0.2">
      <c r="A94" s="143"/>
      <c r="B94" s="142">
        <v>92</v>
      </c>
      <c r="C94" s="141" t="b">
        <v>0</v>
      </c>
      <c r="D94" s="140" t="str">
        <v>N1</v>
      </c>
      <c r="E94" s="139" t="str">
        <f t="shared" si="2"/>
        <v>GBPFUT3MN1_Quote</v>
      </c>
      <c r="F94" s="138" t="str">
        <f>_xll.qlSimpleQuote(E94,,PriceTickValue,Permanent,Trigger,ObjectOverwrite)</f>
        <v>GBPFUT3MN1_Quote#0002</v>
      </c>
      <c r="G94" s="101" t="str">
        <f>_xll.ohRangeRetrieveError(F94)</f>
        <v/>
      </c>
      <c r="H94" s="137"/>
    </row>
    <row r="95" spans="1:8" x14ac:dyDescent="0.2">
      <c r="A95" s="143"/>
      <c r="B95" s="142">
        <v>93</v>
      </c>
      <c r="C95" s="141" t="b">
        <v>0</v>
      </c>
      <c r="D95" s="140" t="str">
        <v>Q1</v>
      </c>
      <c r="E95" s="139" t="str">
        <f t="shared" si="2"/>
        <v>GBPFUT3MQ1_Quote</v>
      </c>
      <c r="F95" s="138" t="str">
        <f>_xll.qlSimpleQuote(E95,,PriceTickValue,Permanent,Trigger,ObjectOverwrite)</f>
        <v>GBPFUT3MQ1_Quote#0002</v>
      </c>
      <c r="G95" s="101" t="str">
        <f>_xll.ohRangeRetrieveError(F95)</f>
        <v/>
      </c>
      <c r="H95" s="137"/>
    </row>
    <row r="96" spans="1:8" x14ac:dyDescent="0.2">
      <c r="A96" s="143"/>
      <c r="B96" s="142">
        <v>94</v>
      </c>
      <c r="C96" s="141" t="b">
        <v>0</v>
      </c>
      <c r="D96" s="140" t="str">
        <v>U1</v>
      </c>
      <c r="E96" s="139" t="str">
        <f t="shared" si="2"/>
        <v>GBPFUT3MU1_Quote</v>
      </c>
      <c r="F96" s="138" t="str">
        <f>_xll.qlSimpleQuote(E96,,PriceTickValue,Permanent,Trigger,ObjectOverwrite)</f>
        <v>GBPFUT3MU1_Quote#0002</v>
      </c>
      <c r="G96" s="101" t="str">
        <f>_xll.ohRangeRetrieveError(F96)</f>
        <v/>
      </c>
      <c r="H96" s="137"/>
    </row>
    <row r="97" spans="1:8" x14ac:dyDescent="0.2">
      <c r="A97" s="143"/>
      <c r="B97" s="142">
        <v>95</v>
      </c>
      <c r="C97" s="141" t="b">
        <v>0</v>
      </c>
      <c r="D97" s="140" t="str">
        <v>V1</v>
      </c>
      <c r="E97" s="139" t="str">
        <f t="shared" si="2"/>
        <v>GBPFUT3MV1_Quote</v>
      </c>
      <c r="F97" s="138" t="str">
        <f>_xll.qlSimpleQuote(E97,,PriceTickValue,Permanent,Trigger,ObjectOverwrite)</f>
        <v>GBPFUT3MV1_Quote#0002</v>
      </c>
      <c r="G97" s="101" t="str">
        <f>_xll.ohRangeRetrieveError(F97)</f>
        <v/>
      </c>
      <c r="H97" s="137"/>
    </row>
    <row r="98" spans="1:8" x14ac:dyDescent="0.2">
      <c r="A98" s="143"/>
      <c r="B98" s="142">
        <v>96</v>
      </c>
      <c r="C98" s="141" t="b">
        <v>0</v>
      </c>
      <c r="D98" s="140" t="str">
        <v>X1</v>
      </c>
      <c r="E98" s="139" t="str">
        <f t="shared" si="2"/>
        <v>GBPFUT3MX1_Quote</v>
      </c>
      <c r="F98" s="138" t="str">
        <f>_xll.qlSimpleQuote(E98,,PriceTickValue,Permanent,Trigger,ObjectOverwrite)</f>
        <v>GBPFUT3MX1_Quote#0002</v>
      </c>
      <c r="G98" s="101" t="str">
        <f>_xll.ohRangeRetrieveError(F98)</f>
        <v/>
      </c>
      <c r="H98" s="137"/>
    </row>
    <row r="99" spans="1:8" x14ac:dyDescent="0.2">
      <c r="A99" s="143"/>
      <c r="B99" s="142">
        <v>97</v>
      </c>
      <c r="C99" s="141" t="b">
        <v>0</v>
      </c>
      <c r="D99" s="140" t="str">
        <v>Z1</v>
      </c>
      <c r="E99" s="139" t="str">
        <f t="shared" ref="E99:E122" si="3">Currency&amp;$D$1&amp;$E$1&amp;$D99&amp;QuoteSuffix</f>
        <v>GBPFUT3MZ1_Quote</v>
      </c>
      <c r="F99" s="138" t="str">
        <f>_xll.qlSimpleQuote(E99,,PriceTickValue,Permanent,Trigger,ObjectOverwrite)</f>
        <v>GBPFUT3MZ1_Quote#0002</v>
      </c>
      <c r="G99" s="101" t="str">
        <f>_xll.ohRangeRetrieveError(F99)</f>
        <v/>
      </c>
      <c r="H99" s="137"/>
    </row>
    <row r="100" spans="1:8" x14ac:dyDescent="0.2">
      <c r="A100" s="143"/>
      <c r="B100" s="142">
        <v>98</v>
      </c>
      <c r="C100" s="141" t="b">
        <v>0</v>
      </c>
      <c r="D100" s="140" t="str">
        <v>F2</v>
      </c>
      <c r="E100" s="139" t="str">
        <f t="shared" si="3"/>
        <v>GBPFUT3MF2_Quote</v>
      </c>
      <c r="F100" s="138" t="str">
        <f>_xll.qlSimpleQuote(E100,,PriceTickValue,Permanent,Trigger,ObjectOverwrite)</f>
        <v>GBPFUT3MF2_Quote#0002</v>
      </c>
      <c r="G100" s="101" t="str">
        <f>_xll.ohRangeRetrieveError(F100)</f>
        <v/>
      </c>
      <c r="H100" s="137"/>
    </row>
    <row r="101" spans="1:8" x14ac:dyDescent="0.2">
      <c r="A101" s="143"/>
      <c r="B101" s="142">
        <v>99</v>
      </c>
      <c r="C101" s="141" t="b">
        <v>0</v>
      </c>
      <c r="D101" s="140" t="str">
        <v>G2</v>
      </c>
      <c r="E101" s="139" t="str">
        <f t="shared" si="3"/>
        <v>GBPFUT3MG2_Quote</v>
      </c>
      <c r="F101" s="138" t="str">
        <f>_xll.qlSimpleQuote(E101,,PriceTickValue,Permanent,Trigger,ObjectOverwrite)</f>
        <v>GBPFUT3MG2_Quote#0002</v>
      </c>
      <c r="G101" s="101" t="str">
        <f>_xll.ohRangeRetrieveError(F101)</f>
        <v/>
      </c>
      <c r="H101" s="137"/>
    </row>
    <row r="102" spans="1:8" x14ac:dyDescent="0.2">
      <c r="A102" s="143"/>
      <c r="B102" s="142">
        <v>100</v>
      </c>
      <c r="C102" s="141" t="b">
        <v>0</v>
      </c>
      <c r="D102" s="140" t="str">
        <v>H2</v>
      </c>
      <c r="E102" s="139" t="str">
        <f t="shared" si="3"/>
        <v>GBPFUT3MH2_Quote</v>
      </c>
      <c r="F102" s="138" t="str">
        <f>_xll.qlSimpleQuote(E102,,PriceTickValue,Permanent,Trigger,ObjectOverwrite)</f>
        <v>GBPFUT3MH2_Quote#0002</v>
      </c>
      <c r="G102" s="101" t="str">
        <f>_xll.ohRangeRetrieveError(F102)</f>
        <v/>
      </c>
      <c r="H102" s="137"/>
    </row>
    <row r="103" spans="1:8" x14ac:dyDescent="0.2">
      <c r="A103" s="143"/>
      <c r="B103" s="142">
        <v>101</v>
      </c>
      <c r="C103" s="141" t="b">
        <v>0</v>
      </c>
      <c r="D103" s="140" t="str">
        <v>J2</v>
      </c>
      <c r="E103" s="139" t="str">
        <f t="shared" si="3"/>
        <v>GBPFUT3MJ2_Quote</v>
      </c>
      <c r="F103" s="138" t="str">
        <f>_xll.qlSimpleQuote(E103,,PriceTickValue,Permanent,Trigger,ObjectOverwrite)</f>
        <v>GBPFUT3MJ2_Quote#0002</v>
      </c>
      <c r="G103" s="101" t="str">
        <f>_xll.ohRangeRetrieveError(F103)</f>
        <v/>
      </c>
      <c r="H103" s="137"/>
    </row>
    <row r="104" spans="1:8" x14ac:dyDescent="0.2">
      <c r="A104" s="143"/>
      <c r="B104" s="142">
        <v>102</v>
      </c>
      <c r="C104" s="141" t="b">
        <v>0</v>
      </c>
      <c r="D104" s="140" t="str">
        <v>K2</v>
      </c>
      <c r="E104" s="139" t="str">
        <f t="shared" si="3"/>
        <v>GBPFUT3MK2_Quote</v>
      </c>
      <c r="F104" s="138" t="str">
        <f>_xll.qlSimpleQuote(E104,,PriceTickValue,Permanent,Trigger,ObjectOverwrite)</f>
        <v>GBPFUT3MK2_Quote#0002</v>
      </c>
      <c r="G104" s="101" t="str">
        <f>_xll.ohRangeRetrieveError(F104)</f>
        <v/>
      </c>
      <c r="H104" s="137"/>
    </row>
    <row r="105" spans="1:8" x14ac:dyDescent="0.2">
      <c r="A105" s="143"/>
      <c r="B105" s="142">
        <v>103</v>
      </c>
      <c r="C105" s="141" t="b">
        <v>0</v>
      </c>
      <c r="D105" s="140" t="str">
        <v>M2</v>
      </c>
      <c r="E105" s="139" t="str">
        <f t="shared" si="3"/>
        <v>GBPFUT3MM2_Quote</v>
      </c>
      <c r="F105" s="138" t="str">
        <f>_xll.qlSimpleQuote(E105,,PriceTickValue,Permanent,Trigger,ObjectOverwrite)</f>
        <v>GBPFUT3MM2_Quote#0002</v>
      </c>
      <c r="G105" s="101" t="str">
        <f>_xll.ohRangeRetrieveError(F105)</f>
        <v/>
      </c>
      <c r="H105" s="137"/>
    </row>
    <row r="106" spans="1:8" x14ac:dyDescent="0.2">
      <c r="A106" s="143"/>
      <c r="B106" s="142">
        <v>104</v>
      </c>
      <c r="C106" s="141" t="b">
        <v>0</v>
      </c>
      <c r="D106" s="140" t="str">
        <v>N2</v>
      </c>
      <c r="E106" s="139" t="str">
        <f t="shared" si="3"/>
        <v>GBPFUT3MN2_Quote</v>
      </c>
      <c r="F106" s="138" t="str">
        <f>_xll.qlSimpleQuote(E106,,PriceTickValue,Permanent,Trigger,ObjectOverwrite)</f>
        <v>GBPFUT3MN2_Quote#0002</v>
      </c>
      <c r="G106" s="101" t="str">
        <f>_xll.ohRangeRetrieveError(F106)</f>
        <v/>
      </c>
      <c r="H106" s="137"/>
    </row>
    <row r="107" spans="1:8" x14ac:dyDescent="0.2">
      <c r="A107" s="143"/>
      <c r="B107" s="142">
        <v>105</v>
      </c>
      <c r="C107" s="141" t="b">
        <v>0</v>
      </c>
      <c r="D107" s="140" t="str">
        <v>Q2</v>
      </c>
      <c r="E107" s="139" t="str">
        <f t="shared" si="3"/>
        <v>GBPFUT3MQ2_Quote</v>
      </c>
      <c r="F107" s="138" t="str">
        <f>_xll.qlSimpleQuote(E107,,PriceTickValue,Permanent,Trigger,ObjectOverwrite)</f>
        <v>GBPFUT3MQ2_Quote#0002</v>
      </c>
      <c r="G107" s="101" t="str">
        <f>_xll.ohRangeRetrieveError(F107)</f>
        <v/>
      </c>
      <c r="H107" s="137"/>
    </row>
    <row r="108" spans="1:8" x14ac:dyDescent="0.2">
      <c r="A108" s="143"/>
      <c r="B108" s="142">
        <v>106</v>
      </c>
      <c r="C108" s="141" t="b">
        <v>0</v>
      </c>
      <c r="D108" s="140" t="str">
        <v>U2</v>
      </c>
      <c r="E108" s="139" t="str">
        <f t="shared" si="3"/>
        <v>GBPFUT3MU2_Quote</v>
      </c>
      <c r="F108" s="138" t="str">
        <f>_xll.qlSimpleQuote(E108,,PriceTickValue,Permanent,Trigger,ObjectOverwrite)</f>
        <v>GBPFUT3MU2_Quote#0002</v>
      </c>
      <c r="G108" s="101" t="str">
        <f>_xll.ohRangeRetrieveError(F108)</f>
        <v/>
      </c>
      <c r="H108" s="137"/>
    </row>
    <row r="109" spans="1:8" x14ac:dyDescent="0.2">
      <c r="A109" s="143"/>
      <c r="B109" s="142">
        <v>107</v>
      </c>
      <c r="C109" s="141" t="b">
        <v>0</v>
      </c>
      <c r="D109" s="140" t="str">
        <v>V2</v>
      </c>
      <c r="E109" s="139" t="str">
        <f t="shared" si="3"/>
        <v>GBPFUT3MV2_Quote</v>
      </c>
      <c r="F109" s="138" t="str">
        <f>_xll.qlSimpleQuote(E109,,PriceTickValue,Permanent,Trigger,ObjectOverwrite)</f>
        <v>GBPFUT3MV2_Quote#0002</v>
      </c>
      <c r="G109" s="101" t="str">
        <f>_xll.ohRangeRetrieveError(F109)</f>
        <v/>
      </c>
      <c r="H109" s="137"/>
    </row>
    <row r="110" spans="1:8" x14ac:dyDescent="0.2">
      <c r="A110" s="143"/>
      <c r="B110" s="142">
        <v>108</v>
      </c>
      <c r="C110" s="141" t="b">
        <v>0</v>
      </c>
      <c r="D110" s="140" t="str">
        <v>X2</v>
      </c>
      <c r="E110" s="139" t="str">
        <f t="shared" si="3"/>
        <v>GBPFUT3MX2_Quote</v>
      </c>
      <c r="F110" s="138" t="str">
        <f>_xll.qlSimpleQuote(E110,,PriceTickValue,Permanent,Trigger,ObjectOverwrite)</f>
        <v>GBPFUT3MX2_Quote#0002</v>
      </c>
      <c r="G110" s="101" t="str">
        <f>_xll.ohRangeRetrieveError(F110)</f>
        <v/>
      </c>
      <c r="H110" s="137"/>
    </row>
    <row r="111" spans="1:8" x14ac:dyDescent="0.2">
      <c r="A111" s="143"/>
      <c r="B111" s="142">
        <v>109</v>
      </c>
      <c r="C111" s="141" t="b">
        <v>0</v>
      </c>
      <c r="D111" s="140" t="str">
        <v>Z2</v>
      </c>
      <c r="E111" s="139" t="str">
        <f t="shared" si="3"/>
        <v>GBPFUT3MZ2_Quote</v>
      </c>
      <c r="F111" s="138" t="str">
        <f>_xll.qlSimpleQuote(E111,,PriceTickValue,Permanent,Trigger,ObjectOverwrite)</f>
        <v>GBPFUT3MZ2_Quote#0002</v>
      </c>
      <c r="G111" s="101" t="str">
        <f>_xll.ohRangeRetrieveError(F111)</f>
        <v/>
      </c>
      <c r="H111" s="137"/>
    </row>
    <row r="112" spans="1:8" x14ac:dyDescent="0.2">
      <c r="A112" s="143"/>
      <c r="B112" s="142">
        <v>110</v>
      </c>
      <c r="C112" s="141" t="b">
        <v>0</v>
      </c>
      <c r="D112" s="140" t="str">
        <v>F3</v>
      </c>
      <c r="E112" s="139" t="str">
        <f t="shared" si="3"/>
        <v>GBPFUT3MF3_Quote</v>
      </c>
      <c r="F112" s="138" t="str">
        <f>_xll.qlSimpleQuote(E112,,PriceTickValue,Permanent,Trigger,ObjectOverwrite)</f>
        <v>GBPFUT3MF3_Quote#0002</v>
      </c>
      <c r="G112" s="101" t="str">
        <f>_xll.ohRangeRetrieveError(F112)</f>
        <v/>
      </c>
      <c r="H112" s="137"/>
    </row>
    <row r="113" spans="1:8" x14ac:dyDescent="0.2">
      <c r="A113" s="143"/>
      <c r="B113" s="142">
        <v>111</v>
      </c>
      <c r="C113" s="141" t="b">
        <v>0</v>
      </c>
      <c r="D113" s="140" t="str">
        <v>G3</v>
      </c>
      <c r="E113" s="139" t="str">
        <f t="shared" si="3"/>
        <v>GBPFUT3MG3_Quote</v>
      </c>
      <c r="F113" s="138" t="str">
        <f>_xll.qlSimpleQuote(E113,,PriceTickValue,Permanent,Trigger,ObjectOverwrite)</f>
        <v>GBPFUT3MG3_Quote#0002</v>
      </c>
      <c r="G113" s="101" t="str">
        <f>_xll.ohRangeRetrieveError(F113)</f>
        <v/>
      </c>
      <c r="H113" s="137"/>
    </row>
    <row r="114" spans="1:8" x14ac:dyDescent="0.2">
      <c r="A114" s="143"/>
      <c r="B114" s="142">
        <v>112</v>
      </c>
      <c r="C114" s="141" t="b">
        <v>0</v>
      </c>
      <c r="D114" s="140" t="str">
        <v>H3</v>
      </c>
      <c r="E114" s="139" t="str">
        <f t="shared" si="3"/>
        <v>GBPFUT3MH3_Quote</v>
      </c>
      <c r="F114" s="138" t="str">
        <f>_xll.qlSimpleQuote(E114,,PriceTickValue,Permanent,Trigger,ObjectOverwrite)</f>
        <v>GBPFUT3MH3_Quote#0002</v>
      </c>
      <c r="G114" s="101" t="str">
        <f>_xll.ohRangeRetrieveError(F114)</f>
        <v/>
      </c>
      <c r="H114" s="137"/>
    </row>
    <row r="115" spans="1:8" x14ac:dyDescent="0.2">
      <c r="A115" s="143"/>
      <c r="B115" s="142">
        <v>113</v>
      </c>
      <c r="C115" s="141" t="b">
        <v>0</v>
      </c>
      <c r="D115" s="140" t="str">
        <v>J3</v>
      </c>
      <c r="E115" s="139" t="str">
        <f t="shared" si="3"/>
        <v>GBPFUT3MJ3_Quote</v>
      </c>
      <c r="F115" s="138" t="str">
        <f>_xll.qlSimpleQuote(E115,,PriceTickValue,Permanent,Trigger,ObjectOverwrite)</f>
        <v>GBPFUT3MJ3_Quote#0002</v>
      </c>
      <c r="G115" s="101" t="str">
        <f>_xll.ohRangeRetrieveError(F115)</f>
        <v/>
      </c>
      <c r="H115" s="137"/>
    </row>
    <row r="116" spans="1:8" x14ac:dyDescent="0.2">
      <c r="A116" s="143"/>
      <c r="B116" s="142">
        <v>114</v>
      </c>
      <c r="C116" s="141" t="b">
        <v>0</v>
      </c>
      <c r="D116" s="140" t="str">
        <v>K3</v>
      </c>
      <c r="E116" s="139" t="str">
        <f t="shared" si="3"/>
        <v>GBPFUT3MK3_Quote</v>
      </c>
      <c r="F116" s="138" t="str">
        <f>_xll.qlSimpleQuote(E116,,PriceTickValue,Permanent,Trigger,ObjectOverwrite)</f>
        <v>GBPFUT3MK3_Quote#0002</v>
      </c>
      <c r="G116" s="101" t="str">
        <f>_xll.ohRangeRetrieveError(F116)</f>
        <v/>
      </c>
      <c r="H116" s="137"/>
    </row>
    <row r="117" spans="1:8" x14ac:dyDescent="0.2">
      <c r="A117" s="143"/>
      <c r="B117" s="142">
        <v>115</v>
      </c>
      <c r="C117" s="141" t="b">
        <v>0</v>
      </c>
      <c r="D117" s="140" t="str">
        <v>M3</v>
      </c>
      <c r="E117" s="139" t="str">
        <f t="shared" si="3"/>
        <v>GBPFUT3MM3_Quote</v>
      </c>
      <c r="F117" s="138" t="str">
        <f>_xll.qlSimpleQuote(E117,,PriceTickValue,Permanent,Trigger,ObjectOverwrite)</f>
        <v>GBPFUT3MM3_Quote#0002</v>
      </c>
      <c r="G117" s="101" t="str">
        <f>_xll.ohRangeRetrieveError(F117)</f>
        <v/>
      </c>
      <c r="H117" s="137"/>
    </row>
    <row r="118" spans="1:8" x14ac:dyDescent="0.2">
      <c r="A118" s="143"/>
      <c r="B118" s="142">
        <v>116</v>
      </c>
      <c r="C118" s="141" t="b">
        <v>0</v>
      </c>
      <c r="D118" s="140" t="str">
        <v>N3</v>
      </c>
      <c r="E118" s="139" t="str">
        <f t="shared" si="3"/>
        <v>GBPFUT3MN3_Quote</v>
      </c>
      <c r="F118" s="138" t="str">
        <f>_xll.qlSimpleQuote(E118,,PriceTickValue,Permanent,Trigger,ObjectOverwrite)</f>
        <v>GBPFUT3MN3_Quote#0002</v>
      </c>
      <c r="G118" s="101" t="str">
        <f>_xll.ohRangeRetrieveError(F118)</f>
        <v/>
      </c>
      <c r="H118" s="137"/>
    </row>
    <row r="119" spans="1:8" x14ac:dyDescent="0.2">
      <c r="A119" s="143"/>
      <c r="B119" s="142">
        <v>117</v>
      </c>
      <c r="C119" s="141" t="b">
        <v>0</v>
      </c>
      <c r="D119" s="140" t="str">
        <v>Q3</v>
      </c>
      <c r="E119" s="139" t="str">
        <f t="shared" si="3"/>
        <v>GBPFUT3MQ3_Quote</v>
      </c>
      <c r="F119" s="138" t="str">
        <f>_xll.qlSimpleQuote(E119,,PriceTickValue,Permanent,Trigger,ObjectOverwrite)</f>
        <v>GBPFUT3MQ3_Quote#0002</v>
      </c>
      <c r="G119" s="101" t="str">
        <f>_xll.ohRangeRetrieveError(F119)</f>
        <v/>
      </c>
      <c r="H119" s="137"/>
    </row>
    <row r="120" spans="1:8" x14ac:dyDescent="0.2">
      <c r="A120" s="143"/>
      <c r="B120" s="142">
        <v>118</v>
      </c>
      <c r="C120" s="141" t="b">
        <v>0</v>
      </c>
      <c r="D120" s="140" t="str">
        <v>U3</v>
      </c>
      <c r="E120" s="139" t="str">
        <f t="shared" si="3"/>
        <v>GBPFUT3MU3_Quote</v>
      </c>
      <c r="F120" s="138" t="str">
        <f>_xll.qlSimpleQuote(E120,,PriceTickValue,Permanent,Trigger,ObjectOverwrite)</f>
        <v>GBPFUT3MU3_Quote#0002</v>
      </c>
      <c r="G120" s="101" t="str">
        <f>_xll.ohRangeRetrieveError(F120)</f>
        <v/>
      </c>
      <c r="H120" s="137"/>
    </row>
    <row r="121" spans="1:8" x14ac:dyDescent="0.2">
      <c r="A121" s="143"/>
      <c r="B121" s="142">
        <v>119</v>
      </c>
      <c r="C121" s="141" t="b">
        <v>0</v>
      </c>
      <c r="D121" s="140" t="str">
        <v>V3</v>
      </c>
      <c r="E121" s="139" t="str">
        <f t="shared" si="3"/>
        <v>GBPFUT3MV3_Quote</v>
      </c>
      <c r="F121" s="138" t="str">
        <f>_xll.qlSimpleQuote(E121,,PriceTickValue,Permanent,Trigger,ObjectOverwrite)</f>
        <v>GBPFUT3MV3_Quote#0002</v>
      </c>
      <c r="G121" s="101" t="str">
        <f>_xll.ohRangeRetrieveError(F121)</f>
        <v/>
      </c>
      <c r="H121" s="137"/>
    </row>
    <row r="122" spans="1:8" x14ac:dyDescent="0.2">
      <c r="A122" s="143"/>
      <c r="B122" s="142">
        <v>120</v>
      </c>
      <c r="C122" s="141" t="b">
        <v>0</v>
      </c>
      <c r="D122" s="140" t="str">
        <v>X3</v>
      </c>
      <c r="E122" s="139" t="str">
        <f t="shared" si="3"/>
        <v>GBPFUT3MX3_Quote</v>
      </c>
      <c r="F122" s="138" t="str">
        <f>_xll.qlSimpleQuote(E122,,PriceTickValue,Permanent,Trigger,ObjectOverwrite)</f>
        <v>GBPFUT3MX3_Quote#0002</v>
      </c>
      <c r="G122" s="101" t="str">
        <f>_xll.ohRangeRetrieveError(F122)</f>
        <v/>
      </c>
      <c r="H122" s="137"/>
    </row>
    <row r="123" spans="1:8" ht="12" thickBot="1" x14ac:dyDescent="0.25">
      <c r="A123" s="136"/>
      <c r="B123" s="135"/>
      <c r="C123" s="135"/>
      <c r="D123" s="135"/>
      <c r="E123" s="135"/>
      <c r="F123" s="135"/>
      <c r="G123" s="135"/>
      <c r="H123" s="134"/>
    </row>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8" width="4.5703125" style="65" customWidth="1"/>
    <col min="9" max="16384" width="9.140625" style="65"/>
  </cols>
  <sheetData>
    <row r="1" spans="1:8" x14ac:dyDescent="0.2">
      <c r="A1" s="109" t="s">
        <v>349</v>
      </c>
      <c r="B1" s="153"/>
      <c r="C1" s="153"/>
      <c r="D1" s="152" t="s">
        <v>177</v>
      </c>
      <c r="E1" s="152" t="s">
        <v>8</v>
      </c>
      <c r="F1" s="151"/>
      <c r="G1" s="151"/>
      <c r="H1" s="150"/>
    </row>
    <row r="2" spans="1:8" ht="22.5" x14ac:dyDescent="0.2">
      <c r="A2" s="149"/>
      <c r="B2" s="90" t="s">
        <v>175</v>
      </c>
      <c r="C2" s="91" t="s">
        <v>174</v>
      </c>
      <c r="D2" s="91" t="s">
        <v>173</v>
      </c>
      <c r="E2" s="89" t="str">
        <f>Currency&amp;"_010_"&amp;$D$1&amp;$E$1&amp;".xml"</f>
        <v>GBP_010_IMMFRA6M.xml</v>
      </c>
      <c r="F2" s="88">
        <f ca="1">IF(Serialize,_xll.ohObjectSave(F3:F122,SerializationPath&amp;E2,FileOverwrite,Serialize),"---")</f>
        <v>120</v>
      </c>
      <c r="G2" s="104" t="str">
        <f ca="1">_xll.ohRangeRetrieveError(F2)</f>
        <v/>
      </c>
      <c r="H2" s="137"/>
    </row>
    <row r="3" spans="1:8" x14ac:dyDescent="0.2">
      <c r="A3" s="143"/>
      <c r="B3" s="148">
        <v>1</v>
      </c>
      <c r="C3" s="147" t="b">
        <v>0</v>
      </c>
      <c r="D3" s="146" t="str">
        <f t="array" ref="D3:D122">_xll.qlIMMNextCodes(_xll.qlSettingsEvaluationDate(Trigger)-1,$C3:$C122)</f>
        <v>Z3</v>
      </c>
      <c r="E3" s="139" t="str">
        <f t="shared" ref="E3:E34" si="0">Currency&amp;$D$1&amp;$E$1&amp;$D3&amp;QuoteSuffix</f>
        <v>GBPIMMFRA6MZ3_Quote</v>
      </c>
      <c r="F3" s="145" t="str">
        <f>_xll.qlSimpleQuote(E3,,PriceTickValue,Permanent,Trigger,ObjectOverwrite)</f>
        <v>GBPIMMFRA6MZ3_Quote#0002</v>
      </c>
      <c r="G3" s="144" t="str">
        <f>_xll.ohRangeRetrieveError(F3)</f>
        <v/>
      </c>
      <c r="H3" s="137"/>
    </row>
    <row r="4" spans="1:8" x14ac:dyDescent="0.2">
      <c r="A4" s="143"/>
      <c r="B4" s="142">
        <v>2</v>
      </c>
      <c r="C4" s="141" t="b">
        <v>0</v>
      </c>
      <c r="D4" s="140" t="str">
        <v>F4</v>
      </c>
      <c r="E4" s="139" t="str">
        <f t="shared" si="0"/>
        <v>GBPIMMFRA6MF4_Quote</v>
      </c>
      <c r="F4" s="138" t="str">
        <f>_xll.qlSimpleQuote(E4,,PriceTickValue,Permanent,Trigger,ObjectOverwrite)</f>
        <v>GBPIMMFRA6MF4_Quote#0002</v>
      </c>
      <c r="G4" s="101" t="str">
        <f>_xll.ohRangeRetrieveError(F4)</f>
        <v/>
      </c>
      <c r="H4" s="137"/>
    </row>
    <row r="5" spans="1:8" x14ac:dyDescent="0.2">
      <c r="A5" s="143"/>
      <c r="B5" s="142">
        <v>3</v>
      </c>
      <c r="C5" s="141" t="b">
        <v>0</v>
      </c>
      <c r="D5" s="140" t="str">
        <v>G4</v>
      </c>
      <c r="E5" s="139" t="str">
        <f t="shared" si="0"/>
        <v>GBPIMMFRA6MG4_Quote</v>
      </c>
      <c r="F5" s="138" t="str">
        <f>_xll.qlSimpleQuote(E5,,PriceTickValue,Permanent,Trigger,ObjectOverwrite)</f>
        <v>GBPIMMFRA6MG4_Quote#0002</v>
      </c>
      <c r="G5" s="101" t="str">
        <f>_xll.ohRangeRetrieveError(F5)</f>
        <v/>
      </c>
      <c r="H5" s="137"/>
    </row>
    <row r="6" spans="1:8" x14ac:dyDescent="0.2">
      <c r="A6" s="143"/>
      <c r="B6" s="142">
        <v>4</v>
      </c>
      <c r="C6" s="141" t="b">
        <v>0</v>
      </c>
      <c r="D6" s="140" t="str">
        <v>H4</v>
      </c>
      <c r="E6" s="139" t="str">
        <f t="shared" si="0"/>
        <v>GBPIMMFRA6MH4_Quote</v>
      </c>
      <c r="F6" s="138" t="str">
        <f>_xll.qlSimpleQuote(E6,,PriceTickValue,Permanent,Trigger,ObjectOverwrite)</f>
        <v>GBPIMMFRA6MH4_Quote#0002</v>
      </c>
      <c r="G6" s="101" t="str">
        <f>_xll.ohRangeRetrieveError(F6)</f>
        <v/>
      </c>
      <c r="H6" s="137"/>
    </row>
    <row r="7" spans="1:8" x14ac:dyDescent="0.2">
      <c r="A7" s="143"/>
      <c r="B7" s="142">
        <v>5</v>
      </c>
      <c r="C7" s="141" t="b">
        <v>0</v>
      </c>
      <c r="D7" s="140" t="str">
        <v>J4</v>
      </c>
      <c r="E7" s="139" t="str">
        <f t="shared" si="0"/>
        <v>GBPIMMFRA6MJ4_Quote</v>
      </c>
      <c r="F7" s="138" t="str">
        <f>_xll.qlSimpleQuote(E7,,PriceTickValue,Permanent,Trigger,ObjectOverwrite)</f>
        <v>GBPIMMFRA6MJ4_Quote#0002</v>
      </c>
      <c r="G7" s="101" t="str">
        <f>_xll.ohRangeRetrieveError(F7)</f>
        <v/>
      </c>
      <c r="H7" s="137"/>
    </row>
    <row r="8" spans="1:8" x14ac:dyDescent="0.2">
      <c r="A8" s="143"/>
      <c r="B8" s="142">
        <v>6</v>
      </c>
      <c r="C8" s="141" t="b">
        <v>0</v>
      </c>
      <c r="D8" s="140" t="str">
        <v>K4</v>
      </c>
      <c r="E8" s="139" t="str">
        <f t="shared" si="0"/>
        <v>GBPIMMFRA6MK4_Quote</v>
      </c>
      <c r="F8" s="138" t="str">
        <f>_xll.qlSimpleQuote(E8,,PriceTickValue,Permanent,Trigger,ObjectOverwrite)</f>
        <v>GBPIMMFRA6MK4_Quote#0002</v>
      </c>
      <c r="G8" s="101" t="str">
        <f>_xll.ohRangeRetrieveError(F8)</f>
        <v/>
      </c>
      <c r="H8" s="137"/>
    </row>
    <row r="9" spans="1:8" x14ac:dyDescent="0.2">
      <c r="A9" s="143"/>
      <c r="B9" s="142">
        <v>7</v>
      </c>
      <c r="C9" s="141" t="b">
        <v>0</v>
      </c>
      <c r="D9" s="140" t="str">
        <v>M4</v>
      </c>
      <c r="E9" s="139" t="str">
        <f t="shared" si="0"/>
        <v>GBPIMMFRA6MM4_Quote</v>
      </c>
      <c r="F9" s="138" t="str">
        <f>_xll.qlSimpleQuote(E9,,PriceTickValue,Permanent,Trigger,ObjectOverwrite)</f>
        <v>GBPIMMFRA6MM4_Quote#0002</v>
      </c>
      <c r="G9" s="101" t="str">
        <f>_xll.ohRangeRetrieveError(F9)</f>
        <v/>
      </c>
      <c r="H9" s="137"/>
    </row>
    <row r="10" spans="1:8" x14ac:dyDescent="0.2">
      <c r="A10" s="143"/>
      <c r="B10" s="142">
        <v>8</v>
      </c>
      <c r="C10" s="141" t="b">
        <v>0</v>
      </c>
      <c r="D10" s="140" t="str">
        <v>N4</v>
      </c>
      <c r="E10" s="139" t="str">
        <f t="shared" si="0"/>
        <v>GBPIMMFRA6MN4_Quote</v>
      </c>
      <c r="F10" s="138" t="str">
        <f>_xll.qlSimpleQuote(E10,,PriceTickValue,Permanent,Trigger,ObjectOverwrite)</f>
        <v>GBPIMMFRA6MN4_Quote#0002</v>
      </c>
      <c r="G10" s="101" t="str">
        <f>_xll.ohRangeRetrieveError(F10)</f>
        <v/>
      </c>
      <c r="H10" s="137"/>
    </row>
    <row r="11" spans="1:8" x14ac:dyDescent="0.2">
      <c r="A11" s="143"/>
      <c r="B11" s="142">
        <v>9</v>
      </c>
      <c r="C11" s="141" t="b">
        <v>0</v>
      </c>
      <c r="D11" s="140" t="str">
        <v>Q4</v>
      </c>
      <c r="E11" s="139" t="str">
        <f t="shared" si="0"/>
        <v>GBPIMMFRA6MQ4_Quote</v>
      </c>
      <c r="F11" s="138" t="str">
        <f>_xll.qlSimpleQuote(E11,,PriceTickValue,Permanent,Trigger,ObjectOverwrite)</f>
        <v>GBPIMMFRA6MQ4_Quote#0002</v>
      </c>
      <c r="G11" s="101" t="str">
        <f>_xll.ohRangeRetrieveError(F11)</f>
        <v/>
      </c>
      <c r="H11" s="137"/>
    </row>
    <row r="12" spans="1:8" x14ac:dyDescent="0.2">
      <c r="A12" s="143"/>
      <c r="B12" s="142">
        <v>10</v>
      </c>
      <c r="C12" s="141" t="b">
        <v>0</v>
      </c>
      <c r="D12" s="140" t="str">
        <v>U4</v>
      </c>
      <c r="E12" s="139" t="str">
        <f t="shared" si="0"/>
        <v>GBPIMMFRA6MU4_Quote</v>
      </c>
      <c r="F12" s="138" t="str">
        <f>_xll.qlSimpleQuote(E12,,PriceTickValue,Permanent,Trigger,ObjectOverwrite)</f>
        <v>GBPIMMFRA6MU4_Quote#0002</v>
      </c>
      <c r="G12" s="101" t="str">
        <f>_xll.ohRangeRetrieveError(F12)</f>
        <v/>
      </c>
      <c r="H12" s="137"/>
    </row>
    <row r="13" spans="1:8" x14ac:dyDescent="0.2">
      <c r="A13" s="143"/>
      <c r="B13" s="142">
        <v>11</v>
      </c>
      <c r="C13" s="141" t="b">
        <v>0</v>
      </c>
      <c r="D13" s="140" t="str">
        <v>V4</v>
      </c>
      <c r="E13" s="139" t="str">
        <f t="shared" si="0"/>
        <v>GBPIMMFRA6MV4_Quote</v>
      </c>
      <c r="F13" s="138" t="str">
        <f>_xll.qlSimpleQuote(E13,,PriceTickValue,Permanent,Trigger,ObjectOverwrite)</f>
        <v>GBPIMMFRA6MV4_Quote#0002</v>
      </c>
      <c r="G13" s="101" t="str">
        <f>_xll.ohRangeRetrieveError(F13)</f>
        <v/>
      </c>
      <c r="H13" s="137"/>
    </row>
    <row r="14" spans="1:8" x14ac:dyDescent="0.2">
      <c r="A14" s="143"/>
      <c r="B14" s="142">
        <v>12</v>
      </c>
      <c r="C14" s="141" t="b">
        <v>0</v>
      </c>
      <c r="D14" s="140" t="str">
        <v>X4</v>
      </c>
      <c r="E14" s="139" t="str">
        <f t="shared" si="0"/>
        <v>GBPIMMFRA6MX4_Quote</v>
      </c>
      <c r="F14" s="138" t="str">
        <f>_xll.qlSimpleQuote(E14,,PriceTickValue,Permanent,Trigger,ObjectOverwrite)</f>
        <v>GBPIMMFRA6MX4_Quote#0002</v>
      </c>
      <c r="G14" s="101" t="str">
        <f>_xll.ohRangeRetrieveError(F14)</f>
        <v/>
      </c>
      <c r="H14" s="137"/>
    </row>
    <row r="15" spans="1:8" x14ac:dyDescent="0.2">
      <c r="A15" s="143"/>
      <c r="B15" s="142">
        <v>13</v>
      </c>
      <c r="C15" s="141" t="b">
        <v>0</v>
      </c>
      <c r="D15" s="140" t="str">
        <v>Z4</v>
      </c>
      <c r="E15" s="139" t="str">
        <f t="shared" si="0"/>
        <v>GBPIMMFRA6MZ4_Quote</v>
      </c>
      <c r="F15" s="138" t="str">
        <f>_xll.qlSimpleQuote(E15,,PriceTickValue,Permanent,Trigger,ObjectOverwrite)</f>
        <v>GBPIMMFRA6MZ4_Quote#0002</v>
      </c>
      <c r="G15" s="101" t="str">
        <f>_xll.ohRangeRetrieveError(F15)</f>
        <v/>
      </c>
      <c r="H15" s="137"/>
    </row>
    <row r="16" spans="1:8" x14ac:dyDescent="0.2">
      <c r="A16" s="143"/>
      <c r="B16" s="142">
        <v>14</v>
      </c>
      <c r="C16" s="141" t="b">
        <v>0</v>
      </c>
      <c r="D16" s="140" t="str">
        <v>F5</v>
      </c>
      <c r="E16" s="139" t="str">
        <f t="shared" si="0"/>
        <v>GBPIMMFRA6MF5_Quote</v>
      </c>
      <c r="F16" s="138" t="str">
        <f>_xll.qlSimpleQuote(E16,,PriceTickValue,Permanent,Trigger,ObjectOverwrite)</f>
        <v>GBPIMMFRA6MF5_Quote#0002</v>
      </c>
      <c r="G16" s="101" t="str">
        <f>_xll.ohRangeRetrieveError(F16)</f>
        <v/>
      </c>
      <c r="H16" s="137"/>
    </row>
    <row r="17" spans="1:8" x14ac:dyDescent="0.2">
      <c r="A17" s="143"/>
      <c r="B17" s="142">
        <v>15</v>
      </c>
      <c r="C17" s="141" t="b">
        <v>0</v>
      </c>
      <c r="D17" s="140" t="str">
        <v>G5</v>
      </c>
      <c r="E17" s="139" t="str">
        <f t="shared" si="0"/>
        <v>GBPIMMFRA6MG5_Quote</v>
      </c>
      <c r="F17" s="138" t="str">
        <f>_xll.qlSimpleQuote(E17,,PriceTickValue,Permanent,Trigger,ObjectOverwrite)</f>
        <v>GBPIMMFRA6MG5_Quote#0002</v>
      </c>
      <c r="G17" s="101" t="str">
        <f>_xll.ohRangeRetrieveError(F17)</f>
        <v/>
      </c>
      <c r="H17" s="137"/>
    </row>
    <row r="18" spans="1:8" x14ac:dyDescent="0.2">
      <c r="A18" s="143"/>
      <c r="B18" s="142">
        <v>16</v>
      </c>
      <c r="C18" s="141" t="b">
        <v>0</v>
      </c>
      <c r="D18" s="140" t="str">
        <v>H5</v>
      </c>
      <c r="E18" s="139" t="str">
        <f t="shared" si="0"/>
        <v>GBPIMMFRA6MH5_Quote</v>
      </c>
      <c r="F18" s="138" t="str">
        <f>_xll.qlSimpleQuote(E18,,PriceTickValue,Permanent,Trigger,ObjectOverwrite)</f>
        <v>GBPIMMFRA6MH5_Quote#0002</v>
      </c>
      <c r="G18" s="101" t="str">
        <f>_xll.ohRangeRetrieveError(F18)</f>
        <v/>
      </c>
      <c r="H18" s="137"/>
    </row>
    <row r="19" spans="1:8" x14ac:dyDescent="0.2">
      <c r="A19" s="143"/>
      <c r="B19" s="142">
        <v>17</v>
      </c>
      <c r="C19" s="141" t="b">
        <v>0</v>
      </c>
      <c r="D19" s="140" t="str">
        <v>J5</v>
      </c>
      <c r="E19" s="139" t="str">
        <f t="shared" si="0"/>
        <v>GBPIMMFRA6MJ5_Quote</v>
      </c>
      <c r="F19" s="138" t="str">
        <f>_xll.qlSimpleQuote(E19,,PriceTickValue,Permanent,Trigger,ObjectOverwrite)</f>
        <v>GBPIMMFRA6MJ5_Quote#0002</v>
      </c>
      <c r="G19" s="101" t="str">
        <f>_xll.ohRangeRetrieveError(F19)</f>
        <v/>
      </c>
      <c r="H19" s="137"/>
    </row>
    <row r="20" spans="1:8" x14ac:dyDescent="0.2">
      <c r="A20" s="143"/>
      <c r="B20" s="142">
        <v>18</v>
      </c>
      <c r="C20" s="141" t="b">
        <v>0</v>
      </c>
      <c r="D20" s="140" t="str">
        <v>K5</v>
      </c>
      <c r="E20" s="139" t="str">
        <f t="shared" si="0"/>
        <v>GBPIMMFRA6MK5_Quote</v>
      </c>
      <c r="F20" s="138" t="str">
        <f>_xll.qlSimpleQuote(E20,,PriceTickValue,Permanent,Trigger,ObjectOverwrite)</f>
        <v>GBPIMMFRA6MK5_Quote#0002</v>
      </c>
      <c r="G20" s="101" t="str">
        <f>_xll.ohRangeRetrieveError(F20)</f>
        <v/>
      </c>
      <c r="H20" s="137"/>
    </row>
    <row r="21" spans="1:8" x14ac:dyDescent="0.2">
      <c r="A21" s="143"/>
      <c r="B21" s="142">
        <v>19</v>
      </c>
      <c r="C21" s="141" t="b">
        <v>0</v>
      </c>
      <c r="D21" s="140" t="str">
        <v>M5</v>
      </c>
      <c r="E21" s="139" t="str">
        <f t="shared" si="0"/>
        <v>GBPIMMFRA6MM5_Quote</v>
      </c>
      <c r="F21" s="138" t="str">
        <f>_xll.qlSimpleQuote(E21,,PriceTickValue,Permanent,Trigger,ObjectOverwrite)</f>
        <v>GBPIMMFRA6MM5_Quote#0002</v>
      </c>
      <c r="G21" s="101" t="str">
        <f>_xll.ohRangeRetrieveError(F21)</f>
        <v/>
      </c>
      <c r="H21" s="137"/>
    </row>
    <row r="22" spans="1:8" x14ac:dyDescent="0.2">
      <c r="A22" s="143"/>
      <c r="B22" s="142">
        <v>20</v>
      </c>
      <c r="C22" s="141" t="b">
        <v>0</v>
      </c>
      <c r="D22" s="140" t="str">
        <v>N5</v>
      </c>
      <c r="E22" s="139" t="str">
        <f t="shared" si="0"/>
        <v>GBPIMMFRA6MN5_Quote</v>
      </c>
      <c r="F22" s="138" t="str">
        <f>_xll.qlSimpleQuote(E22,,PriceTickValue,Permanent,Trigger,ObjectOverwrite)</f>
        <v>GBPIMMFRA6MN5_Quote#0002</v>
      </c>
      <c r="G22" s="101" t="str">
        <f>_xll.ohRangeRetrieveError(F22)</f>
        <v/>
      </c>
      <c r="H22" s="137"/>
    </row>
    <row r="23" spans="1:8" x14ac:dyDescent="0.2">
      <c r="A23" s="143"/>
      <c r="B23" s="142">
        <v>21</v>
      </c>
      <c r="C23" s="141" t="b">
        <v>0</v>
      </c>
      <c r="D23" s="140" t="str">
        <v>Q5</v>
      </c>
      <c r="E23" s="139" t="str">
        <f t="shared" si="0"/>
        <v>GBPIMMFRA6MQ5_Quote</v>
      </c>
      <c r="F23" s="138" t="str">
        <f>_xll.qlSimpleQuote(E23,,PriceTickValue,Permanent,Trigger,ObjectOverwrite)</f>
        <v>GBPIMMFRA6MQ5_Quote#0002</v>
      </c>
      <c r="G23" s="101" t="str">
        <f>_xll.ohRangeRetrieveError(F23)</f>
        <v/>
      </c>
      <c r="H23" s="137"/>
    </row>
    <row r="24" spans="1:8" x14ac:dyDescent="0.2">
      <c r="A24" s="143"/>
      <c r="B24" s="142">
        <v>22</v>
      </c>
      <c r="C24" s="141" t="b">
        <v>0</v>
      </c>
      <c r="D24" s="140" t="str">
        <v>U5</v>
      </c>
      <c r="E24" s="139" t="str">
        <f t="shared" si="0"/>
        <v>GBPIMMFRA6MU5_Quote</v>
      </c>
      <c r="F24" s="138" t="str">
        <f>_xll.qlSimpleQuote(E24,,PriceTickValue,Permanent,Trigger,ObjectOverwrite)</f>
        <v>GBPIMMFRA6MU5_Quote#0002</v>
      </c>
      <c r="G24" s="101" t="str">
        <f>_xll.ohRangeRetrieveError(F24)</f>
        <v/>
      </c>
      <c r="H24" s="137"/>
    </row>
    <row r="25" spans="1:8" x14ac:dyDescent="0.2">
      <c r="A25" s="143"/>
      <c r="B25" s="142">
        <v>23</v>
      </c>
      <c r="C25" s="141" t="b">
        <v>0</v>
      </c>
      <c r="D25" s="140" t="str">
        <v>V5</v>
      </c>
      <c r="E25" s="139" t="str">
        <f t="shared" si="0"/>
        <v>GBPIMMFRA6MV5_Quote</v>
      </c>
      <c r="F25" s="138" t="str">
        <f>_xll.qlSimpleQuote(E25,,PriceTickValue,Permanent,Trigger,ObjectOverwrite)</f>
        <v>GBPIMMFRA6MV5_Quote#0002</v>
      </c>
      <c r="G25" s="101" t="str">
        <f>_xll.ohRangeRetrieveError(F25)</f>
        <v/>
      </c>
      <c r="H25" s="137"/>
    </row>
    <row r="26" spans="1:8" x14ac:dyDescent="0.2">
      <c r="A26" s="143"/>
      <c r="B26" s="142">
        <v>24</v>
      </c>
      <c r="C26" s="141" t="b">
        <v>0</v>
      </c>
      <c r="D26" s="140" t="str">
        <v>X5</v>
      </c>
      <c r="E26" s="139" t="str">
        <f t="shared" si="0"/>
        <v>GBPIMMFRA6MX5_Quote</v>
      </c>
      <c r="F26" s="138" t="str">
        <f>_xll.qlSimpleQuote(E26,,PriceTickValue,Permanent,Trigger,ObjectOverwrite)</f>
        <v>GBPIMMFRA6MX5_Quote#0002</v>
      </c>
      <c r="G26" s="101" t="str">
        <f>_xll.ohRangeRetrieveError(F26)</f>
        <v/>
      </c>
      <c r="H26" s="137"/>
    </row>
    <row r="27" spans="1:8" x14ac:dyDescent="0.2">
      <c r="A27" s="143"/>
      <c r="B27" s="142">
        <v>25</v>
      </c>
      <c r="C27" s="141" t="b">
        <v>0</v>
      </c>
      <c r="D27" s="140" t="str">
        <v>Z5</v>
      </c>
      <c r="E27" s="139" t="str">
        <f t="shared" si="0"/>
        <v>GBPIMMFRA6MZ5_Quote</v>
      </c>
      <c r="F27" s="138" t="str">
        <f>_xll.qlSimpleQuote(E27,,PriceTickValue,Permanent,Trigger,ObjectOverwrite)</f>
        <v>GBPIMMFRA6MZ5_Quote#0002</v>
      </c>
      <c r="G27" s="101" t="str">
        <f>_xll.ohRangeRetrieveError(F27)</f>
        <v/>
      </c>
      <c r="H27" s="137"/>
    </row>
    <row r="28" spans="1:8" x14ac:dyDescent="0.2">
      <c r="A28" s="143"/>
      <c r="B28" s="142">
        <v>26</v>
      </c>
      <c r="C28" s="141" t="b">
        <v>0</v>
      </c>
      <c r="D28" s="140" t="str">
        <v>F6</v>
      </c>
      <c r="E28" s="139" t="str">
        <f t="shared" si="0"/>
        <v>GBPIMMFRA6MF6_Quote</v>
      </c>
      <c r="F28" s="138" t="str">
        <f>_xll.qlSimpleQuote(E28,,PriceTickValue,Permanent,Trigger,ObjectOverwrite)</f>
        <v>GBPIMMFRA6MF6_Quote#0002</v>
      </c>
      <c r="G28" s="101" t="str">
        <f>_xll.ohRangeRetrieveError(F28)</f>
        <v/>
      </c>
      <c r="H28" s="137"/>
    </row>
    <row r="29" spans="1:8" x14ac:dyDescent="0.2">
      <c r="A29" s="143"/>
      <c r="B29" s="142">
        <v>27</v>
      </c>
      <c r="C29" s="141" t="b">
        <v>0</v>
      </c>
      <c r="D29" s="140" t="str">
        <v>G6</v>
      </c>
      <c r="E29" s="139" t="str">
        <f t="shared" si="0"/>
        <v>GBPIMMFRA6MG6_Quote</v>
      </c>
      <c r="F29" s="138" t="str">
        <f>_xll.qlSimpleQuote(E29,,PriceTickValue,Permanent,Trigger,ObjectOverwrite)</f>
        <v>GBPIMMFRA6MG6_Quote#0002</v>
      </c>
      <c r="G29" s="101" t="str">
        <f>_xll.ohRangeRetrieveError(F29)</f>
        <v/>
      </c>
      <c r="H29" s="137"/>
    </row>
    <row r="30" spans="1:8" x14ac:dyDescent="0.2">
      <c r="A30" s="143"/>
      <c r="B30" s="142">
        <v>28</v>
      </c>
      <c r="C30" s="141" t="b">
        <v>0</v>
      </c>
      <c r="D30" s="140" t="str">
        <v>H6</v>
      </c>
      <c r="E30" s="139" t="str">
        <f t="shared" si="0"/>
        <v>GBPIMMFRA6MH6_Quote</v>
      </c>
      <c r="F30" s="138" t="str">
        <f>_xll.qlSimpleQuote(E30,,PriceTickValue,Permanent,Trigger,ObjectOverwrite)</f>
        <v>GBPIMMFRA6MH6_Quote#0002</v>
      </c>
      <c r="G30" s="101" t="str">
        <f>_xll.ohRangeRetrieveError(F30)</f>
        <v/>
      </c>
      <c r="H30" s="137"/>
    </row>
    <row r="31" spans="1:8" x14ac:dyDescent="0.2">
      <c r="A31" s="143"/>
      <c r="B31" s="142">
        <v>29</v>
      </c>
      <c r="C31" s="141" t="b">
        <v>0</v>
      </c>
      <c r="D31" s="140" t="str">
        <v>J6</v>
      </c>
      <c r="E31" s="139" t="str">
        <f t="shared" si="0"/>
        <v>GBPIMMFRA6MJ6_Quote</v>
      </c>
      <c r="F31" s="138" t="str">
        <f>_xll.qlSimpleQuote(E31,,PriceTickValue,Permanent,Trigger,ObjectOverwrite)</f>
        <v>GBPIMMFRA6MJ6_Quote#0002</v>
      </c>
      <c r="G31" s="101" t="str">
        <f>_xll.ohRangeRetrieveError(F31)</f>
        <v/>
      </c>
      <c r="H31" s="137"/>
    </row>
    <row r="32" spans="1:8" x14ac:dyDescent="0.2">
      <c r="A32" s="143"/>
      <c r="B32" s="142">
        <v>30</v>
      </c>
      <c r="C32" s="141" t="b">
        <v>0</v>
      </c>
      <c r="D32" s="140" t="str">
        <v>K6</v>
      </c>
      <c r="E32" s="139" t="str">
        <f t="shared" si="0"/>
        <v>GBPIMMFRA6MK6_Quote</v>
      </c>
      <c r="F32" s="138" t="str">
        <f>_xll.qlSimpleQuote(E32,,PriceTickValue,Permanent,Trigger,ObjectOverwrite)</f>
        <v>GBPIMMFRA6MK6_Quote#0002</v>
      </c>
      <c r="G32" s="101" t="str">
        <f>_xll.ohRangeRetrieveError(F32)</f>
        <v/>
      </c>
      <c r="H32" s="137"/>
    </row>
    <row r="33" spans="1:8" x14ac:dyDescent="0.2">
      <c r="A33" s="143"/>
      <c r="B33" s="142">
        <v>31</v>
      </c>
      <c r="C33" s="141" t="b">
        <v>0</v>
      </c>
      <c r="D33" s="140" t="str">
        <v>M6</v>
      </c>
      <c r="E33" s="139" t="str">
        <f t="shared" si="0"/>
        <v>GBPIMMFRA6MM6_Quote</v>
      </c>
      <c r="F33" s="138" t="str">
        <f>_xll.qlSimpleQuote(E33,,PriceTickValue,Permanent,Trigger,ObjectOverwrite)</f>
        <v>GBPIMMFRA6MM6_Quote#0002</v>
      </c>
      <c r="G33" s="101" t="str">
        <f>_xll.ohRangeRetrieveError(F33)</f>
        <v/>
      </c>
      <c r="H33" s="137"/>
    </row>
    <row r="34" spans="1:8" x14ac:dyDescent="0.2">
      <c r="A34" s="143"/>
      <c r="B34" s="142">
        <v>32</v>
      </c>
      <c r="C34" s="141" t="b">
        <v>0</v>
      </c>
      <c r="D34" s="140" t="str">
        <v>N6</v>
      </c>
      <c r="E34" s="139" t="str">
        <f t="shared" si="0"/>
        <v>GBPIMMFRA6MN6_Quote</v>
      </c>
      <c r="F34" s="138" t="str">
        <f>_xll.qlSimpleQuote(E34,,PriceTickValue,Permanent,Trigger,ObjectOverwrite)</f>
        <v>GBPIMMFRA6MN6_Quote#0002</v>
      </c>
      <c r="G34" s="101" t="str">
        <f>_xll.ohRangeRetrieveError(F34)</f>
        <v/>
      </c>
      <c r="H34" s="137"/>
    </row>
    <row r="35" spans="1:8" x14ac:dyDescent="0.2">
      <c r="A35" s="143"/>
      <c r="B35" s="142">
        <v>33</v>
      </c>
      <c r="C35" s="141" t="b">
        <v>0</v>
      </c>
      <c r="D35" s="140" t="str">
        <v>Q6</v>
      </c>
      <c r="E35" s="139" t="str">
        <f t="shared" ref="E35:E66" si="1">Currency&amp;$D$1&amp;$E$1&amp;$D35&amp;QuoteSuffix</f>
        <v>GBPIMMFRA6MQ6_Quote</v>
      </c>
      <c r="F35" s="138" t="str">
        <f>_xll.qlSimpleQuote(E35,,PriceTickValue,Permanent,Trigger,ObjectOverwrite)</f>
        <v>GBPIMMFRA6MQ6_Quote#0002</v>
      </c>
      <c r="G35" s="101" t="str">
        <f>_xll.ohRangeRetrieveError(F35)</f>
        <v/>
      </c>
      <c r="H35" s="137"/>
    </row>
    <row r="36" spans="1:8" x14ac:dyDescent="0.2">
      <c r="A36" s="143"/>
      <c r="B36" s="142">
        <v>34</v>
      </c>
      <c r="C36" s="141" t="b">
        <v>0</v>
      </c>
      <c r="D36" s="140" t="str">
        <v>U6</v>
      </c>
      <c r="E36" s="139" t="str">
        <f t="shared" si="1"/>
        <v>GBPIMMFRA6MU6_Quote</v>
      </c>
      <c r="F36" s="138" t="str">
        <f>_xll.qlSimpleQuote(E36,,PriceTickValue,Permanent,Trigger,ObjectOverwrite)</f>
        <v>GBPIMMFRA6MU6_Quote#0002</v>
      </c>
      <c r="G36" s="101" t="str">
        <f>_xll.ohRangeRetrieveError(F36)</f>
        <v/>
      </c>
      <c r="H36" s="137"/>
    </row>
    <row r="37" spans="1:8" x14ac:dyDescent="0.2">
      <c r="A37" s="143"/>
      <c r="B37" s="142">
        <v>35</v>
      </c>
      <c r="C37" s="141" t="b">
        <v>0</v>
      </c>
      <c r="D37" s="140" t="str">
        <v>V6</v>
      </c>
      <c r="E37" s="139" t="str">
        <f t="shared" si="1"/>
        <v>GBPIMMFRA6MV6_Quote</v>
      </c>
      <c r="F37" s="138" t="str">
        <f>_xll.qlSimpleQuote(E37,,PriceTickValue,Permanent,Trigger,ObjectOverwrite)</f>
        <v>GBPIMMFRA6MV6_Quote#0002</v>
      </c>
      <c r="G37" s="101" t="str">
        <f>_xll.ohRangeRetrieveError(F37)</f>
        <v/>
      </c>
      <c r="H37" s="137"/>
    </row>
    <row r="38" spans="1:8" x14ac:dyDescent="0.2">
      <c r="A38" s="143"/>
      <c r="B38" s="142">
        <v>36</v>
      </c>
      <c r="C38" s="141" t="b">
        <v>0</v>
      </c>
      <c r="D38" s="140" t="str">
        <v>X6</v>
      </c>
      <c r="E38" s="139" t="str">
        <f t="shared" si="1"/>
        <v>GBPIMMFRA6MX6_Quote</v>
      </c>
      <c r="F38" s="138" t="str">
        <f>_xll.qlSimpleQuote(E38,,PriceTickValue,Permanent,Trigger,ObjectOverwrite)</f>
        <v>GBPIMMFRA6MX6_Quote#0002</v>
      </c>
      <c r="G38" s="101" t="str">
        <f>_xll.ohRangeRetrieveError(F38)</f>
        <v/>
      </c>
      <c r="H38" s="137"/>
    </row>
    <row r="39" spans="1:8" x14ac:dyDescent="0.2">
      <c r="A39" s="143"/>
      <c r="B39" s="142">
        <v>37</v>
      </c>
      <c r="C39" s="141" t="b">
        <v>0</v>
      </c>
      <c r="D39" s="140" t="str">
        <v>Z6</v>
      </c>
      <c r="E39" s="139" t="str">
        <f t="shared" si="1"/>
        <v>GBPIMMFRA6MZ6_Quote</v>
      </c>
      <c r="F39" s="138" t="str">
        <f>_xll.qlSimpleQuote(E39,,PriceTickValue,Permanent,Trigger,ObjectOverwrite)</f>
        <v>GBPIMMFRA6MZ6_Quote#0002</v>
      </c>
      <c r="G39" s="101" t="str">
        <f>_xll.ohRangeRetrieveError(F39)</f>
        <v/>
      </c>
      <c r="H39" s="137"/>
    </row>
    <row r="40" spans="1:8" x14ac:dyDescent="0.2">
      <c r="A40" s="143"/>
      <c r="B40" s="142">
        <v>38</v>
      </c>
      <c r="C40" s="141" t="b">
        <v>0</v>
      </c>
      <c r="D40" s="140" t="str">
        <v>F7</v>
      </c>
      <c r="E40" s="139" t="str">
        <f t="shared" si="1"/>
        <v>GBPIMMFRA6MF7_Quote</v>
      </c>
      <c r="F40" s="138" t="str">
        <f>_xll.qlSimpleQuote(E40,,PriceTickValue,Permanent,Trigger,ObjectOverwrite)</f>
        <v>GBPIMMFRA6MF7_Quote#0002</v>
      </c>
      <c r="G40" s="101" t="str">
        <f>_xll.ohRangeRetrieveError(F40)</f>
        <v/>
      </c>
      <c r="H40" s="137"/>
    </row>
    <row r="41" spans="1:8" x14ac:dyDescent="0.2">
      <c r="A41" s="143"/>
      <c r="B41" s="142">
        <v>39</v>
      </c>
      <c r="C41" s="141" t="b">
        <v>0</v>
      </c>
      <c r="D41" s="140" t="str">
        <v>G7</v>
      </c>
      <c r="E41" s="139" t="str">
        <f t="shared" si="1"/>
        <v>GBPIMMFRA6MG7_Quote</v>
      </c>
      <c r="F41" s="138" t="str">
        <f>_xll.qlSimpleQuote(E41,,PriceTickValue,Permanent,Trigger,ObjectOverwrite)</f>
        <v>GBPIMMFRA6MG7_Quote#0002</v>
      </c>
      <c r="G41" s="101" t="str">
        <f>_xll.ohRangeRetrieveError(F41)</f>
        <v/>
      </c>
      <c r="H41" s="137"/>
    </row>
    <row r="42" spans="1:8" x14ac:dyDescent="0.2">
      <c r="A42" s="143"/>
      <c r="B42" s="142">
        <v>40</v>
      </c>
      <c r="C42" s="141" t="b">
        <v>0</v>
      </c>
      <c r="D42" s="140" t="str">
        <v>H7</v>
      </c>
      <c r="E42" s="139" t="str">
        <f t="shared" si="1"/>
        <v>GBPIMMFRA6MH7_Quote</v>
      </c>
      <c r="F42" s="138" t="str">
        <f>_xll.qlSimpleQuote(E42,,PriceTickValue,Permanent,Trigger,ObjectOverwrite)</f>
        <v>GBPIMMFRA6MH7_Quote#0002</v>
      </c>
      <c r="G42" s="101" t="str">
        <f>_xll.ohRangeRetrieveError(F42)</f>
        <v/>
      </c>
      <c r="H42" s="137"/>
    </row>
    <row r="43" spans="1:8" x14ac:dyDescent="0.2">
      <c r="A43" s="143"/>
      <c r="B43" s="142">
        <v>41</v>
      </c>
      <c r="C43" s="141" t="b">
        <v>0</v>
      </c>
      <c r="D43" s="140" t="str">
        <v>J7</v>
      </c>
      <c r="E43" s="139" t="str">
        <f t="shared" si="1"/>
        <v>GBPIMMFRA6MJ7_Quote</v>
      </c>
      <c r="F43" s="138" t="str">
        <f>_xll.qlSimpleQuote(E43,,PriceTickValue,Permanent,Trigger,ObjectOverwrite)</f>
        <v>GBPIMMFRA6MJ7_Quote#0002</v>
      </c>
      <c r="G43" s="101" t="str">
        <f>_xll.ohRangeRetrieveError(F43)</f>
        <v/>
      </c>
      <c r="H43" s="137"/>
    </row>
    <row r="44" spans="1:8" x14ac:dyDescent="0.2">
      <c r="A44" s="143"/>
      <c r="B44" s="142">
        <v>42</v>
      </c>
      <c r="C44" s="141" t="b">
        <v>0</v>
      </c>
      <c r="D44" s="140" t="str">
        <v>K7</v>
      </c>
      <c r="E44" s="139" t="str">
        <f t="shared" si="1"/>
        <v>GBPIMMFRA6MK7_Quote</v>
      </c>
      <c r="F44" s="138" t="str">
        <f>_xll.qlSimpleQuote(E44,,PriceTickValue,Permanent,Trigger,ObjectOverwrite)</f>
        <v>GBPIMMFRA6MK7_Quote#0002</v>
      </c>
      <c r="G44" s="101" t="str">
        <f>_xll.ohRangeRetrieveError(F44)</f>
        <v/>
      </c>
      <c r="H44" s="137"/>
    </row>
    <row r="45" spans="1:8" x14ac:dyDescent="0.2">
      <c r="A45" s="143"/>
      <c r="B45" s="142">
        <v>43</v>
      </c>
      <c r="C45" s="141" t="b">
        <v>0</v>
      </c>
      <c r="D45" s="140" t="str">
        <v>M7</v>
      </c>
      <c r="E45" s="139" t="str">
        <f t="shared" si="1"/>
        <v>GBPIMMFRA6MM7_Quote</v>
      </c>
      <c r="F45" s="138" t="str">
        <f>_xll.qlSimpleQuote(E45,,PriceTickValue,Permanent,Trigger,ObjectOverwrite)</f>
        <v>GBPIMMFRA6MM7_Quote#0002</v>
      </c>
      <c r="G45" s="101" t="str">
        <f>_xll.ohRangeRetrieveError(F45)</f>
        <v/>
      </c>
      <c r="H45" s="137"/>
    </row>
    <row r="46" spans="1:8" x14ac:dyDescent="0.2">
      <c r="A46" s="143"/>
      <c r="B46" s="142">
        <v>44</v>
      </c>
      <c r="C46" s="141" t="b">
        <v>0</v>
      </c>
      <c r="D46" s="140" t="str">
        <v>N7</v>
      </c>
      <c r="E46" s="139" t="str">
        <f t="shared" si="1"/>
        <v>GBPIMMFRA6MN7_Quote</v>
      </c>
      <c r="F46" s="138" t="str">
        <f>_xll.qlSimpleQuote(E46,,PriceTickValue,Permanent,Trigger,ObjectOverwrite)</f>
        <v>GBPIMMFRA6MN7_Quote#0002</v>
      </c>
      <c r="G46" s="101" t="str">
        <f>_xll.ohRangeRetrieveError(F46)</f>
        <v/>
      </c>
      <c r="H46" s="137"/>
    </row>
    <row r="47" spans="1:8" x14ac:dyDescent="0.2">
      <c r="A47" s="143"/>
      <c r="B47" s="142">
        <v>45</v>
      </c>
      <c r="C47" s="141" t="b">
        <v>0</v>
      </c>
      <c r="D47" s="140" t="str">
        <v>Q7</v>
      </c>
      <c r="E47" s="139" t="str">
        <f t="shared" si="1"/>
        <v>GBPIMMFRA6MQ7_Quote</v>
      </c>
      <c r="F47" s="138" t="str">
        <f>_xll.qlSimpleQuote(E47,,PriceTickValue,Permanent,Trigger,ObjectOverwrite)</f>
        <v>GBPIMMFRA6MQ7_Quote#0002</v>
      </c>
      <c r="G47" s="101" t="str">
        <f>_xll.ohRangeRetrieveError(F47)</f>
        <v/>
      </c>
      <c r="H47" s="137"/>
    </row>
    <row r="48" spans="1:8" x14ac:dyDescent="0.2">
      <c r="A48" s="143"/>
      <c r="B48" s="142">
        <v>46</v>
      </c>
      <c r="C48" s="141" t="b">
        <v>0</v>
      </c>
      <c r="D48" s="140" t="str">
        <v>U7</v>
      </c>
      <c r="E48" s="139" t="str">
        <f t="shared" si="1"/>
        <v>GBPIMMFRA6MU7_Quote</v>
      </c>
      <c r="F48" s="138" t="str">
        <f>_xll.qlSimpleQuote(E48,,PriceTickValue,Permanent,Trigger,ObjectOverwrite)</f>
        <v>GBPIMMFRA6MU7_Quote#0002</v>
      </c>
      <c r="G48" s="101" t="str">
        <f>_xll.ohRangeRetrieveError(F48)</f>
        <v/>
      </c>
      <c r="H48" s="137"/>
    </row>
    <row r="49" spans="1:8" x14ac:dyDescent="0.2">
      <c r="A49" s="143"/>
      <c r="B49" s="142">
        <v>47</v>
      </c>
      <c r="C49" s="141" t="b">
        <v>0</v>
      </c>
      <c r="D49" s="140" t="str">
        <v>V7</v>
      </c>
      <c r="E49" s="139" t="str">
        <f t="shared" si="1"/>
        <v>GBPIMMFRA6MV7_Quote</v>
      </c>
      <c r="F49" s="138" t="str">
        <f>_xll.qlSimpleQuote(E49,,PriceTickValue,Permanent,Trigger,ObjectOverwrite)</f>
        <v>GBPIMMFRA6MV7_Quote#0002</v>
      </c>
      <c r="G49" s="101" t="str">
        <f>_xll.ohRangeRetrieveError(F49)</f>
        <v/>
      </c>
      <c r="H49" s="137"/>
    </row>
    <row r="50" spans="1:8" x14ac:dyDescent="0.2">
      <c r="A50" s="143"/>
      <c r="B50" s="142">
        <v>48</v>
      </c>
      <c r="C50" s="141" t="b">
        <v>0</v>
      </c>
      <c r="D50" s="140" t="str">
        <v>X7</v>
      </c>
      <c r="E50" s="139" t="str">
        <f t="shared" si="1"/>
        <v>GBPIMMFRA6MX7_Quote</v>
      </c>
      <c r="F50" s="138" t="str">
        <f>_xll.qlSimpleQuote(E50,,PriceTickValue,Permanent,Trigger,ObjectOverwrite)</f>
        <v>GBPIMMFRA6MX7_Quote#0002</v>
      </c>
      <c r="G50" s="101" t="str">
        <f>_xll.ohRangeRetrieveError(F50)</f>
        <v/>
      </c>
      <c r="H50" s="137"/>
    </row>
    <row r="51" spans="1:8" x14ac:dyDescent="0.2">
      <c r="A51" s="143"/>
      <c r="B51" s="142">
        <v>49</v>
      </c>
      <c r="C51" s="141" t="b">
        <v>0</v>
      </c>
      <c r="D51" s="140" t="str">
        <v>Z7</v>
      </c>
      <c r="E51" s="139" t="str">
        <f t="shared" si="1"/>
        <v>GBPIMMFRA6MZ7_Quote</v>
      </c>
      <c r="F51" s="138" t="str">
        <f>_xll.qlSimpleQuote(E51,,PriceTickValue,Permanent,Trigger,ObjectOverwrite)</f>
        <v>GBPIMMFRA6MZ7_Quote#0002</v>
      </c>
      <c r="G51" s="101" t="str">
        <f>_xll.ohRangeRetrieveError(F51)</f>
        <v/>
      </c>
      <c r="H51" s="137"/>
    </row>
    <row r="52" spans="1:8" x14ac:dyDescent="0.2">
      <c r="A52" s="143"/>
      <c r="B52" s="142">
        <v>50</v>
      </c>
      <c r="C52" s="141" t="b">
        <v>0</v>
      </c>
      <c r="D52" s="140" t="str">
        <v>F8</v>
      </c>
      <c r="E52" s="139" t="str">
        <f t="shared" si="1"/>
        <v>GBPIMMFRA6MF8_Quote</v>
      </c>
      <c r="F52" s="138" t="str">
        <f>_xll.qlSimpleQuote(E52,,PriceTickValue,Permanent,Trigger,ObjectOverwrite)</f>
        <v>GBPIMMFRA6MF8_Quote#0002</v>
      </c>
      <c r="G52" s="101" t="str">
        <f>_xll.ohRangeRetrieveError(F52)</f>
        <v/>
      </c>
      <c r="H52" s="137"/>
    </row>
    <row r="53" spans="1:8" x14ac:dyDescent="0.2">
      <c r="A53" s="143"/>
      <c r="B53" s="142">
        <v>51</v>
      </c>
      <c r="C53" s="141" t="b">
        <v>0</v>
      </c>
      <c r="D53" s="140" t="str">
        <v>G8</v>
      </c>
      <c r="E53" s="139" t="str">
        <f t="shared" si="1"/>
        <v>GBPIMMFRA6MG8_Quote</v>
      </c>
      <c r="F53" s="138" t="str">
        <f>_xll.qlSimpleQuote(E53,,PriceTickValue,Permanent,Trigger,ObjectOverwrite)</f>
        <v>GBPIMMFRA6MG8_Quote#0002</v>
      </c>
      <c r="G53" s="101" t="str">
        <f>_xll.ohRangeRetrieveError(F53)</f>
        <v/>
      </c>
      <c r="H53" s="137"/>
    </row>
    <row r="54" spans="1:8" x14ac:dyDescent="0.2">
      <c r="A54" s="143"/>
      <c r="B54" s="142">
        <v>52</v>
      </c>
      <c r="C54" s="141" t="b">
        <v>0</v>
      </c>
      <c r="D54" s="140" t="str">
        <v>H8</v>
      </c>
      <c r="E54" s="139" t="str">
        <f t="shared" si="1"/>
        <v>GBPIMMFRA6MH8_Quote</v>
      </c>
      <c r="F54" s="138" t="str">
        <f>_xll.qlSimpleQuote(E54,,PriceTickValue,Permanent,Trigger,ObjectOverwrite)</f>
        <v>GBPIMMFRA6MH8_Quote#0002</v>
      </c>
      <c r="G54" s="101" t="str">
        <f>_xll.ohRangeRetrieveError(F54)</f>
        <v/>
      </c>
      <c r="H54" s="137"/>
    </row>
    <row r="55" spans="1:8" x14ac:dyDescent="0.2">
      <c r="A55" s="143"/>
      <c r="B55" s="142">
        <v>53</v>
      </c>
      <c r="C55" s="141" t="b">
        <v>0</v>
      </c>
      <c r="D55" s="140" t="str">
        <v>J8</v>
      </c>
      <c r="E55" s="139" t="str">
        <f t="shared" si="1"/>
        <v>GBPIMMFRA6MJ8_Quote</v>
      </c>
      <c r="F55" s="138" t="str">
        <f>_xll.qlSimpleQuote(E55,,PriceTickValue,Permanent,Trigger,ObjectOverwrite)</f>
        <v>GBPIMMFRA6MJ8_Quote#0002</v>
      </c>
      <c r="G55" s="101" t="str">
        <f>_xll.ohRangeRetrieveError(F55)</f>
        <v/>
      </c>
      <c r="H55" s="137"/>
    </row>
    <row r="56" spans="1:8" x14ac:dyDescent="0.2">
      <c r="A56" s="143"/>
      <c r="B56" s="142">
        <v>54</v>
      </c>
      <c r="C56" s="141" t="b">
        <v>0</v>
      </c>
      <c r="D56" s="140" t="str">
        <v>K8</v>
      </c>
      <c r="E56" s="139" t="str">
        <f t="shared" si="1"/>
        <v>GBPIMMFRA6MK8_Quote</v>
      </c>
      <c r="F56" s="138" t="str">
        <f>_xll.qlSimpleQuote(E56,,PriceTickValue,Permanent,Trigger,ObjectOverwrite)</f>
        <v>GBPIMMFRA6MK8_Quote#0002</v>
      </c>
      <c r="G56" s="101" t="str">
        <f>_xll.ohRangeRetrieveError(F56)</f>
        <v/>
      </c>
      <c r="H56" s="137"/>
    </row>
    <row r="57" spans="1:8" x14ac:dyDescent="0.2">
      <c r="A57" s="143"/>
      <c r="B57" s="142">
        <v>55</v>
      </c>
      <c r="C57" s="141" t="b">
        <v>0</v>
      </c>
      <c r="D57" s="140" t="str">
        <v>M8</v>
      </c>
      <c r="E57" s="139" t="str">
        <f t="shared" si="1"/>
        <v>GBPIMMFRA6MM8_Quote</v>
      </c>
      <c r="F57" s="138" t="str">
        <f>_xll.qlSimpleQuote(E57,,PriceTickValue,Permanent,Trigger,ObjectOverwrite)</f>
        <v>GBPIMMFRA6MM8_Quote#0002</v>
      </c>
      <c r="G57" s="101" t="str">
        <f>_xll.ohRangeRetrieveError(F57)</f>
        <v/>
      </c>
      <c r="H57" s="137"/>
    </row>
    <row r="58" spans="1:8" x14ac:dyDescent="0.2">
      <c r="A58" s="143"/>
      <c r="B58" s="142">
        <v>56</v>
      </c>
      <c r="C58" s="141" t="b">
        <v>0</v>
      </c>
      <c r="D58" s="140" t="str">
        <v>N8</v>
      </c>
      <c r="E58" s="139" t="str">
        <f t="shared" si="1"/>
        <v>GBPIMMFRA6MN8_Quote</v>
      </c>
      <c r="F58" s="138" t="str">
        <f>_xll.qlSimpleQuote(E58,,PriceTickValue,Permanent,Trigger,ObjectOverwrite)</f>
        <v>GBPIMMFRA6MN8_Quote#0002</v>
      </c>
      <c r="G58" s="101" t="str">
        <f>_xll.ohRangeRetrieveError(F58)</f>
        <v/>
      </c>
      <c r="H58" s="137"/>
    </row>
    <row r="59" spans="1:8" x14ac:dyDescent="0.2">
      <c r="A59" s="143"/>
      <c r="B59" s="142">
        <v>57</v>
      </c>
      <c r="C59" s="141" t="b">
        <v>0</v>
      </c>
      <c r="D59" s="140" t="str">
        <v>Q8</v>
      </c>
      <c r="E59" s="139" t="str">
        <f t="shared" si="1"/>
        <v>GBPIMMFRA6MQ8_Quote</v>
      </c>
      <c r="F59" s="138" t="str">
        <f>_xll.qlSimpleQuote(E59,,PriceTickValue,Permanent,Trigger,ObjectOverwrite)</f>
        <v>GBPIMMFRA6MQ8_Quote#0002</v>
      </c>
      <c r="G59" s="101" t="str">
        <f>_xll.ohRangeRetrieveError(F59)</f>
        <v/>
      </c>
      <c r="H59" s="137"/>
    </row>
    <row r="60" spans="1:8" x14ac:dyDescent="0.2">
      <c r="A60" s="143"/>
      <c r="B60" s="142">
        <v>58</v>
      </c>
      <c r="C60" s="141" t="b">
        <v>0</v>
      </c>
      <c r="D60" s="140" t="str">
        <v>U8</v>
      </c>
      <c r="E60" s="139" t="str">
        <f t="shared" si="1"/>
        <v>GBPIMMFRA6MU8_Quote</v>
      </c>
      <c r="F60" s="138" t="str">
        <f>_xll.qlSimpleQuote(E60,,PriceTickValue,Permanent,Trigger,ObjectOverwrite)</f>
        <v>GBPIMMFRA6MU8_Quote#0002</v>
      </c>
      <c r="G60" s="101" t="str">
        <f>_xll.ohRangeRetrieveError(F60)</f>
        <v/>
      </c>
      <c r="H60" s="137"/>
    </row>
    <row r="61" spans="1:8" x14ac:dyDescent="0.2">
      <c r="A61" s="143"/>
      <c r="B61" s="142">
        <v>59</v>
      </c>
      <c r="C61" s="141" t="b">
        <v>0</v>
      </c>
      <c r="D61" s="140" t="str">
        <v>V8</v>
      </c>
      <c r="E61" s="139" t="str">
        <f t="shared" si="1"/>
        <v>GBPIMMFRA6MV8_Quote</v>
      </c>
      <c r="F61" s="138" t="str">
        <f>_xll.qlSimpleQuote(E61,,PriceTickValue,Permanent,Trigger,ObjectOverwrite)</f>
        <v>GBPIMMFRA6MV8_Quote#0002</v>
      </c>
      <c r="G61" s="101" t="str">
        <f>_xll.ohRangeRetrieveError(F61)</f>
        <v/>
      </c>
      <c r="H61" s="137"/>
    </row>
    <row r="62" spans="1:8" x14ac:dyDescent="0.2">
      <c r="A62" s="143"/>
      <c r="B62" s="142">
        <v>60</v>
      </c>
      <c r="C62" s="141" t="b">
        <v>0</v>
      </c>
      <c r="D62" s="140" t="str">
        <v>X8</v>
      </c>
      <c r="E62" s="139" t="str">
        <f t="shared" si="1"/>
        <v>GBPIMMFRA6MX8_Quote</v>
      </c>
      <c r="F62" s="138" t="str">
        <f>_xll.qlSimpleQuote(E62,,PriceTickValue,Permanent,Trigger,ObjectOverwrite)</f>
        <v>GBPIMMFRA6MX8_Quote#0002</v>
      </c>
      <c r="G62" s="101" t="str">
        <f>_xll.ohRangeRetrieveError(F62)</f>
        <v/>
      </c>
      <c r="H62" s="137"/>
    </row>
    <row r="63" spans="1:8" x14ac:dyDescent="0.2">
      <c r="A63" s="143"/>
      <c r="B63" s="142">
        <v>61</v>
      </c>
      <c r="C63" s="141" t="b">
        <v>0</v>
      </c>
      <c r="D63" s="140" t="str">
        <v>Z8</v>
      </c>
      <c r="E63" s="139" t="str">
        <f t="shared" si="1"/>
        <v>GBPIMMFRA6MZ8_Quote</v>
      </c>
      <c r="F63" s="138" t="str">
        <f>_xll.qlSimpleQuote(E63,,PriceTickValue,Permanent,Trigger,ObjectOverwrite)</f>
        <v>GBPIMMFRA6MZ8_Quote#0002</v>
      </c>
      <c r="G63" s="101" t="str">
        <f>_xll.ohRangeRetrieveError(F63)</f>
        <v/>
      </c>
      <c r="H63" s="137"/>
    </row>
    <row r="64" spans="1:8" x14ac:dyDescent="0.2">
      <c r="A64" s="143"/>
      <c r="B64" s="142">
        <v>62</v>
      </c>
      <c r="C64" s="141" t="b">
        <v>0</v>
      </c>
      <c r="D64" s="140" t="str">
        <v>F9</v>
      </c>
      <c r="E64" s="139" t="str">
        <f t="shared" si="1"/>
        <v>GBPIMMFRA6MF9_Quote</v>
      </c>
      <c r="F64" s="138" t="str">
        <f>_xll.qlSimpleQuote(E64,,PriceTickValue,Permanent,Trigger,ObjectOverwrite)</f>
        <v>GBPIMMFRA6MF9_Quote#0002</v>
      </c>
      <c r="G64" s="101" t="str">
        <f>_xll.ohRangeRetrieveError(F64)</f>
        <v/>
      </c>
      <c r="H64" s="137"/>
    </row>
    <row r="65" spans="1:8" x14ac:dyDescent="0.2">
      <c r="A65" s="143"/>
      <c r="B65" s="142">
        <v>63</v>
      </c>
      <c r="C65" s="141" t="b">
        <v>0</v>
      </c>
      <c r="D65" s="140" t="str">
        <v>G9</v>
      </c>
      <c r="E65" s="139" t="str">
        <f t="shared" si="1"/>
        <v>GBPIMMFRA6MG9_Quote</v>
      </c>
      <c r="F65" s="138" t="str">
        <f>_xll.qlSimpleQuote(E65,,PriceTickValue,Permanent,Trigger,ObjectOverwrite)</f>
        <v>GBPIMMFRA6MG9_Quote#0002</v>
      </c>
      <c r="G65" s="101" t="str">
        <f>_xll.ohRangeRetrieveError(F65)</f>
        <v/>
      </c>
      <c r="H65" s="137"/>
    </row>
    <row r="66" spans="1:8" x14ac:dyDescent="0.2">
      <c r="A66" s="143"/>
      <c r="B66" s="142">
        <v>64</v>
      </c>
      <c r="C66" s="141" t="b">
        <v>0</v>
      </c>
      <c r="D66" s="140" t="str">
        <v>H9</v>
      </c>
      <c r="E66" s="139" t="str">
        <f t="shared" si="1"/>
        <v>GBPIMMFRA6MH9_Quote</v>
      </c>
      <c r="F66" s="138" t="str">
        <f>_xll.qlSimpleQuote(E66,,PriceTickValue,Permanent,Trigger,ObjectOverwrite)</f>
        <v>GBPIMMFRA6MH9_Quote#0002</v>
      </c>
      <c r="G66" s="101" t="str">
        <f>_xll.ohRangeRetrieveError(F66)</f>
        <v/>
      </c>
      <c r="H66" s="137"/>
    </row>
    <row r="67" spans="1:8" x14ac:dyDescent="0.2">
      <c r="A67" s="143"/>
      <c r="B67" s="142">
        <v>65</v>
      </c>
      <c r="C67" s="141" t="b">
        <v>0</v>
      </c>
      <c r="D67" s="140" t="str">
        <v>J9</v>
      </c>
      <c r="E67" s="139" t="str">
        <f t="shared" ref="E67:E98" si="2">Currency&amp;$D$1&amp;$E$1&amp;$D67&amp;QuoteSuffix</f>
        <v>GBPIMMFRA6MJ9_Quote</v>
      </c>
      <c r="F67" s="138" t="str">
        <f>_xll.qlSimpleQuote(E67,,PriceTickValue,Permanent,Trigger,ObjectOverwrite)</f>
        <v>GBPIMMFRA6MJ9_Quote#0002</v>
      </c>
      <c r="G67" s="101" t="str">
        <f>_xll.ohRangeRetrieveError(F67)</f>
        <v/>
      </c>
      <c r="H67" s="137"/>
    </row>
    <row r="68" spans="1:8" x14ac:dyDescent="0.2">
      <c r="A68" s="143"/>
      <c r="B68" s="142">
        <v>66</v>
      </c>
      <c r="C68" s="141" t="b">
        <v>0</v>
      </c>
      <c r="D68" s="140" t="str">
        <v>K9</v>
      </c>
      <c r="E68" s="139" t="str">
        <f t="shared" si="2"/>
        <v>GBPIMMFRA6MK9_Quote</v>
      </c>
      <c r="F68" s="138" t="str">
        <f>_xll.qlSimpleQuote(E68,,PriceTickValue,Permanent,Trigger,ObjectOverwrite)</f>
        <v>GBPIMMFRA6MK9_Quote#0002</v>
      </c>
      <c r="G68" s="101" t="str">
        <f>_xll.ohRangeRetrieveError(F68)</f>
        <v/>
      </c>
      <c r="H68" s="137"/>
    </row>
    <row r="69" spans="1:8" x14ac:dyDescent="0.2">
      <c r="A69" s="143"/>
      <c r="B69" s="142">
        <v>67</v>
      </c>
      <c r="C69" s="141" t="b">
        <v>0</v>
      </c>
      <c r="D69" s="140" t="str">
        <v>M9</v>
      </c>
      <c r="E69" s="139" t="str">
        <f t="shared" si="2"/>
        <v>GBPIMMFRA6MM9_Quote</v>
      </c>
      <c r="F69" s="138" t="str">
        <f>_xll.qlSimpleQuote(E69,,PriceTickValue,Permanent,Trigger,ObjectOverwrite)</f>
        <v>GBPIMMFRA6MM9_Quote#0002</v>
      </c>
      <c r="G69" s="101" t="str">
        <f>_xll.ohRangeRetrieveError(F69)</f>
        <v/>
      </c>
      <c r="H69" s="137"/>
    </row>
    <row r="70" spans="1:8" x14ac:dyDescent="0.2">
      <c r="A70" s="143"/>
      <c r="B70" s="142">
        <v>68</v>
      </c>
      <c r="C70" s="141" t="b">
        <v>0</v>
      </c>
      <c r="D70" s="140" t="str">
        <v>N9</v>
      </c>
      <c r="E70" s="139" t="str">
        <f t="shared" si="2"/>
        <v>GBPIMMFRA6MN9_Quote</v>
      </c>
      <c r="F70" s="138" t="str">
        <f>_xll.qlSimpleQuote(E70,,PriceTickValue,Permanent,Trigger,ObjectOverwrite)</f>
        <v>GBPIMMFRA6MN9_Quote#0002</v>
      </c>
      <c r="G70" s="101" t="str">
        <f>_xll.ohRangeRetrieveError(F70)</f>
        <v/>
      </c>
      <c r="H70" s="137"/>
    </row>
    <row r="71" spans="1:8" x14ac:dyDescent="0.2">
      <c r="A71" s="143"/>
      <c r="B71" s="142">
        <v>69</v>
      </c>
      <c r="C71" s="141" t="b">
        <v>0</v>
      </c>
      <c r="D71" s="140" t="str">
        <v>Q9</v>
      </c>
      <c r="E71" s="139" t="str">
        <f t="shared" si="2"/>
        <v>GBPIMMFRA6MQ9_Quote</v>
      </c>
      <c r="F71" s="138" t="str">
        <f>_xll.qlSimpleQuote(E71,,PriceTickValue,Permanent,Trigger,ObjectOverwrite)</f>
        <v>GBPIMMFRA6MQ9_Quote#0002</v>
      </c>
      <c r="G71" s="101" t="str">
        <f>_xll.ohRangeRetrieveError(F71)</f>
        <v/>
      </c>
      <c r="H71" s="137"/>
    </row>
    <row r="72" spans="1:8" x14ac:dyDescent="0.2">
      <c r="A72" s="143"/>
      <c r="B72" s="142">
        <v>70</v>
      </c>
      <c r="C72" s="141" t="b">
        <v>0</v>
      </c>
      <c r="D72" s="140" t="str">
        <v>U9</v>
      </c>
      <c r="E72" s="139" t="str">
        <f t="shared" si="2"/>
        <v>GBPIMMFRA6MU9_Quote</v>
      </c>
      <c r="F72" s="138" t="str">
        <f>_xll.qlSimpleQuote(E72,,PriceTickValue,Permanent,Trigger,ObjectOverwrite)</f>
        <v>GBPIMMFRA6MU9_Quote#0002</v>
      </c>
      <c r="G72" s="101" t="str">
        <f>_xll.ohRangeRetrieveError(F72)</f>
        <v/>
      </c>
      <c r="H72" s="137"/>
    </row>
    <row r="73" spans="1:8" x14ac:dyDescent="0.2">
      <c r="A73" s="143"/>
      <c r="B73" s="142">
        <v>71</v>
      </c>
      <c r="C73" s="141" t="b">
        <v>0</v>
      </c>
      <c r="D73" s="140" t="str">
        <v>V9</v>
      </c>
      <c r="E73" s="139" t="str">
        <f t="shared" si="2"/>
        <v>GBPIMMFRA6MV9_Quote</v>
      </c>
      <c r="F73" s="138" t="str">
        <f>_xll.qlSimpleQuote(E73,,PriceTickValue,Permanent,Trigger,ObjectOverwrite)</f>
        <v>GBPIMMFRA6MV9_Quote#0002</v>
      </c>
      <c r="G73" s="101" t="str">
        <f>_xll.ohRangeRetrieveError(F73)</f>
        <v/>
      </c>
      <c r="H73" s="137"/>
    </row>
    <row r="74" spans="1:8" x14ac:dyDescent="0.2">
      <c r="A74" s="143"/>
      <c r="B74" s="142">
        <v>72</v>
      </c>
      <c r="C74" s="141" t="b">
        <v>0</v>
      </c>
      <c r="D74" s="140" t="str">
        <v>X9</v>
      </c>
      <c r="E74" s="139" t="str">
        <f t="shared" si="2"/>
        <v>GBPIMMFRA6MX9_Quote</v>
      </c>
      <c r="F74" s="138" t="str">
        <f>_xll.qlSimpleQuote(E74,,PriceTickValue,Permanent,Trigger,ObjectOverwrite)</f>
        <v>GBPIMMFRA6MX9_Quote#0002</v>
      </c>
      <c r="G74" s="101" t="str">
        <f>_xll.ohRangeRetrieveError(F74)</f>
        <v/>
      </c>
      <c r="H74" s="137"/>
    </row>
    <row r="75" spans="1:8" x14ac:dyDescent="0.2">
      <c r="A75" s="143"/>
      <c r="B75" s="142">
        <v>73</v>
      </c>
      <c r="C75" s="141" t="b">
        <v>0</v>
      </c>
      <c r="D75" s="140" t="str">
        <v>Z9</v>
      </c>
      <c r="E75" s="139" t="str">
        <f t="shared" si="2"/>
        <v>GBPIMMFRA6MZ9_Quote</v>
      </c>
      <c r="F75" s="138" t="str">
        <f>_xll.qlSimpleQuote(E75,,PriceTickValue,Permanent,Trigger,ObjectOverwrite)</f>
        <v>GBPIMMFRA6MZ9_Quote#0002</v>
      </c>
      <c r="G75" s="101" t="str">
        <f>_xll.ohRangeRetrieveError(F75)</f>
        <v/>
      </c>
      <c r="H75" s="137"/>
    </row>
    <row r="76" spans="1:8" x14ac:dyDescent="0.2">
      <c r="A76" s="143"/>
      <c r="B76" s="142">
        <v>74</v>
      </c>
      <c r="C76" s="141" t="b">
        <v>0</v>
      </c>
      <c r="D76" s="140" t="str">
        <v>F0</v>
      </c>
      <c r="E76" s="139" t="str">
        <f t="shared" si="2"/>
        <v>GBPIMMFRA6MF0_Quote</v>
      </c>
      <c r="F76" s="138" t="str">
        <f>_xll.qlSimpleQuote(E76,,PriceTickValue,Permanent,Trigger,ObjectOverwrite)</f>
        <v>GBPIMMFRA6MF0_Quote#0002</v>
      </c>
      <c r="G76" s="101" t="str">
        <f>_xll.ohRangeRetrieveError(F76)</f>
        <v/>
      </c>
      <c r="H76" s="137"/>
    </row>
    <row r="77" spans="1:8" x14ac:dyDescent="0.2">
      <c r="A77" s="143"/>
      <c r="B77" s="142">
        <v>75</v>
      </c>
      <c r="C77" s="141" t="b">
        <v>0</v>
      </c>
      <c r="D77" s="140" t="str">
        <v>G0</v>
      </c>
      <c r="E77" s="139" t="str">
        <f t="shared" si="2"/>
        <v>GBPIMMFRA6MG0_Quote</v>
      </c>
      <c r="F77" s="138" t="str">
        <f>_xll.qlSimpleQuote(E77,,PriceTickValue,Permanent,Trigger,ObjectOverwrite)</f>
        <v>GBPIMMFRA6MG0_Quote#0002</v>
      </c>
      <c r="G77" s="101" t="str">
        <f>_xll.ohRangeRetrieveError(F77)</f>
        <v/>
      </c>
      <c r="H77" s="137"/>
    </row>
    <row r="78" spans="1:8" x14ac:dyDescent="0.2">
      <c r="A78" s="143"/>
      <c r="B78" s="142">
        <v>76</v>
      </c>
      <c r="C78" s="141" t="b">
        <v>0</v>
      </c>
      <c r="D78" s="140" t="str">
        <v>H0</v>
      </c>
      <c r="E78" s="139" t="str">
        <f t="shared" si="2"/>
        <v>GBPIMMFRA6MH0_Quote</v>
      </c>
      <c r="F78" s="138" t="str">
        <f>_xll.qlSimpleQuote(E78,,PriceTickValue,Permanent,Trigger,ObjectOverwrite)</f>
        <v>GBPIMMFRA6MH0_Quote#0002</v>
      </c>
      <c r="G78" s="101" t="str">
        <f>_xll.ohRangeRetrieveError(F78)</f>
        <v/>
      </c>
      <c r="H78" s="137"/>
    </row>
    <row r="79" spans="1:8" x14ac:dyDescent="0.2">
      <c r="A79" s="143"/>
      <c r="B79" s="142">
        <v>77</v>
      </c>
      <c r="C79" s="141" t="b">
        <v>0</v>
      </c>
      <c r="D79" s="140" t="str">
        <v>J0</v>
      </c>
      <c r="E79" s="139" t="str">
        <f t="shared" si="2"/>
        <v>GBPIMMFRA6MJ0_Quote</v>
      </c>
      <c r="F79" s="138" t="str">
        <f>_xll.qlSimpleQuote(E79,,PriceTickValue,Permanent,Trigger,ObjectOverwrite)</f>
        <v>GBPIMMFRA6MJ0_Quote#0002</v>
      </c>
      <c r="G79" s="101" t="str">
        <f>_xll.ohRangeRetrieveError(F79)</f>
        <v/>
      </c>
      <c r="H79" s="137"/>
    </row>
    <row r="80" spans="1:8" x14ac:dyDescent="0.2">
      <c r="A80" s="143"/>
      <c r="B80" s="142">
        <v>78</v>
      </c>
      <c r="C80" s="141" t="b">
        <v>0</v>
      </c>
      <c r="D80" s="140" t="str">
        <v>K0</v>
      </c>
      <c r="E80" s="139" t="str">
        <f t="shared" si="2"/>
        <v>GBPIMMFRA6MK0_Quote</v>
      </c>
      <c r="F80" s="138" t="str">
        <f>_xll.qlSimpleQuote(E80,,PriceTickValue,Permanent,Trigger,ObjectOverwrite)</f>
        <v>GBPIMMFRA6MK0_Quote#0002</v>
      </c>
      <c r="G80" s="101" t="str">
        <f>_xll.ohRangeRetrieveError(F80)</f>
        <v/>
      </c>
      <c r="H80" s="137"/>
    </row>
    <row r="81" spans="1:8" x14ac:dyDescent="0.2">
      <c r="A81" s="143"/>
      <c r="B81" s="142">
        <v>79</v>
      </c>
      <c r="C81" s="141" t="b">
        <v>0</v>
      </c>
      <c r="D81" s="140" t="str">
        <v>M0</v>
      </c>
      <c r="E81" s="139" t="str">
        <f t="shared" si="2"/>
        <v>GBPIMMFRA6MM0_Quote</v>
      </c>
      <c r="F81" s="138" t="str">
        <f>_xll.qlSimpleQuote(E81,,PriceTickValue,Permanent,Trigger,ObjectOverwrite)</f>
        <v>GBPIMMFRA6MM0_Quote#0002</v>
      </c>
      <c r="G81" s="101" t="str">
        <f>_xll.ohRangeRetrieveError(F81)</f>
        <v/>
      </c>
      <c r="H81" s="137"/>
    </row>
    <row r="82" spans="1:8" x14ac:dyDescent="0.2">
      <c r="A82" s="143"/>
      <c r="B82" s="142">
        <v>80</v>
      </c>
      <c r="C82" s="141" t="b">
        <v>0</v>
      </c>
      <c r="D82" s="140" t="str">
        <v>N0</v>
      </c>
      <c r="E82" s="139" t="str">
        <f t="shared" si="2"/>
        <v>GBPIMMFRA6MN0_Quote</v>
      </c>
      <c r="F82" s="138" t="str">
        <f>_xll.qlSimpleQuote(E82,,PriceTickValue,Permanent,Trigger,ObjectOverwrite)</f>
        <v>GBPIMMFRA6MN0_Quote#0002</v>
      </c>
      <c r="G82" s="101" t="str">
        <f>_xll.ohRangeRetrieveError(F82)</f>
        <v/>
      </c>
      <c r="H82" s="137"/>
    </row>
    <row r="83" spans="1:8" x14ac:dyDescent="0.2">
      <c r="A83" s="143"/>
      <c r="B83" s="142">
        <v>81</v>
      </c>
      <c r="C83" s="141" t="b">
        <v>0</v>
      </c>
      <c r="D83" s="140" t="str">
        <v>Q0</v>
      </c>
      <c r="E83" s="139" t="str">
        <f t="shared" si="2"/>
        <v>GBPIMMFRA6MQ0_Quote</v>
      </c>
      <c r="F83" s="138" t="str">
        <f>_xll.qlSimpleQuote(E83,,PriceTickValue,Permanent,Trigger,ObjectOverwrite)</f>
        <v>GBPIMMFRA6MQ0_Quote#0002</v>
      </c>
      <c r="G83" s="101" t="str">
        <f>_xll.ohRangeRetrieveError(F83)</f>
        <v/>
      </c>
      <c r="H83" s="137"/>
    </row>
    <row r="84" spans="1:8" x14ac:dyDescent="0.2">
      <c r="A84" s="143"/>
      <c r="B84" s="142">
        <v>82</v>
      </c>
      <c r="C84" s="141" t="b">
        <v>0</v>
      </c>
      <c r="D84" s="140" t="str">
        <v>U0</v>
      </c>
      <c r="E84" s="139" t="str">
        <f t="shared" si="2"/>
        <v>GBPIMMFRA6MU0_Quote</v>
      </c>
      <c r="F84" s="138" t="str">
        <f>_xll.qlSimpleQuote(E84,,PriceTickValue,Permanent,Trigger,ObjectOverwrite)</f>
        <v>GBPIMMFRA6MU0_Quote#0002</v>
      </c>
      <c r="G84" s="101" t="str">
        <f>_xll.ohRangeRetrieveError(F84)</f>
        <v/>
      </c>
      <c r="H84" s="137"/>
    </row>
    <row r="85" spans="1:8" x14ac:dyDescent="0.2">
      <c r="A85" s="143"/>
      <c r="B85" s="142">
        <v>83</v>
      </c>
      <c r="C85" s="141" t="b">
        <v>0</v>
      </c>
      <c r="D85" s="140" t="str">
        <v>V0</v>
      </c>
      <c r="E85" s="139" t="str">
        <f t="shared" si="2"/>
        <v>GBPIMMFRA6MV0_Quote</v>
      </c>
      <c r="F85" s="138" t="str">
        <f>_xll.qlSimpleQuote(E85,,PriceTickValue,Permanent,Trigger,ObjectOverwrite)</f>
        <v>GBPIMMFRA6MV0_Quote#0002</v>
      </c>
      <c r="G85" s="101" t="str">
        <f>_xll.ohRangeRetrieveError(F85)</f>
        <v/>
      </c>
      <c r="H85" s="137"/>
    </row>
    <row r="86" spans="1:8" x14ac:dyDescent="0.2">
      <c r="A86" s="143"/>
      <c r="B86" s="142">
        <v>84</v>
      </c>
      <c r="C86" s="141" t="b">
        <v>0</v>
      </c>
      <c r="D86" s="140" t="str">
        <v>X0</v>
      </c>
      <c r="E86" s="139" t="str">
        <f t="shared" si="2"/>
        <v>GBPIMMFRA6MX0_Quote</v>
      </c>
      <c r="F86" s="138" t="str">
        <f>_xll.qlSimpleQuote(E86,,PriceTickValue,Permanent,Trigger,ObjectOverwrite)</f>
        <v>GBPIMMFRA6MX0_Quote#0002</v>
      </c>
      <c r="G86" s="101" t="str">
        <f>_xll.ohRangeRetrieveError(F86)</f>
        <v/>
      </c>
      <c r="H86" s="137"/>
    </row>
    <row r="87" spans="1:8" x14ac:dyDescent="0.2">
      <c r="A87" s="143"/>
      <c r="B87" s="142">
        <v>85</v>
      </c>
      <c r="C87" s="141" t="b">
        <v>0</v>
      </c>
      <c r="D87" s="140" t="str">
        <v>Z0</v>
      </c>
      <c r="E87" s="139" t="str">
        <f t="shared" si="2"/>
        <v>GBPIMMFRA6MZ0_Quote</v>
      </c>
      <c r="F87" s="138" t="str">
        <f>_xll.qlSimpleQuote(E87,,PriceTickValue,Permanent,Trigger,ObjectOverwrite)</f>
        <v>GBPIMMFRA6MZ0_Quote#0002</v>
      </c>
      <c r="G87" s="101" t="str">
        <f>_xll.ohRangeRetrieveError(F87)</f>
        <v/>
      </c>
      <c r="H87" s="137"/>
    </row>
    <row r="88" spans="1:8" x14ac:dyDescent="0.2">
      <c r="A88" s="143"/>
      <c r="B88" s="142">
        <v>86</v>
      </c>
      <c r="C88" s="141" t="b">
        <v>0</v>
      </c>
      <c r="D88" s="140" t="str">
        <v>F1</v>
      </c>
      <c r="E88" s="139" t="str">
        <f t="shared" si="2"/>
        <v>GBPIMMFRA6MF1_Quote</v>
      </c>
      <c r="F88" s="138" t="str">
        <f>_xll.qlSimpleQuote(E88,,PriceTickValue,Permanent,Trigger,ObjectOverwrite)</f>
        <v>GBPIMMFRA6MF1_Quote#0002</v>
      </c>
      <c r="G88" s="101" t="str">
        <f>_xll.ohRangeRetrieveError(F88)</f>
        <v/>
      </c>
      <c r="H88" s="137"/>
    </row>
    <row r="89" spans="1:8" x14ac:dyDescent="0.2">
      <c r="A89" s="143"/>
      <c r="B89" s="142">
        <v>87</v>
      </c>
      <c r="C89" s="141" t="b">
        <v>0</v>
      </c>
      <c r="D89" s="140" t="str">
        <v>G1</v>
      </c>
      <c r="E89" s="139" t="str">
        <f t="shared" si="2"/>
        <v>GBPIMMFRA6MG1_Quote</v>
      </c>
      <c r="F89" s="138" t="str">
        <f>_xll.qlSimpleQuote(E89,,PriceTickValue,Permanent,Trigger,ObjectOverwrite)</f>
        <v>GBPIMMFRA6MG1_Quote#0002</v>
      </c>
      <c r="G89" s="101" t="str">
        <f>_xll.ohRangeRetrieveError(F89)</f>
        <v/>
      </c>
      <c r="H89" s="137"/>
    </row>
    <row r="90" spans="1:8" x14ac:dyDescent="0.2">
      <c r="A90" s="143"/>
      <c r="B90" s="142">
        <v>88</v>
      </c>
      <c r="C90" s="141" t="b">
        <v>0</v>
      </c>
      <c r="D90" s="140" t="str">
        <v>H1</v>
      </c>
      <c r="E90" s="139" t="str">
        <f t="shared" si="2"/>
        <v>GBPIMMFRA6MH1_Quote</v>
      </c>
      <c r="F90" s="138" t="str">
        <f>_xll.qlSimpleQuote(E90,,PriceTickValue,Permanent,Trigger,ObjectOverwrite)</f>
        <v>GBPIMMFRA6MH1_Quote#0002</v>
      </c>
      <c r="G90" s="101" t="str">
        <f>_xll.ohRangeRetrieveError(F90)</f>
        <v/>
      </c>
      <c r="H90" s="137"/>
    </row>
    <row r="91" spans="1:8" x14ac:dyDescent="0.2">
      <c r="A91" s="143"/>
      <c r="B91" s="142">
        <v>89</v>
      </c>
      <c r="C91" s="141" t="b">
        <v>0</v>
      </c>
      <c r="D91" s="140" t="str">
        <v>J1</v>
      </c>
      <c r="E91" s="139" t="str">
        <f t="shared" si="2"/>
        <v>GBPIMMFRA6MJ1_Quote</v>
      </c>
      <c r="F91" s="138" t="str">
        <f>_xll.qlSimpleQuote(E91,,PriceTickValue,Permanent,Trigger,ObjectOverwrite)</f>
        <v>GBPIMMFRA6MJ1_Quote#0002</v>
      </c>
      <c r="G91" s="101" t="str">
        <f>_xll.ohRangeRetrieveError(F91)</f>
        <v/>
      </c>
      <c r="H91" s="137"/>
    </row>
    <row r="92" spans="1:8" x14ac:dyDescent="0.2">
      <c r="A92" s="143"/>
      <c r="B92" s="142">
        <v>90</v>
      </c>
      <c r="C92" s="141" t="b">
        <v>0</v>
      </c>
      <c r="D92" s="140" t="str">
        <v>K1</v>
      </c>
      <c r="E92" s="139" t="str">
        <f t="shared" si="2"/>
        <v>GBPIMMFRA6MK1_Quote</v>
      </c>
      <c r="F92" s="138" t="str">
        <f>_xll.qlSimpleQuote(E92,,PriceTickValue,Permanent,Trigger,ObjectOverwrite)</f>
        <v>GBPIMMFRA6MK1_Quote#0002</v>
      </c>
      <c r="G92" s="101" t="str">
        <f>_xll.ohRangeRetrieveError(F92)</f>
        <v/>
      </c>
      <c r="H92" s="137"/>
    </row>
    <row r="93" spans="1:8" x14ac:dyDescent="0.2">
      <c r="A93" s="143"/>
      <c r="B93" s="142">
        <v>91</v>
      </c>
      <c r="C93" s="141" t="b">
        <v>0</v>
      </c>
      <c r="D93" s="140" t="str">
        <v>M1</v>
      </c>
      <c r="E93" s="139" t="str">
        <f t="shared" si="2"/>
        <v>GBPIMMFRA6MM1_Quote</v>
      </c>
      <c r="F93" s="138" t="str">
        <f>_xll.qlSimpleQuote(E93,,PriceTickValue,Permanent,Trigger,ObjectOverwrite)</f>
        <v>GBPIMMFRA6MM1_Quote#0002</v>
      </c>
      <c r="G93" s="101" t="str">
        <f>_xll.ohRangeRetrieveError(F93)</f>
        <v/>
      </c>
      <c r="H93" s="137"/>
    </row>
    <row r="94" spans="1:8" x14ac:dyDescent="0.2">
      <c r="A94" s="143"/>
      <c r="B94" s="142">
        <v>92</v>
      </c>
      <c r="C94" s="141" t="b">
        <v>0</v>
      </c>
      <c r="D94" s="140" t="str">
        <v>N1</v>
      </c>
      <c r="E94" s="139" t="str">
        <f t="shared" si="2"/>
        <v>GBPIMMFRA6MN1_Quote</v>
      </c>
      <c r="F94" s="138" t="str">
        <f>_xll.qlSimpleQuote(E94,,PriceTickValue,Permanent,Trigger,ObjectOverwrite)</f>
        <v>GBPIMMFRA6MN1_Quote#0002</v>
      </c>
      <c r="G94" s="101" t="str">
        <f>_xll.ohRangeRetrieveError(F94)</f>
        <v/>
      </c>
      <c r="H94" s="137"/>
    </row>
    <row r="95" spans="1:8" x14ac:dyDescent="0.2">
      <c r="A95" s="143"/>
      <c r="B95" s="142">
        <v>93</v>
      </c>
      <c r="C95" s="141" t="b">
        <v>0</v>
      </c>
      <c r="D95" s="140" t="str">
        <v>Q1</v>
      </c>
      <c r="E95" s="139" t="str">
        <f t="shared" si="2"/>
        <v>GBPIMMFRA6MQ1_Quote</v>
      </c>
      <c r="F95" s="138" t="str">
        <f>_xll.qlSimpleQuote(E95,,PriceTickValue,Permanent,Trigger,ObjectOverwrite)</f>
        <v>GBPIMMFRA6MQ1_Quote#0002</v>
      </c>
      <c r="G95" s="101" t="str">
        <f>_xll.ohRangeRetrieveError(F95)</f>
        <v/>
      </c>
      <c r="H95" s="137"/>
    </row>
    <row r="96" spans="1:8" x14ac:dyDescent="0.2">
      <c r="A96" s="143"/>
      <c r="B96" s="142">
        <v>94</v>
      </c>
      <c r="C96" s="141" t="b">
        <v>0</v>
      </c>
      <c r="D96" s="140" t="str">
        <v>U1</v>
      </c>
      <c r="E96" s="139" t="str">
        <f t="shared" si="2"/>
        <v>GBPIMMFRA6MU1_Quote</v>
      </c>
      <c r="F96" s="138" t="str">
        <f>_xll.qlSimpleQuote(E96,,PriceTickValue,Permanent,Trigger,ObjectOverwrite)</f>
        <v>GBPIMMFRA6MU1_Quote#0002</v>
      </c>
      <c r="G96" s="101" t="str">
        <f>_xll.ohRangeRetrieveError(F96)</f>
        <v/>
      </c>
      <c r="H96" s="137"/>
    </row>
    <row r="97" spans="1:8" x14ac:dyDescent="0.2">
      <c r="A97" s="143"/>
      <c r="B97" s="142">
        <v>95</v>
      </c>
      <c r="C97" s="141" t="b">
        <v>0</v>
      </c>
      <c r="D97" s="140" t="str">
        <v>V1</v>
      </c>
      <c r="E97" s="139" t="str">
        <f t="shared" si="2"/>
        <v>GBPIMMFRA6MV1_Quote</v>
      </c>
      <c r="F97" s="138" t="str">
        <f>_xll.qlSimpleQuote(E97,,PriceTickValue,Permanent,Trigger,ObjectOverwrite)</f>
        <v>GBPIMMFRA6MV1_Quote#0002</v>
      </c>
      <c r="G97" s="101" t="str">
        <f>_xll.ohRangeRetrieveError(F97)</f>
        <v/>
      </c>
      <c r="H97" s="137"/>
    </row>
    <row r="98" spans="1:8" x14ac:dyDescent="0.2">
      <c r="A98" s="143"/>
      <c r="B98" s="142">
        <v>96</v>
      </c>
      <c r="C98" s="141" t="b">
        <v>0</v>
      </c>
      <c r="D98" s="140" t="str">
        <v>X1</v>
      </c>
      <c r="E98" s="139" t="str">
        <f t="shared" si="2"/>
        <v>GBPIMMFRA6MX1_Quote</v>
      </c>
      <c r="F98" s="138" t="str">
        <f>_xll.qlSimpleQuote(E98,,PriceTickValue,Permanent,Trigger,ObjectOverwrite)</f>
        <v>GBPIMMFRA6MX1_Quote#0002</v>
      </c>
      <c r="G98" s="101" t="str">
        <f>_xll.ohRangeRetrieveError(F98)</f>
        <v/>
      </c>
      <c r="H98" s="137"/>
    </row>
    <row r="99" spans="1:8" x14ac:dyDescent="0.2">
      <c r="A99" s="143"/>
      <c r="B99" s="142">
        <v>97</v>
      </c>
      <c r="C99" s="141" t="b">
        <v>0</v>
      </c>
      <c r="D99" s="140" t="str">
        <v>Z1</v>
      </c>
      <c r="E99" s="139" t="str">
        <f t="shared" ref="E99:E122" si="3">Currency&amp;$D$1&amp;$E$1&amp;$D99&amp;QuoteSuffix</f>
        <v>GBPIMMFRA6MZ1_Quote</v>
      </c>
      <c r="F99" s="138" t="str">
        <f>_xll.qlSimpleQuote(E99,,PriceTickValue,Permanent,Trigger,ObjectOverwrite)</f>
        <v>GBPIMMFRA6MZ1_Quote#0002</v>
      </c>
      <c r="G99" s="101" t="str">
        <f>_xll.ohRangeRetrieveError(F99)</f>
        <v/>
      </c>
      <c r="H99" s="137"/>
    </row>
    <row r="100" spans="1:8" x14ac:dyDescent="0.2">
      <c r="A100" s="143"/>
      <c r="B100" s="142">
        <v>98</v>
      </c>
      <c r="C100" s="141" t="b">
        <v>0</v>
      </c>
      <c r="D100" s="140" t="str">
        <v>F2</v>
      </c>
      <c r="E100" s="139" t="str">
        <f t="shared" si="3"/>
        <v>GBPIMMFRA6MF2_Quote</v>
      </c>
      <c r="F100" s="138" t="str">
        <f>_xll.qlSimpleQuote(E100,,PriceTickValue,Permanent,Trigger,ObjectOverwrite)</f>
        <v>GBPIMMFRA6MF2_Quote#0002</v>
      </c>
      <c r="G100" s="101" t="str">
        <f>_xll.ohRangeRetrieveError(F100)</f>
        <v/>
      </c>
      <c r="H100" s="137"/>
    </row>
    <row r="101" spans="1:8" x14ac:dyDescent="0.2">
      <c r="A101" s="143"/>
      <c r="B101" s="142">
        <v>99</v>
      </c>
      <c r="C101" s="141" t="b">
        <v>0</v>
      </c>
      <c r="D101" s="140" t="str">
        <v>G2</v>
      </c>
      <c r="E101" s="139" t="str">
        <f t="shared" si="3"/>
        <v>GBPIMMFRA6MG2_Quote</v>
      </c>
      <c r="F101" s="138" t="str">
        <f>_xll.qlSimpleQuote(E101,,PriceTickValue,Permanent,Trigger,ObjectOverwrite)</f>
        <v>GBPIMMFRA6MG2_Quote#0002</v>
      </c>
      <c r="G101" s="101" t="str">
        <f>_xll.ohRangeRetrieveError(F101)</f>
        <v/>
      </c>
      <c r="H101" s="137"/>
    </row>
    <row r="102" spans="1:8" x14ac:dyDescent="0.2">
      <c r="A102" s="143"/>
      <c r="B102" s="142">
        <v>100</v>
      </c>
      <c r="C102" s="141" t="b">
        <v>0</v>
      </c>
      <c r="D102" s="140" t="str">
        <v>H2</v>
      </c>
      <c r="E102" s="139" t="str">
        <f t="shared" si="3"/>
        <v>GBPIMMFRA6MH2_Quote</v>
      </c>
      <c r="F102" s="138" t="str">
        <f>_xll.qlSimpleQuote(E102,,PriceTickValue,Permanent,Trigger,ObjectOverwrite)</f>
        <v>GBPIMMFRA6MH2_Quote#0002</v>
      </c>
      <c r="G102" s="101" t="str">
        <f>_xll.ohRangeRetrieveError(F102)</f>
        <v/>
      </c>
      <c r="H102" s="137"/>
    </row>
    <row r="103" spans="1:8" x14ac:dyDescent="0.2">
      <c r="A103" s="143"/>
      <c r="B103" s="142">
        <v>101</v>
      </c>
      <c r="C103" s="141" t="b">
        <v>0</v>
      </c>
      <c r="D103" s="140" t="str">
        <v>J2</v>
      </c>
      <c r="E103" s="139" t="str">
        <f t="shared" si="3"/>
        <v>GBPIMMFRA6MJ2_Quote</v>
      </c>
      <c r="F103" s="138" t="str">
        <f>_xll.qlSimpleQuote(E103,,PriceTickValue,Permanent,Trigger,ObjectOverwrite)</f>
        <v>GBPIMMFRA6MJ2_Quote#0002</v>
      </c>
      <c r="G103" s="101" t="str">
        <f>_xll.ohRangeRetrieveError(F103)</f>
        <v/>
      </c>
      <c r="H103" s="137"/>
    </row>
    <row r="104" spans="1:8" x14ac:dyDescent="0.2">
      <c r="A104" s="143"/>
      <c r="B104" s="142">
        <v>102</v>
      </c>
      <c r="C104" s="141" t="b">
        <v>0</v>
      </c>
      <c r="D104" s="140" t="str">
        <v>K2</v>
      </c>
      <c r="E104" s="139" t="str">
        <f t="shared" si="3"/>
        <v>GBPIMMFRA6MK2_Quote</v>
      </c>
      <c r="F104" s="138" t="str">
        <f>_xll.qlSimpleQuote(E104,,PriceTickValue,Permanent,Trigger,ObjectOverwrite)</f>
        <v>GBPIMMFRA6MK2_Quote#0002</v>
      </c>
      <c r="G104" s="101" t="str">
        <f>_xll.ohRangeRetrieveError(F104)</f>
        <v/>
      </c>
      <c r="H104" s="137"/>
    </row>
    <row r="105" spans="1:8" x14ac:dyDescent="0.2">
      <c r="A105" s="143"/>
      <c r="B105" s="142">
        <v>103</v>
      </c>
      <c r="C105" s="141" t="b">
        <v>0</v>
      </c>
      <c r="D105" s="140" t="str">
        <v>M2</v>
      </c>
      <c r="E105" s="139" t="str">
        <f t="shared" si="3"/>
        <v>GBPIMMFRA6MM2_Quote</v>
      </c>
      <c r="F105" s="138" t="str">
        <f>_xll.qlSimpleQuote(E105,,PriceTickValue,Permanent,Trigger,ObjectOverwrite)</f>
        <v>GBPIMMFRA6MM2_Quote#0002</v>
      </c>
      <c r="G105" s="101" t="str">
        <f>_xll.ohRangeRetrieveError(F105)</f>
        <v/>
      </c>
      <c r="H105" s="137"/>
    </row>
    <row r="106" spans="1:8" x14ac:dyDescent="0.2">
      <c r="A106" s="143"/>
      <c r="B106" s="142">
        <v>104</v>
      </c>
      <c r="C106" s="141" t="b">
        <v>0</v>
      </c>
      <c r="D106" s="140" t="str">
        <v>N2</v>
      </c>
      <c r="E106" s="139" t="str">
        <f t="shared" si="3"/>
        <v>GBPIMMFRA6MN2_Quote</v>
      </c>
      <c r="F106" s="138" t="str">
        <f>_xll.qlSimpleQuote(E106,,PriceTickValue,Permanent,Trigger,ObjectOverwrite)</f>
        <v>GBPIMMFRA6MN2_Quote#0002</v>
      </c>
      <c r="G106" s="101" t="str">
        <f>_xll.ohRangeRetrieveError(F106)</f>
        <v/>
      </c>
      <c r="H106" s="137"/>
    </row>
    <row r="107" spans="1:8" x14ac:dyDescent="0.2">
      <c r="A107" s="143"/>
      <c r="B107" s="142">
        <v>105</v>
      </c>
      <c r="C107" s="141" t="b">
        <v>0</v>
      </c>
      <c r="D107" s="140" t="str">
        <v>Q2</v>
      </c>
      <c r="E107" s="139" t="str">
        <f t="shared" si="3"/>
        <v>GBPIMMFRA6MQ2_Quote</v>
      </c>
      <c r="F107" s="138" t="str">
        <f>_xll.qlSimpleQuote(E107,,PriceTickValue,Permanent,Trigger,ObjectOverwrite)</f>
        <v>GBPIMMFRA6MQ2_Quote#0002</v>
      </c>
      <c r="G107" s="101" t="str">
        <f>_xll.ohRangeRetrieveError(F107)</f>
        <v/>
      </c>
      <c r="H107" s="137"/>
    </row>
    <row r="108" spans="1:8" x14ac:dyDescent="0.2">
      <c r="A108" s="143"/>
      <c r="B108" s="142">
        <v>106</v>
      </c>
      <c r="C108" s="141" t="b">
        <v>0</v>
      </c>
      <c r="D108" s="140" t="str">
        <v>U2</v>
      </c>
      <c r="E108" s="139" t="str">
        <f t="shared" si="3"/>
        <v>GBPIMMFRA6MU2_Quote</v>
      </c>
      <c r="F108" s="138" t="str">
        <f>_xll.qlSimpleQuote(E108,,PriceTickValue,Permanent,Trigger,ObjectOverwrite)</f>
        <v>GBPIMMFRA6MU2_Quote#0002</v>
      </c>
      <c r="G108" s="101" t="str">
        <f>_xll.ohRangeRetrieveError(F108)</f>
        <v/>
      </c>
      <c r="H108" s="137"/>
    </row>
    <row r="109" spans="1:8" x14ac:dyDescent="0.2">
      <c r="A109" s="143"/>
      <c r="B109" s="142">
        <v>107</v>
      </c>
      <c r="C109" s="141" t="b">
        <v>0</v>
      </c>
      <c r="D109" s="140" t="str">
        <v>V2</v>
      </c>
      <c r="E109" s="139" t="str">
        <f t="shared" si="3"/>
        <v>GBPIMMFRA6MV2_Quote</v>
      </c>
      <c r="F109" s="138" t="str">
        <f>_xll.qlSimpleQuote(E109,,PriceTickValue,Permanent,Trigger,ObjectOverwrite)</f>
        <v>GBPIMMFRA6MV2_Quote#0002</v>
      </c>
      <c r="G109" s="101" t="str">
        <f>_xll.ohRangeRetrieveError(F109)</f>
        <v/>
      </c>
      <c r="H109" s="137"/>
    </row>
    <row r="110" spans="1:8" x14ac:dyDescent="0.2">
      <c r="A110" s="143"/>
      <c r="B110" s="142">
        <v>108</v>
      </c>
      <c r="C110" s="141" t="b">
        <v>0</v>
      </c>
      <c r="D110" s="140" t="str">
        <v>X2</v>
      </c>
      <c r="E110" s="139" t="str">
        <f t="shared" si="3"/>
        <v>GBPIMMFRA6MX2_Quote</v>
      </c>
      <c r="F110" s="138" t="str">
        <f>_xll.qlSimpleQuote(E110,,PriceTickValue,Permanent,Trigger,ObjectOverwrite)</f>
        <v>GBPIMMFRA6MX2_Quote#0002</v>
      </c>
      <c r="G110" s="101" t="str">
        <f>_xll.ohRangeRetrieveError(F110)</f>
        <v/>
      </c>
      <c r="H110" s="137"/>
    </row>
    <row r="111" spans="1:8" x14ac:dyDescent="0.2">
      <c r="A111" s="143"/>
      <c r="B111" s="142">
        <v>109</v>
      </c>
      <c r="C111" s="141" t="b">
        <v>0</v>
      </c>
      <c r="D111" s="140" t="str">
        <v>Z2</v>
      </c>
      <c r="E111" s="139" t="str">
        <f t="shared" si="3"/>
        <v>GBPIMMFRA6MZ2_Quote</v>
      </c>
      <c r="F111" s="138" t="str">
        <f>_xll.qlSimpleQuote(E111,,PriceTickValue,Permanent,Trigger,ObjectOverwrite)</f>
        <v>GBPIMMFRA6MZ2_Quote#0002</v>
      </c>
      <c r="G111" s="101" t="str">
        <f>_xll.ohRangeRetrieveError(F111)</f>
        <v/>
      </c>
      <c r="H111" s="137"/>
    </row>
    <row r="112" spans="1:8" x14ac:dyDescent="0.2">
      <c r="A112" s="143"/>
      <c r="B112" s="142">
        <v>110</v>
      </c>
      <c r="C112" s="141" t="b">
        <v>0</v>
      </c>
      <c r="D112" s="140" t="str">
        <v>F3</v>
      </c>
      <c r="E112" s="139" t="str">
        <f t="shared" si="3"/>
        <v>GBPIMMFRA6MF3_Quote</v>
      </c>
      <c r="F112" s="138" t="str">
        <f>_xll.qlSimpleQuote(E112,,PriceTickValue,Permanent,Trigger,ObjectOverwrite)</f>
        <v>GBPIMMFRA6MF3_Quote#0002</v>
      </c>
      <c r="G112" s="101" t="str">
        <f>_xll.ohRangeRetrieveError(F112)</f>
        <v/>
      </c>
      <c r="H112" s="137"/>
    </row>
    <row r="113" spans="1:8" x14ac:dyDescent="0.2">
      <c r="A113" s="143"/>
      <c r="B113" s="142">
        <v>111</v>
      </c>
      <c r="C113" s="141" t="b">
        <v>0</v>
      </c>
      <c r="D113" s="140" t="str">
        <v>G3</v>
      </c>
      <c r="E113" s="139" t="str">
        <f t="shared" si="3"/>
        <v>GBPIMMFRA6MG3_Quote</v>
      </c>
      <c r="F113" s="138" t="str">
        <f>_xll.qlSimpleQuote(E113,,PriceTickValue,Permanent,Trigger,ObjectOverwrite)</f>
        <v>GBPIMMFRA6MG3_Quote#0002</v>
      </c>
      <c r="G113" s="101" t="str">
        <f>_xll.ohRangeRetrieveError(F113)</f>
        <v/>
      </c>
      <c r="H113" s="137"/>
    </row>
    <row r="114" spans="1:8" x14ac:dyDescent="0.2">
      <c r="A114" s="143"/>
      <c r="B114" s="142">
        <v>112</v>
      </c>
      <c r="C114" s="141" t="b">
        <v>0</v>
      </c>
      <c r="D114" s="140" t="str">
        <v>H3</v>
      </c>
      <c r="E114" s="139" t="str">
        <f t="shared" si="3"/>
        <v>GBPIMMFRA6MH3_Quote</v>
      </c>
      <c r="F114" s="138" t="str">
        <f>_xll.qlSimpleQuote(E114,,PriceTickValue,Permanent,Trigger,ObjectOverwrite)</f>
        <v>GBPIMMFRA6MH3_Quote#0002</v>
      </c>
      <c r="G114" s="101" t="str">
        <f>_xll.ohRangeRetrieveError(F114)</f>
        <v/>
      </c>
      <c r="H114" s="137"/>
    </row>
    <row r="115" spans="1:8" x14ac:dyDescent="0.2">
      <c r="A115" s="143"/>
      <c r="B115" s="142">
        <v>113</v>
      </c>
      <c r="C115" s="141" t="b">
        <v>0</v>
      </c>
      <c r="D115" s="140" t="str">
        <v>J3</v>
      </c>
      <c r="E115" s="139" t="str">
        <f t="shared" si="3"/>
        <v>GBPIMMFRA6MJ3_Quote</v>
      </c>
      <c r="F115" s="138" t="str">
        <f>_xll.qlSimpleQuote(E115,,PriceTickValue,Permanent,Trigger,ObjectOverwrite)</f>
        <v>GBPIMMFRA6MJ3_Quote#0002</v>
      </c>
      <c r="G115" s="101" t="str">
        <f>_xll.ohRangeRetrieveError(F115)</f>
        <v/>
      </c>
      <c r="H115" s="137"/>
    </row>
    <row r="116" spans="1:8" x14ac:dyDescent="0.2">
      <c r="A116" s="143"/>
      <c r="B116" s="142">
        <v>114</v>
      </c>
      <c r="C116" s="141" t="b">
        <v>0</v>
      </c>
      <c r="D116" s="140" t="str">
        <v>K3</v>
      </c>
      <c r="E116" s="139" t="str">
        <f t="shared" si="3"/>
        <v>GBPIMMFRA6MK3_Quote</v>
      </c>
      <c r="F116" s="138" t="str">
        <f>_xll.qlSimpleQuote(E116,,PriceTickValue,Permanent,Trigger,ObjectOverwrite)</f>
        <v>GBPIMMFRA6MK3_Quote#0002</v>
      </c>
      <c r="G116" s="101" t="str">
        <f>_xll.ohRangeRetrieveError(F116)</f>
        <v/>
      </c>
      <c r="H116" s="137"/>
    </row>
    <row r="117" spans="1:8" x14ac:dyDescent="0.2">
      <c r="A117" s="143"/>
      <c r="B117" s="142">
        <v>115</v>
      </c>
      <c r="C117" s="141" t="b">
        <v>0</v>
      </c>
      <c r="D117" s="140" t="str">
        <v>M3</v>
      </c>
      <c r="E117" s="139" t="str">
        <f t="shared" si="3"/>
        <v>GBPIMMFRA6MM3_Quote</v>
      </c>
      <c r="F117" s="138" t="str">
        <f>_xll.qlSimpleQuote(E117,,PriceTickValue,Permanent,Trigger,ObjectOverwrite)</f>
        <v>GBPIMMFRA6MM3_Quote#0002</v>
      </c>
      <c r="G117" s="101" t="str">
        <f>_xll.ohRangeRetrieveError(F117)</f>
        <v/>
      </c>
      <c r="H117" s="137"/>
    </row>
    <row r="118" spans="1:8" x14ac:dyDescent="0.2">
      <c r="A118" s="143"/>
      <c r="B118" s="142">
        <v>116</v>
      </c>
      <c r="C118" s="141" t="b">
        <v>0</v>
      </c>
      <c r="D118" s="140" t="str">
        <v>N3</v>
      </c>
      <c r="E118" s="139" t="str">
        <f t="shared" si="3"/>
        <v>GBPIMMFRA6MN3_Quote</v>
      </c>
      <c r="F118" s="138" t="str">
        <f>_xll.qlSimpleQuote(E118,,PriceTickValue,Permanent,Trigger,ObjectOverwrite)</f>
        <v>GBPIMMFRA6MN3_Quote#0002</v>
      </c>
      <c r="G118" s="101" t="str">
        <f>_xll.ohRangeRetrieveError(F118)</f>
        <v/>
      </c>
      <c r="H118" s="137"/>
    </row>
    <row r="119" spans="1:8" x14ac:dyDescent="0.2">
      <c r="A119" s="143"/>
      <c r="B119" s="142">
        <v>117</v>
      </c>
      <c r="C119" s="141" t="b">
        <v>0</v>
      </c>
      <c r="D119" s="140" t="str">
        <v>Q3</v>
      </c>
      <c r="E119" s="139" t="str">
        <f t="shared" si="3"/>
        <v>GBPIMMFRA6MQ3_Quote</v>
      </c>
      <c r="F119" s="138" t="str">
        <f>_xll.qlSimpleQuote(E119,,PriceTickValue,Permanent,Trigger,ObjectOverwrite)</f>
        <v>GBPIMMFRA6MQ3_Quote#0002</v>
      </c>
      <c r="G119" s="101" t="str">
        <f>_xll.ohRangeRetrieveError(F119)</f>
        <v/>
      </c>
      <c r="H119" s="137"/>
    </row>
    <row r="120" spans="1:8" x14ac:dyDescent="0.2">
      <c r="A120" s="143"/>
      <c r="B120" s="142">
        <v>118</v>
      </c>
      <c r="C120" s="141" t="b">
        <v>0</v>
      </c>
      <c r="D120" s="140" t="str">
        <v>U3</v>
      </c>
      <c r="E120" s="139" t="str">
        <f t="shared" si="3"/>
        <v>GBPIMMFRA6MU3_Quote</v>
      </c>
      <c r="F120" s="138" t="str">
        <f>_xll.qlSimpleQuote(E120,,PriceTickValue,Permanent,Trigger,ObjectOverwrite)</f>
        <v>GBPIMMFRA6MU3_Quote#0002</v>
      </c>
      <c r="G120" s="101" t="str">
        <f>_xll.ohRangeRetrieveError(F120)</f>
        <v/>
      </c>
      <c r="H120" s="137"/>
    </row>
    <row r="121" spans="1:8" x14ac:dyDescent="0.2">
      <c r="A121" s="143"/>
      <c r="B121" s="142">
        <v>119</v>
      </c>
      <c r="C121" s="141" t="b">
        <v>0</v>
      </c>
      <c r="D121" s="140" t="str">
        <v>V3</v>
      </c>
      <c r="E121" s="139" t="str">
        <f t="shared" si="3"/>
        <v>GBPIMMFRA6MV3_Quote</v>
      </c>
      <c r="F121" s="138" t="str">
        <f>_xll.qlSimpleQuote(E121,,PriceTickValue,Permanent,Trigger,ObjectOverwrite)</f>
        <v>GBPIMMFRA6MV3_Quote#0002</v>
      </c>
      <c r="G121" s="101" t="str">
        <f>_xll.ohRangeRetrieveError(F121)</f>
        <v/>
      </c>
      <c r="H121" s="137"/>
    </row>
    <row r="122" spans="1:8" x14ac:dyDescent="0.2">
      <c r="A122" s="143"/>
      <c r="B122" s="142">
        <v>120</v>
      </c>
      <c r="C122" s="141" t="b">
        <v>0</v>
      </c>
      <c r="D122" s="140" t="str">
        <v>X3</v>
      </c>
      <c r="E122" s="139" t="str">
        <f t="shared" si="3"/>
        <v>GBPIMMFRA6MX3_Quote</v>
      </c>
      <c r="F122" s="138" t="str">
        <f>_xll.qlSimpleQuote(E122,,PriceTickValue,Permanent,Trigger,ObjectOverwrite)</f>
        <v>GBPIMMFRA6MX3_Quote#0002</v>
      </c>
      <c r="G122" s="101" t="str">
        <f>_xll.ohRangeRetrieveError(F122)</f>
        <v/>
      </c>
      <c r="H122" s="137"/>
    </row>
    <row r="123" spans="1:8" ht="12" thickBot="1" x14ac:dyDescent="0.25">
      <c r="A123" s="136"/>
      <c r="B123" s="135"/>
      <c r="C123" s="135"/>
      <c r="D123" s="135"/>
      <c r="E123" s="135"/>
      <c r="F123" s="135"/>
      <c r="G123" s="135"/>
      <c r="H123" s="134"/>
    </row>
  </sheetData>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5"/>
  <sheetViews>
    <sheetView workbookViewId="0"/>
  </sheetViews>
  <sheetFormatPr defaultRowHeight="11.25" x14ac:dyDescent="0.2"/>
  <cols>
    <col min="1" max="1" width="3.85546875" style="65" customWidth="1"/>
    <col min="2" max="2" width="25.5703125" style="65" bestFit="1" customWidth="1"/>
    <col min="3" max="3" width="27.7109375" style="65" bestFit="1" customWidth="1"/>
    <col min="4" max="4" width="23.28515625" style="65" customWidth="1"/>
    <col min="5" max="5" width="4.85546875" style="65" customWidth="1"/>
    <col min="6" max="16384" width="9.140625" style="65"/>
  </cols>
  <sheetData>
    <row r="1" spans="1:5" x14ac:dyDescent="0.2">
      <c r="A1" s="109" t="s">
        <v>349</v>
      </c>
      <c r="B1" s="108"/>
      <c r="C1" s="108"/>
      <c r="D1" s="108"/>
      <c r="E1" s="107"/>
    </row>
    <row r="2" spans="1:5" x14ac:dyDescent="0.2">
      <c r="A2" s="160"/>
      <c r="B2" s="18" t="str">
        <f>Currency&amp;"_010_"&amp;"FuturesHWConvAdj.xml"</f>
        <v>GBP_010_FuturesHWConvAdj.xml</v>
      </c>
      <c r="C2" s="16">
        <f ca="1">IF(Serialize,_xll.ohObjectSave(C3:C4,SerializationPath&amp;B2,FileOverwrite,Serialize),"---")</f>
        <v>2</v>
      </c>
      <c r="D2" s="101" t="str">
        <f ca="1">_xll.ohRangeRetrieveError(C2)</f>
        <v/>
      </c>
      <c r="E2" s="158"/>
    </row>
    <row r="3" spans="1:5" x14ac:dyDescent="0.2">
      <c r="A3" s="160"/>
      <c r="B3" s="159" t="str">
        <f>Currency&amp;"HW_Volatility"&amp;QuoteSuffix</f>
        <v>GBPHW_Volatility_Quote</v>
      </c>
      <c r="C3" s="159" t="str">
        <f>_xll.qlSimpleQuote(B3,,,Permanent,Trigger,ObjectOverwrite)</f>
        <v>GBPHW_Volatility_Quote#0002</v>
      </c>
      <c r="D3" s="101" t="str">
        <f>_xll.ohRangeRetrieveError(C3)</f>
        <v/>
      </c>
      <c r="E3" s="158"/>
    </row>
    <row r="4" spans="1:5" x14ac:dyDescent="0.2">
      <c r="A4" s="160"/>
      <c r="B4" s="159" t="str">
        <f>Currency&amp;"HW_MeanReversion"&amp;QuoteSuffix</f>
        <v>GBPHW_MeanReversion_Quote</v>
      </c>
      <c r="C4" s="159" t="str">
        <f>_xll.qlSimpleQuote(B4,,,Permanent,Trigger,ObjectOverwrite)</f>
        <v>GBPHW_MeanReversion_Quote#0002</v>
      </c>
      <c r="D4" s="101" t="str">
        <f>_xll.ohRangeRetrieveError(C4)</f>
        <v/>
      </c>
      <c r="E4" s="158"/>
    </row>
    <row r="5" spans="1:5" x14ac:dyDescent="0.2">
      <c r="A5" s="157"/>
      <c r="B5" s="156"/>
      <c r="C5" s="156"/>
      <c r="D5" s="156"/>
      <c r="E5" s="155"/>
    </row>
  </sheetData>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73"/>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8" x14ac:dyDescent="0.25">
      <c r="A1" s="596" t="s">
        <v>351</v>
      </c>
      <c r="B1" s="190"/>
      <c r="C1" s="190"/>
      <c r="D1" s="190"/>
      <c r="E1" s="188"/>
      <c r="F1" s="189"/>
      <c r="G1" s="188"/>
      <c r="H1" s="187"/>
    </row>
    <row r="2" spans="1:8" x14ac:dyDescent="0.25">
      <c r="A2" s="172"/>
      <c r="B2" s="186"/>
      <c r="C2" s="185"/>
      <c r="D2" s="184"/>
      <c r="E2" s="183" t="str">
        <f>Currency&amp;"_010_"&amp;"OIS.xml"</f>
        <v>GBP_010_OIS.xml</v>
      </c>
      <c r="F2" s="182">
        <f ca="1">IF(Serialize,_xll.ohObjectSave(_xll.ohPack(F3:F72),SerializationPath&amp;E2,FileOverwrite,Serialize),"---")</f>
        <v>57</v>
      </c>
      <c r="G2" s="181" t="str">
        <f ca="1">_xll.ohRangeRetrieveError(F2)</f>
        <v/>
      </c>
      <c r="H2" s="167"/>
    </row>
    <row r="3" spans="1:8" x14ac:dyDescent="0.25">
      <c r="A3" s="172"/>
      <c r="B3" s="178"/>
      <c r="C3" s="179" t="s">
        <v>19</v>
      </c>
      <c r="D3" s="178" t="s">
        <v>179</v>
      </c>
      <c r="E3" s="169" t="str">
        <f t="shared" ref="E3:E35" si="0">Currency&amp;$B3&amp;$C3&amp;$D3&amp;QuoteSuffix</f>
        <v>GBPSWOIS_Quote</v>
      </c>
      <c r="F3" s="169" t="str">
        <f>_xll.qlSimpleQuote(E3,,RateTickValue,Permanent,Trigger,ObjectOverwrite)</f>
        <v>GBPSWOIS_Quote#0002</v>
      </c>
      <c r="G3" s="180" t="str">
        <f>_xll.ohRangeRetrieveError(F3)</f>
        <v/>
      </c>
      <c r="H3" s="167"/>
    </row>
    <row r="4" spans="1:8" x14ac:dyDescent="0.25">
      <c r="A4" s="172"/>
      <c r="B4" s="178"/>
      <c r="C4" s="179" t="s">
        <v>18</v>
      </c>
      <c r="D4" s="178" t="s">
        <v>179</v>
      </c>
      <c r="E4" s="169" t="str">
        <f t="shared" si="0"/>
        <v>GBP2WOIS_Quote</v>
      </c>
      <c r="F4" s="169" t="str">
        <f>_xll.qlSimpleQuote(E4,,RateTickValue,Permanent,Trigger,ObjectOverwrite)</f>
        <v>GBP2WOIS_Quote#0002</v>
      </c>
      <c r="G4" s="168" t="str">
        <f>_xll.ohRangeRetrieveError(F4)</f>
        <v/>
      </c>
      <c r="H4" s="167"/>
    </row>
    <row r="5" spans="1:8" x14ac:dyDescent="0.25">
      <c r="A5" s="172"/>
      <c r="B5" s="178"/>
      <c r="C5" s="179" t="s">
        <v>16</v>
      </c>
      <c r="D5" s="178" t="s">
        <v>179</v>
      </c>
      <c r="E5" s="169" t="str">
        <f t="shared" si="0"/>
        <v>GBP3WOIS_Quote</v>
      </c>
      <c r="F5" s="169" t="str">
        <f>_xll.qlSimpleQuote(E5,,RateTickValue,Permanent,Trigger,ObjectOverwrite)</f>
        <v>GBP3WOIS_Quote#0002</v>
      </c>
      <c r="G5" s="168" t="str">
        <f>_xll.ohRangeRetrieveError(F5)</f>
        <v/>
      </c>
      <c r="H5" s="167"/>
    </row>
    <row r="6" spans="1:8" x14ac:dyDescent="0.25">
      <c r="A6" s="172"/>
      <c r="B6" s="178"/>
      <c r="C6" s="179" t="s">
        <v>15</v>
      </c>
      <c r="D6" s="178" t="s">
        <v>179</v>
      </c>
      <c r="E6" s="169" t="str">
        <f t="shared" si="0"/>
        <v>GBP1MOIS_Quote</v>
      </c>
      <c r="F6" s="169" t="str">
        <f>_xll.qlSimpleQuote(E6,,RateTickValue,Permanent,Trigger,ObjectOverwrite)</f>
        <v>GBP1MOIS_Quote#0002</v>
      </c>
      <c r="G6" s="168" t="str">
        <f>_xll.ohRangeRetrieveError(F6)</f>
        <v/>
      </c>
      <c r="H6" s="167"/>
    </row>
    <row r="7" spans="1:8" x14ac:dyDescent="0.25">
      <c r="A7" s="172"/>
      <c r="B7" s="178"/>
      <c r="C7" s="179" t="s">
        <v>13</v>
      </c>
      <c r="D7" s="178" t="s">
        <v>179</v>
      </c>
      <c r="E7" s="169" t="str">
        <f t="shared" si="0"/>
        <v>GBP2MOIS_Quote</v>
      </c>
      <c r="F7" s="169" t="str">
        <f>_xll.qlSimpleQuote(E7,,RateTickValue,Permanent,Trigger,ObjectOverwrite)</f>
        <v>GBP2MOIS_Quote#0002</v>
      </c>
      <c r="G7" s="168" t="str">
        <f>_xll.ohRangeRetrieveError(F7)</f>
        <v/>
      </c>
      <c r="H7" s="167"/>
    </row>
    <row r="8" spans="1:8" x14ac:dyDescent="0.25">
      <c r="A8" s="172"/>
      <c r="B8" s="178"/>
      <c r="C8" s="179" t="s">
        <v>12</v>
      </c>
      <c r="D8" s="178" t="s">
        <v>179</v>
      </c>
      <c r="E8" s="169" t="str">
        <f t="shared" si="0"/>
        <v>GBP3MOIS_Quote</v>
      </c>
      <c r="F8" s="169" t="str">
        <f>_xll.qlSimpleQuote(E8,,RateTickValue,Permanent,Trigger,ObjectOverwrite)</f>
        <v>GBP3MOIS_Quote#0002</v>
      </c>
      <c r="G8" s="168" t="str">
        <f>_xll.ohRangeRetrieveError(F8)</f>
        <v/>
      </c>
      <c r="H8" s="167"/>
    </row>
    <row r="9" spans="1:8" x14ac:dyDescent="0.25">
      <c r="A9" s="172"/>
      <c r="B9" s="178"/>
      <c r="C9" s="179" t="s">
        <v>11</v>
      </c>
      <c r="D9" s="178" t="s">
        <v>179</v>
      </c>
      <c r="E9" s="169" t="str">
        <f t="shared" si="0"/>
        <v>GBP4MOIS_Quote</v>
      </c>
      <c r="F9" s="169" t="str">
        <f>_xll.qlSimpleQuote(E9,,RateTickValue,Permanent,Trigger,ObjectOverwrite)</f>
        <v>GBP4MOIS_Quote#0002</v>
      </c>
      <c r="G9" s="168" t="str">
        <f>_xll.ohRangeRetrieveError(F9)</f>
        <v/>
      </c>
      <c r="H9" s="167"/>
    </row>
    <row r="10" spans="1:8" x14ac:dyDescent="0.25">
      <c r="A10" s="172"/>
      <c r="B10" s="178"/>
      <c r="C10" s="179" t="s">
        <v>9</v>
      </c>
      <c r="D10" s="178" t="s">
        <v>179</v>
      </c>
      <c r="E10" s="169" t="str">
        <f t="shared" si="0"/>
        <v>GBP5MOIS_Quote</v>
      </c>
      <c r="F10" s="169" t="str">
        <f>_xll.qlSimpleQuote(E10,,RateTickValue,Permanent,Trigger,ObjectOverwrite)</f>
        <v>GBP5MOIS_Quote#0002</v>
      </c>
      <c r="G10" s="168" t="str">
        <f>_xll.ohRangeRetrieveError(F10)</f>
        <v/>
      </c>
      <c r="H10" s="167"/>
    </row>
    <row r="11" spans="1:8" x14ac:dyDescent="0.25">
      <c r="A11" s="172"/>
      <c r="B11" s="178"/>
      <c r="C11" s="179" t="s">
        <v>8</v>
      </c>
      <c r="D11" s="178" t="s">
        <v>179</v>
      </c>
      <c r="E11" s="169" t="str">
        <f t="shared" si="0"/>
        <v>GBP6MOIS_Quote</v>
      </c>
      <c r="F11" s="169" t="str">
        <f>_xll.qlSimpleQuote(E11,,RateTickValue,Permanent,Trigger,ObjectOverwrite)</f>
        <v>GBP6MOIS_Quote#0002</v>
      </c>
      <c r="G11" s="168" t="str">
        <f>_xll.ohRangeRetrieveError(F11)</f>
        <v/>
      </c>
      <c r="H11" s="167"/>
    </row>
    <row r="12" spans="1:8" x14ac:dyDescent="0.25">
      <c r="A12" s="172"/>
      <c r="B12" s="178"/>
      <c r="C12" s="179" t="s">
        <v>7</v>
      </c>
      <c r="D12" s="178" t="s">
        <v>179</v>
      </c>
      <c r="E12" s="169" t="str">
        <f t="shared" si="0"/>
        <v>GBP7MOIS_Quote</v>
      </c>
      <c r="F12" s="169" t="str">
        <f>_xll.qlSimpleQuote(E12,,RateTickValue,Permanent,Trigger,ObjectOverwrite)</f>
        <v>GBP7MOIS_Quote#0002</v>
      </c>
      <c r="G12" s="168" t="str">
        <f>_xll.ohRangeRetrieveError(F12)</f>
        <v/>
      </c>
      <c r="H12" s="167"/>
    </row>
    <row r="13" spans="1:8" x14ac:dyDescent="0.25">
      <c r="A13" s="172"/>
      <c r="B13" s="178"/>
      <c r="C13" s="179" t="s">
        <v>6</v>
      </c>
      <c r="D13" s="178" t="s">
        <v>179</v>
      </c>
      <c r="E13" s="169" t="str">
        <f t="shared" si="0"/>
        <v>GBP8MOIS_Quote</v>
      </c>
      <c r="F13" s="169" t="str">
        <f>_xll.qlSimpleQuote(E13,,RateTickValue,Permanent,Trigger,ObjectOverwrite)</f>
        <v>GBP8MOIS_Quote#0002</v>
      </c>
      <c r="G13" s="168" t="str">
        <f>_xll.ohRangeRetrieveError(F13)</f>
        <v/>
      </c>
      <c r="H13" s="167"/>
    </row>
    <row r="14" spans="1:8" x14ac:dyDescent="0.25">
      <c r="A14" s="172"/>
      <c r="B14" s="178"/>
      <c r="C14" s="179" t="s">
        <v>4</v>
      </c>
      <c r="D14" s="178" t="s">
        <v>179</v>
      </c>
      <c r="E14" s="169" t="str">
        <f t="shared" si="0"/>
        <v>GBP9MOIS_Quote</v>
      </c>
      <c r="F14" s="169" t="str">
        <f>_xll.qlSimpleQuote(E14,,RateTickValue,Permanent,Trigger,ObjectOverwrite)</f>
        <v>GBP9MOIS_Quote#0002</v>
      </c>
      <c r="G14" s="168" t="str">
        <f>_xll.ohRangeRetrieveError(F14)</f>
        <v/>
      </c>
      <c r="H14" s="167"/>
    </row>
    <row r="15" spans="1:8" x14ac:dyDescent="0.25">
      <c r="A15" s="172"/>
      <c r="B15" s="178"/>
      <c r="C15" s="179" t="s">
        <v>3</v>
      </c>
      <c r="D15" s="178" t="s">
        <v>179</v>
      </c>
      <c r="E15" s="169" t="str">
        <f t="shared" si="0"/>
        <v>GBP10MOIS_Quote</v>
      </c>
      <c r="F15" s="169" t="str">
        <f>_xll.qlSimpleQuote(E15,,RateTickValue,Permanent,Trigger,ObjectOverwrite)</f>
        <v>GBP10MOIS_Quote#0002</v>
      </c>
      <c r="G15" s="168" t="str">
        <f>_xll.ohRangeRetrieveError(F15)</f>
        <v/>
      </c>
      <c r="H15" s="167"/>
    </row>
    <row r="16" spans="1:8" x14ac:dyDescent="0.25">
      <c r="A16" s="172"/>
      <c r="B16" s="178"/>
      <c r="C16" s="179" t="s">
        <v>2</v>
      </c>
      <c r="D16" s="178" t="s">
        <v>179</v>
      </c>
      <c r="E16" s="169" t="str">
        <f t="shared" si="0"/>
        <v>GBP11MOIS_Quote</v>
      </c>
      <c r="F16" s="169" t="str">
        <f>_xll.qlSimpleQuote(E16,,RateTickValue,Permanent,Trigger,ObjectOverwrite)</f>
        <v>GBP11MOIS_Quote#0002</v>
      </c>
      <c r="G16" s="168" t="str">
        <f>_xll.ohRangeRetrieveError(F16)</f>
        <v/>
      </c>
      <c r="H16" s="167"/>
    </row>
    <row r="17" spans="1:8" x14ac:dyDescent="0.25">
      <c r="A17" s="172"/>
      <c r="B17" s="178"/>
      <c r="C17" s="179" t="s">
        <v>1</v>
      </c>
      <c r="D17" s="178" t="s">
        <v>179</v>
      </c>
      <c r="E17" s="169" t="str">
        <f t="shared" si="0"/>
        <v>GBP1YOIS_Quote</v>
      </c>
      <c r="F17" s="169" t="str">
        <f>_xll.qlSimpleQuote(E17,,RateTickValue,Permanent,Trigger,ObjectOverwrite)</f>
        <v>GBP1YOIS_Quote#0002</v>
      </c>
      <c r="G17" s="168" t="str">
        <f>_xll.ohRangeRetrieveError(F17)</f>
        <v/>
      </c>
      <c r="H17" s="167"/>
    </row>
    <row r="18" spans="1:8" x14ac:dyDescent="0.25">
      <c r="A18" s="172"/>
      <c r="B18" s="178"/>
      <c r="C18" s="179" t="s">
        <v>124</v>
      </c>
      <c r="D18" s="178" t="s">
        <v>179</v>
      </c>
      <c r="E18" s="169" t="str">
        <f t="shared" si="0"/>
        <v>GBP15MOIS_Quote</v>
      </c>
      <c r="F18" s="169" t="str">
        <f>_xll.qlSimpleQuote(E18,,RateTickValue,Permanent,Trigger,ObjectOverwrite)</f>
        <v>GBP15MOIS_Quote#0002</v>
      </c>
      <c r="G18" s="168" t="str">
        <f>_xll.ohRangeRetrieveError(F18)</f>
        <v/>
      </c>
      <c r="H18" s="167"/>
    </row>
    <row r="19" spans="1:8" x14ac:dyDescent="0.25">
      <c r="A19" s="172"/>
      <c r="B19" s="178"/>
      <c r="C19" s="179" t="s">
        <v>123</v>
      </c>
      <c r="D19" s="178" t="s">
        <v>179</v>
      </c>
      <c r="E19" s="169" t="str">
        <f t="shared" si="0"/>
        <v>GBP18MOIS_Quote</v>
      </c>
      <c r="F19" s="169" t="str">
        <f>_xll.qlSimpleQuote(E19,,RateTickValue,Permanent,Trigger,ObjectOverwrite)</f>
        <v>GBP18MOIS_Quote#0002</v>
      </c>
      <c r="G19" s="168" t="str">
        <f>_xll.ohRangeRetrieveError(F19)</f>
        <v/>
      </c>
      <c r="H19" s="167"/>
    </row>
    <row r="20" spans="1:8" x14ac:dyDescent="0.25">
      <c r="A20" s="172"/>
      <c r="B20" s="178"/>
      <c r="C20" s="179" t="s">
        <v>122</v>
      </c>
      <c r="D20" s="178" t="s">
        <v>179</v>
      </c>
      <c r="E20" s="169" t="str">
        <f t="shared" si="0"/>
        <v>GBP21MOIS_Quote</v>
      </c>
      <c r="F20" s="169" t="str">
        <f>_xll.qlSimpleQuote(E20,,RateTickValue,Permanent,Trigger,ObjectOverwrite)</f>
        <v>GBP21MOIS_Quote#0002</v>
      </c>
      <c r="G20" s="168" t="str">
        <f>_xll.ohRangeRetrieveError(F20)</f>
        <v/>
      </c>
      <c r="H20" s="167"/>
    </row>
    <row r="21" spans="1:8" x14ac:dyDescent="0.25">
      <c r="A21" s="172"/>
      <c r="B21" s="178"/>
      <c r="C21" s="179" t="s">
        <v>85</v>
      </c>
      <c r="D21" s="178" t="s">
        <v>179</v>
      </c>
      <c r="E21" s="169" t="str">
        <f t="shared" si="0"/>
        <v>GBP2YOIS_Quote</v>
      </c>
      <c r="F21" s="169" t="str">
        <f>_xll.qlSimpleQuote(E21,,RateTickValue,Permanent,Trigger,ObjectOverwrite)</f>
        <v>GBP2YOIS_Quote#0002</v>
      </c>
      <c r="G21" s="168" t="str">
        <f>_xll.ohRangeRetrieveError(F21)</f>
        <v/>
      </c>
      <c r="H21" s="167"/>
    </row>
    <row r="22" spans="1:8" x14ac:dyDescent="0.25">
      <c r="A22" s="172"/>
      <c r="B22" s="178"/>
      <c r="C22" s="179" t="s">
        <v>84</v>
      </c>
      <c r="D22" s="178" t="s">
        <v>179</v>
      </c>
      <c r="E22" s="169" t="str">
        <f t="shared" si="0"/>
        <v>GBP3YOIS_Quote</v>
      </c>
      <c r="F22" s="169" t="str">
        <f>_xll.qlSimpleQuote(E22,,RateTickValue,Permanent,Trigger,ObjectOverwrite)</f>
        <v>GBP3YOIS_Quote#0002</v>
      </c>
      <c r="G22" s="168" t="str">
        <f>_xll.ohRangeRetrieveError(F22)</f>
        <v/>
      </c>
      <c r="H22" s="167"/>
    </row>
    <row r="23" spans="1:8" x14ac:dyDescent="0.25">
      <c r="A23" s="172"/>
      <c r="B23" s="178"/>
      <c r="C23" s="179" t="s">
        <v>83</v>
      </c>
      <c r="D23" s="178" t="s">
        <v>179</v>
      </c>
      <c r="E23" s="169" t="str">
        <f t="shared" si="0"/>
        <v>GBP4YOIS_Quote</v>
      </c>
      <c r="F23" s="169" t="str">
        <f>_xll.qlSimpleQuote(E23,,RateTickValue,Permanent,Trigger,ObjectOverwrite)</f>
        <v>GBP4YOIS_Quote#0002</v>
      </c>
      <c r="G23" s="168" t="str">
        <f>_xll.ohRangeRetrieveError(F23)</f>
        <v/>
      </c>
      <c r="H23" s="167"/>
    </row>
    <row r="24" spans="1:8" x14ac:dyDescent="0.25">
      <c r="A24" s="172"/>
      <c r="B24" s="178"/>
      <c r="C24" s="179" t="s">
        <v>82</v>
      </c>
      <c r="D24" s="178" t="s">
        <v>179</v>
      </c>
      <c r="E24" s="169" t="str">
        <f t="shared" si="0"/>
        <v>GBP5YOIS_Quote</v>
      </c>
      <c r="F24" s="169" t="str">
        <f>_xll.qlSimpleQuote(E24,,RateTickValue,Permanent,Trigger,ObjectOverwrite)</f>
        <v>GBP5YOIS_Quote#0002</v>
      </c>
      <c r="G24" s="168" t="str">
        <f>_xll.ohRangeRetrieveError(F24)</f>
        <v/>
      </c>
      <c r="H24" s="167"/>
    </row>
    <row r="25" spans="1:8" x14ac:dyDescent="0.25">
      <c r="A25" s="172"/>
      <c r="B25" s="178"/>
      <c r="C25" s="179" t="s">
        <v>81</v>
      </c>
      <c r="D25" s="178" t="s">
        <v>179</v>
      </c>
      <c r="E25" s="169" t="str">
        <f t="shared" si="0"/>
        <v>GBP6YOIS_Quote</v>
      </c>
      <c r="F25" s="169" t="str">
        <f>_xll.qlSimpleQuote(E25,,RateTickValue,Permanent,Trigger,ObjectOverwrite)</f>
        <v>GBP6YOIS_Quote#0002</v>
      </c>
      <c r="G25" s="168" t="str">
        <f>_xll.ohRangeRetrieveError(F25)</f>
        <v/>
      </c>
      <c r="H25" s="167"/>
    </row>
    <row r="26" spans="1:8" x14ac:dyDescent="0.25">
      <c r="A26" s="172"/>
      <c r="B26" s="178"/>
      <c r="C26" s="179" t="s">
        <v>80</v>
      </c>
      <c r="D26" s="178" t="s">
        <v>179</v>
      </c>
      <c r="E26" s="169" t="str">
        <f t="shared" si="0"/>
        <v>GBP7YOIS_Quote</v>
      </c>
      <c r="F26" s="169" t="str">
        <f>_xll.qlSimpleQuote(E26,,RateTickValue,Permanent,Trigger,ObjectOverwrite)</f>
        <v>GBP7YOIS_Quote#0002</v>
      </c>
      <c r="G26" s="168" t="str">
        <f>_xll.ohRangeRetrieveError(F26)</f>
        <v/>
      </c>
      <c r="H26" s="167"/>
    </row>
    <row r="27" spans="1:8" x14ac:dyDescent="0.25">
      <c r="A27" s="172"/>
      <c r="B27" s="178"/>
      <c r="C27" s="179" t="s">
        <v>79</v>
      </c>
      <c r="D27" s="178" t="s">
        <v>179</v>
      </c>
      <c r="E27" s="169" t="str">
        <f t="shared" si="0"/>
        <v>GBP8YOIS_Quote</v>
      </c>
      <c r="F27" s="169" t="str">
        <f>_xll.qlSimpleQuote(E27,,RateTickValue,Permanent,Trigger,ObjectOverwrite)</f>
        <v>GBP8YOIS_Quote#0002</v>
      </c>
      <c r="G27" s="168" t="str">
        <f>_xll.ohRangeRetrieveError(F27)</f>
        <v/>
      </c>
      <c r="H27" s="167"/>
    </row>
    <row r="28" spans="1:8" x14ac:dyDescent="0.25">
      <c r="A28" s="172"/>
      <c r="B28" s="178"/>
      <c r="C28" s="179" t="s">
        <v>78</v>
      </c>
      <c r="D28" s="178" t="s">
        <v>179</v>
      </c>
      <c r="E28" s="169" t="str">
        <f t="shared" si="0"/>
        <v>GBP9YOIS_Quote</v>
      </c>
      <c r="F28" s="169" t="str">
        <f>_xll.qlSimpleQuote(E28,,RateTickValue,Permanent,Trigger,ObjectOverwrite)</f>
        <v>GBP9YOIS_Quote#0002</v>
      </c>
      <c r="G28" s="168" t="str">
        <f>_xll.ohRangeRetrieveError(F28)</f>
        <v/>
      </c>
      <c r="H28" s="167"/>
    </row>
    <row r="29" spans="1:8" x14ac:dyDescent="0.25">
      <c r="A29" s="172"/>
      <c r="B29" s="178"/>
      <c r="C29" s="179" t="s">
        <v>77</v>
      </c>
      <c r="D29" s="178" t="s">
        <v>179</v>
      </c>
      <c r="E29" s="169" t="str">
        <f t="shared" si="0"/>
        <v>GBP10YOIS_Quote</v>
      </c>
      <c r="F29" s="169" t="str">
        <f>_xll.qlSimpleQuote(E29,,RateTickValue,Permanent,Trigger,ObjectOverwrite)</f>
        <v>GBP10YOIS_Quote#0002</v>
      </c>
      <c r="G29" s="168" t="str">
        <f>_xll.ohRangeRetrieveError(F29)</f>
        <v/>
      </c>
      <c r="H29" s="167"/>
    </row>
    <row r="30" spans="1:8" x14ac:dyDescent="0.25">
      <c r="A30" s="172"/>
      <c r="B30" s="178"/>
      <c r="C30" s="179" t="s">
        <v>76</v>
      </c>
      <c r="D30" s="178" t="s">
        <v>179</v>
      </c>
      <c r="E30" s="169" t="str">
        <f t="shared" si="0"/>
        <v>GBP11YOIS_Quote</v>
      </c>
      <c r="F30" s="169" t="str">
        <f>_xll.qlSimpleQuote(E30,,RateTickValue,Permanent,Trigger,ObjectOverwrite)</f>
        <v>GBP11YOIS_Quote#0002</v>
      </c>
      <c r="G30" s="168" t="str">
        <f>_xll.ohRangeRetrieveError(F30)</f>
        <v/>
      </c>
      <c r="H30" s="167"/>
    </row>
    <row r="31" spans="1:8" x14ac:dyDescent="0.25">
      <c r="A31" s="172"/>
      <c r="B31" s="178"/>
      <c r="C31" s="179" t="s">
        <v>75</v>
      </c>
      <c r="D31" s="178" t="s">
        <v>179</v>
      </c>
      <c r="E31" s="169" t="str">
        <f t="shared" si="0"/>
        <v>GBP12YOIS_Quote</v>
      </c>
      <c r="F31" s="169" t="str">
        <f>_xll.qlSimpleQuote(E31,,RateTickValue,Permanent,Trigger,ObjectOverwrite)</f>
        <v>GBP12YOIS_Quote#0002</v>
      </c>
      <c r="G31" s="168" t="str">
        <f>_xll.ohRangeRetrieveError(F31)</f>
        <v/>
      </c>
      <c r="H31" s="167"/>
    </row>
    <row r="32" spans="1:8" x14ac:dyDescent="0.25">
      <c r="A32" s="172"/>
      <c r="B32" s="178"/>
      <c r="C32" s="179" t="s">
        <v>72</v>
      </c>
      <c r="D32" s="178" t="s">
        <v>179</v>
      </c>
      <c r="E32" s="169" t="str">
        <f t="shared" si="0"/>
        <v>GBP15YOIS_Quote</v>
      </c>
      <c r="F32" s="169" t="str">
        <f>_xll.qlSimpleQuote(E32,,RateTickValue,Permanent,Trigger,ObjectOverwrite)</f>
        <v>GBP15YOIS_Quote#0002</v>
      </c>
      <c r="G32" s="168" t="str">
        <f>_xll.ohRangeRetrieveError(F32)</f>
        <v/>
      </c>
      <c r="H32" s="167"/>
    </row>
    <row r="33" spans="1:8" x14ac:dyDescent="0.25">
      <c r="A33" s="172"/>
      <c r="B33" s="178"/>
      <c r="C33" s="179" t="s">
        <v>67</v>
      </c>
      <c r="D33" s="178" t="s">
        <v>179</v>
      </c>
      <c r="E33" s="169" t="str">
        <f t="shared" si="0"/>
        <v>GBP20YOIS_Quote</v>
      </c>
      <c r="F33" s="169" t="str">
        <f>_xll.qlSimpleQuote(E33,,RateTickValue,Permanent,Trigger,ObjectOverwrite)</f>
        <v>GBP20YOIS_Quote#0002</v>
      </c>
      <c r="G33" s="168" t="str">
        <f>_xll.ohRangeRetrieveError(F33)</f>
        <v/>
      </c>
      <c r="H33" s="167"/>
    </row>
    <row r="34" spans="1:8" x14ac:dyDescent="0.25">
      <c r="A34" s="172"/>
      <c r="B34" s="178"/>
      <c r="C34" s="179" t="s">
        <v>62</v>
      </c>
      <c r="D34" s="178" t="s">
        <v>179</v>
      </c>
      <c r="E34" s="169" t="str">
        <f t="shared" si="0"/>
        <v>GBP25YOIS_Quote</v>
      </c>
      <c r="F34" s="169" t="str">
        <f>_xll.qlSimpleQuote(E34,,RateTickValue,Permanent,Trigger,ObjectOverwrite)</f>
        <v>GBP25YOIS_Quote#0002</v>
      </c>
      <c r="G34" s="168" t="str">
        <f>_xll.ohRangeRetrieveError(F34)</f>
        <v/>
      </c>
      <c r="H34" s="167"/>
    </row>
    <row r="35" spans="1:8" x14ac:dyDescent="0.25">
      <c r="A35" s="172"/>
      <c r="B35" s="178"/>
      <c r="C35" s="179" t="s">
        <v>57</v>
      </c>
      <c r="D35" s="178" t="s">
        <v>179</v>
      </c>
      <c r="E35" s="169" t="str">
        <f t="shared" si="0"/>
        <v>GBP30YOIS_Quote</v>
      </c>
      <c r="F35" s="169" t="str">
        <f>_xll.qlSimpleQuote(E35,,RateTickValue,Permanent,Trigger,ObjectOverwrite)</f>
        <v>GBP30YOIS_Quote#0002</v>
      </c>
      <c r="G35" s="168" t="str">
        <f>_xll.ohRangeRetrieveError(F35)</f>
        <v/>
      </c>
      <c r="H35" s="167"/>
    </row>
    <row r="36" spans="1:8" x14ac:dyDescent="0.25">
      <c r="A36" s="172"/>
      <c r="B36" s="176"/>
      <c r="C36" s="177"/>
      <c r="D36" s="176"/>
      <c r="E36" s="175"/>
      <c r="F36" s="175"/>
      <c r="G36" s="174"/>
      <c r="H36" s="167"/>
    </row>
    <row r="37" spans="1:8" x14ac:dyDescent="0.25">
      <c r="A37" s="172"/>
      <c r="B37" s="170" t="s">
        <v>180</v>
      </c>
      <c r="C37" s="171" t="s">
        <v>204</v>
      </c>
      <c r="D37" s="170" t="s">
        <v>179</v>
      </c>
      <c r="E37" s="173" t="str">
        <f t="shared" ref="E37:E72" si="1">Currency&amp;$B37&amp;$C37&amp;$D37&amp;QuoteSuffix</f>
        <v>GBPMPCJAN11OIS_Quote</v>
      </c>
      <c r="F37" s="173" t="str">
        <f>_xll.qlSimpleQuote(E37,,RateTickValue,Permanent,Trigger,ObjectOverwrite)</f>
        <v>GBPMPCJAN11OIS_Quote#0002</v>
      </c>
      <c r="G37" s="168" t="s">
        <v>178</v>
      </c>
      <c r="H37" s="167"/>
    </row>
    <row r="38" spans="1:8" x14ac:dyDescent="0.25">
      <c r="A38" s="172"/>
      <c r="B38" s="170" t="s">
        <v>180</v>
      </c>
      <c r="C38" s="171" t="s">
        <v>203</v>
      </c>
      <c r="D38" s="170" t="s">
        <v>179</v>
      </c>
      <c r="E38" s="169" t="str">
        <f t="shared" si="1"/>
        <v>GBPMPCFEB11OIS_Quote</v>
      </c>
      <c r="F38" s="169" t="str">
        <f>_xll.qlSimpleQuote(E38,,RateTickValue,Permanent,Trigger,ObjectOverwrite)</f>
        <v>GBPMPCFEB11OIS_Quote#0002</v>
      </c>
      <c r="G38" s="168" t="s">
        <v>178</v>
      </c>
      <c r="H38" s="167"/>
    </row>
    <row r="39" spans="1:8" x14ac:dyDescent="0.25">
      <c r="A39" s="172"/>
      <c r="B39" s="170" t="s">
        <v>180</v>
      </c>
      <c r="C39" s="171" t="s">
        <v>202</v>
      </c>
      <c r="D39" s="170" t="s">
        <v>179</v>
      </c>
      <c r="E39" s="169" t="str">
        <f t="shared" si="1"/>
        <v>GBPMPCMAR11OIS_Quote</v>
      </c>
      <c r="F39" s="169" t="str">
        <f>_xll.qlSimpleQuote(E39,,RateTickValue,Permanent,Trigger,ObjectOverwrite)</f>
        <v>GBPMPCMAR11OIS_Quote#0002</v>
      </c>
      <c r="G39" s="168" t="s">
        <v>178</v>
      </c>
      <c r="H39" s="167"/>
    </row>
    <row r="40" spans="1:8" x14ac:dyDescent="0.25">
      <c r="A40" s="172"/>
      <c r="B40" s="170" t="s">
        <v>180</v>
      </c>
      <c r="C40" s="171" t="s">
        <v>201</v>
      </c>
      <c r="D40" s="170" t="s">
        <v>179</v>
      </c>
      <c r="E40" s="169" t="str">
        <f t="shared" si="1"/>
        <v>GBPMPCAPR11OIS_Quote</v>
      </c>
      <c r="F40" s="169" t="str">
        <f>_xll.qlSimpleQuote(E40,,RateTickValue,Permanent,Trigger,ObjectOverwrite)</f>
        <v>GBPMPCAPR11OIS_Quote#0002</v>
      </c>
      <c r="G40" s="168" t="s">
        <v>178</v>
      </c>
      <c r="H40" s="167"/>
    </row>
    <row r="41" spans="1:8" x14ac:dyDescent="0.25">
      <c r="A41" s="172"/>
      <c r="B41" s="170" t="s">
        <v>180</v>
      </c>
      <c r="C41" s="171" t="s">
        <v>200</v>
      </c>
      <c r="D41" s="170" t="s">
        <v>179</v>
      </c>
      <c r="E41" s="169" t="str">
        <f t="shared" si="1"/>
        <v>GBPMPCMAY11OIS_Quote</v>
      </c>
      <c r="F41" s="169" t="str">
        <f>_xll.qlSimpleQuote(E41,,RateTickValue,Permanent,Trigger,ObjectOverwrite)</f>
        <v>GBPMPCMAY11OIS_Quote#0002</v>
      </c>
      <c r="G41" s="168" t="s">
        <v>178</v>
      </c>
      <c r="H41" s="167"/>
    </row>
    <row r="42" spans="1:8" x14ac:dyDescent="0.25">
      <c r="A42" s="172"/>
      <c r="B42" s="170" t="s">
        <v>180</v>
      </c>
      <c r="C42" s="171" t="s">
        <v>199</v>
      </c>
      <c r="D42" s="170" t="s">
        <v>179</v>
      </c>
      <c r="E42" s="169" t="str">
        <f t="shared" si="1"/>
        <v>GBPMPCJUN11OIS_Quote</v>
      </c>
      <c r="F42" s="169" t="str">
        <f>_xll.qlSimpleQuote(E42,,RateTickValue,Permanent,Trigger,ObjectOverwrite)</f>
        <v>GBPMPCJUN11OIS_Quote#0002</v>
      </c>
      <c r="G42" s="168" t="s">
        <v>178</v>
      </c>
      <c r="H42" s="167"/>
    </row>
    <row r="43" spans="1:8" x14ac:dyDescent="0.25">
      <c r="A43" s="172"/>
      <c r="B43" s="170" t="s">
        <v>180</v>
      </c>
      <c r="C43" s="171" t="s">
        <v>198</v>
      </c>
      <c r="D43" s="170" t="s">
        <v>179</v>
      </c>
      <c r="E43" s="169" t="str">
        <f t="shared" si="1"/>
        <v>GBPMPCJUL11OIS_Quote</v>
      </c>
      <c r="F43" s="169" t="str">
        <f>_xll.qlSimpleQuote(E43,,RateTickValue,Permanent,Trigger,ObjectOverwrite)</f>
        <v>GBPMPCJUL11OIS_Quote#0002</v>
      </c>
      <c r="G43" s="168" t="s">
        <v>178</v>
      </c>
      <c r="H43" s="167"/>
    </row>
    <row r="44" spans="1:8" x14ac:dyDescent="0.25">
      <c r="A44" s="172"/>
      <c r="B44" s="170" t="s">
        <v>180</v>
      </c>
      <c r="C44" s="171" t="s">
        <v>197</v>
      </c>
      <c r="D44" s="170" t="s">
        <v>179</v>
      </c>
      <c r="E44" s="169" t="str">
        <f t="shared" si="1"/>
        <v>GBPMPCAUG11OIS_Quote</v>
      </c>
      <c r="F44" s="169" t="str">
        <f>_xll.qlSimpleQuote(E44,,RateTickValue,Permanent,Trigger,ObjectOverwrite)</f>
        <v>GBPMPCAUG11OIS_Quote#0002</v>
      </c>
      <c r="G44" s="168" t="s">
        <v>178</v>
      </c>
      <c r="H44" s="167"/>
    </row>
    <row r="45" spans="1:8" x14ac:dyDescent="0.25">
      <c r="A45" s="172"/>
      <c r="B45" s="170" t="s">
        <v>180</v>
      </c>
      <c r="C45" s="171" t="s">
        <v>196</v>
      </c>
      <c r="D45" s="170" t="s">
        <v>179</v>
      </c>
      <c r="E45" s="169" t="str">
        <f t="shared" si="1"/>
        <v>GBPMPCSEP11OIS_Quote</v>
      </c>
      <c r="F45" s="169" t="str">
        <f>_xll.qlSimpleQuote(E45,,RateTickValue,Permanent,Trigger,ObjectOverwrite)</f>
        <v>GBPMPCSEP11OIS_Quote#0002</v>
      </c>
      <c r="G45" s="168" t="s">
        <v>178</v>
      </c>
      <c r="H45" s="167"/>
    </row>
    <row r="46" spans="1:8" x14ac:dyDescent="0.25">
      <c r="A46" s="172"/>
      <c r="B46" s="170" t="s">
        <v>180</v>
      </c>
      <c r="C46" s="171" t="s">
        <v>195</v>
      </c>
      <c r="D46" s="170" t="s">
        <v>179</v>
      </c>
      <c r="E46" s="169" t="str">
        <f t="shared" si="1"/>
        <v>GBPMPCOCT11OIS_Quote</v>
      </c>
      <c r="F46" s="169" t="str">
        <f>_xll.qlSimpleQuote(E46,,RateTickValue,Permanent,Trigger,ObjectOverwrite)</f>
        <v>GBPMPCOCT11OIS_Quote#0002</v>
      </c>
      <c r="G46" s="168" t="s">
        <v>178</v>
      </c>
      <c r="H46" s="167"/>
    </row>
    <row r="47" spans="1:8" x14ac:dyDescent="0.25">
      <c r="A47" s="172"/>
      <c r="B47" s="170" t="s">
        <v>180</v>
      </c>
      <c r="C47" s="171" t="s">
        <v>194</v>
      </c>
      <c r="D47" s="170" t="s">
        <v>179</v>
      </c>
      <c r="E47" s="169" t="str">
        <f t="shared" si="1"/>
        <v>GBPMPCNOV11OIS_Quote</v>
      </c>
      <c r="F47" s="169" t="str">
        <f>_xll.qlSimpleQuote(E47,,RateTickValue,Permanent,Trigger,ObjectOverwrite)</f>
        <v>GBPMPCNOV11OIS_Quote#0002</v>
      </c>
      <c r="G47" s="168" t="s">
        <v>178</v>
      </c>
      <c r="H47" s="167"/>
    </row>
    <row r="48" spans="1:8" x14ac:dyDescent="0.25">
      <c r="A48" s="172"/>
      <c r="B48" s="170" t="s">
        <v>180</v>
      </c>
      <c r="C48" s="171" t="s">
        <v>193</v>
      </c>
      <c r="D48" s="170" t="s">
        <v>179</v>
      </c>
      <c r="E48" s="169" t="str">
        <f t="shared" si="1"/>
        <v>GBPMPCDEC11OIS_Quote</v>
      </c>
      <c r="F48" s="169" t="str">
        <f>_xll.qlSimpleQuote(E48,,RateTickValue,Permanent,Trigger,ObjectOverwrite)</f>
        <v>GBPMPCDEC11OIS_Quote#0002</v>
      </c>
      <c r="G48" s="168" t="s">
        <v>178</v>
      </c>
      <c r="H48" s="167"/>
    </row>
    <row r="49" spans="1:8" x14ac:dyDescent="0.25">
      <c r="A49" s="172"/>
      <c r="B49" s="170" t="s">
        <v>180</v>
      </c>
      <c r="C49" s="171" t="s">
        <v>192</v>
      </c>
      <c r="D49" s="170" t="s">
        <v>179</v>
      </c>
      <c r="E49" s="169" t="str">
        <f t="shared" si="1"/>
        <v>GBPMPCJAN12OIS_Quote</v>
      </c>
      <c r="F49" s="169" t="str">
        <f>_xll.qlSimpleQuote(E49,,RateTickValue,Permanent,Trigger,ObjectOverwrite)</f>
        <v>GBPMPCJAN12OIS_Quote#0002</v>
      </c>
      <c r="G49" s="168" t="s">
        <v>178</v>
      </c>
      <c r="H49" s="167"/>
    </row>
    <row r="50" spans="1:8" x14ac:dyDescent="0.25">
      <c r="A50" s="172"/>
      <c r="B50" s="170" t="s">
        <v>180</v>
      </c>
      <c r="C50" s="171" t="s">
        <v>191</v>
      </c>
      <c r="D50" s="170" t="s">
        <v>179</v>
      </c>
      <c r="E50" s="169" t="str">
        <f t="shared" si="1"/>
        <v>GBPMPCFEB12OIS_Quote</v>
      </c>
      <c r="F50" s="169" t="str">
        <f>_xll.qlSimpleQuote(E50,,RateTickValue,Permanent,Trigger,ObjectOverwrite)</f>
        <v>GBPMPCFEB12OIS_Quote#0002</v>
      </c>
      <c r="G50" s="168" t="s">
        <v>178</v>
      </c>
      <c r="H50" s="167"/>
    </row>
    <row r="51" spans="1:8" x14ac:dyDescent="0.25">
      <c r="A51" s="172"/>
      <c r="B51" s="170" t="s">
        <v>180</v>
      </c>
      <c r="C51" s="171" t="s">
        <v>190</v>
      </c>
      <c r="D51" s="170" t="s">
        <v>179</v>
      </c>
      <c r="E51" s="169" t="str">
        <f t="shared" si="1"/>
        <v>GBPMPCMAR12OIS_Quote</v>
      </c>
      <c r="F51" s="169" t="str">
        <f>_xll.qlSimpleQuote(E51,,RateTickValue,Permanent,Trigger,ObjectOverwrite)</f>
        <v>GBPMPCMAR12OIS_Quote#0002</v>
      </c>
      <c r="G51" s="168" t="s">
        <v>178</v>
      </c>
      <c r="H51" s="167"/>
    </row>
    <row r="52" spans="1:8" x14ac:dyDescent="0.25">
      <c r="A52" s="172"/>
      <c r="B52" s="170" t="s">
        <v>180</v>
      </c>
      <c r="C52" s="171" t="s">
        <v>189</v>
      </c>
      <c r="D52" s="170" t="s">
        <v>179</v>
      </c>
      <c r="E52" s="169" t="str">
        <f t="shared" si="1"/>
        <v>GBPMPCAPR12OIS_Quote</v>
      </c>
      <c r="F52" s="169" t="str">
        <f>_xll.qlSimpleQuote(E52,,RateTickValue,Permanent,Trigger,ObjectOverwrite)</f>
        <v>GBPMPCAPR12OIS_Quote#0002</v>
      </c>
      <c r="G52" s="168" t="s">
        <v>178</v>
      </c>
      <c r="H52" s="167"/>
    </row>
    <row r="53" spans="1:8" x14ac:dyDescent="0.25">
      <c r="A53" s="172"/>
      <c r="B53" s="170" t="s">
        <v>180</v>
      </c>
      <c r="C53" s="171" t="s">
        <v>188</v>
      </c>
      <c r="D53" s="170" t="s">
        <v>179</v>
      </c>
      <c r="E53" s="169" t="str">
        <f t="shared" si="1"/>
        <v>GBPMPCMAY12OIS_Quote</v>
      </c>
      <c r="F53" s="169" t="str">
        <f>_xll.qlSimpleQuote(E53,,RateTickValue,Permanent,Trigger,ObjectOverwrite)</f>
        <v>GBPMPCMAY12OIS_Quote#0002</v>
      </c>
      <c r="G53" s="168" t="s">
        <v>178</v>
      </c>
      <c r="H53" s="167"/>
    </row>
    <row r="54" spans="1:8" x14ac:dyDescent="0.25">
      <c r="A54" s="172"/>
      <c r="B54" s="170" t="s">
        <v>180</v>
      </c>
      <c r="C54" s="171" t="s">
        <v>187</v>
      </c>
      <c r="D54" s="170" t="s">
        <v>179</v>
      </c>
      <c r="E54" s="169" t="str">
        <f t="shared" si="1"/>
        <v>GBPMPCJUN12OIS_Quote</v>
      </c>
      <c r="F54" s="169" t="str">
        <f>_xll.qlSimpleQuote(E54,,RateTickValue,Permanent,Trigger,ObjectOverwrite)</f>
        <v>GBPMPCJUN12OIS_Quote#0002</v>
      </c>
      <c r="G54" s="168" t="s">
        <v>178</v>
      </c>
      <c r="H54" s="167"/>
    </row>
    <row r="55" spans="1:8" x14ac:dyDescent="0.25">
      <c r="A55" s="172"/>
      <c r="B55" s="170" t="s">
        <v>180</v>
      </c>
      <c r="C55" s="171" t="s">
        <v>186</v>
      </c>
      <c r="D55" s="170" t="s">
        <v>179</v>
      </c>
      <c r="E55" s="169" t="str">
        <f t="shared" si="1"/>
        <v>GBPMPCJUL12OIS_Quote</v>
      </c>
      <c r="F55" s="169" t="str">
        <f>_xll.qlSimpleQuote(E55,,RateTickValue,Permanent,Trigger,ObjectOverwrite)</f>
        <v>GBPMPCJUL12OIS_Quote#0002</v>
      </c>
      <c r="G55" s="168" t="s">
        <v>178</v>
      </c>
      <c r="H55" s="167"/>
    </row>
    <row r="56" spans="1:8" x14ac:dyDescent="0.25">
      <c r="A56" s="172"/>
      <c r="B56" s="170" t="s">
        <v>180</v>
      </c>
      <c r="C56" s="171" t="s">
        <v>185</v>
      </c>
      <c r="D56" s="170" t="s">
        <v>179</v>
      </c>
      <c r="E56" s="169" t="str">
        <f t="shared" si="1"/>
        <v>GBPMPCAUG12OIS_Quote</v>
      </c>
      <c r="F56" s="169" t="str">
        <f>_xll.qlSimpleQuote(E56,,RateTickValue,Permanent,Trigger,ObjectOverwrite)</f>
        <v>GBPMPCAUG12OIS_Quote#0002</v>
      </c>
      <c r="G56" s="168" t="s">
        <v>178</v>
      </c>
      <c r="H56" s="167"/>
    </row>
    <row r="57" spans="1:8" x14ac:dyDescent="0.25">
      <c r="A57" s="172"/>
      <c r="B57" s="170" t="s">
        <v>180</v>
      </c>
      <c r="C57" s="171" t="s">
        <v>184</v>
      </c>
      <c r="D57" s="170" t="s">
        <v>179</v>
      </c>
      <c r="E57" s="169" t="str">
        <f t="shared" si="1"/>
        <v>GBPMPCSEP12OIS_Quote</v>
      </c>
      <c r="F57" s="169" t="str">
        <f>_xll.qlSimpleQuote(E57,,RateTickValue,Permanent,Trigger,ObjectOverwrite)</f>
        <v>GBPMPCSEP12OIS_Quote#0002</v>
      </c>
      <c r="G57" s="168" t="s">
        <v>178</v>
      </c>
      <c r="H57" s="167"/>
    </row>
    <row r="58" spans="1:8" x14ac:dyDescent="0.25">
      <c r="A58" s="172"/>
      <c r="B58" s="170" t="s">
        <v>180</v>
      </c>
      <c r="C58" s="171" t="s">
        <v>183</v>
      </c>
      <c r="D58" s="170" t="s">
        <v>179</v>
      </c>
      <c r="E58" s="169" t="str">
        <f t="shared" si="1"/>
        <v>GBPMPCOCT12OIS_Quote</v>
      </c>
      <c r="F58" s="169" t="str">
        <f>_xll.qlSimpleQuote(E58,,RateTickValue,Permanent,Trigger,ObjectOverwrite)</f>
        <v>GBPMPCOCT12OIS_Quote#0002</v>
      </c>
      <c r="G58" s="168" t="s">
        <v>178</v>
      </c>
      <c r="H58" s="167"/>
    </row>
    <row r="59" spans="1:8" x14ac:dyDescent="0.25">
      <c r="A59" s="172"/>
      <c r="B59" s="170" t="s">
        <v>180</v>
      </c>
      <c r="C59" s="171" t="s">
        <v>182</v>
      </c>
      <c r="D59" s="170" t="s">
        <v>179</v>
      </c>
      <c r="E59" s="169" t="str">
        <f t="shared" si="1"/>
        <v>GBPMPCNOV12OIS_Quote</v>
      </c>
      <c r="F59" s="169" t="str">
        <f>_xll.qlSimpleQuote(E59,,RateTickValue,Permanent,Trigger,ObjectOverwrite)</f>
        <v>GBPMPCNOV12OIS_Quote#0002</v>
      </c>
      <c r="G59" s="168" t="s">
        <v>178</v>
      </c>
      <c r="H59" s="167"/>
    </row>
    <row r="60" spans="1:8" x14ac:dyDescent="0.25">
      <c r="A60" s="172"/>
      <c r="B60" s="170" t="s">
        <v>180</v>
      </c>
      <c r="C60" s="171" t="s">
        <v>181</v>
      </c>
      <c r="D60" s="170" t="s">
        <v>179</v>
      </c>
      <c r="E60" s="169" t="str">
        <f t="shared" si="1"/>
        <v>GBPMPCDEC12OIS_Quote</v>
      </c>
      <c r="F60" s="169" t="str">
        <f>_xll.qlSimpleQuote(E60,,RateTickValue,Permanent,Trigger,ObjectOverwrite)</f>
        <v>GBPMPCDEC12OIS_Quote#0002</v>
      </c>
      <c r="G60" s="168" t="s">
        <v>178</v>
      </c>
      <c r="H60" s="167"/>
    </row>
    <row r="61" spans="1:8" x14ac:dyDescent="0.25">
      <c r="A61" s="172"/>
      <c r="B61" s="170" t="s">
        <v>180</v>
      </c>
      <c r="C61" s="171" t="e">
        <v>#NUM!</v>
      </c>
      <c r="D61" s="170" t="s">
        <v>179</v>
      </c>
      <c r="E61" s="169" t="e">
        <f t="shared" si="1"/>
        <v>#NUM!</v>
      </c>
      <c r="F61" s="169" t="e">
        <f>_xll.qlSimpleQuote(E61,,RateTickValue,Permanent,Trigger,ObjectOverwrite)</f>
        <v>#VALUE!</v>
      </c>
      <c r="G61" s="168" t="s">
        <v>178</v>
      </c>
      <c r="H61" s="167"/>
    </row>
    <row r="62" spans="1:8" x14ac:dyDescent="0.25">
      <c r="A62" s="172"/>
      <c r="B62" s="170" t="s">
        <v>180</v>
      </c>
      <c r="C62" s="171" t="e">
        <v>#NUM!</v>
      </c>
      <c r="D62" s="170" t="s">
        <v>179</v>
      </c>
      <c r="E62" s="169" t="e">
        <f t="shared" si="1"/>
        <v>#NUM!</v>
      </c>
      <c r="F62" s="169" t="e">
        <f>_xll.qlSimpleQuote(E62,,RateTickValue,Permanent,Trigger,ObjectOverwrite)</f>
        <v>#VALUE!</v>
      </c>
      <c r="G62" s="168" t="s">
        <v>178</v>
      </c>
      <c r="H62" s="167"/>
    </row>
    <row r="63" spans="1:8" x14ac:dyDescent="0.25">
      <c r="A63" s="172"/>
      <c r="B63" s="170" t="s">
        <v>180</v>
      </c>
      <c r="C63" s="171" t="e">
        <v>#NUM!</v>
      </c>
      <c r="D63" s="170" t="s">
        <v>179</v>
      </c>
      <c r="E63" s="169" t="e">
        <f t="shared" si="1"/>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1"/>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1"/>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1"/>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1"/>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1"/>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1"/>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1"/>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1"/>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1"/>
        <v>#NUM!</v>
      </c>
      <c r="F72" s="169" t="e">
        <f>_xll.qlSimpleQuote(E72,,RateTickValue,Permanent,Trigger,ObjectOverwrite)</f>
        <v>#VALUE!</v>
      </c>
      <c r="G72" s="168" t="s">
        <v>178</v>
      </c>
      <c r="H72" s="167"/>
    </row>
    <row r="73" spans="1:8" ht="14.25" thickBot="1" x14ac:dyDescent="0.3">
      <c r="A73" s="166"/>
      <c r="B73" s="165"/>
      <c r="C73" s="165"/>
      <c r="D73" s="165"/>
      <c r="E73" s="165"/>
      <c r="F73" s="164"/>
      <c r="G73" s="164"/>
      <c r="H73" s="163"/>
    </row>
  </sheetData>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4"/>
  <sheetViews>
    <sheetView workbookViewId="0"/>
  </sheetViews>
  <sheetFormatPr defaultRowHeight="12.75" x14ac:dyDescent="0.2"/>
  <cols>
    <col min="1" max="1" width="3.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8" width="4.42578125" style="63" customWidth="1"/>
    <col min="9" max="16384" width="9.140625" style="63"/>
  </cols>
  <sheetData>
    <row r="1" spans="1:8" x14ac:dyDescent="0.2">
      <c r="A1" s="596" t="s">
        <v>351</v>
      </c>
      <c r="B1" s="201"/>
      <c r="C1" s="201"/>
      <c r="D1" s="201"/>
      <c r="E1" s="199"/>
      <c r="F1" s="200"/>
      <c r="G1" s="199"/>
      <c r="H1" s="198"/>
    </row>
    <row r="2" spans="1:8" x14ac:dyDescent="0.2">
      <c r="A2" s="118"/>
      <c r="B2" s="197"/>
      <c r="C2" s="196"/>
      <c r="D2" s="90"/>
      <c r="E2" s="89" t="str">
        <f>Currency&amp;"_010_Sw"&amp;"1M.xml"</f>
        <v>GBP_010_Sw1M.xml</v>
      </c>
      <c r="F2" s="88">
        <f ca="1">IF(Serialize,_xll.ohObjectSave(F3:F13,SerializationPath&amp;E2,FileOverwrite,Serialize),"---")</f>
        <v>11</v>
      </c>
      <c r="G2" s="72" t="str">
        <f ca="1">_xll.ohRangeRetrieveError(F2)</f>
        <v/>
      </c>
      <c r="H2" s="33"/>
    </row>
    <row r="3" spans="1:8" x14ac:dyDescent="0.2">
      <c r="A3" s="118"/>
      <c r="B3" s="195"/>
      <c r="C3" s="75">
        <v>2</v>
      </c>
      <c r="D3" s="74" t="s">
        <v>205</v>
      </c>
      <c r="E3" s="73" t="str">
        <f t="shared" ref="E3:E13" si="0">Currency&amp;$C3&amp;$D3&amp;$B3&amp;QuoteSuffix</f>
        <v>GBP2X1S_Quote</v>
      </c>
      <c r="F3" s="73" t="str">
        <f>_xll.qlSimpleQuote(Currency&amp;$C3&amp;$D3&amp;$B3&amp;QuoteSuffix,,RateTickValue,Permanent,Trigger,ObjectOverwrite)</f>
        <v>GBP2X1S_Quote#0002</v>
      </c>
      <c r="G3" s="8" t="str">
        <f>_xll.ohRangeRetrieveError(F3)</f>
        <v/>
      </c>
      <c r="H3" s="33"/>
    </row>
    <row r="4" spans="1:8" x14ac:dyDescent="0.2">
      <c r="A4" s="118"/>
      <c r="B4" s="194"/>
      <c r="C4" s="193">
        <v>3</v>
      </c>
      <c r="D4" s="192" t="s">
        <v>205</v>
      </c>
      <c r="E4" s="73" t="str">
        <f t="shared" si="0"/>
        <v>GBP3X1S_Quote</v>
      </c>
      <c r="F4" s="73" t="str">
        <f>_xll.qlSimpleQuote(Currency&amp;$C4&amp;$D4&amp;$B4&amp;QuoteSuffix,,RateTickValue,Permanent,Trigger,ObjectOverwrite)</f>
        <v>GBP3X1S_Quote#0002</v>
      </c>
      <c r="G4" s="191" t="str">
        <f>_xll.ohRangeRetrieveError(F4)</f>
        <v/>
      </c>
      <c r="H4" s="33"/>
    </row>
    <row r="5" spans="1:8" x14ac:dyDescent="0.2">
      <c r="A5" s="118"/>
      <c r="B5" s="194"/>
      <c r="C5" s="193">
        <v>4</v>
      </c>
      <c r="D5" s="192" t="s">
        <v>205</v>
      </c>
      <c r="E5" s="73" t="str">
        <f t="shared" si="0"/>
        <v>GBP4X1S_Quote</v>
      </c>
      <c r="F5" s="73" t="str">
        <f>_xll.qlSimpleQuote(Currency&amp;$C5&amp;$D5&amp;$B5&amp;QuoteSuffix,,RateTickValue,Permanent,Trigger,ObjectOverwrite)</f>
        <v>GBP4X1S_Quote#0002</v>
      </c>
      <c r="G5" s="191" t="str">
        <f>_xll.ohRangeRetrieveError(F5)</f>
        <v/>
      </c>
      <c r="H5" s="33"/>
    </row>
    <row r="6" spans="1:8" x14ac:dyDescent="0.2">
      <c r="A6" s="118"/>
      <c r="B6" s="194"/>
      <c r="C6" s="193">
        <v>5</v>
      </c>
      <c r="D6" s="192" t="s">
        <v>205</v>
      </c>
      <c r="E6" s="73" t="str">
        <f t="shared" si="0"/>
        <v>GBP5X1S_Quote</v>
      </c>
      <c r="F6" s="73" t="str">
        <f>_xll.qlSimpleQuote(Currency&amp;$C6&amp;$D6&amp;$B6&amp;QuoteSuffix,,RateTickValue,Permanent,Trigger,ObjectOverwrite)</f>
        <v>GBP5X1S_Quote#0002</v>
      </c>
      <c r="G6" s="191" t="str">
        <f>_xll.ohRangeRetrieveError(F6)</f>
        <v/>
      </c>
      <c r="H6" s="33"/>
    </row>
    <row r="7" spans="1:8" x14ac:dyDescent="0.2">
      <c r="A7" s="118"/>
      <c r="B7" s="194"/>
      <c r="C7" s="193">
        <v>6</v>
      </c>
      <c r="D7" s="192" t="s">
        <v>205</v>
      </c>
      <c r="E7" s="73" t="str">
        <f t="shared" si="0"/>
        <v>GBP6X1S_Quote</v>
      </c>
      <c r="F7" s="73" t="str">
        <f>_xll.qlSimpleQuote(Currency&amp;$C7&amp;$D7&amp;$B7&amp;QuoteSuffix,,RateTickValue,Permanent,Trigger,ObjectOverwrite)</f>
        <v>GBP6X1S_Quote#0002</v>
      </c>
      <c r="G7" s="191" t="str">
        <f>_xll.ohRangeRetrieveError(F7)</f>
        <v/>
      </c>
      <c r="H7" s="33"/>
    </row>
    <row r="8" spans="1:8" x14ac:dyDescent="0.2">
      <c r="A8" s="118"/>
      <c r="B8" s="194"/>
      <c r="C8" s="193">
        <v>7</v>
      </c>
      <c r="D8" s="192" t="s">
        <v>205</v>
      </c>
      <c r="E8" s="73" t="str">
        <f t="shared" si="0"/>
        <v>GBP7X1S_Quote</v>
      </c>
      <c r="F8" s="73" t="str">
        <f>_xll.qlSimpleQuote(Currency&amp;$C8&amp;$D8&amp;$B8&amp;QuoteSuffix,,RateTickValue,Permanent,Trigger,ObjectOverwrite)</f>
        <v>GBP7X1S_Quote#0002</v>
      </c>
      <c r="G8" s="191" t="str">
        <f>_xll.ohRangeRetrieveError(F8)</f>
        <v/>
      </c>
      <c r="H8" s="33"/>
    </row>
    <row r="9" spans="1:8" x14ac:dyDescent="0.2">
      <c r="A9" s="118"/>
      <c r="B9" s="194"/>
      <c r="C9" s="193">
        <v>8</v>
      </c>
      <c r="D9" s="192" t="s">
        <v>205</v>
      </c>
      <c r="E9" s="73" t="str">
        <f t="shared" si="0"/>
        <v>GBP8X1S_Quote</v>
      </c>
      <c r="F9" s="73" t="str">
        <f>_xll.qlSimpleQuote(Currency&amp;$C9&amp;$D9&amp;$B9&amp;QuoteSuffix,,RateTickValue,Permanent,Trigger,ObjectOverwrite)</f>
        <v>GBP8X1S_Quote#0002</v>
      </c>
      <c r="G9" s="191" t="str">
        <f>_xll.ohRangeRetrieveError(F9)</f>
        <v/>
      </c>
      <c r="H9" s="33"/>
    </row>
    <row r="10" spans="1:8" x14ac:dyDescent="0.2">
      <c r="A10" s="118"/>
      <c r="B10" s="194"/>
      <c r="C10" s="193">
        <v>9</v>
      </c>
      <c r="D10" s="192" t="s">
        <v>205</v>
      </c>
      <c r="E10" s="73" t="str">
        <f t="shared" si="0"/>
        <v>GBP9X1S_Quote</v>
      </c>
      <c r="F10" s="73" t="str">
        <f>_xll.qlSimpleQuote(Currency&amp;$C10&amp;$D10&amp;$B10&amp;QuoteSuffix,,RateTickValue,Permanent,Trigger,ObjectOverwrite)</f>
        <v>GBP9X1S_Quote#0002</v>
      </c>
      <c r="G10" s="191" t="str">
        <f>_xll.ohRangeRetrieveError(F10)</f>
        <v/>
      </c>
      <c r="H10" s="33"/>
    </row>
    <row r="11" spans="1:8" x14ac:dyDescent="0.2">
      <c r="A11" s="118"/>
      <c r="B11" s="194"/>
      <c r="C11" s="193">
        <v>10</v>
      </c>
      <c r="D11" s="192" t="s">
        <v>205</v>
      </c>
      <c r="E11" s="73" t="str">
        <f t="shared" si="0"/>
        <v>GBP10X1S_Quote</v>
      </c>
      <c r="F11" s="73" t="str">
        <f>_xll.qlSimpleQuote(Currency&amp;$C11&amp;$D11&amp;$B11&amp;QuoteSuffix,,RateTickValue,Permanent,Trigger,ObjectOverwrite)</f>
        <v>GBP10X1S_Quote#0002</v>
      </c>
      <c r="G11" s="191" t="str">
        <f>_xll.ohRangeRetrieveError(F11)</f>
        <v/>
      </c>
      <c r="H11" s="33"/>
    </row>
    <row r="12" spans="1:8" x14ac:dyDescent="0.2">
      <c r="A12" s="118"/>
      <c r="B12" s="194"/>
      <c r="C12" s="193">
        <v>11</v>
      </c>
      <c r="D12" s="192" t="s">
        <v>205</v>
      </c>
      <c r="E12" s="73" t="str">
        <f t="shared" si="0"/>
        <v>GBP11X1S_Quote</v>
      </c>
      <c r="F12" s="73" t="str">
        <f>_xll.qlSimpleQuote(Currency&amp;$C12&amp;$D12&amp;$B12&amp;QuoteSuffix,,RateTickValue,Permanent,Trigger,ObjectOverwrite)</f>
        <v>GBP11X1S_Quote#0002</v>
      </c>
      <c r="G12" s="191" t="str">
        <f>_xll.ohRangeRetrieveError(F12)</f>
        <v/>
      </c>
      <c r="H12" s="33"/>
    </row>
    <row r="13" spans="1:8" x14ac:dyDescent="0.2">
      <c r="A13" s="118"/>
      <c r="B13" s="194"/>
      <c r="C13" s="193">
        <v>12</v>
      </c>
      <c r="D13" s="192" t="s">
        <v>205</v>
      </c>
      <c r="E13" s="73" t="str">
        <f t="shared" si="0"/>
        <v>GBP12X1S_Quote</v>
      </c>
      <c r="F13" s="73" t="str">
        <f>_xll.qlSimpleQuote(Currency&amp;$C13&amp;$D13&amp;$B13&amp;QuoteSuffix,,RateTickValue,Permanent,Trigger,ObjectOverwrite)</f>
        <v>GBP12X1S_Quote#0002</v>
      </c>
      <c r="G13" s="191" t="str">
        <f>_xll.ohRangeRetrieveError(F13)</f>
        <v/>
      </c>
      <c r="H13" s="33"/>
    </row>
    <row r="14" spans="1:8" ht="13.5" thickBot="1" x14ac:dyDescent="0.25">
      <c r="A14" s="32"/>
      <c r="B14" s="31"/>
      <c r="C14" s="31"/>
      <c r="D14" s="31"/>
      <c r="E14" s="31"/>
      <c r="F14" s="112"/>
      <c r="G14" s="112"/>
      <c r="H14" s="30"/>
    </row>
  </sheetData>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0"/>
  <sheetViews>
    <sheetView workbookViewId="0"/>
  </sheetViews>
  <sheetFormatPr defaultRowHeight="12.75" x14ac:dyDescent="0.2"/>
  <cols>
    <col min="1" max="1" width="3.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8" width="4.42578125" style="63" customWidth="1"/>
    <col min="9" max="16384" width="9.140625" style="63"/>
  </cols>
  <sheetData>
    <row r="1" spans="1:8" x14ac:dyDescent="0.2">
      <c r="A1" s="596" t="s">
        <v>351</v>
      </c>
      <c r="B1" s="201"/>
      <c r="C1" s="201"/>
      <c r="D1" s="201"/>
      <c r="E1" s="199"/>
      <c r="F1" s="200"/>
      <c r="G1" s="199"/>
      <c r="H1" s="198"/>
    </row>
    <row r="2" spans="1:8" x14ac:dyDescent="0.2">
      <c r="A2" s="118"/>
      <c r="B2" s="205"/>
      <c r="C2" s="204"/>
      <c r="D2" s="90"/>
      <c r="E2" s="89" t="str">
        <f>Currency&amp;"_010_Sw"&amp;"IMM.xml"</f>
        <v>GBP_010_SwIMM.xml</v>
      </c>
      <c r="F2" s="88">
        <f ca="1">IF(Serialize,_xll.ohObjectSave(F3:F9,SerializationPath&amp;E2,FileOverwrite,Serialize),"---")</f>
        <v>7</v>
      </c>
      <c r="G2" s="72" t="str">
        <f ca="1">_xll.ohRangeRetrieveError(F2)</f>
        <v/>
      </c>
      <c r="H2" s="33"/>
    </row>
    <row r="3" spans="1:8" x14ac:dyDescent="0.2">
      <c r="A3" s="118"/>
      <c r="B3" s="203"/>
      <c r="C3" s="74" t="s">
        <v>206</v>
      </c>
      <c r="D3" s="74">
        <v>12</v>
      </c>
      <c r="E3" s="73" t="str">
        <f t="shared" ref="E3:E9" si="0">Currency&amp;$C3&amp;$D3&amp;$B3&amp;QuoteSuffix</f>
        <v>GBP1S12_Quote</v>
      </c>
      <c r="F3" s="73" t="str">
        <f>_xll.qlSimpleQuote(Currency&amp;$C3&amp;$D3&amp;$B3&amp;QuoteSuffix,,RateTickValue,Permanent,Trigger,ObjectOverwrite)</f>
        <v>GBP1S12_Quote#0002</v>
      </c>
      <c r="G3" s="8" t="str">
        <f>_xll.ohRangeRetrieveError(F3)</f>
        <v/>
      </c>
      <c r="H3" s="33"/>
    </row>
    <row r="4" spans="1:8" x14ac:dyDescent="0.2">
      <c r="A4" s="118"/>
      <c r="B4" s="202"/>
      <c r="C4" s="192" t="s">
        <v>207</v>
      </c>
      <c r="D4" s="192">
        <v>12</v>
      </c>
      <c r="E4" s="73" t="str">
        <f t="shared" si="0"/>
        <v>GBP2S12_Quote</v>
      </c>
      <c r="F4" s="73" t="str">
        <f>_xll.qlSimpleQuote(Currency&amp;$C4&amp;$D4&amp;$B4&amp;QuoteSuffix,,RateTickValue,Permanent,Trigger,ObjectOverwrite)</f>
        <v>GBP2S12_Quote#0002</v>
      </c>
      <c r="G4" s="191" t="str">
        <f>_xll.ohRangeRetrieveError(F4)</f>
        <v/>
      </c>
      <c r="H4" s="33"/>
    </row>
    <row r="5" spans="1:8" x14ac:dyDescent="0.2">
      <c r="A5" s="118"/>
      <c r="B5" s="202"/>
      <c r="C5" s="192" t="s">
        <v>209</v>
      </c>
      <c r="D5" s="192">
        <v>12</v>
      </c>
      <c r="E5" s="73" t="str">
        <f t="shared" si="0"/>
        <v>GBP3S12_Quote</v>
      </c>
      <c r="F5" s="73" t="str">
        <f>_xll.qlSimpleQuote(Currency&amp;$C5&amp;$D5&amp;$B5&amp;QuoteSuffix,,RateTickValue,Permanent,Trigger,ObjectOverwrite)</f>
        <v>GBP3S12_Quote#0002</v>
      </c>
      <c r="G5" s="191" t="str">
        <f>_xll.ohRangeRetrieveError(F5)</f>
        <v/>
      </c>
      <c r="H5" s="33"/>
    </row>
    <row r="6" spans="1:8" x14ac:dyDescent="0.2">
      <c r="A6" s="118"/>
      <c r="B6" s="202"/>
      <c r="C6" s="192" t="s">
        <v>208</v>
      </c>
      <c r="D6" s="192">
        <v>12</v>
      </c>
      <c r="E6" s="73" t="str">
        <f t="shared" si="0"/>
        <v>GBP4S12_Quote</v>
      </c>
      <c r="F6" s="73" t="str">
        <f>_xll.qlSimpleQuote(Currency&amp;$C6&amp;$D6&amp;$B6&amp;QuoteSuffix,,RateTickValue,Permanent,Trigger,ObjectOverwrite)</f>
        <v>GBP4S12_Quote#0002</v>
      </c>
      <c r="G6" s="191" t="str">
        <f>_xll.ohRangeRetrieveError(F6)</f>
        <v/>
      </c>
      <c r="H6" s="33"/>
    </row>
    <row r="7" spans="1:8" x14ac:dyDescent="0.2">
      <c r="A7" s="118"/>
      <c r="B7" s="202"/>
      <c r="C7" s="192" t="s">
        <v>206</v>
      </c>
      <c r="D7" s="192">
        <v>24</v>
      </c>
      <c r="E7" s="73" t="str">
        <f t="shared" si="0"/>
        <v>GBP1S24_Quote</v>
      </c>
      <c r="F7" s="73" t="str">
        <f>_xll.qlSimpleQuote(Currency&amp;$C7&amp;$D7&amp;$B7&amp;QuoteSuffix,,RateTickValue,Permanent,Trigger,ObjectOverwrite)</f>
        <v>GBP1S24_Quote#0002</v>
      </c>
      <c r="G7" s="191" t="str">
        <f>_xll.ohRangeRetrieveError(F7)</f>
        <v/>
      </c>
      <c r="H7" s="33"/>
    </row>
    <row r="8" spans="1:8" x14ac:dyDescent="0.2">
      <c r="A8" s="118"/>
      <c r="B8" s="202"/>
      <c r="C8" s="192" t="s">
        <v>207</v>
      </c>
      <c r="D8" s="192">
        <v>24</v>
      </c>
      <c r="E8" s="73" t="str">
        <f t="shared" si="0"/>
        <v>GBP2S24_Quote</v>
      </c>
      <c r="F8" s="73" t="str">
        <f>_xll.qlSimpleQuote(Currency&amp;$C8&amp;$D8&amp;$B8&amp;QuoteSuffix,,RateTickValue,Permanent,Trigger,ObjectOverwrite)</f>
        <v>GBP2S24_Quote#0002</v>
      </c>
      <c r="G8" s="191" t="str">
        <f>_xll.ohRangeRetrieveError(F8)</f>
        <v/>
      </c>
      <c r="H8" s="33"/>
    </row>
    <row r="9" spans="1:8" x14ac:dyDescent="0.2">
      <c r="A9" s="118"/>
      <c r="B9" s="202"/>
      <c r="C9" s="192" t="s">
        <v>206</v>
      </c>
      <c r="D9" s="192">
        <v>36</v>
      </c>
      <c r="E9" s="73" t="str">
        <f t="shared" si="0"/>
        <v>GBP1S36_Quote</v>
      </c>
      <c r="F9" s="73" t="str">
        <f>_xll.qlSimpleQuote(Currency&amp;$C9&amp;$D9&amp;$B9&amp;QuoteSuffix,,RateTickValue,Permanent,Trigger,ObjectOverwrite)</f>
        <v>GBP1S36_Quote#0002</v>
      </c>
      <c r="G9" s="191" t="str">
        <f>_xll.ohRangeRetrieveError(F9)</f>
        <v/>
      </c>
      <c r="H9" s="33"/>
    </row>
    <row r="10" spans="1:8" ht="13.5" thickBot="1" x14ac:dyDescent="0.25">
      <c r="A10" s="32"/>
      <c r="B10" s="31"/>
      <c r="C10" s="31"/>
      <c r="D10" s="31"/>
      <c r="E10" s="31"/>
      <c r="F10" s="112"/>
      <c r="G10" s="112"/>
      <c r="H10" s="30"/>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40"/>
  <sheetViews>
    <sheetView workbookViewId="0"/>
  </sheetViews>
  <sheetFormatPr defaultRowHeight="12.75" x14ac:dyDescent="0.2"/>
  <cols>
    <col min="1" max="1" width="3.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4.42578125" style="63" customWidth="1"/>
    <col min="10" max="10" width="4.140625" style="63" bestFit="1" customWidth="1"/>
    <col min="11" max="11" width="3.28515625" style="63" bestFit="1" customWidth="1"/>
    <col min="12" max="12" width="9.5703125" style="63" bestFit="1" customWidth="1"/>
    <col min="13" max="16384" width="9.140625" style="63"/>
  </cols>
  <sheetData>
    <row r="1" spans="1:12" ht="13.5" thickBot="1" x14ac:dyDescent="0.25">
      <c r="A1" s="596" t="s">
        <v>351</v>
      </c>
      <c r="B1" s="201"/>
      <c r="C1" s="201"/>
      <c r="D1" s="201"/>
      <c r="E1" s="199"/>
      <c r="F1" s="200"/>
      <c r="G1" s="199"/>
      <c r="H1" s="198"/>
    </row>
    <row r="2" spans="1:12" x14ac:dyDescent="0.2">
      <c r="A2" s="118"/>
      <c r="B2" s="90" t="s">
        <v>125</v>
      </c>
      <c r="C2" s="90"/>
      <c r="D2" s="90"/>
      <c r="E2" s="89" t="str">
        <f>Currency&amp;"_010_Sw"&amp;$C$3&amp;$D$3&amp;".xml"</f>
        <v>GBP_010_SwAM3L.xml</v>
      </c>
      <c r="F2" s="88">
        <f ca="1">IF(Serialize,_xll.ohObjectSave(F3:F39,SerializationPath&amp;E2,FileOverwrite,Serialize),"---")</f>
        <v>37</v>
      </c>
      <c r="G2" s="72" t="str">
        <f ca="1">_xll.ohRangeRetrieveError(F2)</f>
        <v/>
      </c>
      <c r="H2" s="33"/>
      <c r="J2" s="210" t="s">
        <v>215</v>
      </c>
      <c r="K2" s="209" t="s">
        <v>214</v>
      </c>
      <c r="L2" s="208" t="s">
        <v>213</v>
      </c>
    </row>
    <row r="3" spans="1:12" x14ac:dyDescent="0.2">
      <c r="A3" s="118"/>
      <c r="B3" s="195" t="s">
        <v>1</v>
      </c>
      <c r="C3" s="75" t="str">
        <f t="array" ref="C3:C39">VLOOKUP(Currency,SwapMainSetConventions,2)</f>
        <v>AM</v>
      </c>
      <c r="D3" s="75" t="str">
        <f t="array" ref="D3:D39">VLOOKUP(Currency,SwapMainSetConventions,3)</f>
        <v>3L</v>
      </c>
      <c r="E3" s="73" t="str">
        <f t="shared" ref="E3:E39" si="0">Currency&amp;$C3&amp;$D3&amp;$B3&amp;QuoteSuffix</f>
        <v>GBPAM3L1Y_Quote</v>
      </c>
      <c r="F3" s="73" t="str">
        <f>_xll.qlSimpleQuote(Currency&amp;$C3&amp;$D3&amp;$B3&amp;QuoteSuffix,,RateTickValue,Permanent,Trigger,ObjectOverwrite)</f>
        <v>GBPAM3L1Y_Quote#0002</v>
      </c>
      <c r="G3" s="8" t="str">
        <f>_xll.ohRangeRetrieveError(F3)</f>
        <v/>
      </c>
      <c r="H3" s="33"/>
      <c r="J3" s="207" t="s">
        <v>121</v>
      </c>
      <c r="K3" s="82" t="s">
        <v>212</v>
      </c>
      <c r="L3" s="81" t="s">
        <v>114</v>
      </c>
    </row>
    <row r="4" spans="1:12" x14ac:dyDescent="0.2">
      <c r="A4" s="118"/>
      <c r="B4" s="194" t="s">
        <v>124</v>
      </c>
      <c r="C4" s="75" t="str">
        <v>AM</v>
      </c>
      <c r="D4" s="75" t="str">
        <v>3L</v>
      </c>
      <c r="E4" s="73" t="str">
        <f t="shared" si="0"/>
        <v>GBPAM3L15M_Quote</v>
      </c>
      <c r="F4" s="73" t="str">
        <f>_xll.qlSimpleQuote(Currency&amp;$C4&amp;$D4&amp;$B4&amp;QuoteSuffix,,RateTickValue,Permanent,Trigger,ObjectOverwrite)</f>
        <v>GBPAM3L15M_Quote#0002</v>
      </c>
      <c r="G4" s="191" t="str">
        <f>_xll.ohRangeRetrieveError(F4)</f>
        <v/>
      </c>
      <c r="H4" s="33"/>
      <c r="J4" s="207" t="s">
        <v>120</v>
      </c>
      <c r="K4" s="82" t="s">
        <v>212</v>
      </c>
      <c r="L4" s="81" t="s">
        <v>126</v>
      </c>
    </row>
    <row r="5" spans="1:12" x14ac:dyDescent="0.2">
      <c r="A5" s="118"/>
      <c r="B5" s="194" t="s">
        <v>123</v>
      </c>
      <c r="C5" s="75" t="str">
        <v>AM</v>
      </c>
      <c r="D5" s="75" t="str">
        <v>3L</v>
      </c>
      <c r="E5" s="73" t="str">
        <f t="shared" si="0"/>
        <v>GBPAM3L18M_Quote</v>
      </c>
      <c r="F5" s="73" t="str">
        <f>_xll.qlSimpleQuote(Currency&amp;$C5&amp;$D5&amp;$B5&amp;QuoteSuffix,,RateTickValue,Permanent,Trigger,ObjectOverwrite)</f>
        <v>GBPAM3L18M_Quote#0002</v>
      </c>
      <c r="G5" s="191" t="str">
        <f>_xll.ohRangeRetrieveError(F5)</f>
        <v/>
      </c>
      <c r="H5" s="33"/>
      <c r="J5" s="207" t="s">
        <v>96</v>
      </c>
      <c r="K5" s="82" t="s">
        <v>210</v>
      </c>
      <c r="L5" s="81" t="s">
        <v>114</v>
      </c>
    </row>
    <row r="6" spans="1:12" x14ac:dyDescent="0.2">
      <c r="A6" s="118"/>
      <c r="B6" s="194" t="s">
        <v>122</v>
      </c>
      <c r="C6" s="75" t="str">
        <v>AM</v>
      </c>
      <c r="D6" s="75" t="str">
        <v>3L</v>
      </c>
      <c r="E6" s="73" t="str">
        <f t="shared" si="0"/>
        <v>GBPAM3L21M_Quote</v>
      </c>
      <c r="F6" s="73" t="str">
        <f>_xll.qlSimpleQuote(Currency&amp;$C6&amp;$D6&amp;$B6&amp;QuoteSuffix,,RateTickValue,Permanent,Trigger,ObjectOverwrite)</f>
        <v>GBPAM3L21M_Quote#0002</v>
      </c>
      <c r="G6" s="191" t="str">
        <f>_xll.ohRangeRetrieveError(F6)</f>
        <v/>
      </c>
      <c r="H6" s="33"/>
      <c r="J6" s="207" t="s">
        <v>117</v>
      </c>
      <c r="K6" s="82" t="s">
        <v>211</v>
      </c>
      <c r="L6" s="81" t="s">
        <v>114</v>
      </c>
    </row>
    <row r="7" spans="1:12" ht="13.5" thickBot="1" x14ac:dyDescent="0.25">
      <c r="A7" s="118"/>
      <c r="B7" s="194" t="s">
        <v>85</v>
      </c>
      <c r="C7" s="75" t="str">
        <v>AM</v>
      </c>
      <c r="D7" s="75" t="str">
        <v>3L</v>
      </c>
      <c r="E7" s="73" t="str">
        <f t="shared" si="0"/>
        <v>GBPAM3L2Y_Quote</v>
      </c>
      <c r="F7" s="73" t="str">
        <f>_xll.qlSimpleQuote(Currency&amp;$C7&amp;$D7&amp;$B7&amp;QuoteSuffix,,RateTickValue,Permanent,Trigger,ObjectOverwrite)</f>
        <v>GBPAM3L2Y_Quote#0002</v>
      </c>
      <c r="G7" s="191" t="str">
        <f>_xll.ohRangeRetrieveError(F7)</f>
        <v/>
      </c>
      <c r="H7" s="33"/>
      <c r="J7" s="206" t="s">
        <v>115</v>
      </c>
      <c r="K7" s="79" t="s">
        <v>210</v>
      </c>
      <c r="L7" s="78" t="s">
        <v>114</v>
      </c>
    </row>
    <row r="8" spans="1:12" x14ac:dyDescent="0.2">
      <c r="A8" s="118"/>
      <c r="B8" s="194" t="s">
        <v>84</v>
      </c>
      <c r="C8" s="75" t="str">
        <v>AM</v>
      </c>
      <c r="D8" s="75" t="str">
        <v>3L</v>
      </c>
      <c r="E8" s="73" t="str">
        <f t="shared" si="0"/>
        <v>GBPAM3L3Y_Quote</v>
      </c>
      <c r="F8" s="73" t="str">
        <f>_xll.qlSimpleQuote(Currency&amp;$C8&amp;$D8&amp;$B8&amp;QuoteSuffix,,RateTickValue,Permanent,Trigger,ObjectOverwrite)</f>
        <v>GBPAM3L3Y_Quote#0002</v>
      </c>
      <c r="G8" s="191" t="str">
        <f>_xll.ohRangeRetrieveError(F8)</f>
        <v/>
      </c>
      <c r="H8" s="33"/>
    </row>
    <row r="9" spans="1:12" x14ac:dyDescent="0.2">
      <c r="A9" s="118"/>
      <c r="B9" s="194" t="s">
        <v>83</v>
      </c>
      <c r="C9" s="75" t="str">
        <v>AM</v>
      </c>
      <c r="D9" s="75" t="str">
        <v>3L</v>
      </c>
      <c r="E9" s="73" t="str">
        <f t="shared" si="0"/>
        <v>GBPAM3L4Y_Quote</v>
      </c>
      <c r="F9" s="73" t="str">
        <f>_xll.qlSimpleQuote(Currency&amp;$C9&amp;$D9&amp;$B9&amp;QuoteSuffix,,RateTickValue,Permanent,Trigger,ObjectOverwrite)</f>
        <v>GBPAM3L4Y_Quote#0002</v>
      </c>
      <c r="G9" s="191" t="str">
        <f>_xll.ohRangeRetrieveError(F9)</f>
        <v/>
      </c>
      <c r="H9" s="33"/>
    </row>
    <row r="10" spans="1:12" x14ac:dyDescent="0.2">
      <c r="A10" s="118"/>
      <c r="B10" s="194" t="s">
        <v>82</v>
      </c>
      <c r="C10" s="75" t="str">
        <v>AM</v>
      </c>
      <c r="D10" s="75" t="str">
        <v>3L</v>
      </c>
      <c r="E10" s="73" t="str">
        <f t="shared" si="0"/>
        <v>GBPAM3L5Y_Quote</v>
      </c>
      <c r="F10" s="73" t="str">
        <f>_xll.qlSimpleQuote(Currency&amp;$C10&amp;$D10&amp;$B10&amp;QuoteSuffix,,RateTickValue,Permanent,Trigger,ObjectOverwrite)</f>
        <v>GBPAM3L5Y_Quote#0002</v>
      </c>
      <c r="G10" s="191" t="str">
        <f>_xll.ohRangeRetrieveError(F10)</f>
        <v/>
      </c>
      <c r="H10" s="33"/>
    </row>
    <row r="11" spans="1:12" x14ac:dyDescent="0.2">
      <c r="A11" s="118"/>
      <c r="B11" s="194" t="s">
        <v>81</v>
      </c>
      <c r="C11" s="75" t="str">
        <v>AM</v>
      </c>
      <c r="D11" s="75" t="str">
        <v>3L</v>
      </c>
      <c r="E11" s="73" t="str">
        <f t="shared" si="0"/>
        <v>GBPAM3L6Y_Quote</v>
      </c>
      <c r="F11" s="73" t="str">
        <f>_xll.qlSimpleQuote(Currency&amp;$C11&amp;$D11&amp;$B11&amp;QuoteSuffix,,RateTickValue,Permanent,Trigger,ObjectOverwrite)</f>
        <v>GBPAM3L6Y_Quote#0002</v>
      </c>
      <c r="G11" s="191" t="str">
        <f>_xll.ohRangeRetrieveError(F11)</f>
        <v/>
      </c>
      <c r="H11" s="33"/>
    </row>
    <row r="12" spans="1:12" x14ac:dyDescent="0.2">
      <c r="A12" s="118"/>
      <c r="B12" s="194" t="s">
        <v>80</v>
      </c>
      <c r="C12" s="75" t="str">
        <v>AM</v>
      </c>
      <c r="D12" s="75" t="str">
        <v>3L</v>
      </c>
      <c r="E12" s="73" t="str">
        <f t="shared" si="0"/>
        <v>GBPAM3L7Y_Quote</v>
      </c>
      <c r="F12" s="73" t="str">
        <f>_xll.qlSimpleQuote(Currency&amp;$C12&amp;$D12&amp;$B12&amp;QuoteSuffix,,RateTickValue,Permanent,Trigger,ObjectOverwrite)</f>
        <v>GBPAM3L7Y_Quote#0002</v>
      </c>
      <c r="G12" s="191" t="str">
        <f>_xll.ohRangeRetrieveError(F12)</f>
        <v/>
      </c>
      <c r="H12" s="33"/>
    </row>
    <row r="13" spans="1:12" x14ac:dyDescent="0.2">
      <c r="A13" s="118"/>
      <c r="B13" s="194" t="s">
        <v>79</v>
      </c>
      <c r="C13" s="75" t="str">
        <v>AM</v>
      </c>
      <c r="D13" s="75" t="str">
        <v>3L</v>
      </c>
      <c r="E13" s="73" t="str">
        <f t="shared" si="0"/>
        <v>GBPAM3L8Y_Quote</v>
      </c>
      <c r="F13" s="73" t="str">
        <f>_xll.qlSimpleQuote(Currency&amp;$C13&amp;$D13&amp;$B13&amp;QuoteSuffix,,RateTickValue,Permanent,Trigger,ObjectOverwrite)</f>
        <v>GBPAM3L8Y_Quote#0002</v>
      </c>
      <c r="G13" s="191" t="str">
        <f>_xll.ohRangeRetrieveError(F13)</f>
        <v/>
      </c>
      <c r="H13" s="33"/>
    </row>
    <row r="14" spans="1:12" x14ac:dyDescent="0.2">
      <c r="A14" s="118"/>
      <c r="B14" s="194" t="s">
        <v>78</v>
      </c>
      <c r="C14" s="75" t="str">
        <v>AM</v>
      </c>
      <c r="D14" s="75" t="str">
        <v>3L</v>
      </c>
      <c r="E14" s="73" t="str">
        <f t="shared" si="0"/>
        <v>GBPAM3L9Y_Quote</v>
      </c>
      <c r="F14" s="73" t="str">
        <f>_xll.qlSimpleQuote(Currency&amp;$C14&amp;$D14&amp;$B14&amp;QuoteSuffix,,RateTickValue,Permanent,Trigger,ObjectOverwrite)</f>
        <v>GBPAM3L9Y_Quote#0002</v>
      </c>
      <c r="G14" s="191" t="str">
        <f>_xll.ohRangeRetrieveError(F14)</f>
        <v/>
      </c>
      <c r="H14" s="33"/>
    </row>
    <row r="15" spans="1:12" x14ac:dyDescent="0.2">
      <c r="A15" s="118"/>
      <c r="B15" s="194" t="s">
        <v>77</v>
      </c>
      <c r="C15" s="75" t="str">
        <v>AM</v>
      </c>
      <c r="D15" s="75" t="str">
        <v>3L</v>
      </c>
      <c r="E15" s="73" t="str">
        <f t="shared" si="0"/>
        <v>GBPAM3L10Y_Quote</v>
      </c>
      <c r="F15" s="73" t="str">
        <f>_xll.qlSimpleQuote(Currency&amp;$C15&amp;$D15&amp;$B15&amp;QuoteSuffix,,RateTickValue,Permanent,Trigger,ObjectOverwrite)</f>
        <v>GBPAM3L10Y_Quote#0002</v>
      </c>
      <c r="G15" s="191" t="str">
        <f>_xll.ohRangeRetrieveError(F15)</f>
        <v/>
      </c>
      <c r="H15" s="33"/>
    </row>
    <row r="16" spans="1:12" x14ac:dyDescent="0.2">
      <c r="A16" s="118"/>
      <c r="B16" s="194" t="s">
        <v>76</v>
      </c>
      <c r="C16" s="75" t="str">
        <v>AM</v>
      </c>
      <c r="D16" s="75" t="str">
        <v>3L</v>
      </c>
      <c r="E16" s="73" t="str">
        <f t="shared" si="0"/>
        <v>GBPAM3L11Y_Quote</v>
      </c>
      <c r="F16" s="73" t="str">
        <f>_xll.qlSimpleQuote(Currency&amp;$C16&amp;$D16&amp;$B16&amp;QuoteSuffix,,RateTickValue,Permanent,Trigger,ObjectOverwrite)</f>
        <v>GBPAM3L11Y_Quote#0002</v>
      </c>
      <c r="G16" s="191" t="str">
        <f>_xll.ohRangeRetrieveError(F16)</f>
        <v/>
      </c>
      <c r="H16" s="33"/>
    </row>
    <row r="17" spans="1:8" x14ac:dyDescent="0.2">
      <c r="A17" s="118"/>
      <c r="B17" s="194" t="s">
        <v>75</v>
      </c>
      <c r="C17" s="75" t="str">
        <v>AM</v>
      </c>
      <c r="D17" s="75" t="str">
        <v>3L</v>
      </c>
      <c r="E17" s="73" t="str">
        <f t="shared" si="0"/>
        <v>GBPAM3L12Y_Quote</v>
      </c>
      <c r="F17" s="73" t="str">
        <f>_xll.qlSimpleQuote(Currency&amp;$C17&amp;$D17&amp;$B17&amp;QuoteSuffix,,RateTickValue,Permanent,Trigger,ObjectOverwrite)</f>
        <v>GBPAM3L12Y_Quote#0002</v>
      </c>
      <c r="G17" s="191" t="str">
        <f>_xll.ohRangeRetrieveError(F17)</f>
        <v/>
      </c>
      <c r="H17" s="33"/>
    </row>
    <row r="18" spans="1:8" x14ac:dyDescent="0.2">
      <c r="A18" s="118"/>
      <c r="B18" s="194" t="s">
        <v>74</v>
      </c>
      <c r="C18" s="75" t="str">
        <v>AM</v>
      </c>
      <c r="D18" s="75" t="str">
        <v>3L</v>
      </c>
      <c r="E18" s="73" t="str">
        <f t="shared" si="0"/>
        <v>GBPAM3L13Y_Quote</v>
      </c>
      <c r="F18" s="73" t="str">
        <f>_xll.qlSimpleQuote(Currency&amp;$C18&amp;$D18&amp;$B18&amp;QuoteSuffix,,RateTickValue,Permanent,Trigger,ObjectOverwrite)</f>
        <v>GBPAM3L13Y_Quote#0002</v>
      </c>
      <c r="G18" s="191" t="str">
        <f>_xll.ohRangeRetrieveError(F18)</f>
        <v/>
      </c>
      <c r="H18" s="33"/>
    </row>
    <row r="19" spans="1:8" x14ac:dyDescent="0.2">
      <c r="A19" s="118"/>
      <c r="B19" s="194" t="s">
        <v>73</v>
      </c>
      <c r="C19" s="75" t="str">
        <v>AM</v>
      </c>
      <c r="D19" s="75" t="str">
        <v>3L</v>
      </c>
      <c r="E19" s="73" t="str">
        <f t="shared" si="0"/>
        <v>GBPAM3L14Y_Quote</v>
      </c>
      <c r="F19" s="73" t="str">
        <f>_xll.qlSimpleQuote(Currency&amp;$C19&amp;$D19&amp;$B19&amp;QuoteSuffix,,RateTickValue,Permanent,Trigger,ObjectOverwrite)</f>
        <v>GBPAM3L14Y_Quote#0002</v>
      </c>
      <c r="G19" s="191" t="str">
        <f>_xll.ohRangeRetrieveError(F19)</f>
        <v/>
      </c>
      <c r="H19" s="33"/>
    </row>
    <row r="20" spans="1:8" x14ac:dyDescent="0.2">
      <c r="A20" s="118"/>
      <c r="B20" s="194" t="s">
        <v>72</v>
      </c>
      <c r="C20" s="75" t="str">
        <v>AM</v>
      </c>
      <c r="D20" s="75" t="str">
        <v>3L</v>
      </c>
      <c r="E20" s="73" t="str">
        <f t="shared" si="0"/>
        <v>GBPAM3L15Y_Quote</v>
      </c>
      <c r="F20" s="73" t="str">
        <f>_xll.qlSimpleQuote(Currency&amp;$C20&amp;$D20&amp;$B20&amp;QuoteSuffix,,RateTickValue,Permanent,Trigger,ObjectOverwrite)</f>
        <v>GBPAM3L15Y_Quote#0002</v>
      </c>
      <c r="G20" s="191" t="str">
        <f>_xll.ohRangeRetrieveError(F20)</f>
        <v/>
      </c>
      <c r="H20" s="33"/>
    </row>
    <row r="21" spans="1:8" x14ac:dyDescent="0.2">
      <c r="A21" s="118"/>
      <c r="B21" s="194" t="s">
        <v>71</v>
      </c>
      <c r="C21" s="75" t="str">
        <v>AM</v>
      </c>
      <c r="D21" s="75" t="str">
        <v>3L</v>
      </c>
      <c r="E21" s="73" t="str">
        <f t="shared" si="0"/>
        <v>GBPAM3L16Y_Quote</v>
      </c>
      <c r="F21" s="73" t="str">
        <f>_xll.qlSimpleQuote(Currency&amp;$C21&amp;$D21&amp;$B21&amp;QuoteSuffix,,RateTickValue,Permanent,Trigger,ObjectOverwrite)</f>
        <v>GBPAM3L16Y_Quote#0002</v>
      </c>
      <c r="G21" s="191" t="str">
        <f>_xll.ohRangeRetrieveError(F21)</f>
        <v/>
      </c>
      <c r="H21" s="33"/>
    </row>
    <row r="22" spans="1:8" x14ac:dyDescent="0.2">
      <c r="A22" s="118"/>
      <c r="B22" s="194" t="s">
        <v>70</v>
      </c>
      <c r="C22" s="75" t="str">
        <v>AM</v>
      </c>
      <c r="D22" s="75" t="str">
        <v>3L</v>
      </c>
      <c r="E22" s="73" t="str">
        <f t="shared" si="0"/>
        <v>GBPAM3L17Y_Quote</v>
      </c>
      <c r="F22" s="73" t="str">
        <f>_xll.qlSimpleQuote(Currency&amp;$C22&amp;$D22&amp;$B22&amp;QuoteSuffix,,RateTickValue,Permanent,Trigger,ObjectOverwrite)</f>
        <v>GBPAM3L17Y_Quote#0002</v>
      </c>
      <c r="G22" s="191" t="str">
        <f>_xll.ohRangeRetrieveError(F22)</f>
        <v/>
      </c>
      <c r="H22" s="33"/>
    </row>
    <row r="23" spans="1:8" x14ac:dyDescent="0.2">
      <c r="A23" s="118"/>
      <c r="B23" s="194" t="s">
        <v>69</v>
      </c>
      <c r="C23" s="75" t="str">
        <v>AM</v>
      </c>
      <c r="D23" s="75" t="str">
        <v>3L</v>
      </c>
      <c r="E23" s="73" t="str">
        <f t="shared" si="0"/>
        <v>GBPAM3L18Y_Quote</v>
      </c>
      <c r="F23" s="73" t="str">
        <f>_xll.qlSimpleQuote(Currency&amp;$C23&amp;$D23&amp;$B23&amp;QuoteSuffix,,RateTickValue,Permanent,Trigger,ObjectOverwrite)</f>
        <v>GBPAM3L18Y_Quote#0002</v>
      </c>
      <c r="G23" s="191" t="str">
        <f>_xll.ohRangeRetrieveError(F23)</f>
        <v/>
      </c>
      <c r="H23" s="33"/>
    </row>
    <row r="24" spans="1:8" x14ac:dyDescent="0.2">
      <c r="A24" s="118"/>
      <c r="B24" s="194" t="s">
        <v>68</v>
      </c>
      <c r="C24" s="75" t="str">
        <v>AM</v>
      </c>
      <c r="D24" s="75" t="str">
        <v>3L</v>
      </c>
      <c r="E24" s="73" t="str">
        <f t="shared" si="0"/>
        <v>GBPAM3L19Y_Quote</v>
      </c>
      <c r="F24" s="73" t="str">
        <f>_xll.qlSimpleQuote(Currency&amp;$C24&amp;$D24&amp;$B24&amp;QuoteSuffix,,RateTickValue,Permanent,Trigger,ObjectOverwrite)</f>
        <v>GBPAM3L19Y_Quote#0002</v>
      </c>
      <c r="G24" s="191" t="str">
        <f>_xll.ohRangeRetrieveError(F24)</f>
        <v/>
      </c>
      <c r="H24" s="33"/>
    </row>
    <row r="25" spans="1:8" x14ac:dyDescent="0.2">
      <c r="A25" s="118"/>
      <c r="B25" s="194" t="s">
        <v>67</v>
      </c>
      <c r="C25" s="75" t="str">
        <v>AM</v>
      </c>
      <c r="D25" s="75" t="str">
        <v>3L</v>
      </c>
      <c r="E25" s="73" t="str">
        <f t="shared" si="0"/>
        <v>GBPAM3L20Y_Quote</v>
      </c>
      <c r="F25" s="73" t="str">
        <f>_xll.qlSimpleQuote(Currency&amp;$C25&amp;$D25&amp;$B25&amp;QuoteSuffix,,RateTickValue,Permanent,Trigger,ObjectOverwrite)</f>
        <v>GBPAM3L20Y_Quote#0002</v>
      </c>
      <c r="G25" s="191" t="str">
        <f>_xll.ohRangeRetrieveError(F25)</f>
        <v/>
      </c>
      <c r="H25" s="33"/>
    </row>
    <row r="26" spans="1:8" x14ac:dyDescent="0.2">
      <c r="A26" s="118"/>
      <c r="B26" s="194" t="s">
        <v>66</v>
      </c>
      <c r="C26" s="75" t="str">
        <v>AM</v>
      </c>
      <c r="D26" s="75" t="str">
        <v>3L</v>
      </c>
      <c r="E26" s="73" t="str">
        <f t="shared" si="0"/>
        <v>GBPAM3L21Y_Quote</v>
      </c>
      <c r="F26" s="73" t="str">
        <f>_xll.qlSimpleQuote(Currency&amp;$C26&amp;$D26&amp;$B26&amp;QuoteSuffix,,RateTickValue,Permanent,Trigger,ObjectOverwrite)</f>
        <v>GBPAM3L21Y_Quote#0002</v>
      </c>
      <c r="G26" s="191" t="str">
        <f>_xll.ohRangeRetrieveError(F26)</f>
        <v/>
      </c>
      <c r="H26" s="33"/>
    </row>
    <row r="27" spans="1:8" x14ac:dyDescent="0.2">
      <c r="A27" s="118"/>
      <c r="B27" s="194" t="s">
        <v>65</v>
      </c>
      <c r="C27" s="75" t="str">
        <v>AM</v>
      </c>
      <c r="D27" s="75" t="str">
        <v>3L</v>
      </c>
      <c r="E27" s="73" t="str">
        <f t="shared" si="0"/>
        <v>GBPAM3L22Y_Quote</v>
      </c>
      <c r="F27" s="73" t="str">
        <f>_xll.qlSimpleQuote(Currency&amp;$C27&amp;$D27&amp;$B27&amp;QuoteSuffix,,RateTickValue,Permanent,Trigger,ObjectOverwrite)</f>
        <v>GBPAM3L22Y_Quote#0002</v>
      </c>
      <c r="G27" s="191" t="str">
        <f>_xll.ohRangeRetrieveError(F27)</f>
        <v/>
      </c>
      <c r="H27" s="33"/>
    </row>
    <row r="28" spans="1:8" x14ac:dyDescent="0.2">
      <c r="A28" s="118"/>
      <c r="B28" s="194" t="s">
        <v>64</v>
      </c>
      <c r="C28" s="75" t="str">
        <v>AM</v>
      </c>
      <c r="D28" s="75" t="str">
        <v>3L</v>
      </c>
      <c r="E28" s="73" t="str">
        <f t="shared" si="0"/>
        <v>GBPAM3L23Y_Quote</v>
      </c>
      <c r="F28" s="73" t="str">
        <f>_xll.qlSimpleQuote(Currency&amp;$C28&amp;$D28&amp;$B28&amp;QuoteSuffix,,RateTickValue,Permanent,Trigger,ObjectOverwrite)</f>
        <v>GBPAM3L23Y_Quote#0002</v>
      </c>
      <c r="G28" s="191" t="str">
        <f>_xll.ohRangeRetrieveError(F28)</f>
        <v/>
      </c>
      <c r="H28" s="33"/>
    </row>
    <row r="29" spans="1:8" x14ac:dyDescent="0.2">
      <c r="A29" s="118"/>
      <c r="B29" s="194" t="s">
        <v>63</v>
      </c>
      <c r="C29" s="75" t="str">
        <v>AM</v>
      </c>
      <c r="D29" s="75" t="str">
        <v>3L</v>
      </c>
      <c r="E29" s="73" t="str">
        <f t="shared" si="0"/>
        <v>GBPAM3L24Y_Quote</v>
      </c>
      <c r="F29" s="73" t="str">
        <f>_xll.qlSimpleQuote(Currency&amp;$C29&amp;$D29&amp;$B29&amp;QuoteSuffix,,RateTickValue,Permanent,Trigger,ObjectOverwrite)</f>
        <v>GBPAM3L24Y_Quote#0002</v>
      </c>
      <c r="G29" s="191" t="str">
        <f>_xll.ohRangeRetrieveError(F29)</f>
        <v/>
      </c>
      <c r="H29" s="33"/>
    </row>
    <row r="30" spans="1:8" x14ac:dyDescent="0.2">
      <c r="A30" s="118"/>
      <c r="B30" s="194" t="s">
        <v>62</v>
      </c>
      <c r="C30" s="75" t="str">
        <v>AM</v>
      </c>
      <c r="D30" s="75" t="str">
        <v>3L</v>
      </c>
      <c r="E30" s="73" t="str">
        <f t="shared" si="0"/>
        <v>GBPAM3L25Y_Quote</v>
      </c>
      <c r="F30" s="73" t="str">
        <f>_xll.qlSimpleQuote(Currency&amp;$C30&amp;$D30&amp;$B30&amp;QuoteSuffix,,RateTickValue,Permanent,Trigger,ObjectOverwrite)</f>
        <v>GBPAM3L25Y_Quote#0002</v>
      </c>
      <c r="G30" s="191" t="str">
        <f>_xll.ohRangeRetrieveError(F30)</f>
        <v/>
      </c>
      <c r="H30" s="33"/>
    </row>
    <row r="31" spans="1:8" x14ac:dyDescent="0.2">
      <c r="A31" s="118"/>
      <c r="B31" s="194" t="s">
        <v>61</v>
      </c>
      <c r="C31" s="75" t="str">
        <v>AM</v>
      </c>
      <c r="D31" s="75" t="str">
        <v>3L</v>
      </c>
      <c r="E31" s="73" t="str">
        <f t="shared" si="0"/>
        <v>GBPAM3L26Y_Quote</v>
      </c>
      <c r="F31" s="73" t="str">
        <f>_xll.qlSimpleQuote(Currency&amp;$C31&amp;$D31&amp;$B31&amp;QuoteSuffix,,RateTickValue,Permanent,Trigger,ObjectOverwrite)</f>
        <v>GBPAM3L26Y_Quote#0002</v>
      </c>
      <c r="G31" s="191" t="str">
        <f>_xll.ohRangeRetrieveError(F31)</f>
        <v/>
      </c>
      <c r="H31" s="33"/>
    </row>
    <row r="32" spans="1:8" x14ac:dyDescent="0.2">
      <c r="A32" s="118"/>
      <c r="B32" s="194" t="s">
        <v>60</v>
      </c>
      <c r="C32" s="75" t="str">
        <v>AM</v>
      </c>
      <c r="D32" s="75" t="str">
        <v>3L</v>
      </c>
      <c r="E32" s="73" t="str">
        <f t="shared" si="0"/>
        <v>GBPAM3L27Y_Quote</v>
      </c>
      <c r="F32" s="73" t="str">
        <f>_xll.qlSimpleQuote(Currency&amp;$C32&amp;$D32&amp;$B32&amp;QuoteSuffix,,RateTickValue,Permanent,Trigger,ObjectOverwrite)</f>
        <v>GBPAM3L27Y_Quote#0002</v>
      </c>
      <c r="G32" s="191" t="str">
        <f>_xll.ohRangeRetrieveError(F32)</f>
        <v/>
      </c>
      <c r="H32" s="33"/>
    </row>
    <row r="33" spans="1:8" x14ac:dyDescent="0.2">
      <c r="A33" s="118"/>
      <c r="B33" s="194" t="s">
        <v>59</v>
      </c>
      <c r="C33" s="75" t="str">
        <v>AM</v>
      </c>
      <c r="D33" s="75" t="str">
        <v>3L</v>
      </c>
      <c r="E33" s="73" t="str">
        <f t="shared" si="0"/>
        <v>GBPAM3L28Y_Quote</v>
      </c>
      <c r="F33" s="73" t="str">
        <f>_xll.qlSimpleQuote(Currency&amp;$C33&amp;$D33&amp;$B33&amp;QuoteSuffix,,RateTickValue,Permanent,Trigger,ObjectOverwrite)</f>
        <v>GBPAM3L28Y_Quote#0002</v>
      </c>
      <c r="G33" s="191" t="str">
        <f>_xll.ohRangeRetrieveError(F33)</f>
        <v/>
      </c>
      <c r="H33" s="33"/>
    </row>
    <row r="34" spans="1:8" x14ac:dyDescent="0.2">
      <c r="A34" s="118"/>
      <c r="B34" s="194" t="s">
        <v>58</v>
      </c>
      <c r="C34" s="75" t="str">
        <v>AM</v>
      </c>
      <c r="D34" s="75" t="str">
        <v>3L</v>
      </c>
      <c r="E34" s="73" t="str">
        <f t="shared" si="0"/>
        <v>GBPAM3L29Y_Quote</v>
      </c>
      <c r="F34" s="73" t="str">
        <f>_xll.qlSimpleQuote(Currency&amp;$C34&amp;$D34&amp;$B34&amp;QuoteSuffix,,RateTickValue,Permanent,Trigger,ObjectOverwrite)</f>
        <v>GBPAM3L29Y_Quote#0002</v>
      </c>
      <c r="G34" s="191" t="str">
        <f>_xll.ohRangeRetrieveError(F34)</f>
        <v/>
      </c>
      <c r="H34" s="33"/>
    </row>
    <row r="35" spans="1:8" x14ac:dyDescent="0.2">
      <c r="A35" s="118"/>
      <c r="B35" s="194" t="s">
        <v>57</v>
      </c>
      <c r="C35" s="75" t="str">
        <v>AM</v>
      </c>
      <c r="D35" s="75" t="str">
        <v>3L</v>
      </c>
      <c r="E35" s="73" t="str">
        <f t="shared" si="0"/>
        <v>GBPAM3L30Y_Quote</v>
      </c>
      <c r="F35" s="73" t="str">
        <f>_xll.qlSimpleQuote(Currency&amp;$C35&amp;$D35&amp;$B35&amp;QuoteSuffix,,RateTickValue,Permanent,Trigger,ObjectOverwrite)</f>
        <v>GBPAM3L30Y_Quote#0002</v>
      </c>
      <c r="G35" s="191" t="str">
        <f>_xll.ohRangeRetrieveError(F35)</f>
        <v/>
      </c>
      <c r="H35" s="33"/>
    </row>
    <row r="36" spans="1:8" x14ac:dyDescent="0.2">
      <c r="A36" s="118"/>
      <c r="B36" s="194" t="s">
        <v>52</v>
      </c>
      <c r="C36" s="75" t="str">
        <v>AM</v>
      </c>
      <c r="D36" s="75" t="str">
        <v>3L</v>
      </c>
      <c r="E36" s="73" t="str">
        <f t="shared" si="0"/>
        <v>GBPAM3L35Y_Quote</v>
      </c>
      <c r="F36" s="73" t="str">
        <f>_xll.qlSimpleQuote(Currency&amp;$C36&amp;$D36&amp;$B36&amp;QuoteSuffix,,RateTickValue,Permanent,Trigger,ObjectOverwrite)</f>
        <v>GBPAM3L35Y_Quote#0002</v>
      </c>
      <c r="G36" s="191" t="str">
        <f>_xll.ohRangeRetrieveError(F36)</f>
        <v/>
      </c>
      <c r="H36" s="33"/>
    </row>
    <row r="37" spans="1:8" x14ac:dyDescent="0.2">
      <c r="A37" s="118"/>
      <c r="B37" s="194" t="s">
        <v>47</v>
      </c>
      <c r="C37" s="75" t="str">
        <v>AM</v>
      </c>
      <c r="D37" s="75" t="str">
        <v>3L</v>
      </c>
      <c r="E37" s="73" t="str">
        <f t="shared" si="0"/>
        <v>GBPAM3L40Y_Quote</v>
      </c>
      <c r="F37" s="73" t="str">
        <f>_xll.qlSimpleQuote(Currency&amp;$C37&amp;$D37&amp;$B37&amp;QuoteSuffix,,RateTickValue,Permanent,Trigger,ObjectOverwrite)</f>
        <v>GBPAM3L40Y_Quote#0002</v>
      </c>
      <c r="G37" s="191" t="str">
        <f>_xll.ohRangeRetrieveError(F37)</f>
        <v/>
      </c>
      <c r="H37" s="33"/>
    </row>
    <row r="38" spans="1:8" x14ac:dyDescent="0.2">
      <c r="A38" s="118"/>
      <c r="B38" s="194" t="s">
        <v>37</v>
      </c>
      <c r="C38" s="75" t="str">
        <v>AM</v>
      </c>
      <c r="D38" s="75" t="str">
        <v>3L</v>
      </c>
      <c r="E38" s="73" t="str">
        <f t="shared" si="0"/>
        <v>GBPAM3L50Y_Quote</v>
      </c>
      <c r="F38" s="73" t="str">
        <f>_xll.qlSimpleQuote(Currency&amp;$C38&amp;$D38&amp;$B38&amp;QuoteSuffix,,RateTickValue,Permanent,Trigger,ObjectOverwrite)</f>
        <v>GBPAM3L50Y_Quote#0002</v>
      </c>
      <c r="G38" s="191" t="str">
        <f>_xll.ohRangeRetrieveError(F38)</f>
        <v/>
      </c>
      <c r="H38" s="33"/>
    </row>
    <row r="39" spans="1:8" x14ac:dyDescent="0.2">
      <c r="A39" s="118"/>
      <c r="B39" s="194" t="s">
        <v>27</v>
      </c>
      <c r="C39" s="75" t="str">
        <v>AM</v>
      </c>
      <c r="D39" s="75" t="str">
        <v>3L</v>
      </c>
      <c r="E39" s="73" t="str">
        <f t="shared" si="0"/>
        <v>GBPAM3L60Y_Quote</v>
      </c>
      <c r="F39" s="73" t="str">
        <f>_xll.qlSimpleQuote(Currency&amp;$C39&amp;$D39&amp;$B39&amp;QuoteSuffix,,RateTickValue,Permanent,Trigger,ObjectOverwrite)</f>
        <v>GBPAM3L60Y_Quote#0002</v>
      </c>
      <c r="G39" s="191" t="str">
        <f>_xll.ohRangeRetrieveError(F39)</f>
        <v/>
      </c>
      <c r="H39" s="33"/>
    </row>
    <row r="40" spans="1:8" ht="13.5" thickBot="1" x14ac:dyDescent="0.25">
      <c r="A40" s="32"/>
      <c r="B40" s="31"/>
      <c r="C40" s="31"/>
      <c r="D40" s="31"/>
      <c r="E40" s="31"/>
      <c r="F40" s="112"/>
      <c r="G40" s="112"/>
      <c r="H40" s="30"/>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L40"/>
  <sheetViews>
    <sheetView workbookViewId="0"/>
  </sheetViews>
  <sheetFormatPr defaultRowHeight="11.25" x14ac:dyDescent="0.2"/>
  <cols>
    <col min="1" max="1" width="3.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8" width="4.42578125" style="65" customWidth="1"/>
    <col min="9" max="9" width="2.42578125" style="65" customWidth="1"/>
    <col min="10" max="10" width="8.5703125" style="65" bestFit="1" customWidth="1"/>
    <col min="11" max="11" width="3.28515625" style="65" bestFit="1" customWidth="1"/>
    <col min="12" max="12" width="9.5703125" style="65" bestFit="1" customWidth="1"/>
    <col min="13" max="16384" width="9.140625" style="65"/>
  </cols>
  <sheetData>
    <row r="1" spans="1:12" ht="12" thickBot="1" x14ac:dyDescent="0.25">
      <c r="A1" s="596" t="s">
        <v>351</v>
      </c>
      <c r="B1" s="201"/>
      <c r="C1" s="201"/>
      <c r="D1" s="201"/>
      <c r="E1" s="151"/>
      <c r="F1" s="217"/>
      <c r="G1" s="151"/>
      <c r="H1" s="198"/>
    </row>
    <row r="2" spans="1:12" x14ac:dyDescent="0.2">
      <c r="A2" s="118"/>
      <c r="B2" s="90" t="s">
        <v>125</v>
      </c>
      <c r="C2" s="90"/>
      <c r="D2" s="90"/>
      <c r="E2" s="89" t="str">
        <f>Currency&amp;"_010_Sw"&amp;$C$3&amp;$D$3&amp;".xml"</f>
        <v>GBP_010_SwSB6L.xml</v>
      </c>
      <c r="F2" s="88">
        <f ca="1">IF(Serialize,_xll.ohObjectSave(F3:F39,SerializationPath&amp;E2,FileOverwrite,Serialize),"---")</f>
        <v>37</v>
      </c>
      <c r="G2" s="72" t="str">
        <f ca="1">_xll.ohRangeRetrieveError(F2)</f>
        <v/>
      </c>
      <c r="H2" s="33"/>
      <c r="J2" s="210" t="s">
        <v>216</v>
      </c>
      <c r="K2" s="209" t="s">
        <v>214</v>
      </c>
      <c r="L2" s="208" t="s">
        <v>213</v>
      </c>
    </row>
    <row r="3" spans="1:12" x14ac:dyDescent="0.2">
      <c r="A3" s="118"/>
      <c r="B3" s="213" t="s">
        <v>1</v>
      </c>
      <c r="C3" s="75" t="str">
        <f t="array" ref="C3:C39">VLOOKUP(Currency,SwapSecondarySetConventions,2)</f>
        <v>SB</v>
      </c>
      <c r="D3" s="75" t="str">
        <f t="array" ref="D3:D39">VLOOKUP(Currency,SwapSecondarySetConventions,3)</f>
        <v>6L</v>
      </c>
      <c r="E3" s="73" t="str">
        <f t="shared" ref="E3:E39" si="0">Currency&amp;$C3&amp;$D3&amp;$B3&amp;QuoteSuffix</f>
        <v>GBPSB6L1Y_Quote</v>
      </c>
      <c r="F3" s="73" t="str">
        <f>_xll.qlSimpleQuote(Currency&amp;$C3&amp;$D3&amp;$B3&amp;QuoteSuffix,,RateTickValue,Permanent,Trigger,ObjectOverwrite)</f>
        <v>GBPSB6L1Y_Quote#0002</v>
      </c>
      <c r="G3" s="72" t="str">
        <f>_xll.ohRangeRetrieveError(F3)</f>
        <v/>
      </c>
      <c r="H3" s="33"/>
      <c r="J3" s="207" t="s">
        <v>121</v>
      </c>
      <c r="K3" s="215" t="s">
        <v>212</v>
      </c>
      <c r="L3" s="214" t="s">
        <v>116</v>
      </c>
    </row>
    <row r="4" spans="1:12" x14ac:dyDescent="0.2">
      <c r="A4" s="118"/>
      <c r="B4" s="216" t="s">
        <v>124</v>
      </c>
      <c r="C4" s="75" t="str">
        <v>SB</v>
      </c>
      <c r="D4" s="75" t="str">
        <v>6L</v>
      </c>
      <c r="E4" s="73" t="str">
        <f t="shared" si="0"/>
        <v>GBPSB6L15M_Quote</v>
      </c>
      <c r="F4" s="73" t="str">
        <f>_xll.qlSimpleQuote(Currency&amp;$C4&amp;$D4&amp;$B4&amp;QuoteSuffix,,RateTickValue,Permanent,Trigger,ObjectOverwrite)</f>
        <v>GBPSB6L15M_Quote#0002</v>
      </c>
      <c r="G4" s="72" t="str">
        <f>_xll.ohRangeRetrieveError(F4)</f>
        <v/>
      </c>
      <c r="H4" s="33"/>
      <c r="J4" s="207" t="s">
        <v>120</v>
      </c>
      <c r="K4" s="82" t="s">
        <v>212</v>
      </c>
      <c r="L4" s="81" t="s">
        <v>118</v>
      </c>
    </row>
    <row r="5" spans="1:12" x14ac:dyDescent="0.2">
      <c r="A5" s="118"/>
      <c r="B5" s="216" t="s">
        <v>123</v>
      </c>
      <c r="C5" s="75" t="str">
        <v>SB</v>
      </c>
      <c r="D5" s="75" t="str">
        <v>6L</v>
      </c>
      <c r="E5" s="73" t="str">
        <f t="shared" si="0"/>
        <v>GBPSB6L18M_Quote</v>
      </c>
      <c r="F5" s="73" t="str">
        <f>_xll.qlSimpleQuote(Currency&amp;$C5&amp;$D5&amp;$B5&amp;QuoteSuffix,,RateTickValue,Permanent,Trigger,ObjectOverwrite)</f>
        <v>GBPSB6L18M_Quote#0002</v>
      </c>
      <c r="G5" s="72" t="str">
        <f>_xll.ohRangeRetrieveError(F5)</f>
        <v/>
      </c>
      <c r="H5" s="33"/>
      <c r="J5" s="207" t="s">
        <v>96</v>
      </c>
      <c r="K5" s="82" t="s">
        <v>211</v>
      </c>
      <c r="L5" s="81" t="s">
        <v>116</v>
      </c>
    </row>
    <row r="6" spans="1:12" x14ac:dyDescent="0.2">
      <c r="A6" s="118"/>
      <c r="B6" s="216" t="s">
        <v>122</v>
      </c>
      <c r="C6" s="75" t="str">
        <v>SB</v>
      </c>
      <c r="D6" s="75" t="str">
        <v>6L</v>
      </c>
      <c r="E6" s="73" t="str">
        <f t="shared" si="0"/>
        <v>GBPSB6L21M_Quote</v>
      </c>
      <c r="F6" s="73" t="str">
        <f>_xll.qlSimpleQuote(Currency&amp;$C6&amp;$D6&amp;$B6&amp;QuoteSuffix,,RateTickValue,Permanent,Trigger,ObjectOverwrite)</f>
        <v>GBPSB6L21M_Quote#0002</v>
      </c>
      <c r="G6" s="72" t="str">
        <f>_xll.ohRangeRetrieveError(F6)</f>
        <v/>
      </c>
      <c r="H6" s="33"/>
      <c r="J6" s="207" t="s">
        <v>117</v>
      </c>
      <c r="K6" s="215" t="s">
        <v>211</v>
      </c>
      <c r="L6" s="214" t="s">
        <v>116</v>
      </c>
    </row>
    <row r="7" spans="1:12" ht="12" thickBot="1" x14ac:dyDescent="0.25">
      <c r="A7" s="118"/>
      <c r="B7" s="213" t="s">
        <v>85</v>
      </c>
      <c r="C7" s="75" t="str">
        <v>SB</v>
      </c>
      <c r="D7" s="75" t="str">
        <v>6L</v>
      </c>
      <c r="E7" s="73" t="str">
        <f t="shared" si="0"/>
        <v>GBPSB6L2Y_Quote</v>
      </c>
      <c r="F7" s="73" t="str">
        <f>_xll.qlSimpleQuote(Currency&amp;$C7&amp;$D7&amp;$B7&amp;QuoteSuffix,,RateTickValue,Permanent,Trigger,ObjectOverwrite)</f>
        <v>GBPSB6L2Y_Quote#0002</v>
      </c>
      <c r="G7" s="72" t="str">
        <f>_xll.ohRangeRetrieveError(F7)</f>
        <v/>
      </c>
      <c r="H7" s="33"/>
      <c r="J7" s="206" t="s">
        <v>115</v>
      </c>
      <c r="K7" s="79" t="s">
        <v>210</v>
      </c>
      <c r="L7" s="78" t="s">
        <v>116</v>
      </c>
    </row>
    <row r="8" spans="1:12" x14ac:dyDescent="0.2">
      <c r="A8" s="118"/>
      <c r="B8" s="213" t="s">
        <v>84</v>
      </c>
      <c r="C8" s="75" t="str">
        <v>SB</v>
      </c>
      <c r="D8" s="75" t="str">
        <v>6L</v>
      </c>
      <c r="E8" s="73" t="str">
        <f t="shared" si="0"/>
        <v>GBPSB6L3Y_Quote</v>
      </c>
      <c r="F8" s="73" t="str">
        <f>_xll.qlSimpleQuote(Currency&amp;$C8&amp;$D8&amp;$B8&amp;QuoteSuffix,,RateTickValue,Permanent,Trigger,ObjectOverwrite)</f>
        <v>GBPSB6L3Y_Quote#0002</v>
      </c>
      <c r="G8" s="72" t="str">
        <f>_xll.ohRangeRetrieveError(F8)</f>
        <v/>
      </c>
      <c r="H8" s="33"/>
    </row>
    <row r="9" spans="1:12" x14ac:dyDescent="0.2">
      <c r="A9" s="118"/>
      <c r="B9" s="213" t="s">
        <v>83</v>
      </c>
      <c r="C9" s="75" t="str">
        <v>SB</v>
      </c>
      <c r="D9" s="75" t="str">
        <v>6L</v>
      </c>
      <c r="E9" s="73" t="str">
        <f t="shared" si="0"/>
        <v>GBPSB6L4Y_Quote</v>
      </c>
      <c r="F9" s="73" t="str">
        <f>_xll.qlSimpleQuote(Currency&amp;$C9&amp;$D9&amp;$B9&amp;QuoteSuffix,,RateTickValue,Permanent,Trigger,ObjectOverwrite)</f>
        <v>GBPSB6L4Y_Quote#0002</v>
      </c>
      <c r="G9" s="72" t="str">
        <f>_xll.ohRangeRetrieveError(F9)</f>
        <v/>
      </c>
      <c r="H9" s="33"/>
    </row>
    <row r="10" spans="1:12" x14ac:dyDescent="0.2">
      <c r="A10" s="118"/>
      <c r="B10" s="213" t="s">
        <v>82</v>
      </c>
      <c r="C10" s="75" t="str">
        <v>SB</v>
      </c>
      <c r="D10" s="75" t="str">
        <v>6L</v>
      </c>
      <c r="E10" s="73" t="str">
        <f t="shared" si="0"/>
        <v>GBPSB6L5Y_Quote</v>
      </c>
      <c r="F10" s="73" t="str">
        <f>_xll.qlSimpleQuote(Currency&amp;$C10&amp;$D10&amp;$B10&amp;QuoteSuffix,,RateTickValue,Permanent,Trigger,ObjectOverwrite)</f>
        <v>GBPSB6L5Y_Quote#0002</v>
      </c>
      <c r="G10" s="72" t="str">
        <f>_xll.ohRangeRetrieveError(F10)</f>
        <v/>
      </c>
      <c r="H10" s="33"/>
    </row>
    <row r="11" spans="1:12" x14ac:dyDescent="0.2">
      <c r="A11" s="118"/>
      <c r="B11" s="213" t="s">
        <v>81</v>
      </c>
      <c r="C11" s="75" t="str">
        <v>SB</v>
      </c>
      <c r="D11" s="75" t="str">
        <v>6L</v>
      </c>
      <c r="E11" s="73" t="str">
        <f t="shared" si="0"/>
        <v>GBPSB6L6Y_Quote</v>
      </c>
      <c r="F11" s="73" t="str">
        <f>_xll.qlSimpleQuote(Currency&amp;$C11&amp;$D11&amp;$B11&amp;QuoteSuffix,,RateTickValue,Permanent,Trigger,ObjectOverwrite)</f>
        <v>GBPSB6L6Y_Quote#0002</v>
      </c>
      <c r="G11" s="72" t="str">
        <f>_xll.ohRangeRetrieveError(F11)</f>
        <v/>
      </c>
      <c r="H11" s="33"/>
    </row>
    <row r="12" spans="1:12" x14ac:dyDescent="0.2">
      <c r="A12" s="118"/>
      <c r="B12" s="213" t="s">
        <v>80</v>
      </c>
      <c r="C12" s="75" t="str">
        <v>SB</v>
      </c>
      <c r="D12" s="75" t="str">
        <v>6L</v>
      </c>
      <c r="E12" s="73" t="str">
        <f t="shared" si="0"/>
        <v>GBPSB6L7Y_Quote</v>
      </c>
      <c r="F12" s="73" t="str">
        <f>_xll.qlSimpleQuote(Currency&amp;$C12&amp;$D12&amp;$B12&amp;QuoteSuffix,,RateTickValue,Permanent,Trigger,ObjectOverwrite)</f>
        <v>GBPSB6L7Y_Quote#0002</v>
      </c>
      <c r="G12" s="72" t="str">
        <f>_xll.ohRangeRetrieveError(F12)</f>
        <v/>
      </c>
      <c r="H12" s="33"/>
    </row>
    <row r="13" spans="1:12" x14ac:dyDescent="0.2">
      <c r="A13" s="118"/>
      <c r="B13" s="213" t="s">
        <v>79</v>
      </c>
      <c r="C13" s="75" t="str">
        <v>SB</v>
      </c>
      <c r="D13" s="75" t="str">
        <v>6L</v>
      </c>
      <c r="E13" s="73" t="str">
        <f t="shared" si="0"/>
        <v>GBPSB6L8Y_Quote</v>
      </c>
      <c r="F13" s="73" t="str">
        <f>_xll.qlSimpleQuote(Currency&amp;$C13&amp;$D13&amp;$B13&amp;QuoteSuffix,,RateTickValue,Permanent,Trigger,ObjectOverwrite)</f>
        <v>GBPSB6L8Y_Quote#0002</v>
      </c>
      <c r="G13" s="72" t="str">
        <f>_xll.ohRangeRetrieveError(F13)</f>
        <v/>
      </c>
      <c r="H13" s="33"/>
    </row>
    <row r="14" spans="1:12" x14ac:dyDescent="0.2">
      <c r="A14" s="118"/>
      <c r="B14" s="213" t="s">
        <v>78</v>
      </c>
      <c r="C14" s="75" t="str">
        <v>SB</v>
      </c>
      <c r="D14" s="75" t="str">
        <v>6L</v>
      </c>
      <c r="E14" s="73" t="str">
        <f t="shared" si="0"/>
        <v>GBPSB6L9Y_Quote</v>
      </c>
      <c r="F14" s="73" t="str">
        <f>_xll.qlSimpleQuote(Currency&amp;$C14&amp;$D14&amp;$B14&amp;QuoteSuffix,,RateTickValue,Permanent,Trigger,ObjectOverwrite)</f>
        <v>GBPSB6L9Y_Quote#0002</v>
      </c>
      <c r="G14" s="72" t="str">
        <f>_xll.ohRangeRetrieveError(F14)</f>
        <v/>
      </c>
      <c r="H14" s="33"/>
    </row>
    <row r="15" spans="1:12" x14ac:dyDescent="0.2">
      <c r="A15" s="118"/>
      <c r="B15" s="213" t="s">
        <v>77</v>
      </c>
      <c r="C15" s="75" t="str">
        <v>SB</v>
      </c>
      <c r="D15" s="75" t="str">
        <v>6L</v>
      </c>
      <c r="E15" s="73" t="str">
        <f t="shared" si="0"/>
        <v>GBPSB6L10Y_Quote</v>
      </c>
      <c r="F15" s="73" t="str">
        <f>_xll.qlSimpleQuote(Currency&amp;$C15&amp;$D15&amp;$B15&amp;QuoteSuffix,,RateTickValue,Permanent,Trigger,ObjectOverwrite)</f>
        <v>GBPSB6L10Y_Quote#0002</v>
      </c>
      <c r="G15" s="72" t="str">
        <f>_xll.ohRangeRetrieveError(F15)</f>
        <v/>
      </c>
      <c r="H15" s="33"/>
    </row>
    <row r="16" spans="1:12" x14ac:dyDescent="0.2">
      <c r="A16" s="118"/>
      <c r="B16" s="213" t="s">
        <v>76</v>
      </c>
      <c r="C16" s="75" t="str">
        <v>SB</v>
      </c>
      <c r="D16" s="75" t="str">
        <v>6L</v>
      </c>
      <c r="E16" s="73" t="str">
        <f t="shared" si="0"/>
        <v>GBPSB6L11Y_Quote</v>
      </c>
      <c r="F16" s="73" t="str">
        <f>_xll.qlSimpleQuote(Currency&amp;$C16&amp;$D16&amp;$B16&amp;QuoteSuffix,,RateTickValue,Permanent,Trigger,ObjectOverwrite)</f>
        <v>GBPSB6L11Y_Quote#0002</v>
      </c>
      <c r="G16" s="72" t="str">
        <f>_xll.ohRangeRetrieveError(F16)</f>
        <v/>
      </c>
      <c r="H16" s="33"/>
    </row>
    <row r="17" spans="1:8" x14ac:dyDescent="0.2">
      <c r="A17" s="118"/>
      <c r="B17" s="213" t="s">
        <v>75</v>
      </c>
      <c r="C17" s="75" t="str">
        <v>SB</v>
      </c>
      <c r="D17" s="75" t="str">
        <v>6L</v>
      </c>
      <c r="E17" s="73" t="str">
        <f t="shared" si="0"/>
        <v>GBPSB6L12Y_Quote</v>
      </c>
      <c r="F17" s="73" t="str">
        <f>_xll.qlSimpleQuote(Currency&amp;$C17&amp;$D17&amp;$B17&amp;QuoteSuffix,,RateTickValue,Permanent,Trigger,ObjectOverwrite)</f>
        <v>GBPSB6L12Y_Quote#0002</v>
      </c>
      <c r="G17" s="72" t="str">
        <f>_xll.ohRangeRetrieveError(F17)</f>
        <v/>
      </c>
      <c r="H17" s="33"/>
    </row>
    <row r="18" spans="1:8" x14ac:dyDescent="0.2">
      <c r="A18" s="118"/>
      <c r="B18" s="213" t="s">
        <v>74</v>
      </c>
      <c r="C18" s="75" t="str">
        <v>SB</v>
      </c>
      <c r="D18" s="75" t="str">
        <v>6L</v>
      </c>
      <c r="E18" s="73" t="str">
        <f t="shared" si="0"/>
        <v>GBPSB6L13Y_Quote</v>
      </c>
      <c r="F18" s="73" t="str">
        <f>_xll.qlSimpleQuote(Currency&amp;$C18&amp;$D18&amp;$B18&amp;QuoteSuffix,,RateTickValue,Permanent,Trigger,ObjectOverwrite)</f>
        <v>GBPSB6L13Y_Quote#0002</v>
      </c>
      <c r="G18" s="72" t="str">
        <f>_xll.ohRangeRetrieveError(F18)</f>
        <v/>
      </c>
      <c r="H18" s="33"/>
    </row>
    <row r="19" spans="1:8" x14ac:dyDescent="0.2">
      <c r="A19" s="118"/>
      <c r="B19" s="213" t="s">
        <v>73</v>
      </c>
      <c r="C19" s="75" t="str">
        <v>SB</v>
      </c>
      <c r="D19" s="75" t="str">
        <v>6L</v>
      </c>
      <c r="E19" s="73" t="str">
        <f t="shared" si="0"/>
        <v>GBPSB6L14Y_Quote</v>
      </c>
      <c r="F19" s="73" t="str">
        <f>_xll.qlSimpleQuote(Currency&amp;$C19&amp;$D19&amp;$B19&amp;QuoteSuffix,,RateTickValue,Permanent,Trigger,ObjectOverwrite)</f>
        <v>GBPSB6L14Y_Quote#0002</v>
      </c>
      <c r="G19" s="72" t="str">
        <f>_xll.ohRangeRetrieveError(F19)</f>
        <v/>
      </c>
      <c r="H19" s="33"/>
    </row>
    <row r="20" spans="1:8" x14ac:dyDescent="0.2">
      <c r="A20" s="118"/>
      <c r="B20" s="213" t="s">
        <v>72</v>
      </c>
      <c r="C20" s="75" t="str">
        <v>SB</v>
      </c>
      <c r="D20" s="75" t="str">
        <v>6L</v>
      </c>
      <c r="E20" s="73" t="str">
        <f t="shared" si="0"/>
        <v>GBPSB6L15Y_Quote</v>
      </c>
      <c r="F20" s="73" t="str">
        <f>_xll.qlSimpleQuote(Currency&amp;$C20&amp;$D20&amp;$B20&amp;QuoteSuffix,,RateTickValue,Permanent,Trigger,ObjectOverwrite)</f>
        <v>GBPSB6L15Y_Quote#0002</v>
      </c>
      <c r="G20" s="72" t="str">
        <f>_xll.ohRangeRetrieveError(F20)</f>
        <v/>
      </c>
      <c r="H20" s="33"/>
    </row>
    <row r="21" spans="1:8" x14ac:dyDescent="0.2">
      <c r="A21" s="118"/>
      <c r="B21" s="213" t="s">
        <v>71</v>
      </c>
      <c r="C21" s="75" t="str">
        <v>SB</v>
      </c>
      <c r="D21" s="75" t="str">
        <v>6L</v>
      </c>
      <c r="E21" s="73" t="str">
        <f t="shared" si="0"/>
        <v>GBPSB6L16Y_Quote</v>
      </c>
      <c r="F21" s="73" t="str">
        <f>_xll.qlSimpleQuote(Currency&amp;$C21&amp;$D21&amp;$B21&amp;QuoteSuffix,,RateTickValue,Permanent,Trigger,ObjectOverwrite)</f>
        <v>GBPSB6L16Y_Quote#0002</v>
      </c>
      <c r="G21" s="72" t="str">
        <f>_xll.ohRangeRetrieveError(F21)</f>
        <v/>
      </c>
      <c r="H21" s="33"/>
    </row>
    <row r="22" spans="1:8" x14ac:dyDescent="0.2">
      <c r="A22" s="118"/>
      <c r="B22" s="213" t="s">
        <v>70</v>
      </c>
      <c r="C22" s="75" t="str">
        <v>SB</v>
      </c>
      <c r="D22" s="75" t="str">
        <v>6L</v>
      </c>
      <c r="E22" s="73" t="str">
        <f t="shared" si="0"/>
        <v>GBPSB6L17Y_Quote</v>
      </c>
      <c r="F22" s="73" t="str">
        <f>_xll.qlSimpleQuote(Currency&amp;$C22&amp;$D22&amp;$B22&amp;QuoteSuffix,,RateTickValue,Permanent,Trigger,ObjectOverwrite)</f>
        <v>GBPSB6L17Y_Quote#0002</v>
      </c>
      <c r="G22" s="72" t="str">
        <f>_xll.ohRangeRetrieveError(F22)</f>
        <v/>
      </c>
      <c r="H22" s="33"/>
    </row>
    <row r="23" spans="1:8" x14ac:dyDescent="0.2">
      <c r="A23" s="118"/>
      <c r="B23" s="213" t="s">
        <v>69</v>
      </c>
      <c r="C23" s="75" t="str">
        <v>SB</v>
      </c>
      <c r="D23" s="75" t="str">
        <v>6L</v>
      </c>
      <c r="E23" s="73" t="str">
        <f t="shared" si="0"/>
        <v>GBPSB6L18Y_Quote</v>
      </c>
      <c r="F23" s="73" t="str">
        <f>_xll.qlSimpleQuote(Currency&amp;$C23&amp;$D23&amp;$B23&amp;QuoteSuffix,,RateTickValue,Permanent,Trigger,ObjectOverwrite)</f>
        <v>GBPSB6L18Y_Quote#0002</v>
      </c>
      <c r="G23" s="72" t="str">
        <f>_xll.ohRangeRetrieveError(F23)</f>
        <v/>
      </c>
      <c r="H23" s="33"/>
    </row>
    <row r="24" spans="1:8" x14ac:dyDescent="0.2">
      <c r="A24" s="118"/>
      <c r="B24" s="213" t="s">
        <v>68</v>
      </c>
      <c r="C24" s="75" t="str">
        <v>SB</v>
      </c>
      <c r="D24" s="75" t="str">
        <v>6L</v>
      </c>
      <c r="E24" s="73" t="str">
        <f t="shared" si="0"/>
        <v>GBPSB6L19Y_Quote</v>
      </c>
      <c r="F24" s="73" t="str">
        <f>_xll.qlSimpleQuote(Currency&amp;$C24&amp;$D24&amp;$B24&amp;QuoteSuffix,,RateTickValue,Permanent,Trigger,ObjectOverwrite)</f>
        <v>GBPSB6L19Y_Quote#0002</v>
      </c>
      <c r="G24" s="72" t="str">
        <f>_xll.ohRangeRetrieveError(F24)</f>
        <v/>
      </c>
      <c r="H24" s="33"/>
    </row>
    <row r="25" spans="1:8" x14ac:dyDescent="0.2">
      <c r="A25" s="118"/>
      <c r="B25" s="213" t="s">
        <v>67</v>
      </c>
      <c r="C25" s="75" t="str">
        <v>SB</v>
      </c>
      <c r="D25" s="75" t="str">
        <v>6L</v>
      </c>
      <c r="E25" s="73" t="str">
        <f t="shared" si="0"/>
        <v>GBPSB6L20Y_Quote</v>
      </c>
      <c r="F25" s="73" t="str">
        <f>_xll.qlSimpleQuote(Currency&amp;$C25&amp;$D25&amp;$B25&amp;QuoteSuffix,,RateTickValue,Permanent,Trigger,ObjectOverwrite)</f>
        <v>GBPSB6L20Y_Quote#0002</v>
      </c>
      <c r="G25" s="72" t="str">
        <f>_xll.ohRangeRetrieveError(F25)</f>
        <v/>
      </c>
      <c r="H25" s="33"/>
    </row>
    <row r="26" spans="1:8" x14ac:dyDescent="0.2">
      <c r="A26" s="118"/>
      <c r="B26" s="213" t="s">
        <v>66</v>
      </c>
      <c r="C26" s="75" t="str">
        <v>SB</v>
      </c>
      <c r="D26" s="75" t="str">
        <v>6L</v>
      </c>
      <c r="E26" s="73" t="str">
        <f t="shared" si="0"/>
        <v>GBPSB6L21Y_Quote</v>
      </c>
      <c r="F26" s="73" t="str">
        <f>_xll.qlSimpleQuote(Currency&amp;$C26&amp;$D26&amp;$B26&amp;QuoteSuffix,,RateTickValue,Permanent,Trigger,ObjectOverwrite)</f>
        <v>GBPSB6L21Y_Quote#0002</v>
      </c>
      <c r="G26" s="72" t="str">
        <f>_xll.ohRangeRetrieveError(F26)</f>
        <v/>
      </c>
      <c r="H26" s="33"/>
    </row>
    <row r="27" spans="1:8" x14ac:dyDescent="0.2">
      <c r="A27" s="118"/>
      <c r="B27" s="213" t="s">
        <v>65</v>
      </c>
      <c r="C27" s="75" t="str">
        <v>SB</v>
      </c>
      <c r="D27" s="75" t="str">
        <v>6L</v>
      </c>
      <c r="E27" s="73" t="str">
        <f t="shared" si="0"/>
        <v>GBPSB6L22Y_Quote</v>
      </c>
      <c r="F27" s="73" t="str">
        <f>_xll.qlSimpleQuote(Currency&amp;$C27&amp;$D27&amp;$B27&amp;QuoteSuffix,,RateTickValue,Permanent,Trigger,ObjectOverwrite)</f>
        <v>GBPSB6L22Y_Quote#0002</v>
      </c>
      <c r="G27" s="72" t="str">
        <f>_xll.ohRangeRetrieveError(F27)</f>
        <v/>
      </c>
      <c r="H27" s="33"/>
    </row>
    <row r="28" spans="1:8" x14ac:dyDescent="0.2">
      <c r="A28" s="118"/>
      <c r="B28" s="213" t="s">
        <v>64</v>
      </c>
      <c r="C28" s="75" t="str">
        <v>SB</v>
      </c>
      <c r="D28" s="75" t="str">
        <v>6L</v>
      </c>
      <c r="E28" s="73" t="str">
        <f t="shared" si="0"/>
        <v>GBPSB6L23Y_Quote</v>
      </c>
      <c r="F28" s="73" t="str">
        <f>_xll.qlSimpleQuote(Currency&amp;$C28&amp;$D28&amp;$B28&amp;QuoteSuffix,,RateTickValue,Permanent,Trigger,ObjectOverwrite)</f>
        <v>GBPSB6L23Y_Quote#0002</v>
      </c>
      <c r="G28" s="72" t="str">
        <f>_xll.ohRangeRetrieveError(F28)</f>
        <v/>
      </c>
      <c r="H28" s="33"/>
    </row>
    <row r="29" spans="1:8" x14ac:dyDescent="0.2">
      <c r="A29" s="118"/>
      <c r="B29" s="213" t="s">
        <v>63</v>
      </c>
      <c r="C29" s="75" t="str">
        <v>SB</v>
      </c>
      <c r="D29" s="75" t="str">
        <v>6L</v>
      </c>
      <c r="E29" s="73" t="str">
        <f t="shared" si="0"/>
        <v>GBPSB6L24Y_Quote</v>
      </c>
      <c r="F29" s="73" t="str">
        <f>_xll.qlSimpleQuote(Currency&amp;$C29&amp;$D29&amp;$B29&amp;QuoteSuffix,,RateTickValue,Permanent,Trigger,ObjectOverwrite)</f>
        <v>GBPSB6L24Y_Quote#0002</v>
      </c>
      <c r="G29" s="72" t="str">
        <f>_xll.ohRangeRetrieveError(F29)</f>
        <v/>
      </c>
      <c r="H29" s="33"/>
    </row>
    <row r="30" spans="1:8" x14ac:dyDescent="0.2">
      <c r="A30" s="118"/>
      <c r="B30" s="213" t="s">
        <v>62</v>
      </c>
      <c r="C30" s="75" t="str">
        <v>SB</v>
      </c>
      <c r="D30" s="75" t="str">
        <v>6L</v>
      </c>
      <c r="E30" s="73" t="str">
        <f t="shared" si="0"/>
        <v>GBPSB6L25Y_Quote</v>
      </c>
      <c r="F30" s="73" t="str">
        <f>_xll.qlSimpleQuote(Currency&amp;$C30&amp;$D30&amp;$B30&amp;QuoteSuffix,,RateTickValue,Permanent,Trigger,ObjectOverwrite)</f>
        <v>GBPSB6L25Y_Quote#0002</v>
      </c>
      <c r="G30" s="72" t="str">
        <f>_xll.ohRangeRetrieveError(F30)</f>
        <v/>
      </c>
      <c r="H30" s="33"/>
    </row>
    <row r="31" spans="1:8" x14ac:dyDescent="0.2">
      <c r="A31" s="118"/>
      <c r="B31" s="213" t="s">
        <v>61</v>
      </c>
      <c r="C31" s="75" t="str">
        <v>SB</v>
      </c>
      <c r="D31" s="75" t="str">
        <v>6L</v>
      </c>
      <c r="E31" s="73" t="str">
        <f t="shared" si="0"/>
        <v>GBPSB6L26Y_Quote</v>
      </c>
      <c r="F31" s="73" t="str">
        <f>_xll.qlSimpleQuote(Currency&amp;$C31&amp;$D31&amp;$B31&amp;QuoteSuffix,,RateTickValue,Permanent,Trigger,ObjectOverwrite)</f>
        <v>GBPSB6L26Y_Quote#0002</v>
      </c>
      <c r="G31" s="72" t="str">
        <f>_xll.ohRangeRetrieveError(F31)</f>
        <v/>
      </c>
      <c r="H31" s="33"/>
    </row>
    <row r="32" spans="1:8" x14ac:dyDescent="0.2">
      <c r="A32" s="118"/>
      <c r="B32" s="213" t="s">
        <v>60</v>
      </c>
      <c r="C32" s="75" t="str">
        <v>SB</v>
      </c>
      <c r="D32" s="75" t="str">
        <v>6L</v>
      </c>
      <c r="E32" s="73" t="str">
        <f t="shared" si="0"/>
        <v>GBPSB6L27Y_Quote</v>
      </c>
      <c r="F32" s="73" t="str">
        <f>_xll.qlSimpleQuote(Currency&amp;$C32&amp;$D32&amp;$B32&amp;QuoteSuffix,,RateTickValue,Permanent,Trigger,ObjectOverwrite)</f>
        <v>GBPSB6L27Y_Quote#0002</v>
      </c>
      <c r="G32" s="72" t="str">
        <f>_xll.ohRangeRetrieveError(F32)</f>
        <v/>
      </c>
      <c r="H32" s="33"/>
    </row>
    <row r="33" spans="1:8" x14ac:dyDescent="0.2">
      <c r="A33" s="118"/>
      <c r="B33" s="213" t="s">
        <v>59</v>
      </c>
      <c r="C33" s="75" t="str">
        <v>SB</v>
      </c>
      <c r="D33" s="75" t="str">
        <v>6L</v>
      </c>
      <c r="E33" s="73" t="str">
        <f t="shared" si="0"/>
        <v>GBPSB6L28Y_Quote</v>
      </c>
      <c r="F33" s="73" t="str">
        <f>_xll.qlSimpleQuote(Currency&amp;$C33&amp;$D33&amp;$B33&amp;QuoteSuffix,,RateTickValue,Permanent,Trigger,ObjectOverwrite)</f>
        <v>GBPSB6L28Y_Quote#0002</v>
      </c>
      <c r="G33" s="72" t="str">
        <f>_xll.ohRangeRetrieveError(F33)</f>
        <v/>
      </c>
      <c r="H33" s="33"/>
    </row>
    <row r="34" spans="1:8" x14ac:dyDescent="0.2">
      <c r="A34" s="118"/>
      <c r="B34" s="213" t="s">
        <v>58</v>
      </c>
      <c r="C34" s="75" t="str">
        <v>SB</v>
      </c>
      <c r="D34" s="75" t="str">
        <v>6L</v>
      </c>
      <c r="E34" s="73" t="str">
        <f t="shared" si="0"/>
        <v>GBPSB6L29Y_Quote</v>
      </c>
      <c r="F34" s="73" t="str">
        <f>_xll.qlSimpleQuote(Currency&amp;$C34&amp;$D34&amp;$B34&amp;QuoteSuffix,,RateTickValue,Permanent,Trigger,ObjectOverwrite)</f>
        <v>GBPSB6L29Y_Quote#0002</v>
      </c>
      <c r="G34" s="72" t="str">
        <f>_xll.ohRangeRetrieveError(F34)</f>
        <v/>
      </c>
      <c r="H34" s="33"/>
    </row>
    <row r="35" spans="1:8" x14ac:dyDescent="0.2">
      <c r="A35" s="118"/>
      <c r="B35" s="213" t="s">
        <v>57</v>
      </c>
      <c r="C35" s="75" t="str">
        <v>SB</v>
      </c>
      <c r="D35" s="75" t="str">
        <v>6L</v>
      </c>
      <c r="E35" s="73" t="str">
        <f t="shared" si="0"/>
        <v>GBPSB6L30Y_Quote</v>
      </c>
      <c r="F35" s="73" t="str">
        <f>_xll.qlSimpleQuote(Currency&amp;$C35&amp;$D35&amp;$B35&amp;QuoteSuffix,,RateTickValue,Permanent,Trigger,ObjectOverwrite)</f>
        <v>GBPSB6L30Y_Quote#0002</v>
      </c>
      <c r="G35" s="72" t="str">
        <f>_xll.ohRangeRetrieveError(F35)</f>
        <v/>
      </c>
      <c r="H35" s="33"/>
    </row>
    <row r="36" spans="1:8" x14ac:dyDescent="0.2">
      <c r="A36" s="118"/>
      <c r="B36" s="213" t="s">
        <v>52</v>
      </c>
      <c r="C36" s="75" t="str">
        <v>SB</v>
      </c>
      <c r="D36" s="75" t="str">
        <v>6L</v>
      </c>
      <c r="E36" s="73" t="str">
        <f t="shared" si="0"/>
        <v>GBPSB6L35Y_Quote</v>
      </c>
      <c r="F36" s="73" t="str">
        <f>_xll.qlSimpleQuote(Currency&amp;$C36&amp;$D36&amp;$B36&amp;QuoteSuffix,,RateTickValue,Permanent,Trigger,ObjectOverwrite)</f>
        <v>GBPSB6L35Y_Quote#0002</v>
      </c>
      <c r="G36" s="72" t="str">
        <f>_xll.ohRangeRetrieveError(F36)</f>
        <v/>
      </c>
      <c r="H36" s="33"/>
    </row>
    <row r="37" spans="1:8" x14ac:dyDescent="0.2">
      <c r="A37" s="118"/>
      <c r="B37" s="213" t="s">
        <v>47</v>
      </c>
      <c r="C37" s="75" t="str">
        <v>SB</v>
      </c>
      <c r="D37" s="75" t="str">
        <v>6L</v>
      </c>
      <c r="E37" s="73" t="str">
        <f t="shared" si="0"/>
        <v>GBPSB6L40Y_Quote</v>
      </c>
      <c r="F37" s="73" t="str">
        <f>_xll.qlSimpleQuote(Currency&amp;$C37&amp;$D37&amp;$B37&amp;QuoteSuffix,,RateTickValue,Permanent,Trigger,ObjectOverwrite)</f>
        <v>GBPSB6L40Y_Quote#0002</v>
      </c>
      <c r="G37" s="72" t="str">
        <f>_xll.ohRangeRetrieveError(F37)</f>
        <v/>
      </c>
      <c r="H37" s="33"/>
    </row>
    <row r="38" spans="1:8" x14ac:dyDescent="0.2">
      <c r="A38" s="118"/>
      <c r="B38" s="213" t="s">
        <v>37</v>
      </c>
      <c r="C38" s="75" t="str">
        <v>SB</v>
      </c>
      <c r="D38" s="75" t="str">
        <v>6L</v>
      </c>
      <c r="E38" s="73" t="str">
        <f t="shared" si="0"/>
        <v>GBPSB6L50Y_Quote</v>
      </c>
      <c r="F38" s="73" t="str">
        <f>_xll.qlSimpleQuote(Currency&amp;$C38&amp;$D38&amp;$B38&amp;QuoteSuffix,,RateTickValue,Permanent,Trigger,ObjectOverwrite)</f>
        <v>GBPSB6L50Y_Quote#0002</v>
      </c>
      <c r="G38" s="72" t="str">
        <f>_xll.ohRangeRetrieveError(F38)</f>
        <v/>
      </c>
      <c r="H38" s="33"/>
    </row>
    <row r="39" spans="1:8" x14ac:dyDescent="0.2">
      <c r="A39" s="118"/>
      <c r="B39" s="213" t="s">
        <v>27</v>
      </c>
      <c r="C39" s="75" t="str">
        <v>SB</v>
      </c>
      <c r="D39" s="75" t="str">
        <v>6L</v>
      </c>
      <c r="E39" s="73" t="str">
        <f t="shared" si="0"/>
        <v>GBPSB6L60Y_Quote</v>
      </c>
      <c r="F39" s="73" t="str">
        <f>_xll.qlSimpleQuote(Currency&amp;$C39&amp;$D39&amp;$B39&amp;QuoteSuffix,,RateTickValue,Permanent,Trigger,ObjectOverwrite)</f>
        <v>GBPSB6L60Y_Quote#0002</v>
      </c>
      <c r="G39" s="72" t="str">
        <f>_xll.ohRangeRetrieveError(F39)</f>
        <v/>
      </c>
      <c r="H39" s="33"/>
    </row>
    <row r="40" spans="1:8" ht="12" thickBot="1" x14ac:dyDescent="0.25">
      <c r="A40" s="212"/>
      <c r="B40" s="211"/>
      <c r="C40" s="211"/>
      <c r="D40" s="211"/>
      <c r="E40" s="211"/>
      <c r="F40" s="211"/>
      <c r="G40" s="211"/>
      <c r="H40" s="3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2"/>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7" t="s">
        <v>352</v>
      </c>
      <c r="B1" s="229">
        <v>1</v>
      </c>
      <c r="C1" s="230" t="str">
        <f>_xll.qlPeriodEquivalent(Months&amp;"M")</f>
        <v>1M</v>
      </c>
      <c r="D1" s="229"/>
      <c r="E1" s="229"/>
      <c r="F1" s="228"/>
    </row>
    <row r="2" spans="1:6" x14ac:dyDescent="0.2">
      <c r="A2" s="118"/>
      <c r="B2" s="227"/>
      <c r="C2" s="226" t="str">
        <f>Currency&amp;"_015_SyntheticQuotes"&amp;Tenor&amp;".xml"</f>
        <v>GBP_015_SyntheticQuotes1M.xml</v>
      </c>
      <c r="D2" s="16">
        <f ca="1">IF(Serialize,_xll.ohObjectSave(D3:D11,SerializationPath&amp;C2,FileOverwrite,Serialize),"---")</f>
        <v>9</v>
      </c>
      <c r="E2" s="7" t="str">
        <f ca="1">_xll.ohRangeRetrieveError(D2)</f>
        <v/>
      </c>
      <c r="F2" s="218"/>
    </row>
    <row r="3" spans="1:6" x14ac:dyDescent="0.2">
      <c r="A3" s="118"/>
      <c r="B3" s="225" t="s">
        <v>151</v>
      </c>
      <c r="C3" s="125" t="str">
        <f t="shared" ref="C3:C11" si="0">Currency&amp;$B3&amp;"_SYNTH"&amp;Tenor&amp;QuoteSuffix</f>
        <v>GBPOND_SYNTH1M_Quote</v>
      </c>
      <c r="D3" s="127" t="str">
        <f>_xll.qlSimpleQuote(C3,,RateTickValue,Permanent,Trigger,ObjectOverwrite)</f>
        <v>GBPOND_SYNTH1M_Quote#0002</v>
      </c>
      <c r="E3" s="223" t="str">
        <f>_xll.ohRangeRetrieveError(D3)</f>
        <v/>
      </c>
      <c r="F3" s="218"/>
    </row>
    <row r="4" spans="1:6" x14ac:dyDescent="0.2">
      <c r="A4" s="118"/>
      <c r="B4" s="225" t="s">
        <v>150</v>
      </c>
      <c r="C4" s="125" t="str">
        <f t="shared" si="0"/>
        <v>GBPTND_SYNTH1M_Quote</v>
      </c>
      <c r="D4" s="127" t="str">
        <f>_xll.qlSimpleQuote(C4,,RateTickValue,Permanent,Trigger,ObjectOverwrite)</f>
        <v>GBPTND_SYNTH1M_Quote#0002</v>
      </c>
      <c r="E4" s="223" t="str">
        <f>_xll.ohRangeRetrieveError(D4)</f>
        <v/>
      </c>
      <c r="F4" s="218"/>
    </row>
    <row r="5" spans="1:6" x14ac:dyDescent="0.2">
      <c r="A5" s="118"/>
      <c r="B5" s="225" t="s">
        <v>149</v>
      </c>
      <c r="C5" s="125" t="str">
        <f t="shared" si="0"/>
        <v>GBPSND_SYNTH1M_Quote</v>
      </c>
      <c r="D5" s="127" t="str">
        <f>_xll.qlSimpleQuote(C5,,RateTickValue,Permanent,Trigger,ObjectOverwrite)</f>
        <v>GBPSND_SYNTH1M_Quote#0002</v>
      </c>
      <c r="E5" s="223" t="str">
        <f>_xll.ohRangeRetrieveError(D5)</f>
        <v/>
      </c>
      <c r="F5" s="218"/>
    </row>
    <row r="6" spans="1:6" x14ac:dyDescent="0.2">
      <c r="A6" s="118"/>
      <c r="B6" s="225" t="s">
        <v>148</v>
      </c>
      <c r="C6" s="125" t="str">
        <f t="shared" si="0"/>
        <v>GBPSWD_SYNTH1M_Quote</v>
      </c>
      <c r="D6" s="127" t="str">
        <f>_xll.qlSimpleQuote(C6,,RateTickValue,Permanent,Trigger,ObjectOverwrite)</f>
        <v>GBPSWD_SYNTH1M_Quote#0002</v>
      </c>
      <c r="E6" s="223" t="str">
        <f>_xll.ohRangeRetrieveError(D6)</f>
        <v/>
      </c>
      <c r="F6" s="218"/>
    </row>
    <row r="7" spans="1:6" x14ac:dyDescent="0.2">
      <c r="A7" s="118"/>
      <c r="B7" s="225" t="s">
        <v>147</v>
      </c>
      <c r="C7" s="125" t="str">
        <f t="shared" si="0"/>
        <v>GBP2WD_SYNTH1M_Quote</v>
      </c>
      <c r="D7" s="127" t="str">
        <f>_xll.qlSimpleQuote(C7,,RateTickValue,Permanent,Trigger,ObjectOverwrite)</f>
        <v>GBP2WD_SYNTH1M_Quote#0002</v>
      </c>
      <c r="E7" s="223" t="str">
        <f>_xll.ohRangeRetrieveError(D7)</f>
        <v/>
      </c>
      <c r="F7" s="218"/>
    </row>
    <row r="8" spans="1:6" x14ac:dyDescent="0.2">
      <c r="A8" s="118"/>
      <c r="B8" s="225" t="s">
        <v>146</v>
      </c>
      <c r="C8" s="125" t="str">
        <f t="shared" si="0"/>
        <v>GBP3WD_SYNTH1M_Quote</v>
      </c>
      <c r="D8" s="127" t="str">
        <f>_xll.qlSimpleQuote(C8,,RateTickValue,Permanent,Trigger,ObjectOverwrite)</f>
        <v>GBP3WD_SYNTH1M_Quote#0002</v>
      </c>
      <c r="E8" s="223" t="str">
        <f>_xll.ohRangeRetrieveError(D8)</f>
        <v/>
      </c>
      <c r="F8" s="218"/>
    </row>
    <row r="9" spans="1:6" x14ac:dyDescent="0.2">
      <c r="A9" s="118"/>
      <c r="B9" s="224" t="s">
        <v>145</v>
      </c>
      <c r="C9" s="125" t="str">
        <f t="shared" si="0"/>
        <v>GBP1MD_SYNTH1M_Quote</v>
      </c>
      <c r="D9" s="125" t="str">
        <f>_xll.qlSimpleQuote(C9,,RateTickValue,Permanent,Trigger,ObjectOverwrite)</f>
        <v>GBP1MD_SYNTH1M_Quote#0002</v>
      </c>
      <c r="E9" s="223" t="str">
        <f>_xll.ohRangeRetrieveError(D9)</f>
        <v/>
      </c>
      <c r="F9" s="218"/>
    </row>
    <row r="10" spans="1:6" x14ac:dyDescent="0.2">
      <c r="A10" s="118"/>
      <c r="B10" s="222" t="s">
        <v>218</v>
      </c>
      <c r="C10" s="121" t="str">
        <f t="shared" si="0"/>
        <v>GBPTOY_SYNTH1M_Quote</v>
      </c>
      <c r="D10" s="123" t="str">
        <f>_xll.qlSimpleQuote(C10,1,RateTickValue,Permanent,Trigger,ObjectOverwrite)</f>
        <v>GBPTOY_SYNTH1M_Quote#0002</v>
      </c>
      <c r="E10" s="221" t="str">
        <f>_xll.ohRangeRetrieveError(D10)</f>
        <v/>
      </c>
      <c r="F10" s="218"/>
    </row>
    <row r="11" spans="1:6" x14ac:dyDescent="0.2">
      <c r="A11" s="118"/>
      <c r="B11" s="220" t="s">
        <v>217</v>
      </c>
      <c r="C11" s="114" t="str">
        <f t="shared" si="0"/>
        <v>GBPTOY2_SYNTH1M_Quote</v>
      </c>
      <c r="D11" s="119" t="str">
        <f>_xll.qlSimpleQuote(C11,1,RateTickValue,Permanent,Trigger,ObjectOverwrite)</f>
        <v>GBPTOY2_SYNTH1M_Quote#0002</v>
      </c>
      <c r="E11" s="219" t="str">
        <f>_xll.ohRangeRetrieveError(D11)</f>
        <v/>
      </c>
      <c r="F11" s="218"/>
    </row>
    <row r="12" spans="1:6" ht="12" thickBot="1" x14ac:dyDescent="0.25">
      <c r="A12" s="32"/>
      <c r="B12" s="31"/>
      <c r="C12" s="31"/>
      <c r="D12" s="31"/>
      <c r="E12" s="31"/>
      <c r="F12"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7" t="s">
        <v>352</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GBPOND_SYNTH3M_Quote#0002</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GBPTND_SYNTH3M_Quote#0002</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GBPSND_SYNTH3M_Quote#0002</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GBPSWD_SYNTH3M_Quote#0002</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GBP2WD_SYNTH3M_Quote#0002</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GBP3WD_SYNTH3M_Quote#0002</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GBP1MD_SYNTH3M_Quote#0002</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GBP2MD_SYNTH3M_Quote#0002</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GBP3MD_SYNTH3M_Quote#0002</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GBPTOY_SYNTH3M_Quote#0002</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GBPTOY2_SYNTH3M_Quote#0002</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7" t="s">
        <v>352</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GBPOND_SYNTH6M_Quote#0002</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GBPTND_SYNTH6M_Quote#0002</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GBPSND_SYNTH6M_Quote#0002</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GBPSWD_SYNTH6M_Quote#0002</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GBP2WD_SYNTH6M_Quote#0002</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GBP3WD_SYNTH6M_Quote#0002</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GBP1MD_SYNTH6M_Quote#0002</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GBP2MD_SYNTH6M_Quote#0002</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GBP3MD_SYNTH6M_Quote#0002</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GBP4MD_SYNTH6M_Quote#0002</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GBP5MD_SYNTH6M_Quote#0002</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GBP6MD_SYNTH6M_Quote#0002</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GBP2x8F_SYNTH6M_Quote#0002</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GBP4x10F_SYNTH6M_Quote#0002</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GBP5x11F_SYNTH6M_Quote#0002</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GBP7x13F_SYNTH6M_Quote#0002</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GBP8x14F_SYNTH6M_Quote#0002</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GBP9x15F_SYNTH6M_Quote#0002</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GBP10x16F_SYNTH6M_Quote#0002</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GBP11x17F_SYNTH6M_Quote#0002</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GBP13x19F_SYNTH6M_Quote#0002</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GBP14x20F_SYNTH6M_Quote#0002</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GBP15x21F_SYNTH6M_Quote#0002</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GBP16x22F_SYNTH6M_Quote#0002</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GBP17x23F_SYNTH6M_Quote#0002</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GBPTOY_SYNTH6M_Quote#0002</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GBPTOY2_SYNTH6M_Quote#0002</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7" t="s">
        <v>352</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GBPOND_SYNTH1Y_Quote#0002</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GBPTND_SYNTH1Y_Quote#0002</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GBPSND_SYNTH1Y_Quote#0002</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GBPSWD_SYNTH1Y_Quote#0002</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GBP2WD_SYNTH1Y_Quote#0002</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GBP3WD_SYNTH1Y_Quote#0002</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GBP1MD_SYNTH1Y_Quote#0002</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GBP2MD_SYNTH1Y_Quote#0002</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GBP3MD_SYNTH1Y_Quote#0002</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GBP4MD_SYNTH1Y_Quote#0002</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GBP5MD_SYNTH1Y_Quote#0002</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GBP6MD_SYNTH1Y_Quote#0002</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GBP7MD_SYNTH1Y_Quote#0002</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GBP8MD_SYNTH1Y_Quote#0002</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GBP9MD_SYNTH1Y_Quote#0002</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GBP10MD_SYNTH1Y_Quote#0002</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GBP11MD_SYNTH1Y_Quote#0002</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GBP1YD_SYNTH1Y_Quote#0002</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GBP1x13F_SYNTH1Y_Quote#0002</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GBP2x14F_SYNTH1Y_Quote#0002</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GBP3x15F_SYNTH1Y_Quote#0002</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GBP4x16F_SYNTH1Y_Quote#0002</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GBP5x17F_SYNTH1Y_Quote#0002</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GBP6x18F_SYNTH1Y_Quote#0002</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GBP7x19F_SYNTH1Y_Quote#0002</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GBP8x20F_SYNTH1Y_Quote#0002</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GBP9x21F_SYNTH1Y_Quote#0002</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GBP10x22F_SYNTH1Y_Quote#0002</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GBP11x23F_SYNTH1Y_Quote#0002</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GBP13x25F_SYNTH1Y_Quote#0002</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GBP14x26F_SYNTH1Y_Quote#0002</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GBP15x27F_SYNTH1Y_Quote#0002</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GBP16x28F_SYNTH1Y_Quote#0002</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GBP17x29F_SYNTH1Y_Quote#0002</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GBP18x30F_SYNTH1Y_Quote#0002</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GBP19x31F_SYNTH1Y_Quote#0002</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GBP20x32F_SYNTH1Y_Quote#0002</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GBP21x33F_SYNTH1Y_Quote#0002</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GBP22x34F_SYNTH1Y_Quote#0002</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GBP23x35F_SYNTH1Y_Quote#0002</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GBP25x37F_SYNTH1Y_Quote#0002</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GBP26x38F_SYNTH1Y_Quote#0002</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GBP27x39F_SYNTH1Y_Quote#0002</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GBP28x40F_SYNTH1Y_Quote#0002</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GBP29x41F_SYNTH1Y_Quote#0002</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GBP30x42F_SYNTH1Y_Quote#0002</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GBP31x43F_SYNTH1Y_Quote#0002</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GBP32x44F_SYNTH1Y_Quote#0002</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GBP33x45F_SYNTH1Y_Quote#0002</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GBP34x46F_SYNTH1Y_Quote#0002</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GBP35x47F_SYNTH1Y_Quote#0002</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GBP37x49F_SYNTH1Y_Quote#0002</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GBP38x50F_SYNTH1Y_Quote#0002</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GBP39x51F_SYNTH1Y_Quote#0002</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GBP40x52F_SYNTH1Y_Quote#0002</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GBP41x53F_SYNTH1Y_Quote#0002</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GBP42x54F_SYNTH1Y_Quote#0002</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GBP43x55F_SYNTH1Y_Quote#0002</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GBP44x56F_SYNTH1Y_Quote#0002</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GBP45x57F_SYNTH1Y_Quote#0002</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GBP46x58F_SYNTH1Y_Quote#0002</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GBP47x59F_SYNTH1Y_Quote#0002</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94" t="s">
        <v>348</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f ca="1">IF(Serialize,_xll.ohObjectSave(K3:K36,SerializationPath&amp;J2,FileOverwrite,Serialize),"---")</f>
        <v>33</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str">
        <f>_xll.qlForwardSwapQuote(J4,I4,H4,E4,Permanent,Trigger,ObjectOverwrite)</f>
        <v>GBPSB6L2Y_Fwd1w_Quote#0001</v>
      </c>
      <c r="L4" s="241" t="str">
        <f>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str">
        <f>_xll.qlForwardSwapQuote(J5,I5,H5,E5,Permanent,Trigger,ObjectOverwrite)</f>
        <v>GBPSB6L3Y_Fwd1w_Quote#0001</v>
      </c>
      <c r="L5" s="241" t="str">
        <f>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str">
        <f>_xll.qlForwardSwapQuote(J6,I6,H6,E6,Permanent,Trigger,ObjectOverwrite)</f>
        <v>GBPSB6L4Y_Fwd1w_Quote#0001</v>
      </c>
      <c r="L6" s="241" t="str">
        <f>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str">
        <f>_xll.qlForwardSwapQuote(J7,I7,H7,E7,Permanent,Trigger,ObjectOverwrite)</f>
        <v>GBPSB6L5Y_Fwd1w_Quote#0001</v>
      </c>
      <c r="L7" s="241" t="str">
        <f>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str">
        <f>_xll.qlForwardSwapQuote(J8,I8,H8,E8,Permanent,Trigger,ObjectOverwrite)</f>
        <v>GBPSB6L6Y_Fwd1w_Quote#0001</v>
      </c>
      <c r="L8" s="241" t="str">
        <f>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str">
        <f>_xll.qlForwardSwapQuote(J9,I9,H9,E9,Permanent,Trigger,ObjectOverwrite)</f>
        <v>GBPSB6L7Y_Fwd1w_Quote#0001</v>
      </c>
      <c r="L9" s="241" t="str">
        <f>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str">
        <f>_xll.qlForwardSwapQuote(J10,I10,H10,E10,Permanent,Trigger,ObjectOverwrite)</f>
        <v>GBPSB6L8Y_Fwd1w_Quote#0001</v>
      </c>
      <c r="L10" s="241" t="str">
        <f>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str">
        <f>_xll.qlForwardSwapQuote(J11,I11,H11,E11,Permanent,Trigger,ObjectOverwrite)</f>
        <v>GBPSB6L9Y_Fwd1w_Quote#0001</v>
      </c>
      <c r="L11" s="241" t="str">
        <f>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str">
        <f>_xll.qlForwardSwapQuote(J12,I12,H12,E12,Permanent,Trigger,ObjectOverwrite)</f>
        <v>GBPSB6L10Y_Fwd1w_Quote#0001</v>
      </c>
      <c r="L12" s="241" t="str">
        <f>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str">
        <f>_xll.qlForwardSwapQuote(J13,I13,H13,E13,Permanent,Trigger,ObjectOverwrite)</f>
        <v>GBPSB6L11Y_Fwd1w_Quote#0001</v>
      </c>
      <c r="L13" s="241" t="str">
        <f>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str">
        <f>_xll.qlForwardSwapQuote(J14,I14,H14,E14,Permanent,Trigger,ObjectOverwrite)</f>
        <v>GBPSB6L12Y_Fwd1w_Quote#0001</v>
      </c>
      <c r="L14" s="241" t="str">
        <f>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str">
        <f>_xll.qlForwardSwapQuote(J15,I15,H15,E15,Permanent,Trigger,ObjectOverwrite)</f>
        <v>GBPSB6L13Y_Fwd1w_Quote#0001</v>
      </c>
      <c r="L15" s="241" t="str">
        <f>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str">
        <f>_xll.qlForwardSwapQuote(J16,I16,H16,E16,Permanent,Trigger,ObjectOverwrite)</f>
        <v>GBPSB6L14Y_Fwd1w_Quote#0001</v>
      </c>
      <c r="L16" s="241" t="str">
        <f>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str">
        <f>_xll.qlForwardSwapQuote(J17,I17,H17,E17,Permanent,Trigger,ObjectOverwrite)</f>
        <v>GBPSB6L15Y_Fwd1w_Quote#0001</v>
      </c>
      <c r="L17" s="241" t="str">
        <f>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str">
        <f>_xll.qlForwardSwapQuote(J18,I18,H18,E18,Permanent,Trigger,ObjectOverwrite)</f>
        <v>GBPSB6L16Y_Fwd1w_Quote#0001</v>
      </c>
      <c r="L18" s="241" t="str">
        <f>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str">
        <f>_xll.qlForwardSwapQuote(J19,I19,H19,E19,Permanent,Trigger,ObjectOverwrite)</f>
        <v>GBPSB6L17Y_Fwd1w_Quote#0001</v>
      </c>
      <c r="L19" s="241" t="str">
        <f>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str">
        <f>_xll.qlForwardSwapQuote(J20,I20,H20,E20,Permanent,Trigger,ObjectOverwrite)</f>
        <v>GBPSB6L18Y_Fwd1w_Quote#0001</v>
      </c>
      <c r="L20" s="241" t="str">
        <f>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str">
        <f>_xll.qlForwardSwapQuote(J21,I21,H21,E21,Permanent,Trigger,ObjectOverwrite)</f>
        <v>GBPSB6L19Y_Fwd1w_Quote#0001</v>
      </c>
      <c r="L21" s="241" t="str">
        <f>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str">
        <f>_xll.qlForwardSwapQuote(J22,I22,H22,E22,Permanent,Trigger,ObjectOverwrite)</f>
        <v>GBPSB6L20Y_Fwd1w_Quote#0001</v>
      </c>
      <c r="L22" s="241" t="str">
        <f>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str">
        <f>_xll.qlForwardSwapQuote(J23,I23,H23,E23,Permanent,Trigger,ObjectOverwrite)</f>
        <v>GBPSB6L21Y_Fwd1w_Quote#0001</v>
      </c>
      <c r="L23" s="241" t="str">
        <f>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str">
        <f>_xll.qlForwardSwapQuote(J24,I24,H24,E24,Permanent,Trigger,ObjectOverwrite)</f>
        <v>GBPSB6L22Y_Fwd1w_Quote#0001</v>
      </c>
      <c r="L24" s="241" t="str">
        <f>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str">
        <f>_xll.qlForwardSwapQuote(J25,I25,H25,E25,Permanent,Trigger,ObjectOverwrite)</f>
        <v>GBPSB6L23Y_Fwd1w_Quote#0001</v>
      </c>
      <c r="L25" s="241" t="str">
        <f>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str">
        <f>_xll.qlForwardSwapQuote(J26,I26,H26,E26,Permanent,Trigger,ObjectOverwrite)</f>
        <v>GBPSB6L24Y_Fwd1w_Quote#0001</v>
      </c>
      <c r="L26" s="241" t="str">
        <f>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str">
        <f>_xll.qlForwardSwapQuote(J27,I27,H27,E27,Permanent,Trigger,ObjectOverwrite)</f>
        <v>GBPSB6L25Y_Fwd1w_Quote#0001</v>
      </c>
      <c r="L27" s="241" t="str">
        <f>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str">
        <f>_xll.qlForwardSwapQuote(J28,I28,H28,E28,Permanent,Trigger,ObjectOverwrite)</f>
        <v>GBPSB6L26Y_Fwd1w_Quote#0001</v>
      </c>
      <c r="L28" s="241" t="str">
        <f>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str">
        <f>_xll.qlForwardSwapQuote(J29,I29,H29,E29,Permanent,Trigger,ObjectOverwrite)</f>
        <v>GBPSB6L27Y_Fwd1w_Quote#0001</v>
      </c>
      <c r="L29" s="241" t="str">
        <f>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str">
        <f>_xll.qlForwardSwapQuote(J30,I30,H30,E30,Permanent,Trigger,ObjectOverwrite)</f>
        <v>GBPSB6L28Y_Fwd1w_Quote#0001</v>
      </c>
      <c r="L30" s="241" t="str">
        <f>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str">
        <f>_xll.qlForwardSwapQuote(J31,I31,H31,E31,Permanent,Trigger,ObjectOverwrite)</f>
        <v>GBPSB6L29Y_Fwd1w_Quote#0001</v>
      </c>
      <c r="L31" s="241" t="str">
        <f>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str">
        <f>_xll.qlForwardSwapQuote(J32,I32,H32,E32,Permanent,Trigger,ObjectOverwrite)</f>
        <v>GBPSB6L30Y_Fwd1w_Quote#0001</v>
      </c>
      <c r="L32" s="241" t="str">
        <f>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str">
        <f>_xll.qlForwardSwapQuote(J33,I33,H33,E33,Permanent,Trigger,ObjectOverwrite)</f>
        <v>GBPSB6L35Y_Fwd1w_Quote#0001</v>
      </c>
      <c r="L33" s="241" t="str">
        <f>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str">
        <f>_xll.qlForwardSwapQuote(J34,I34,H34,E34,Permanent,Trigger,ObjectOverwrite)</f>
        <v>GBPSB6L40Y_Fwd1w_Quote#0001</v>
      </c>
      <c r="L34" s="241" t="str">
        <f>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str">
        <f>_xll.qlForwardSwapQuote(J35,I35,H35,E35,Permanent,Trigger,ObjectOverwrite)</f>
        <v>GBPSB6L50Y_Fwd1w_Quote#0001</v>
      </c>
      <c r="L35" s="241" t="str">
        <f>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str">
        <f>_xll.qlForwardSwapQuote(J36,I36,H36,E36,Permanent,Trigger,ObjectOverwrite)</f>
        <v>GBPSB6L60Y_Fwd1w_Quote#0001</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94" t="s">
        <v>348</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94" t="s">
        <v>348</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94" t="s">
        <v>348</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str">
        <f>_xll.qlForwardSwapQuote(J4,I4,H4,E4,Permanent,Trigger,ObjectOverwrite)</f>
        <v>GBPSB6L2Y_S6L12L_Quote#0001</v>
      </c>
      <c r="L4" s="247" t="str">
        <f>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str">
        <f>_xll.qlForwardSwapQuote(J5,I5,H5,E5,Permanent,Trigger,ObjectOverwrite)</f>
        <v>GBPSB6L3Y_S6L12L_Quote#0001</v>
      </c>
      <c r="L5" s="247" t="str">
        <f>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str">
        <f>_xll.qlForwardSwapQuote(J6,I6,H6,E6,Permanent,Trigger,ObjectOverwrite)</f>
        <v>GBPSB6L4Y_S6L12L_Quote#0001</v>
      </c>
      <c r="L6" s="247" t="str">
        <f>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str">
        <f>_xll.qlForwardSwapQuote(J7,I7,H7,E7,Permanent,Trigger,ObjectOverwrite)</f>
        <v>GBPSB6L5Y_S6L12L_Quote#0001</v>
      </c>
      <c r="L7" s="247" t="str">
        <f>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str">
        <f>_xll.qlForwardSwapQuote(J8,I8,H8,E8,Permanent,Trigger,ObjectOverwrite)</f>
        <v>GBPSB6L6Y_S6L12L_Quote#0001</v>
      </c>
      <c r="L8" s="247" t="str">
        <f>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str">
        <f>_xll.qlForwardSwapQuote(J9,I9,H9,E9,Permanent,Trigger,ObjectOverwrite)</f>
        <v>GBPSB6L7Y_S6L12L_Quote#0001</v>
      </c>
      <c r="L9" s="247" t="str">
        <f>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str">
        <f>_xll.qlForwardSwapQuote(J10,I10,H10,E10,Permanent,Trigger,ObjectOverwrite)</f>
        <v>GBPSB6L8Y_S6L12L_Quote#0001</v>
      </c>
      <c r="L10" s="247" t="str">
        <f>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str">
        <f>_xll.qlForwardSwapQuote(J11,I11,H11,E11,Permanent,Trigger,ObjectOverwrite)</f>
        <v>GBPSB6L9Y_S6L12L_Quote#0001</v>
      </c>
      <c r="L11" s="247" t="str">
        <f>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str">
        <f>_xll.qlForwardSwapQuote(J12,I12,H12,E12,Permanent,Trigger,ObjectOverwrite)</f>
        <v>GBPSB6L10Y_S6L12L_Quote#0001</v>
      </c>
      <c r="L12" s="247" t="str">
        <f>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str">
        <f>_xll.qlForwardSwapQuote(J13,I13,H13,E13,Permanent,Trigger,ObjectOverwrite)</f>
        <v>GBPSB6L11Y_S6L12L_Quote#0001</v>
      </c>
      <c r="L13" s="247" t="str">
        <f>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str">
        <f>_xll.qlForwardSwapQuote(J14,I14,H14,E14,Permanent,Trigger,ObjectOverwrite)</f>
        <v>GBPSB6L12Y_S6L12L_Quote#0001</v>
      </c>
      <c r="L14" s="247" t="str">
        <f>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str">
        <f>_xll.qlForwardSwapQuote(J15,I15,H15,E15,Permanent,Trigger,ObjectOverwrite)</f>
        <v>GBPSB6L13Y_S6L12L_Quote#0001</v>
      </c>
      <c r="L15" s="247" t="str">
        <f>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str">
        <f>_xll.qlForwardSwapQuote(J16,I16,H16,E16,Permanent,Trigger,ObjectOverwrite)</f>
        <v>GBPSB6L14Y_S6L12L_Quote#0001</v>
      </c>
      <c r="L16" s="247" t="str">
        <f>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str">
        <f>_xll.qlForwardSwapQuote(J17,I17,H17,E17,Permanent,Trigger,ObjectOverwrite)</f>
        <v>GBPSB6L15Y_S6L12L_Quote#0001</v>
      </c>
      <c r="L17" s="247" t="str">
        <f>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str">
        <f>_xll.qlForwardSwapQuote(J18,I18,H18,E18,Permanent,Trigger,ObjectOverwrite)</f>
        <v>GBPSB6L16Y_S6L12L_Quote#0001</v>
      </c>
      <c r="L18" s="247" t="str">
        <f>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str">
        <f>_xll.qlForwardSwapQuote(J19,I19,H19,E19,Permanent,Trigger,ObjectOverwrite)</f>
        <v>GBPSB6L17Y_S6L12L_Quote#0001</v>
      </c>
      <c r="L19" s="247" t="str">
        <f>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str">
        <f>_xll.qlForwardSwapQuote(J20,I20,H20,E20,Permanent,Trigger,ObjectOverwrite)</f>
        <v>GBPSB6L18Y_S6L12L_Quote#0001</v>
      </c>
      <c r="L20" s="247" t="str">
        <f>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str">
        <f>_xll.qlForwardSwapQuote(J21,I21,H21,E21,Permanent,Trigger,ObjectOverwrite)</f>
        <v>GBPSB6L19Y_S6L12L_Quote#0001</v>
      </c>
      <c r="L21" s="247" t="str">
        <f>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str">
        <f>_xll.qlForwardSwapQuote(J22,I22,H22,E22,Permanent,Trigger,ObjectOverwrite)</f>
        <v>GBPSB6L20Y_S6L12L_Quote#0001</v>
      </c>
      <c r="L22" s="247" t="str">
        <f>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str">
        <f>_xll.qlForwardSwapQuote(J23,I23,H23,E23,Permanent,Trigger,ObjectOverwrite)</f>
        <v>GBPSB6L21Y_S6L12L_Quote#0001</v>
      </c>
      <c r="L23" s="247" t="str">
        <f>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str">
        <f>_xll.qlForwardSwapQuote(J24,I24,H24,E24,Permanent,Trigger,ObjectOverwrite)</f>
        <v>GBPSB6L22Y_S6L12L_Quote#0001</v>
      </c>
      <c r="L24" s="247" t="str">
        <f>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str">
        <f>_xll.qlForwardSwapQuote(J25,I25,H25,E25,Permanent,Trigger,ObjectOverwrite)</f>
        <v>GBPSB6L23Y_S6L12L_Quote#0001</v>
      </c>
      <c r="L25" s="247" t="str">
        <f>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str">
        <f>_xll.qlForwardSwapQuote(J26,I26,H26,E26,Permanent,Trigger,ObjectOverwrite)</f>
        <v>GBPSB6L24Y_S6L12L_Quote#0001</v>
      </c>
      <c r="L26" s="247" t="str">
        <f>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str">
        <f>_xll.qlForwardSwapQuote(J27,I27,H27,E27,Permanent,Trigger,ObjectOverwrite)</f>
        <v>GBPSB6L25Y_S6L12L_Quote#0001</v>
      </c>
      <c r="L27" s="247" t="str">
        <f>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str">
        <f>_xll.qlForwardSwapQuote(J28,I28,H28,E28,Permanent,Trigger,ObjectOverwrite)</f>
        <v>GBPSB6L26Y_S6L12L_Quote#0001</v>
      </c>
      <c r="L28" s="247" t="str">
        <f>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str">
        <f>_xll.qlForwardSwapQuote(J29,I29,H29,E29,Permanent,Trigger,ObjectOverwrite)</f>
        <v>GBPSB6L27Y_S6L12L_Quote#0001</v>
      </c>
      <c r="L29" s="247" t="str">
        <f>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str">
        <f>_xll.qlForwardSwapQuote(J30,I30,H30,E30,Permanent,Trigger,ObjectOverwrite)</f>
        <v>GBPSB6L28Y_S6L12L_Quote#0001</v>
      </c>
      <c r="L30" s="247" t="str">
        <f>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str">
        <f>_xll.qlForwardSwapQuote(J31,I31,H31,E31,Permanent,Trigger,ObjectOverwrite)</f>
        <v>GBPSB6L29Y_S6L12L_Quote#0001</v>
      </c>
      <c r="L31" s="247" t="str">
        <f>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str">
        <f>_xll.qlForwardSwapQuote(J32,I32,H32,E32,Permanent,Trigger,ObjectOverwrite)</f>
        <v>GBPSB6L30Y_S6L12L_Quote#0001</v>
      </c>
      <c r="L32" s="247" t="str">
        <f>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str">
        <f>_xll.qlForwardSwapQuote(J33,I33,H33,E33,Permanent,Trigger,ObjectOverwrite)</f>
        <v>GBPSB6L35Y_S6L12L_Quote#0001</v>
      </c>
      <c r="L33" s="247" t="str">
        <f>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str">
        <f>_xll.qlForwardSwapQuote(J34,I34,H34,E34,Permanent,Trigger,ObjectOverwrite)</f>
        <v>GBPSB6L40Y_S6L12L_Quote#0001</v>
      </c>
      <c r="L34" s="247" t="str">
        <f>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str">
        <f>_xll.qlForwardSwapQuote(J35,I35,H35,E35,Permanent,Trigger,ObjectOverwrite)</f>
        <v>GBPSB6L50Y_S6L12L_Quote#0001</v>
      </c>
      <c r="L35" s="247" t="str">
        <f>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str">
        <f>_xll.qlForwardSwapQuote(J36,I36,H36,E36,Permanent,Trigger,ObjectOverwrite)</f>
        <v>GBPSB6L60Y_S6L12L_Quote#0001</v>
      </c>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353</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GBPFUT1MZ3_Quote</v>
      </c>
      <c r="F7" s="251" t="str">
        <f t="shared" ref="F7:F38" si="1">Currency&amp;"FUT"&amp;$G$4&amp;$D7&amp;"ConvAdj"&amp;QuoteSuffix</f>
        <v>GBPFUT1MZ3ConvAdj_Quote</v>
      </c>
      <c r="G7" s="250" t="str">
        <f>_xll.qlFuturesConvAdjustmentQuote($F7,IborIndex,$D7,$E7,Volatility,MeanReversion,Permanent,Trigger,ObjectOverwrite)</f>
        <v>GBPFUT1MZ3ConvAdj_Quote#0001</v>
      </c>
      <c r="H7" s="72" t="str">
        <f>_xll.ohRangeRetrieveError(G7)</f>
        <v/>
      </c>
    </row>
    <row r="8" spans="1:8" x14ac:dyDescent="0.2">
      <c r="A8" s="143"/>
      <c r="B8" s="142">
        <v>2</v>
      </c>
      <c r="C8" s="140" t="b">
        <v>0</v>
      </c>
      <c r="D8" s="140" t="str">
        <v>F4</v>
      </c>
      <c r="E8" s="250" t="str">
        <f t="shared" si="0"/>
        <v>GBPFUT1MF4_Quote</v>
      </c>
      <c r="F8" s="251" t="str">
        <f t="shared" si="1"/>
        <v>GBPFUT1MF4ConvAdj_Quote</v>
      </c>
      <c r="G8" s="250" t="str">
        <f>_xll.qlFuturesConvAdjustmentQuote($F8,IborIndex,$D8,$E8,Volatility,MeanReversion,Permanent,Trigger,ObjectOverwrite)</f>
        <v>GBPFUT1MF4ConvAdj_Quote#0001</v>
      </c>
      <c r="H8" s="72" t="str">
        <f>_xll.ohRangeRetrieveError(G8)</f>
        <v/>
      </c>
    </row>
    <row r="9" spans="1:8" x14ac:dyDescent="0.2">
      <c r="A9" s="143"/>
      <c r="B9" s="142">
        <v>3</v>
      </c>
      <c r="C9" s="140" t="b">
        <v>0</v>
      </c>
      <c r="D9" s="140" t="str">
        <v>G4</v>
      </c>
      <c r="E9" s="250" t="str">
        <f t="shared" si="0"/>
        <v>GBPFUT1MG4_Quote</v>
      </c>
      <c r="F9" s="251" t="str">
        <f t="shared" si="1"/>
        <v>GBPFUT1MG4ConvAdj_Quote</v>
      </c>
      <c r="G9" s="250" t="str">
        <f>_xll.qlFuturesConvAdjustmentQuote($F9,IborIndex,$D9,$E9,Volatility,MeanReversion,Permanent,Trigger,ObjectOverwrite)</f>
        <v>GBPFUT1MG4ConvAdj_Quote#0001</v>
      </c>
      <c r="H9" s="72" t="str">
        <f>_xll.ohRangeRetrieveError(G9)</f>
        <v/>
      </c>
    </row>
    <row r="10" spans="1:8" x14ac:dyDescent="0.2">
      <c r="A10" s="143"/>
      <c r="B10" s="142">
        <v>4</v>
      </c>
      <c r="C10" s="140" t="b">
        <v>0</v>
      </c>
      <c r="D10" s="140" t="str">
        <v>H4</v>
      </c>
      <c r="E10" s="250" t="str">
        <f t="shared" si="0"/>
        <v>GBPFUT1MH4_Quote</v>
      </c>
      <c r="F10" s="251" t="str">
        <f t="shared" si="1"/>
        <v>GBPFUT1MH4ConvAdj_Quote</v>
      </c>
      <c r="G10" s="250" t="str">
        <f>_xll.qlFuturesConvAdjustmentQuote($F10,IborIndex,$D10,$E10,Volatility,MeanReversion,Permanent,Trigger,ObjectOverwrite)</f>
        <v>GBPFUT1MH4ConvAdj_Quote#0001</v>
      </c>
      <c r="H10" s="72" t="str">
        <f>_xll.ohRangeRetrieveError(G10)</f>
        <v/>
      </c>
    </row>
    <row r="11" spans="1:8" x14ac:dyDescent="0.2">
      <c r="A11" s="143"/>
      <c r="B11" s="142">
        <v>5</v>
      </c>
      <c r="C11" s="140" t="b">
        <v>0</v>
      </c>
      <c r="D11" s="140" t="str">
        <v>J4</v>
      </c>
      <c r="E11" s="250" t="str">
        <f t="shared" si="0"/>
        <v>GBPFUT1MJ4_Quote</v>
      </c>
      <c r="F11" s="251" t="str">
        <f t="shared" si="1"/>
        <v>GBPFUT1MJ4ConvAdj_Quote</v>
      </c>
      <c r="G11" s="250" t="str">
        <f>_xll.qlFuturesConvAdjustmentQuote($F11,IborIndex,$D11,$E11,Volatility,MeanReversion,Permanent,Trigger,ObjectOverwrite)</f>
        <v>GBPFUT1MJ4ConvAdj_Quote#0001</v>
      </c>
      <c r="H11" s="72" t="str">
        <f>_xll.ohRangeRetrieveError(G11)</f>
        <v/>
      </c>
    </row>
    <row r="12" spans="1:8" x14ac:dyDescent="0.2">
      <c r="A12" s="143"/>
      <c r="B12" s="142">
        <v>6</v>
      </c>
      <c r="C12" s="140" t="b">
        <v>0</v>
      </c>
      <c r="D12" s="140" t="str">
        <v>K4</v>
      </c>
      <c r="E12" s="250" t="str">
        <f t="shared" si="0"/>
        <v>GBPFUT1MK4_Quote</v>
      </c>
      <c r="F12" s="251" t="str">
        <f t="shared" si="1"/>
        <v>GBPFUT1MK4ConvAdj_Quote</v>
      </c>
      <c r="G12" s="250" t="str">
        <f>_xll.qlFuturesConvAdjustmentQuote($F12,IborIndex,$D12,$E12,Volatility,MeanReversion,Permanent,Trigger,ObjectOverwrite)</f>
        <v>GBPFUT1MK4ConvAdj_Quote#0001</v>
      </c>
      <c r="H12" s="72" t="str">
        <f>_xll.ohRangeRetrieveError(G12)</f>
        <v/>
      </c>
    </row>
    <row r="13" spans="1:8" x14ac:dyDescent="0.2">
      <c r="A13" s="143"/>
      <c r="B13" s="142">
        <v>7</v>
      </c>
      <c r="C13" s="140" t="b">
        <v>0</v>
      </c>
      <c r="D13" s="140" t="str">
        <v>M4</v>
      </c>
      <c r="E13" s="250" t="str">
        <f t="shared" si="0"/>
        <v>GBPFUT1MM4_Quote</v>
      </c>
      <c r="F13" s="251" t="str">
        <f t="shared" si="1"/>
        <v>GBPFUT1MM4ConvAdj_Quote</v>
      </c>
      <c r="G13" s="250" t="str">
        <f>_xll.qlFuturesConvAdjustmentQuote($F13,IborIndex,$D13,$E13,Volatility,MeanReversion,Permanent,Trigger,ObjectOverwrite)</f>
        <v>GBPFUT1MM4ConvAdj_Quote#0001</v>
      </c>
      <c r="H13" s="72" t="str">
        <f>_xll.ohRangeRetrieveError(G13)</f>
        <v/>
      </c>
    </row>
    <row r="14" spans="1:8" x14ac:dyDescent="0.2">
      <c r="A14" s="143"/>
      <c r="B14" s="142">
        <v>8</v>
      </c>
      <c r="C14" s="140" t="b">
        <v>0</v>
      </c>
      <c r="D14" s="140" t="str">
        <v>N4</v>
      </c>
      <c r="E14" s="250" t="str">
        <f t="shared" si="0"/>
        <v>GBPFUT1MN4_Quote</v>
      </c>
      <c r="F14" s="251" t="str">
        <f t="shared" si="1"/>
        <v>GBPFUT1MN4ConvAdj_Quote</v>
      </c>
      <c r="G14" s="250" t="str">
        <f>_xll.qlFuturesConvAdjustmentQuote($F14,IborIndex,$D14,$E14,Volatility,MeanReversion,Permanent,Trigger,ObjectOverwrite)</f>
        <v>GBPFUT1MN4ConvAdj_Quote#0001</v>
      </c>
      <c r="H14" s="72" t="str">
        <f>_xll.ohRangeRetrieveError(G14)</f>
        <v/>
      </c>
    </row>
    <row r="15" spans="1:8" x14ac:dyDescent="0.2">
      <c r="A15" s="143"/>
      <c r="B15" s="142">
        <v>9</v>
      </c>
      <c r="C15" s="140" t="b">
        <v>0</v>
      </c>
      <c r="D15" s="140" t="str">
        <v>Q4</v>
      </c>
      <c r="E15" s="250" t="str">
        <f t="shared" si="0"/>
        <v>GBPFUT1MQ4_Quote</v>
      </c>
      <c r="F15" s="251" t="str">
        <f t="shared" si="1"/>
        <v>GBPFUT1MQ4ConvAdj_Quote</v>
      </c>
      <c r="G15" s="250" t="str">
        <f>_xll.qlFuturesConvAdjustmentQuote($F15,IborIndex,$D15,$E15,Volatility,MeanReversion,Permanent,Trigger,ObjectOverwrite)</f>
        <v>GBPFUT1MQ4ConvAdj_Quote#0001</v>
      </c>
      <c r="H15" s="72" t="str">
        <f>_xll.ohRangeRetrieveError(G15)</f>
        <v/>
      </c>
    </row>
    <row r="16" spans="1:8" x14ac:dyDescent="0.2">
      <c r="A16" s="143"/>
      <c r="B16" s="142">
        <v>10</v>
      </c>
      <c r="C16" s="140" t="b">
        <v>0</v>
      </c>
      <c r="D16" s="140" t="str">
        <v>U4</v>
      </c>
      <c r="E16" s="250" t="str">
        <f t="shared" si="0"/>
        <v>GBPFUT1MU4_Quote</v>
      </c>
      <c r="F16" s="251" t="str">
        <f t="shared" si="1"/>
        <v>GBPFUT1MU4ConvAdj_Quote</v>
      </c>
      <c r="G16" s="250" t="str">
        <f>_xll.qlFuturesConvAdjustmentQuote($F16,IborIndex,$D16,$E16,Volatility,MeanReversion,Permanent,Trigger,ObjectOverwrite)</f>
        <v>GBPFUT1MU4ConvAdj_Quote#0001</v>
      </c>
      <c r="H16" s="72" t="str">
        <f>_xll.ohRangeRetrieveError(G16)</f>
        <v/>
      </c>
    </row>
    <row r="17" spans="1:8" x14ac:dyDescent="0.2">
      <c r="A17" s="143"/>
      <c r="B17" s="142">
        <v>11</v>
      </c>
      <c r="C17" s="140" t="b">
        <v>0</v>
      </c>
      <c r="D17" s="140" t="str">
        <v>V4</v>
      </c>
      <c r="E17" s="250" t="str">
        <f t="shared" si="0"/>
        <v>GBPFUT1MV4_Quote</v>
      </c>
      <c r="F17" s="251" t="str">
        <f t="shared" si="1"/>
        <v>GBPFUT1MV4ConvAdj_Quote</v>
      </c>
      <c r="G17" s="250" t="str">
        <f>_xll.qlFuturesConvAdjustmentQuote($F17,IborIndex,$D17,$E17,Volatility,MeanReversion,Permanent,Trigger,ObjectOverwrite)</f>
        <v>GBPFUT1MV4ConvAdj_Quote#0001</v>
      </c>
      <c r="H17" s="72" t="str">
        <f>_xll.ohRangeRetrieveError(G17)</f>
        <v/>
      </c>
    </row>
    <row r="18" spans="1:8" x14ac:dyDescent="0.2">
      <c r="A18" s="143"/>
      <c r="B18" s="142">
        <v>12</v>
      </c>
      <c r="C18" s="140" t="b">
        <v>0</v>
      </c>
      <c r="D18" s="140" t="str">
        <v>X4</v>
      </c>
      <c r="E18" s="250" t="str">
        <f t="shared" si="0"/>
        <v>GBPFUT1MX4_Quote</v>
      </c>
      <c r="F18" s="251" t="str">
        <f t="shared" si="1"/>
        <v>GBPFUT1MX4ConvAdj_Quote</v>
      </c>
      <c r="G18" s="250" t="str">
        <f>_xll.qlFuturesConvAdjustmentQuote($F18,IborIndex,$D18,$E18,Volatility,MeanReversion,Permanent,Trigger,ObjectOverwrite)</f>
        <v>GBPFUT1MX4ConvAdj_Quote#0001</v>
      </c>
      <c r="H18" s="72" t="str">
        <f>_xll.ohRangeRetrieveError(G18)</f>
        <v/>
      </c>
    </row>
    <row r="19" spans="1:8" x14ac:dyDescent="0.2">
      <c r="A19" s="143"/>
      <c r="B19" s="142">
        <v>13</v>
      </c>
      <c r="C19" s="140" t="b">
        <v>0</v>
      </c>
      <c r="D19" s="140" t="str">
        <v>Z4</v>
      </c>
      <c r="E19" s="250" t="str">
        <f t="shared" si="0"/>
        <v>GBPFUT1MZ4_Quote</v>
      </c>
      <c r="F19" s="251" t="str">
        <f t="shared" si="1"/>
        <v>GBPFUT1MZ4ConvAdj_Quote</v>
      </c>
      <c r="G19" s="250" t="str">
        <f>_xll.qlFuturesConvAdjustmentQuote($F19,IborIndex,$D19,$E19,Volatility,MeanReversion,Permanent,Trigger,ObjectOverwrite)</f>
        <v>GBPFUT1MZ4ConvAdj_Quote#0001</v>
      </c>
      <c r="H19" s="72" t="str">
        <f>_xll.ohRangeRetrieveError(G19)</f>
        <v/>
      </c>
    </row>
    <row r="20" spans="1:8" x14ac:dyDescent="0.2">
      <c r="A20" s="143"/>
      <c r="B20" s="142">
        <v>14</v>
      </c>
      <c r="C20" s="140" t="b">
        <v>0</v>
      </c>
      <c r="D20" s="140" t="str">
        <v>F5</v>
      </c>
      <c r="E20" s="250" t="str">
        <f t="shared" si="0"/>
        <v>GBPFUT1MF5_Quote</v>
      </c>
      <c r="F20" s="251" t="str">
        <f t="shared" si="1"/>
        <v>GBPFUT1MF5ConvAdj_Quote</v>
      </c>
      <c r="G20" s="250" t="str">
        <f>_xll.qlFuturesConvAdjustmentQuote($F20,IborIndex,$D20,$E20,Volatility,MeanReversion,Permanent,Trigger,ObjectOverwrite)</f>
        <v>GBPFUT1MF5ConvAdj_Quote#0001</v>
      </c>
      <c r="H20" s="72" t="str">
        <f>_xll.ohRangeRetrieveError(G20)</f>
        <v/>
      </c>
    </row>
    <row r="21" spans="1:8" x14ac:dyDescent="0.2">
      <c r="A21" s="143"/>
      <c r="B21" s="142">
        <v>15</v>
      </c>
      <c r="C21" s="140" t="b">
        <v>0</v>
      </c>
      <c r="D21" s="140" t="str">
        <v>G5</v>
      </c>
      <c r="E21" s="250" t="str">
        <f t="shared" si="0"/>
        <v>GBPFUT1MG5_Quote</v>
      </c>
      <c r="F21" s="251" t="str">
        <f t="shared" si="1"/>
        <v>GBPFUT1MG5ConvAdj_Quote</v>
      </c>
      <c r="G21" s="250" t="str">
        <f>_xll.qlFuturesConvAdjustmentQuote($F21,IborIndex,$D21,$E21,Volatility,MeanReversion,Permanent,Trigger,ObjectOverwrite)</f>
        <v>GBPFUT1MG5ConvAdj_Quote#0001</v>
      </c>
      <c r="H21" s="72" t="str">
        <f>_xll.ohRangeRetrieveError(G21)</f>
        <v/>
      </c>
    </row>
    <row r="22" spans="1:8" x14ac:dyDescent="0.2">
      <c r="A22" s="143"/>
      <c r="B22" s="142">
        <v>16</v>
      </c>
      <c r="C22" s="140" t="b">
        <v>0</v>
      </c>
      <c r="D22" s="140" t="str">
        <v>H5</v>
      </c>
      <c r="E22" s="250" t="str">
        <f t="shared" si="0"/>
        <v>GBPFUT1MH5_Quote</v>
      </c>
      <c r="F22" s="251" t="str">
        <f t="shared" si="1"/>
        <v>GBPFUT1MH5ConvAdj_Quote</v>
      </c>
      <c r="G22" s="250" t="str">
        <f>_xll.qlFuturesConvAdjustmentQuote($F22,IborIndex,$D22,$E22,Volatility,MeanReversion,Permanent,Trigger,ObjectOverwrite)</f>
        <v>GBPFUT1MH5ConvAdj_Quote#0001</v>
      </c>
      <c r="H22" s="72" t="str">
        <f>_xll.ohRangeRetrieveError(G22)</f>
        <v/>
      </c>
    </row>
    <row r="23" spans="1:8" x14ac:dyDescent="0.2">
      <c r="A23" s="143"/>
      <c r="B23" s="142">
        <v>17</v>
      </c>
      <c r="C23" s="140" t="b">
        <v>0</v>
      </c>
      <c r="D23" s="140" t="str">
        <v>J5</v>
      </c>
      <c r="E23" s="250" t="str">
        <f t="shared" si="0"/>
        <v>GBPFUT1MJ5_Quote</v>
      </c>
      <c r="F23" s="251" t="str">
        <f t="shared" si="1"/>
        <v>GBPFUT1MJ5ConvAdj_Quote</v>
      </c>
      <c r="G23" s="250" t="str">
        <f>_xll.qlFuturesConvAdjustmentQuote($F23,IborIndex,$D23,$E23,Volatility,MeanReversion,Permanent,Trigger,ObjectOverwrite)</f>
        <v>GBPFUT1MJ5ConvAdj_Quote#0001</v>
      </c>
      <c r="H23" s="72" t="str">
        <f>_xll.ohRangeRetrieveError(G23)</f>
        <v/>
      </c>
    </row>
    <row r="24" spans="1:8" x14ac:dyDescent="0.2">
      <c r="A24" s="143"/>
      <c r="B24" s="142">
        <v>18</v>
      </c>
      <c r="C24" s="140" t="b">
        <v>0</v>
      </c>
      <c r="D24" s="140" t="str">
        <v>K5</v>
      </c>
      <c r="E24" s="250" t="str">
        <f t="shared" si="0"/>
        <v>GBPFUT1MK5_Quote</v>
      </c>
      <c r="F24" s="251" t="str">
        <f t="shared" si="1"/>
        <v>GBPFUT1MK5ConvAdj_Quote</v>
      </c>
      <c r="G24" s="250" t="str">
        <f>_xll.qlFuturesConvAdjustmentQuote($F24,IborIndex,$D24,$E24,Volatility,MeanReversion,Permanent,Trigger,ObjectOverwrite)</f>
        <v>GBPFUT1MK5ConvAdj_Quote#0001</v>
      </c>
      <c r="H24" s="72" t="str">
        <f>_xll.ohRangeRetrieveError(G24)</f>
        <v/>
      </c>
    </row>
    <row r="25" spans="1:8" x14ac:dyDescent="0.2">
      <c r="A25" s="143"/>
      <c r="B25" s="142">
        <v>19</v>
      </c>
      <c r="C25" s="140" t="b">
        <v>0</v>
      </c>
      <c r="D25" s="140" t="str">
        <v>M5</v>
      </c>
      <c r="E25" s="250" t="str">
        <f t="shared" si="0"/>
        <v>GBPFUT1MM5_Quote</v>
      </c>
      <c r="F25" s="251" t="str">
        <f t="shared" si="1"/>
        <v>GBPFUT1MM5ConvAdj_Quote</v>
      </c>
      <c r="G25" s="250" t="str">
        <f>_xll.qlFuturesConvAdjustmentQuote($F25,IborIndex,$D25,$E25,Volatility,MeanReversion,Permanent,Trigger,ObjectOverwrite)</f>
        <v>GBPFUT1MM5ConvAdj_Quote#0001</v>
      </c>
      <c r="H25" s="72" t="str">
        <f>_xll.ohRangeRetrieveError(G25)</f>
        <v/>
      </c>
    </row>
    <row r="26" spans="1:8" x14ac:dyDescent="0.2">
      <c r="A26" s="143"/>
      <c r="B26" s="142">
        <v>20</v>
      </c>
      <c r="C26" s="140" t="b">
        <v>0</v>
      </c>
      <c r="D26" s="140" t="str">
        <v>N5</v>
      </c>
      <c r="E26" s="250" t="str">
        <f t="shared" si="0"/>
        <v>GBPFUT1MN5_Quote</v>
      </c>
      <c r="F26" s="251" t="str">
        <f t="shared" si="1"/>
        <v>GBPFUT1MN5ConvAdj_Quote</v>
      </c>
      <c r="G26" s="250" t="str">
        <f>_xll.qlFuturesConvAdjustmentQuote($F26,IborIndex,$D26,$E26,Volatility,MeanReversion,Permanent,Trigger,ObjectOverwrite)</f>
        <v>GBPFUT1MN5ConvAdj_Quote#0001</v>
      </c>
      <c r="H26" s="72" t="str">
        <f>_xll.ohRangeRetrieveError(G26)</f>
        <v/>
      </c>
    </row>
    <row r="27" spans="1:8" x14ac:dyDescent="0.2">
      <c r="A27" s="143"/>
      <c r="B27" s="142">
        <v>21</v>
      </c>
      <c r="C27" s="140" t="b">
        <v>0</v>
      </c>
      <c r="D27" s="140" t="str">
        <v>Q5</v>
      </c>
      <c r="E27" s="250" t="str">
        <f t="shared" si="0"/>
        <v>GBPFUT1MQ5_Quote</v>
      </c>
      <c r="F27" s="251" t="str">
        <f t="shared" si="1"/>
        <v>GBPFUT1MQ5ConvAdj_Quote</v>
      </c>
      <c r="G27" s="250" t="str">
        <f>_xll.qlFuturesConvAdjustmentQuote($F27,IborIndex,$D27,$E27,Volatility,MeanReversion,Permanent,Trigger,ObjectOverwrite)</f>
        <v>GBPFUT1MQ5ConvAdj_Quote#0001</v>
      </c>
      <c r="H27" s="72" t="str">
        <f>_xll.ohRangeRetrieveError(G27)</f>
        <v/>
      </c>
    </row>
    <row r="28" spans="1:8" x14ac:dyDescent="0.2">
      <c r="A28" s="143"/>
      <c r="B28" s="142">
        <v>22</v>
      </c>
      <c r="C28" s="140" t="b">
        <v>0</v>
      </c>
      <c r="D28" s="140" t="str">
        <v>U5</v>
      </c>
      <c r="E28" s="250" t="str">
        <f t="shared" si="0"/>
        <v>GBPFUT1MU5_Quote</v>
      </c>
      <c r="F28" s="251" t="str">
        <f t="shared" si="1"/>
        <v>GBPFUT1MU5ConvAdj_Quote</v>
      </c>
      <c r="G28" s="250" t="str">
        <f>_xll.qlFuturesConvAdjustmentQuote($F28,IborIndex,$D28,$E28,Volatility,MeanReversion,Permanent,Trigger,ObjectOverwrite)</f>
        <v>GBPFUT1MU5ConvAdj_Quote#0001</v>
      </c>
      <c r="H28" s="72" t="str">
        <f>_xll.ohRangeRetrieveError(G28)</f>
        <v/>
      </c>
    </row>
    <row r="29" spans="1:8" x14ac:dyDescent="0.2">
      <c r="A29" s="143"/>
      <c r="B29" s="142">
        <v>23</v>
      </c>
      <c r="C29" s="140" t="b">
        <v>0</v>
      </c>
      <c r="D29" s="140" t="str">
        <v>V5</v>
      </c>
      <c r="E29" s="250" t="str">
        <f t="shared" si="0"/>
        <v>GBPFUT1MV5_Quote</v>
      </c>
      <c r="F29" s="251" t="str">
        <f t="shared" si="1"/>
        <v>GBPFUT1MV5ConvAdj_Quote</v>
      </c>
      <c r="G29" s="250" t="str">
        <f>_xll.qlFuturesConvAdjustmentQuote($F29,IborIndex,$D29,$E29,Volatility,MeanReversion,Permanent,Trigger,ObjectOverwrite)</f>
        <v>GBPFUT1MV5ConvAdj_Quote#0001</v>
      </c>
      <c r="H29" s="72" t="str">
        <f>_xll.ohRangeRetrieveError(G29)</f>
        <v/>
      </c>
    </row>
    <row r="30" spans="1:8" x14ac:dyDescent="0.2">
      <c r="A30" s="143"/>
      <c r="B30" s="142">
        <v>24</v>
      </c>
      <c r="C30" s="140" t="b">
        <v>0</v>
      </c>
      <c r="D30" s="140" t="str">
        <v>X5</v>
      </c>
      <c r="E30" s="250" t="str">
        <f t="shared" si="0"/>
        <v>GBPFUT1MX5_Quote</v>
      </c>
      <c r="F30" s="251" t="str">
        <f t="shared" si="1"/>
        <v>GBPFUT1MX5ConvAdj_Quote</v>
      </c>
      <c r="G30" s="250" t="str">
        <f>_xll.qlFuturesConvAdjustmentQuote($F30,IborIndex,$D30,$E30,Volatility,MeanReversion,Permanent,Trigger,ObjectOverwrite)</f>
        <v>GBPFUT1MX5ConvAdj_Quote#0001</v>
      </c>
      <c r="H30" s="72" t="str">
        <f>_xll.ohRangeRetrieveError(G30)</f>
        <v/>
      </c>
    </row>
    <row r="31" spans="1:8" x14ac:dyDescent="0.2">
      <c r="A31" s="143"/>
      <c r="B31" s="142">
        <v>25</v>
      </c>
      <c r="C31" s="140" t="b">
        <v>0</v>
      </c>
      <c r="D31" s="140" t="str">
        <v>Z5</v>
      </c>
      <c r="E31" s="250" t="str">
        <f t="shared" si="0"/>
        <v>GBPFUT1MZ5_Quote</v>
      </c>
      <c r="F31" s="251" t="str">
        <f t="shared" si="1"/>
        <v>GBPFUT1MZ5ConvAdj_Quote</v>
      </c>
      <c r="G31" s="250" t="str">
        <f>_xll.qlFuturesConvAdjustmentQuote($F31,IborIndex,$D31,$E31,Volatility,MeanReversion,Permanent,Trigger,ObjectOverwrite)</f>
        <v>GBPFUT1MZ5ConvAdj_Quote#0001</v>
      </c>
      <c r="H31" s="72" t="str">
        <f>_xll.ohRangeRetrieveError(G31)</f>
        <v/>
      </c>
    </row>
    <row r="32" spans="1:8" x14ac:dyDescent="0.2">
      <c r="A32" s="143"/>
      <c r="B32" s="142">
        <v>26</v>
      </c>
      <c r="C32" s="140" t="b">
        <v>0</v>
      </c>
      <c r="D32" s="140" t="str">
        <v>F6</v>
      </c>
      <c r="E32" s="250" t="str">
        <f t="shared" si="0"/>
        <v>GBPFUT1MF6_Quote</v>
      </c>
      <c r="F32" s="251" t="str">
        <f t="shared" si="1"/>
        <v>GBPFUT1MF6ConvAdj_Quote</v>
      </c>
      <c r="G32" s="250" t="str">
        <f>_xll.qlFuturesConvAdjustmentQuote($F32,IborIndex,$D32,$E32,Volatility,MeanReversion,Permanent,Trigger,ObjectOverwrite)</f>
        <v>GBPFUT1MF6ConvAdj_Quote#0001</v>
      </c>
      <c r="H32" s="72" t="str">
        <f>_xll.ohRangeRetrieveError(G32)</f>
        <v/>
      </c>
    </row>
    <row r="33" spans="1:8" x14ac:dyDescent="0.2">
      <c r="A33" s="143"/>
      <c r="B33" s="142">
        <v>27</v>
      </c>
      <c r="C33" s="140" t="b">
        <v>0</v>
      </c>
      <c r="D33" s="140" t="str">
        <v>G6</v>
      </c>
      <c r="E33" s="250" t="str">
        <f t="shared" si="0"/>
        <v>GBPFUT1MG6_Quote</v>
      </c>
      <c r="F33" s="251" t="str">
        <f t="shared" si="1"/>
        <v>GBPFUT1MG6ConvAdj_Quote</v>
      </c>
      <c r="G33" s="250" t="str">
        <f>_xll.qlFuturesConvAdjustmentQuote($F33,IborIndex,$D33,$E33,Volatility,MeanReversion,Permanent,Trigger,ObjectOverwrite)</f>
        <v>GBPFUT1MG6ConvAdj_Quote#0001</v>
      </c>
      <c r="H33" s="72" t="str">
        <f>_xll.ohRangeRetrieveError(G33)</f>
        <v/>
      </c>
    </row>
    <row r="34" spans="1:8" x14ac:dyDescent="0.2">
      <c r="A34" s="143"/>
      <c r="B34" s="142">
        <v>28</v>
      </c>
      <c r="C34" s="140" t="b">
        <v>0</v>
      </c>
      <c r="D34" s="140" t="str">
        <v>H6</v>
      </c>
      <c r="E34" s="250" t="str">
        <f t="shared" si="0"/>
        <v>GBPFUT1MH6_Quote</v>
      </c>
      <c r="F34" s="251" t="str">
        <f t="shared" si="1"/>
        <v>GBPFUT1MH6ConvAdj_Quote</v>
      </c>
      <c r="G34" s="250" t="str">
        <f>_xll.qlFuturesConvAdjustmentQuote($F34,IborIndex,$D34,$E34,Volatility,MeanReversion,Permanent,Trigger,ObjectOverwrite)</f>
        <v>GBPFUT1MH6ConvAdj_Quote#0001</v>
      </c>
      <c r="H34" s="72" t="str">
        <f>_xll.ohRangeRetrieveError(G34)</f>
        <v/>
      </c>
    </row>
    <row r="35" spans="1:8" x14ac:dyDescent="0.2">
      <c r="A35" s="143"/>
      <c r="B35" s="142">
        <v>29</v>
      </c>
      <c r="C35" s="140" t="b">
        <v>0</v>
      </c>
      <c r="D35" s="140" t="str">
        <v>J6</v>
      </c>
      <c r="E35" s="250" t="str">
        <f t="shared" si="0"/>
        <v>GBPFUT1MJ6_Quote</v>
      </c>
      <c r="F35" s="251" t="str">
        <f t="shared" si="1"/>
        <v>GBPFUT1MJ6ConvAdj_Quote</v>
      </c>
      <c r="G35" s="250" t="str">
        <f>_xll.qlFuturesConvAdjustmentQuote($F35,IborIndex,$D35,$E35,Volatility,MeanReversion,Permanent,Trigger,ObjectOverwrite)</f>
        <v>GBPFUT1MJ6ConvAdj_Quote#0001</v>
      </c>
      <c r="H35" s="72" t="str">
        <f>_xll.ohRangeRetrieveError(G35)</f>
        <v/>
      </c>
    </row>
    <row r="36" spans="1:8" x14ac:dyDescent="0.2">
      <c r="A36" s="143"/>
      <c r="B36" s="142">
        <v>30</v>
      </c>
      <c r="C36" s="140" t="b">
        <v>0</v>
      </c>
      <c r="D36" s="140" t="str">
        <v>K6</v>
      </c>
      <c r="E36" s="250" t="str">
        <f t="shared" si="0"/>
        <v>GBPFUT1MK6_Quote</v>
      </c>
      <c r="F36" s="251" t="str">
        <f t="shared" si="1"/>
        <v>GBPFUT1MK6ConvAdj_Quote</v>
      </c>
      <c r="G36" s="250" t="str">
        <f>_xll.qlFuturesConvAdjustmentQuote($F36,IborIndex,$D36,$E36,Volatility,MeanReversion,Permanent,Trigger,ObjectOverwrite)</f>
        <v>GBPFUT1MK6ConvAdj_Quote#0001</v>
      </c>
      <c r="H36" s="72" t="str">
        <f>_xll.ohRangeRetrieveError(G36)</f>
        <v/>
      </c>
    </row>
    <row r="37" spans="1:8" x14ac:dyDescent="0.2">
      <c r="A37" s="143"/>
      <c r="B37" s="142">
        <v>31</v>
      </c>
      <c r="C37" s="140" t="b">
        <v>0</v>
      </c>
      <c r="D37" s="140" t="str">
        <v>M6</v>
      </c>
      <c r="E37" s="250" t="str">
        <f t="shared" si="0"/>
        <v>GBPFUT1MM6_Quote</v>
      </c>
      <c r="F37" s="251" t="str">
        <f t="shared" si="1"/>
        <v>GBPFUT1MM6ConvAdj_Quote</v>
      </c>
      <c r="G37" s="250" t="str">
        <f>_xll.qlFuturesConvAdjustmentQuote($F37,IborIndex,$D37,$E37,Volatility,MeanReversion,Permanent,Trigger,ObjectOverwrite)</f>
        <v>GBPFUT1MM6ConvAdj_Quote#0001</v>
      </c>
      <c r="H37" s="72" t="str">
        <f>_xll.ohRangeRetrieveError(G37)</f>
        <v/>
      </c>
    </row>
    <row r="38" spans="1:8" x14ac:dyDescent="0.2">
      <c r="A38" s="143"/>
      <c r="B38" s="142">
        <v>32</v>
      </c>
      <c r="C38" s="140" t="b">
        <v>0</v>
      </c>
      <c r="D38" s="140" t="str">
        <v>N6</v>
      </c>
      <c r="E38" s="250" t="str">
        <f t="shared" si="0"/>
        <v>GBPFUT1MN6_Quote</v>
      </c>
      <c r="F38" s="251" t="str">
        <f t="shared" si="1"/>
        <v>GBPFUT1MN6ConvAdj_Quote</v>
      </c>
      <c r="G38" s="250" t="str">
        <f>_xll.qlFuturesConvAdjustmentQuote($F38,IborIndex,$D38,$E38,Volatility,MeanReversion,Permanent,Trigger,ObjectOverwrite)</f>
        <v>GBPFUT1MN6ConvAdj_Quote#0001</v>
      </c>
      <c r="H38" s="72" t="str">
        <f>_xll.ohRangeRetrieveError(G38)</f>
        <v/>
      </c>
    </row>
    <row r="39" spans="1:8" x14ac:dyDescent="0.2">
      <c r="A39" s="143"/>
      <c r="B39" s="142">
        <v>33</v>
      </c>
      <c r="C39" s="140" t="b">
        <v>0</v>
      </c>
      <c r="D39" s="140" t="str">
        <v>Q6</v>
      </c>
      <c r="E39" s="250" t="str">
        <f t="shared" ref="E39:E70" si="2">Currency&amp;"FUT"&amp;$G$4&amp;$D39&amp;QuoteSuffix</f>
        <v>GBPFUT1MQ6_Quote</v>
      </c>
      <c r="F39" s="251" t="str">
        <f t="shared" ref="F39:F70" si="3">Currency&amp;"FUT"&amp;$G$4&amp;$D39&amp;"ConvAdj"&amp;QuoteSuffix</f>
        <v>GBPFUT1MQ6ConvAdj_Quote</v>
      </c>
      <c r="G39" s="250" t="str">
        <f>_xll.qlFuturesConvAdjustmentQuote($F39,IborIndex,$D39,$E39,Volatility,MeanReversion,Permanent,Trigger,ObjectOverwrite)</f>
        <v>GBPFUT1MQ6ConvAdj_Quote#0001</v>
      </c>
      <c r="H39" s="72" t="str">
        <f>_xll.ohRangeRetrieveError(G39)</f>
        <v/>
      </c>
    </row>
    <row r="40" spans="1:8" x14ac:dyDescent="0.2">
      <c r="A40" s="143"/>
      <c r="B40" s="142">
        <v>34</v>
      </c>
      <c r="C40" s="140" t="b">
        <v>0</v>
      </c>
      <c r="D40" s="140" t="str">
        <v>U6</v>
      </c>
      <c r="E40" s="250" t="str">
        <f t="shared" si="2"/>
        <v>GBPFUT1MU6_Quote</v>
      </c>
      <c r="F40" s="251" t="str">
        <f t="shared" si="3"/>
        <v>GBPFUT1MU6ConvAdj_Quote</v>
      </c>
      <c r="G40" s="250" t="str">
        <f>_xll.qlFuturesConvAdjustmentQuote($F40,IborIndex,$D40,$E40,Volatility,MeanReversion,Permanent,Trigger,ObjectOverwrite)</f>
        <v>GBPFUT1MU6ConvAdj_Quote#0001</v>
      </c>
      <c r="H40" s="72" t="str">
        <f>_xll.ohRangeRetrieveError(G40)</f>
        <v/>
      </c>
    </row>
    <row r="41" spans="1:8" x14ac:dyDescent="0.2">
      <c r="A41" s="143"/>
      <c r="B41" s="142">
        <v>35</v>
      </c>
      <c r="C41" s="140" t="b">
        <v>0</v>
      </c>
      <c r="D41" s="140" t="str">
        <v>V6</v>
      </c>
      <c r="E41" s="250" t="str">
        <f t="shared" si="2"/>
        <v>GBPFUT1MV6_Quote</v>
      </c>
      <c r="F41" s="251" t="str">
        <f t="shared" si="3"/>
        <v>GBPFUT1MV6ConvAdj_Quote</v>
      </c>
      <c r="G41" s="250" t="str">
        <f>_xll.qlFuturesConvAdjustmentQuote($F41,IborIndex,$D41,$E41,Volatility,MeanReversion,Permanent,Trigger,ObjectOverwrite)</f>
        <v>GBPFUT1MV6ConvAdj_Quote#0001</v>
      </c>
      <c r="H41" s="72" t="str">
        <f>_xll.ohRangeRetrieveError(G41)</f>
        <v/>
      </c>
    </row>
    <row r="42" spans="1:8" x14ac:dyDescent="0.2">
      <c r="A42" s="143"/>
      <c r="B42" s="142">
        <v>36</v>
      </c>
      <c r="C42" s="140" t="b">
        <v>0</v>
      </c>
      <c r="D42" s="140" t="str">
        <v>X6</v>
      </c>
      <c r="E42" s="250" t="str">
        <f t="shared" si="2"/>
        <v>GBPFUT1MX6_Quote</v>
      </c>
      <c r="F42" s="251" t="str">
        <f t="shared" si="3"/>
        <v>GBPFUT1MX6ConvAdj_Quote</v>
      </c>
      <c r="G42" s="250" t="str">
        <f>_xll.qlFuturesConvAdjustmentQuote($F42,IborIndex,$D42,$E42,Volatility,MeanReversion,Permanent,Trigger,ObjectOverwrite)</f>
        <v>GBPFUT1MX6ConvAdj_Quote#0001</v>
      </c>
      <c r="H42" s="72" t="str">
        <f>_xll.ohRangeRetrieveError(G42)</f>
        <v/>
      </c>
    </row>
    <row r="43" spans="1:8" x14ac:dyDescent="0.2">
      <c r="A43" s="143"/>
      <c r="B43" s="142">
        <v>37</v>
      </c>
      <c r="C43" s="140" t="b">
        <v>0</v>
      </c>
      <c r="D43" s="140" t="str">
        <v>Z6</v>
      </c>
      <c r="E43" s="250" t="str">
        <f t="shared" si="2"/>
        <v>GBPFUT1MZ6_Quote</v>
      </c>
      <c r="F43" s="251" t="str">
        <f t="shared" si="3"/>
        <v>GBPFUT1MZ6ConvAdj_Quote</v>
      </c>
      <c r="G43" s="250" t="str">
        <f>_xll.qlFuturesConvAdjustmentQuote($F43,IborIndex,$D43,$E43,Volatility,MeanReversion,Permanent,Trigger,ObjectOverwrite)</f>
        <v>GBPFUT1MZ6ConvAdj_Quote#0001</v>
      </c>
      <c r="H43" s="72" t="str">
        <f>_xll.ohRangeRetrieveError(G43)</f>
        <v/>
      </c>
    </row>
    <row r="44" spans="1:8" x14ac:dyDescent="0.2">
      <c r="A44" s="143"/>
      <c r="B44" s="142">
        <v>38</v>
      </c>
      <c r="C44" s="140" t="b">
        <v>0</v>
      </c>
      <c r="D44" s="140" t="str">
        <v>F7</v>
      </c>
      <c r="E44" s="250" t="str">
        <f t="shared" si="2"/>
        <v>GBPFUT1MF7_Quote</v>
      </c>
      <c r="F44" s="251" t="str">
        <f t="shared" si="3"/>
        <v>GBPFUT1MF7ConvAdj_Quote</v>
      </c>
      <c r="G44" s="250" t="str">
        <f>_xll.qlFuturesConvAdjustmentQuote($F44,IborIndex,$D44,$E44,Volatility,MeanReversion,Permanent,Trigger,ObjectOverwrite)</f>
        <v>GBPFUT1MF7ConvAdj_Quote#0001</v>
      </c>
      <c r="H44" s="72" t="str">
        <f>_xll.ohRangeRetrieveError(G44)</f>
        <v/>
      </c>
    </row>
    <row r="45" spans="1:8" x14ac:dyDescent="0.2">
      <c r="A45" s="143"/>
      <c r="B45" s="142">
        <v>39</v>
      </c>
      <c r="C45" s="140" t="b">
        <v>0</v>
      </c>
      <c r="D45" s="140" t="str">
        <v>G7</v>
      </c>
      <c r="E45" s="250" t="str">
        <f t="shared" si="2"/>
        <v>GBPFUT1MG7_Quote</v>
      </c>
      <c r="F45" s="251" t="str">
        <f t="shared" si="3"/>
        <v>GBPFUT1MG7ConvAdj_Quote</v>
      </c>
      <c r="G45" s="250" t="str">
        <f>_xll.qlFuturesConvAdjustmentQuote($F45,IborIndex,$D45,$E45,Volatility,MeanReversion,Permanent,Trigger,ObjectOverwrite)</f>
        <v>GBPFUT1MG7ConvAdj_Quote#0001</v>
      </c>
      <c r="H45" s="72" t="str">
        <f>_xll.ohRangeRetrieveError(G45)</f>
        <v/>
      </c>
    </row>
    <row r="46" spans="1:8" x14ac:dyDescent="0.2">
      <c r="A46" s="143"/>
      <c r="B46" s="142">
        <v>40</v>
      </c>
      <c r="C46" s="140" t="b">
        <v>0</v>
      </c>
      <c r="D46" s="140" t="str">
        <v>H7</v>
      </c>
      <c r="E46" s="250" t="str">
        <f t="shared" si="2"/>
        <v>GBPFUT1MH7_Quote</v>
      </c>
      <c r="F46" s="251" t="str">
        <f t="shared" si="3"/>
        <v>GBPFUT1MH7ConvAdj_Quote</v>
      </c>
      <c r="G46" s="250" t="str">
        <f>_xll.qlFuturesConvAdjustmentQuote($F46,IborIndex,$D46,$E46,Volatility,MeanReversion,Permanent,Trigger,ObjectOverwrite)</f>
        <v>GBPFUT1MH7ConvAdj_Quote#0001</v>
      </c>
      <c r="H46" s="72" t="str">
        <f>_xll.ohRangeRetrieveError(G46)</f>
        <v/>
      </c>
    </row>
    <row r="47" spans="1:8" x14ac:dyDescent="0.2">
      <c r="A47" s="143"/>
      <c r="B47" s="142">
        <v>41</v>
      </c>
      <c r="C47" s="140" t="b">
        <v>0</v>
      </c>
      <c r="D47" s="140" t="str">
        <v>J7</v>
      </c>
      <c r="E47" s="250" t="str">
        <f t="shared" si="2"/>
        <v>GBPFUT1MJ7_Quote</v>
      </c>
      <c r="F47" s="251" t="str">
        <f t="shared" si="3"/>
        <v>GBPFUT1MJ7ConvAdj_Quote</v>
      </c>
      <c r="G47" s="250" t="str">
        <f>_xll.qlFuturesConvAdjustmentQuote($F47,IborIndex,$D47,$E47,Volatility,MeanReversion,Permanent,Trigger,ObjectOverwrite)</f>
        <v>GBPFUT1MJ7ConvAdj_Quote#0001</v>
      </c>
      <c r="H47" s="72" t="str">
        <f>_xll.ohRangeRetrieveError(G47)</f>
        <v/>
      </c>
    </row>
    <row r="48" spans="1:8" x14ac:dyDescent="0.2">
      <c r="A48" s="143"/>
      <c r="B48" s="142">
        <v>42</v>
      </c>
      <c r="C48" s="140" t="b">
        <v>0</v>
      </c>
      <c r="D48" s="140" t="str">
        <v>K7</v>
      </c>
      <c r="E48" s="250" t="str">
        <f t="shared" si="2"/>
        <v>GBPFUT1MK7_Quote</v>
      </c>
      <c r="F48" s="251" t="str">
        <f t="shared" si="3"/>
        <v>GBPFUT1MK7ConvAdj_Quote</v>
      </c>
      <c r="G48" s="250" t="str">
        <f>_xll.qlFuturesConvAdjustmentQuote($F48,IborIndex,$D48,$E48,Volatility,MeanReversion,Permanent,Trigger,ObjectOverwrite)</f>
        <v>GBPFUT1MK7ConvAdj_Quote#0001</v>
      </c>
      <c r="H48" s="72" t="str">
        <f>_xll.ohRangeRetrieveError(G48)</f>
        <v/>
      </c>
    </row>
    <row r="49" spans="1:8" x14ac:dyDescent="0.2">
      <c r="A49" s="143"/>
      <c r="B49" s="142">
        <v>43</v>
      </c>
      <c r="C49" s="140" t="b">
        <v>0</v>
      </c>
      <c r="D49" s="140" t="str">
        <v>M7</v>
      </c>
      <c r="E49" s="250" t="str">
        <f t="shared" si="2"/>
        <v>GBPFUT1MM7_Quote</v>
      </c>
      <c r="F49" s="251" t="str">
        <f t="shared" si="3"/>
        <v>GBPFUT1MM7ConvAdj_Quote</v>
      </c>
      <c r="G49" s="250" t="str">
        <f>_xll.qlFuturesConvAdjustmentQuote($F49,IborIndex,$D49,$E49,Volatility,MeanReversion,Permanent,Trigger,ObjectOverwrite)</f>
        <v>GBPFUT1MM7ConvAdj_Quote#0001</v>
      </c>
      <c r="H49" s="72" t="str">
        <f>_xll.ohRangeRetrieveError(G49)</f>
        <v/>
      </c>
    </row>
    <row r="50" spans="1:8" x14ac:dyDescent="0.2">
      <c r="A50" s="143"/>
      <c r="B50" s="142">
        <v>44</v>
      </c>
      <c r="C50" s="140" t="b">
        <v>0</v>
      </c>
      <c r="D50" s="140" t="str">
        <v>N7</v>
      </c>
      <c r="E50" s="250" t="str">
        <f t="shared" si="2"/>
        <v>GBPFUT1MN7_Quote</v>
      </c>
      <c r="F50" s="251" t="str">
        <f t="shared" si="3"/>
        <v>GBPFUT1MN7ConvAdj_Quote</v>
      </c>
      <c r="G50" s="250" t="str">
        <f>_xll.qlFuturesConvAdjustmentQuote($F50,IborIndex,$D50,$E50,Volatility,MeanReversion,Permanent,Trigger,ObjectOverwrite)</f>
        <v>GBPFUT1MN7ConvAdj_Quote#0001</v>
      </c>
      <c r="H50" s="72" t="str">
        <f>_xll.ohRangeRetrieveError(G50)</f>
        <v/>
      </c>
    </row>
    <row r="51" spans="1:8" x14ac:dyDescent="0.2">
      <c r="A51" s="143"/>
      <c r="B51" s="142">
        <v>45</v>
      </c>
      <c r="C51" s="140" t="b">
        <v>0</v>
      </c>
      <c r="D51" s="140" t="str">
        <v>Q7</v>
      </c>
      <c r="E51" s="250" t="str">
        <f t="shared" si="2"/>
        <v>GBPFUT1MQ7_Quote</v>
      </c>
      <c r="F51" s="251" t="str">
        <f t="shared" si="3"/>
        <v>GBPFUT1MQ7ConvAdj_Quote</v>
      </c>
      <c r="G51" s="250" t="str">
        <f>_xll.qlFuturesConvAdjustmentQuote($F51,IborIndex,$D51,$E51,Volatility,MeanReversion,Permanent,Trigger,ObjectOverwrite)</f>
        <v>GBPFUT1MQ7ConvAdj_Quote#0001</v>
      </c>
      <c r="H51" s="72" t="str">
        <f>_xll.ohRangeRetrieveError(G51)</f>
        <v/>
      </c>
    </row>
    <row r="52" spans="1:8" x14ac:dyDescent="0.2">
      <c r="A52" s="143"/>
      <c r="B52" s="142">
        <v>46</v>
      </c>
      <c r="C52" s="140" t="b">
        <v>0</v>
      </c>
      <c r="D52" s="140" t="str">
        <v>U7</v>
      </c>
      <c r="E52" s="250" t="str">
        <f t="shared" si="2"/>
        <v>GBPFUT1MU7_Quote</v>
      </c>
      <c r="F52" s="251" t="str">
        <f t="shared" si="3"/>
        <v>GBPFUT1MU7ConvAdj_Quote</v>
      </c>
      <c r="G52" s="250" t="str">
        <f>_xll.qlFuturesConvAdjustmentQuote($F52,IborIndex,$D52,$E52,Volatility,MeanReversion,Permanent,Trigger,ObjectOverwrite)</f>
        <v>GBPFUT1MU7ConvAdj_Quote#0001</v>
      </c>
      <c r="H52" s="72" t="str">
        <f>_xll.ohRangeRetrieveError(G52)</f>
        <v/>
      </c>
    </row>
    <row r="53" spans="1:8" x14ac:dyDescent="0.2">
      <c r="A53" s="143"/>
      <c r="B53" s="142">
        <v>47</v>
      </c>
      <c r="C53" s="140" t="b">
        <v>0</v>
      </c>
      <c r="D53" s="140" t="str">
        <v>V7</v>
      </c>
      <c r="E53" s="250" t="str">
        <f t="shared" si="2"/>
        <v>GBPFUT1MV7_Quote</v>
      </c>
      <c r="F53" s="251" t="str">
        <f t="shared" si="3"/>
        <v>GBPFUT1MV7ConvAdj_Quote</v>
      </c>
      <c r="G53" s="250" t="str">
        <f>_xll.qlFuturesConvAdjustmentQuote($F53,IborIndex,$D53,$E53,Volatility,MeanReversion,Permanent,Trigger,ObjectOverwrite)</f>
        <v>GBPFUT1MV7ConvAdj_Quote#0001</v>
      </c>
      <c r="H53" s="72" t="str">
        <f>_xll.ohRangeRetrieveError(G53)</f>
        <v/>
      </c>
    </row>
    <row r="54" spans="1:8" x14ac:dyDescent="0.2">
      <c r="A54" s="143"/>
      <c r="B54" s="142">
        <v>48</v>
      </c>
      <c r="C54" s="140" t="b">
        <v>0</v>
      </c>
      <c r="D54" s="140" t="str">
        <v>X7</v>
      </c>
      <c r="E54" s="250" t="str">
        <f t="shared" si="2"/>
        <v>GBPFUT1MX7_Quote</v>
      </c>
      <c r="F54" s="251" t="str">
        <f t="shared" si="3"/>
        <v>GBPFUT1MX7ConvAdj_Quote</v>
      </c>
      <c r="G54" s="250" t="str">
        <f>_xll.qlFuturesConvAdjustmentQuote($F54,IborIndex,$D54,$E54,Volatility,MeanReversion,Permanent,Trigger,ObjectOverwrite)</f>
        <v>GBPFUT1MX7ConvAdj_Quote#0001</v>
      </c>
      <c r="H54" s="72" t="str">
        <f>_xll.ohRangeRetrieveError(G54)</f>
        <v/>
      </c>
    </row>
    <row r="55" spans="1:8" x14ac:dyDescent="0.2">
      <c r="A55" s="143"/>
      <c r="B55" s="142">
        <v>49</v>
      </c>
      <c r="C55" s="140" t="b">
        <v>0</v>
      </c>
      <c r="D55" s="140" t="str">
        <v>Z7</v>
      </c>
      <c r="E55" s="250" t="str">
        <f t="shared" si="2"/>
        <v>GBPFUT1MZ7_Quote</v>
      </c>
      <c r="F55" s="251" t="str">
        <f t="shared" si="3"/>
        <v>GBPFUT1MZ7ConvAdj_Quote</v>
      </c>
      <c r="G55" s="250" t="str">
        <f>_xll.qlFuturesConvAdjustmentQuote($F55,IborIndex,$D55,$E55,Volatility,MeanReversion,Permanent,Trigger,ObjectOverwrite)</f>
        <v>GBPFUT1MZ7ConvAdj_Quote#0001</v>
      </c>
      <c r="H55" s="72" t="str">
        <f>_xll.ohRangeRetrieveError(G55)</f>
        <v/>
      </c>
    </row>
    <row r="56" spans="1:8" x14ac:dyDescent="0.2">
      <c r="A56" s="143"/>
      <c r="B56" s="142">
        <v>50</v>
      </c>
      <c r="C56" s="140" t="b">
        <v>0</v>
      </c>
      <c r="D56" s="140" t="str">
        <v>F8</v>
      </c>
      <c r="E56" s="250" t="str">
        <f t="shared" si="2"/>
        <v>GBPFUT1MF8_Quote</v>
      </c>
      <c r="F56" s="251" t="str">
        <f t="shared" si="3"/>
        <v>GBPFUT1MF8ConvAdj_Quote</v>
      </c>
      <c r="G56" s="250" t="str">
        <f>_xll.qlFuturesConvAdjustmentQuote($F56,IborIndex,$D56,$E56,Volatility,MeanReversion,Permanent,Trigger,ObjectOverwrite)</f>
        <v>GBPFUT1MF8ConvAdj_Quote#0001</v>
      </c>
      <c r="H56" s="72" t="str">
        <f>_xll.ohRangeRetrieveError(G56)</f>
        <v/>
      </c>
    </row>
    <row r="57" spans="1:8" x14ac:dyDescent="0.2">
      <c r="A57" s="143"/>
      <c r="B57" s="142">
        <v>51</v>
      </c>
      <c r="C57" s="140" t="b">
        <v>0</v>
      </c>
      <c r="D57" s="140" t="str">
        <v>G8</v>
      </c>
      <c r="E57" s="250" t="str">
        <f t="shared" si="2"/>
        <v>GBPFUT1MG8_Quote</v>
      </c>
      <c r="F57" s="251" t="str">
        <f t="shared" si="3"/>
        <v>GBPFUT1MG8ConvAdj_Quote</v>
      </c>
      <c r="G57" s="250" t="str">
        <f>_xll.qlFuturesConvAdjustmentQuote($F57,IborIndex,$D57,$E57,Volatility,MeanReversion,Permanent,Trigger,ObjectOverwrite)</f>
        <v>GBPFUT1MG8ConvAdj_Quote#0001</v>
      </c>
      <c r="H57" s="72" t="str">
        <f>_xll.ohRangeRetrieveError(G57)</f>
        <v/>
      </c>
    </row>
    <row r="58" spans="1:8" x14ac:dyDescent="0.2">
      <c r="A58" s="143"/>
      <c r="B58" s="142">
        <v>52</v>
      </c>
      <c r="C58" s="140" t="b">
        <v>0</v>
      </c>
      <c r="D58" s="140" t="str">
        <v>H8</v>
      </c>
      <c r="E58" s="250" t="str">
        <f t="shared" si="2"/>
        <v>GBPFUT1MH8_Quote</v>
      </c>
      <c r="F58" s="251" t="str">
        <f t="shared" si="3"/>
        <v>GBPFUT1MH8ConvAdj_Quote</v>
      </c>
      <c r="G58" s="250" t="str">
        <f>_xll.qlFuturesConvAdjustmentQuote($F58,IborIndex,$D58,$E58,Volatility,MeanReversion,Permanent,Trigger,ObjectOverwrite)</f>
        <v>GBPFUT1MH8ConvAdj_Quote#0001</v>
      </c>
      <c r="H58" s="72" t="str">
        <f>_xll.ohRangeRetrieveError(G58)</f>
        <v/>
      </c>
    </row>
    <row r="59" spans="1:8" x14ac:dyDescent="0.2">
      <c r="A59" s="143"/>
      <c r="B59" s="142">
        <v>53</v>
      </c>
      <c r="C59" s="140" t="b">
        <v>0</v>
      </c>
      <c r="D59" s="140" t="str">
        <v>J8</v>
      </c>
      <c r="E59" s="250" t="str">
        <f t="shared" si="2"/>
        <v>GBPFUT1MJ8_Quote</v>
      </c>
      <c r="F59" s="251" t="str">
        <f t="shared" si="3"/>
        <v>GBPFUT1MJ8ConvAdj_Quote</v>
      </c>
      <c r="G59" s="250" t="str">
        <f>_xll.qlFuturesConvAdjustmentQuote($F59,IborIndex,$D59,$E59,Volatility,MeanReversion,Permanent,Trigger,ObjectOverwrite)</f>
        <v>GBPFUT1MJ8ConvAdj_Quote#0001</v>
      </c>
      <c r="H59" s="72" t="str">
        <f>_xll.ohRangeRetrieveError(G59)</f>
        <v/>
      </c>
    </row>
    <row r="60" spans="1:8" x14ac:dyDescent="0.2">
      <c r="A60" s="143"/>
      <c r="B60" s="142">
        <v>54</v>
      </c>
      <c r="C60" s="140" t="b">
        <v>0</v>
      </c>
      <c r="D60" s="140" t="str">
        <v>K8</v>
      </c>
      <c r="E60" s="250" t="str">
        <f t="shared" si="2"/>
        <v>GBPFUT1MK8_Quote</v>
      </c>
      <c r="F60" s="251" t="str">
        <f t="shared" si="3"/>
        <v>GBPFUT1MK8ConvAdj_Quote</v>
      </c>
      <c r="G60" s="250" t="str">
        <f>_xll.qlFuturesConvAdjustmentQuote($F60,IborIndex,$D60,$E60,Volatility,MeanReversion,Permanent,Trigger,ObjectOverwrite)</f>
        <v>GBPFUT1MK8ConvAdj_Quote#0001</v>
      </c>
      <c r="H60" s="72" t="str">
        <f>_xll.ohRangeRetrieveError(G60)</f>
        <v/>
      </c>
    </row>
    <row r="61" spans="1:8" x14ac:dyDescent="0.2">
      <c r="A61" s="143"/>
      <c r="B61" s="142">
        <v>55</v>
      </c>
      <c r="C61" s="140" t="b">
        <v>0</v>
      </c>
      <c r="D61" s="140" t="str">
        <v>M8</v>
      </c>
      <c r="E61" s="250" t="str">
        <f t="shared" si="2"/>
        <v>GBPFUT1MM8_Quote</v>
      </c>
      <c r="F61" s="251" t="str">
        <f t="shared" si="3"/>
        <v>GBPFUT1MM8ConvAdj_Quote</v>
      </c>
      <c r="G61" s="250" t="str">
        <f>_xll.qlFuturesConvAdjustmentQuote($F61,IborIndex,$D61,$E61,Volatility,MeanReversion,Permanent,Trigger,ObjectOverwrite)</f>
        <v>GBPFUT1MM8ConvAdj_Quote#0001</v>
      </c>
      <c r="H61" s="72" t="str">
        <f>_xll.ohRangeRetrieveError(G61)</f>
        <v/>
      </c>
    </row>
    <row r="62" spans="1:8" x14ac:dyDescent="0.2">
      <c r="A62" s="143"/>
      <c r="B62" s="142">
        <v>56</v>
      </c>
      <c r="C62" s="140" t="b">
        <v>0</v>
      </c>
      <c r="D62" s="140" t="str">
        <v>N8</v>
      </c>
      <c r="E62" s="250" t="str">
        <f t="shared" si="2"/>
        <v>GBPFUT1MN8_Quote</v>
      </c>
      <c r="F62" s="251" t="str">
        <f t="shared" si="3"/>
        <v>GBPFUT1MN8ConvAdj_Quote</v>
      </c>
      <c r="G62" s="250" t="str">
        <f>_xll.qlFuturesConvAdjustmentQuote($F62,IborIndex,$D62,$E62,Volatility,MeanReversion,Permanent,Trigger,ObjectOverwrite)</f>
        <v>GBPFUT1MN8ConvAdj_Quote#0001</v>
      </c>
      <c r="H62" s="72" t="str">
        <f>_xll.ohRangeRetrieveError(G62)</f>
        <v/>
      </c>
    </row>
    <row r="63" spans="1:8" x14ac:dyDescent="0.2">
      <c r="A63" s="143"/>
      <c r="B63" s="142">
        <v>57</v>
      </c>
      <c r="C63" s="140" t="b">
        <v>0</v>
      </c>
      <c r="D63" s="140" t="str">
        <v>Q8</v>
      </c>
      <c r="E63" s="250" t="str">
        <f t="shared" si="2"/>
        <v>GBPFUT1MQ8_Quote</v>
      </c>
      <c r="F63" s="251" t="str">
        <f t="shared" si="3"/>
        <v>GBPFUT1MQ8ConvAdj_Quote</v>
      </c>
      <c r="G63" s="250" t="str">
        <f>_xll.qlFuturesConvAdjustmentQuote($F63,IborIndex,$D63,$E63,Volatility,MeanReversion,Permanent,Trigger,ObjectOverwrite)</f>
        <v>GBPFUT1MQ8ConvAdj_Quote#0001</v>
      </c>
      <c r="H63" s="72" t="str">
        <f>_xll.ohRangeRetrieveError(G63)</f>
        <v/>
      </c>
    </row>
    <row r="64" spans="1:8" x14ac:dyDescent="0.2">
      <c r="A64" s="143"/>
      <c r="B64" s="142">
        <v>58</v>
      </c>
      <c r="C64" s="140" t="b">
        <v>0</v>
      </c>
      <c r="D64" s="140" t="str">
        <v>U8</v>
      </c>
      <c r="E64" s="250" t="str">
        <f t="shared" si="2"/>
        <v>GBPFUT1MU8_Quote</v>
      </c>
      <c r="F64" s="251" t="str">
        <f t="shared" si="3"/>
        <v>GBPFUT1MU8ConvAdj_Quote</v>
      </c>
      <c r="G64" s="250" t="str">
        <f>_xll.qlFuturesConvAdjustmentQuote($F64,IborIndex,$D64,$E64,Volatility,MeanReversion,Permanent,Trigger,ObjectOverwrite)</f>
        <v>GBPFUT1MU8ConvAdj_Quote#0001</v>
      </c>
      <c r="H64" s="72" t="str">
        <f>_xll.ohRangeRetrieveError(G64)</f>
        <v/>
      </c>
    </row>
    <row r="65" spans="1:8" x14ac:dyDescent="0.2">
      <c r="A65" s="143"/>
      <c r="B65" s="142">
        <v>59</v>
      </c>
      <c r="C65" s="140" t="b">
        <v>0</v>
      </c>
      <c r="D65" s="140" t="str">
        <v>V8</v>
      </c>
      <c r="E65" s="250" t="str">
        <f t="shared" si="2"/>
        <v>GBPFUT1MV8_Quote</v>
      </c>
      <c r="F65" s="251" t="str">
        <f t="shared" si="3"/>
        <v>GBPFUT1MV8ConvAdj_Quote</v>
      </c>
      <c r="G65" s="250" t="str">
        <f>_xll.qlFuturesConvAdjustmentQuote($F65,IborIndex,$D65,$E65,Volatility,MeanReversion,Permanent,Trigger,ObjectOverwrite)</f>
        <v>GBPFUT1MV8ConvAdj_Quote#0001</v>
      </c>
      <c r="H65" s="72" t="str">
        <f>_xll.ohRangeRetrieveError(G65)</f>
        <v/>
      </c>
    </row>
    <row r="66" spans="1:8" x14ac:dyDescent="0.2">
      <c r="A66" s="143"/>
      <c r="B66" s="142">
        <v>60</v>
      </c>
      <c r="C66" s="140" t="b">
        <v>0</v>
      </c>
      <c r="D66" s="140" t="str">
        <v>X8</v>
      </c>
      <c r="E66" s="250" t="str">
        <f t="shared" si="2"/>
        <v>GBPFUT1MX8_Quote</v>
      </c>
      <c r="F66" s="251" t="str">
        <f t="shared" si="3"/>
        <v>GBPFUT1MX8ConvAdj_Quote</v>
      </c>
      <c r="G66" s="250" t="str">
        <f>_xll.qlFuturesConvAdjustmentQuote($F66,IborIndex,$D66,$E66,Volatility,MeanReversion,Permanent,Trigger,ObjectOverwrite)</f>
        <v>GBPFUT1MX8ConvAdj_Quote#0001</v>
      </c>
      <c r="H66" s="72" t="str">
        <f>_xll.ohRangeRetrieveError(G66)</f>
        <v/>
      </c>
    </row>
    <row r="67" spans="1:8" x14ac:dyDescent="0.2">
      <c r="A67" s="143"/>
      <c r="B67" s="142">
        <v>61</v>
      </c>
      <c r="C67" s="140" t="b">
        <v>0</v>
      </c>
      <c r="D67" s="140" t="str">
        <v>Z8</v>
      </c>
      <c r="E67" s="250" t="str">
        <f t="shared" si="2"/>
        <v>GBPFUT1MZ8_Quote</v>
      </c>
      <c r="F67" s="251" t="str">
        <f t="shared" si="3"/>
        <v>GBPFUT1MZ8ConvAdj_Quote</v>
      </c>
      <c r="G67" s="250" t="str">
        <f>_xll.qlFuturesConvAdjustmentQuote($F67,IborIndex,$D67,$E67,Volatility,MeanReversion,Permanent,Trigger,ObjectOverwrite)</f>
        <v>GBPFUT1MZ8ConvAdj_Quote#0001</v>
      </c>
      <c r="H67" s="72" t="str">
        <f>_xll.ohRangeRetrieveError(G67)</f>
        <v/>
      </c>
    </row>
    <row r="68" spans="1:8" x14ac:dyDescent="0.2">
      <c r="A68" s="143"/>
      <c r="B68" s="142">
        <v>62</v>
      </c>
      <c r="C68" s="140" t="b">
        <v>0</v>
      </c>
      <c r="D68" s="140" t="str">
        <v>F9</v>
      </c>
      <c r="E68" s="250" t="str">
        <f t="shared" si="2"/>
        <v>GBPFUT1MF9_Quote</v>
      </c>
      <c r="F68" s="251" t="str">
        <f t="shared" si="3"/>
        <v>GBPFUT1MF9ConvAdj_Quote</v>
      </c>
      <c r="G68" s="250" t="str">
        <f>_xll.qlFuturesConvAdjustmentQuote($F68,IborIndex,$D68,$E68,Volatility,MeanReversion,Permanent,Trigger,ObjectOverwrite)</f>
        <v>GBPFUT1MF9ConvAdj_Quote#0001</v>
      </c>
      <c r="H68" s="72" t="str">
        <f>_xll.ohRangeRetrieveError(G68)</f>
        <v/>
      </c>
    </row>
    <row r="69" spans="1:8" x14ac:dyDescent="0.2">
      <c r="A69" s="143"/>
      <c r="B69" s="142">
        <v>63</v>
      </c>
      <c r="C69" s="140" t="b">
        <v>0</v>
      </c>
      <c r="D69" s="140" t="str">
        <v>G9</v>
      </c>
      <c r="E69" s="250" t="str">
        <f t="shared" si="2"/>
        <v>GBPFUT1MG9_Quote</v>
      </c>
      <c r="F69" s="251" t="str">
        <f t="shared" si="3"/>
        <v>GBPFUT1MG9ConvAdj_Quote</v>
      </c>
      <c r="G69" s="250" t="str">
        <f>_xll.qlFuturesConvAdjustmentQuote($F69,IborIndex,$D69,$E69,Volatility,MeanReversion,Permanent,Trigger,ObjectOverwrite)</f>
        <v>GBPFUT1MG9ConvAdj_Quote#0001</v>
      </c>
      <c r="H69" s="72" t="str">
        <f>_xll.ohRangeRetrieveError(G69)</f>
        <v/>
      </c>
    </row>
    <row r="70" spans="1:8" x14ac:dyDescent="0.2">
      <c r="A70" s="143"/>
      <c r="B70" s="142">
        <v>64</v>
      </c>
      <c r="C70" s="140" t="b">
        <v>0</v>
      </c>
      <c r="D70" s="140" t="str">
        <v>H9</v>
      </c>
      <c r="E70" s="250" t="str">
        <f t="shared" si="2"/>
        <v>GBPFUT1MH9_Quote</v>
      </c>
      <c r="F70" s="251" t="str">
        <f t="shared" si="3"/>
        <v>GBPFUT1MH9ConvAdj_Quote</v>
      </c>
      <c r="G70" s="250" t="str">
        <f>_xll.qlFuturesConvAdjustmentQuote($F70,IborIndex,$D70,$E70,Volatility,MeanReversion,Permanent,Trigger,ObjectOverwrite)</f>
        <v>GBPFUT1MH9ConvAdj_Quote#0001</v>
      </c>
      <c r="H70" s="72" t="str">
        <f>_xll.ohRangeRetrieveError(G70)</f>
        <v/>
      </c>
    </row>
    <row r="71" spans="1:8" x14ac:dyDescent="0.2">
      <c r="A71" s="143"/>
      <c r="B71" s="142">
        <v>65</v>
      </c>
      <c r="C71" s="140" t="b">
        <v>0</v>
      </c>
      <c r="D71" s="140" t="str">
        <v>J9</v>
      </c>
      <c r="E71" s="250" t="str">
        <f t="shared" ref="E71:E102" si="4">Currency&amp;"FUT"&amp;$G$4&amp;$D71&amp;QuoteSuffix</f>
        <v>GBPFUT1MJ9_Quote</v>
      </c>
      <c r="F71" s="251" t="str">
        <f t="shared" ref="F71:F102" si="5">Currency&amp;"FUT"&amp;$G$4&amp;$D71&amp;"ConvAdj"&amp;QuoteSuffix</f>
        <v>GBPFUT1MJ9ConvAdj_Quote</v>
      </c>
      <c r="G71" s="250" t="str">
        <f>_xll.qlFuturesConvAdjustmentQuote($F71,IborIndex,$D71,$E71,Volatility,MeanReversion,Permanent,Trigger,ObjectOverwrite)</f>
        <v>GBPFUT1MJ9ConvAdj_Quote#0001</v>
      </c>
      <c r="H71" s="72" t="str">
        <f>_xll.ohRangeRetrieveError(G71)</f>
        <v/>
      </c>
    </row>
    <row r="72" spans="1:8" x14ac:dyDescent="0.2">
      <c r="A72" s="143"/>
      <c r="B72" s="142">
        <v>66</v>
      </c>
      <c r="C72" s="140" t="b">
        <v>0</v>
      </c>
      <c r="D72" s="140" t="str">
        <v>K9</v>
      </c>
      <c r="E72" s="250" t="str">
        <f t="shared" si="4"/>
        <v>GBPFUT1MK9_Quote</v>
      </c>
      <c r="F72" s="251" t="str">
        <f t="shared" si="5"/>
        <v>GBPFUT1MK9ConvAdj_Quote</v>
      </c>
      <c r="G72" s="250" t="str">
        <f>_xll.qlFuturesConvAdjustmentQuote($F72,IborIndex,$D72,$E72,Volatility,MeanReversion,Permanent,Trigger,ObjectOverwrite)</f>
        <v>GBPFUT1MK9ConvAdj_Quote#0001</v>
      </c>
      <c r="H72" s="72" t="str">
        <f>_xll.ohRangeRetrieveError(G72)</f>
        <v/>
      </c>
    </row>
    <row r="73" spans="1:8" x14ac:dyDescent="0.2">
      <c r="A73" s="143"/>
      <c r="B73" s="142">
        <v>67</v>
      </c>
      <c r="C73" s="140" t="b">
        <v>0</v>
      </c>
      <c r="D73" s="140" t="str">
        <v>M9</v>
      </c>
      <c r="E73" s="250" t="str">
        <f t="shared" si="4"/>
        <v>GBPFUT1MM9_Quote</v>
      </c>
      <c r="F73" s="251" t="str">
        <f t="shared" si="5"/>
        <v>GBPFUT1MM9ConvAdj_Quote</v>
      </c>
      <c r="G73" s="250" t="str">
        <f>_xll.qlFuturesConvAdjustmentQuote($F73,IborIndex,$D73,$E73,Volatility,MeanReversion,Permanent,Trigger,ObjectOverwrite)</f>
        <v>GBPFUT1MM9ConvAdj_Quote#0001</v>
      </c>
      <c r="H73" s="72" t="str">
        <f>_xll.ohRangeRetrieveError(G73)</f>
        <v/>
      </c>
    </row>
    <row r="74" spans="1:8" x14ac:dyDescent="0.2">
      <c r="A74" s="143"/>
      <c r="B74" s="142">
        <v>68</v>
      </c>
      <c r="C74" s="140" t="b">
        <v>0</v>
      </c>
      <c r="D74" s="140" t="str">
        <v>N9</v>
      </c>
      <c r="E74" s="250" t="str">
        <f t="shared" si="4"/>
        <v>GBPFUT1MN9_Quote</v>
      </c>
      <c r="F74" s="251" t="str">
        <f t="shared" si="5"/>
        <v>GBPFUT1MN9ConvAdj_Quote</v>
      </c>
      <c r="G74" s="250" t="str">
        <f>_xll.qlFuturesConvAdjustmentQuote($F74,IborIndex,$D74,$E74,Volatility,MeanReversion,Permanent,Trigger,ObjectOverwrite)</f>
        <v>GBPFUT1MN9ConvAdj_Quote#0001</v>
      </c>
      <c r="H74" s="72" t="str">
        <f>_xll.ohRangeRetrieveError(G74)</f>
        <v/>
      </c>
    </row>
    <row r="75" spans="1:8" x14ac:dyDescent="0.2">
      <c r="A75" s="143"/>
      <c r="B75" s="142">
        <v>69</v>
      </c>
      <c r="C75" s="140" t="b">
        <v>0</v>
      </c>
      <c r="D75" s="140" t="str">
        <v>Q9</v>
      </c>
      <c r="E75" s="250" t="str">
        <f t="shared" si="4"/>
        <v>GBPFUT1MQ9_Quote</v>
      </c>
      <c r="F75" s="251" t="str">
        <f t="shared" si="5"/>
        <v>GBPFUT1MQ9ConvAdj_Quote</v>
      </c>
      <c r="G75" s="250" t="str">
        <f>_xll.qlFuturesConvAdjustmentQuote($F75,IborIndex,$D75,$E75,Volatility,MeanReversion,Permanent,Trigger,ObjectOverwrite)</f>
        <v>GBPFUT1MQ9ConvAdj_Quote#0001</v>
      </c>
      <c r="H75" s="72" t="str">
        <f>_xll.ohRangeRetrieveError(G75)</f>
        <v/>
      </c>
    </row>
    <row r="76" spans="1:8" x14ac:dyDescent="0.2">
      <c r="A76" s="143"/>
      <c r="B76" s="142">
        <v>70</v>
      </c>
      <c r="C76" s="140" t="b">
        <v>0</v>
      </c>
      <c r="D76" s="140" t="str">
        <v>U9</v>
      </c>
      <c r="E76" s="250" t="str">
        <f t="shared" si="4"/>
        <v>GBPFUT1MU9_Quote</v>
      </c>
      <c r="F76" s="251" t="str">
        <f t="shared" si="5"/>
        <v>GBPFUT1MU9ConvAdj_Quote</v>
      </c>
      <c r="G76" s="250" t="str">
        <f>_xll.qlFuturesConvAdjustmentQuote($F76,IborIndex,$D76,$E76,Volatility,MeanReversion,Permanent,Trigger,ObjectOverwrite)</f>
        <v>GBPFUT1MU9ConvAdj_Quote#0001</v>
      </c>
      <c r="H76" s="72" t="str">
        <f>_xll.ohRangeRetrieveError(G76)</f>
        <v/>
      </c>
    </row>
    <row r="77" spans="1:8" x14ac:dyDescent="0.2">
      <c r="A77" s="143"/>
      <c r="B77" s="142">
        <v>71</v>
      </c>
      <c r="C77" s="140" t="b">
        <v>0</v>
      </c>
      <c r="D77" s="140" t="str">
        <v>V9</v>
      </c>
      <c r="E77" s="250" t="str">
        <f t="shared" si="4"/>
        <v>GBPFUT1MV9_Quote</v>
      </c>
      <c r="F77" s="251" t="str">
        <f t="shared" si="5"/>
        <v>GBPFUT1MV9ConvAdj_Quote</v>
      </c>
      <c r="G77" s="250" t="str">
        <f>_xll.qlFuturesConvAdjustmentQuote($F77,IborIndex,$D77,$E77,Volatility,MeanReversion,Permanent,Trigger,ObjectOverwrite)</f>
        <v>GBPFUT1MV9ConvAdj_Quote#0001</v>
      </c>
      <c r="H77" s="72" t="str">
        <f>_xll.ohRangeRetrieveError(G77)</f>
        <v/>
      </c>
    </row>
    <row r="78" spans="1:8" x14ac:dyDescent="0.2">
      <c r="A78" s="143"/>
      <c r="B78" s="142">
        <v>72</v>
      </c>
      <c r="C78" s="140" t="b">
        <v>0</v>
      </c>
      <c r="D78" s="140" t="str">
        <v>X9</v>
      </c>
      <c r="E78" s="250" t="str">
        <f t="shared" si="4"/>
        <v>GBPFUT1MX9_Quote</v>
      </c>
      <c r="F78" s="251" t="str">
        <f t="shared" si="5"/>
        <v>GBPFUT1MX9ConvAdj_Quote</v>
      </c>
      <c r="G78" s="250" t="str">
        <f>_xll.qlFuturesConvAdjustmentQuote($F78,IborIndex,$D78,$E78,Volatility,MeanReversion,Permanent,Trigger,ObjectOverwrite)</f>
        <v>GBPFUT1MX9ConvAdj_Quote#0001</v>
      </c>
      <c r="H78" s="72" t="str">
        <f>_xll.ohRangeRetrieveError(G78)</f>
        <v/>
      </c>
    </row>
    <row r="79" spans="1:8" x14ac:dyDescent="0.2">
      <c r="A79" s="143"/>
      <c r="B79" s="142">
        <v>73</v>
      </c>
      <c r="C79" s="140" t="b">
        <v>0</v>
      </c>
      <c r="D79" s="140" t="str">
        <v>Z9</v>
      </c>
      <c r="E79" s="250" t="str">
        <f t="shared" si="4"/>
        <v>GBPFUT1MZ9_Quote</v>
      </c>
      <c r="F79" s="251" t="str">
        <f t="shared" si="5"/>
        <v>GBPFUT1MZ9ConvAdj_Quote</v>
      </c>
      <c r="G79" s="250" t="str">
        <f>_xll.qlFuturesConvAdjustmentQuote($F79,IborIndex,$D79,$E79,Volatility,MeanReversion,Permanent,Trigger,ObjectOverwrite)</f>
        <v>GBPFUT1MZ9ConvAdj_Quote#0001</v>
      </c>
      <c r="H79" s="72" t="str">
        <f>_xll.ohRangeRetrieveError(G79)</f>
        <v/>
      </c>
    </row>
    <row r="80" spans="1:8" x14ac:dyDescent="0.2">
      <c r="A80" s="143"/>
      <c r="B80" s="142">
        <v>74</v>
      </c>
      <c r="C80" s="140" t="b">
        <v>0</v>
      </c>
      <c r="D80" s="140" t="str">
        <v>F0</v>
      </c>
      <c r="E80" s="250" t="str">
        <f t="shared" si="4"/>
        <v>GBPFUT1MF0_Quote</v>
      </c>
      <c r="F80" s="251" t="str">
        <f t="shared" si="5"/>
        <v>GBPFUT1MF0ConvAdj_Quote</v>
      </c>
      <c r="G80" s="250" t="str">
        <f>_xll.qlFuturesConvAdjustmentQuote($F80,IborIndex,$D80,$E80,Volatility,MeanReversion,Permanent,Trigger,ObjectOverwrite)</f>
        <v>GBPFUT1MF0ConvAdj_Quote#0001</v>
      </c>
      <c r="H80" s="72" t="str">
        <f>_xll.ohRangeRetrieveError(G80)</f>
        <v/>
      </c>
    </row>
    <row r="81" spans="1:8" x14ac:dyDescent="0.2">
      <c r="A81" s="143"/>
      <c r="B81" s="142">
        <v>75</v>
      </c>
      <c r="C81" s="140" t="b">
        <v>0</v>
      </c>
      <c r="D81" s="140" t="str">
        <v>G0</v>
      </c>
      <c r="E81" s="250" t="str">
        <f t="shared" si="4"/>
        <v>GBPFUT1MG0_Quote</v>
      </c>
      <c r="F81" s="251" t="str">
        <f t="shared" si="5"/>
        <v>GBPFUT1MG0ConvAdj_Quote</v>
      </c>
      <c r="G81" s="250" t="str">
        <f>_xll.qlFuturesConvAdjustmentQuote($F81,IborIndex,$D81,$E81,Volatility,MeanReversion,Permanent,Trigger,ObjectOverwrite)</f>
        <v>GBPFUT1MG0ConvAdj_Quote#0001</v>
      </c>
      <c r="H81" s="72" t="str">
        <f>_xll.ohRangeRetrieveError(G81)</f>
        <v/>
      </c>
    </row>
    <row r="82" spans="1:8" x14ac:dyDescent="0.2">
      <c r="A82" s="143"/>
      <c r="B82" s="142">
        <v>76</v>
      </c>
      <c r="C82" s="140" t="b">
        <v>0</v>
      </c>
      <c r="D82" s="140" t="str">
        <v>H0</v>
      </c>
      <c r="E82" s="250" t="str">
        <f t="shared" si="4"/>
        <v>GBPFUT1MH0_Quote</v>
      </c>
      <c r="F82" s="251" t="str">
        <f t="shared" si="5"/>
        <v>GBPFUT1MH0ConvAdj_Quote</v>
      </c>
      <c r="G82" s="250" t="str">
        <f>_xll.qlFuturesConvAdjustmentQuote($F82,IborIndex,$D82,$E82,Volatility,MeanReversion,Permanent,Trigger,ObjectOverwrite)</f>
        <v>GBPFUT1MH0ConvAdj_Quote#0001</v>
      </c>
      <c r="H82" s="72" t="str">
        <f>_xll.ohRangeRetrieveError(G82)</f>
        <v/>
      </c>
    </row>
    <row r="83" spans="1:8" x14ac:dyDescent="0.2">
      <c r="A83" s="143"/>
      <c r="B83" s="142">
        <v>77</v>
      </c>
      <c r="C83" s="140" t="b">
        <v>0</v>
      </c>
      <c r="D83" s="140" t="str">
        <v>J0</v>
      </c>
      <c r="E83" s="250" t="str">
        <f t="shared" si="4"/>
        <v>GBPFUT1MJ0_Quote</v>
      </c>
      <c r="F83" s="251" t="str">
        <f t="shared" si="5"/>
        <v>GBPFUT1MJ0ConvAdj_Quote</v>
      </c>
      <c r="G83" s="250" t="str">
        <f>_xll.qlFuturesConvAdjustmentQuote($F83,IborIndex,$D83,$E83,Volatility,MeanReversion,Permanent,Trigger,ObjectOverwrite)</f>
        <v>GBPFUT1MJ0ConvAdj_Quote#0001</v>
      </c>
      <c r="H83" s="72" t="str">
        <f>_xll.ohRangeRetrieveError(G83)</f>
        <v/>
      </c>
    </row>
    <row r="84" spans="1:8" x14ac:dyDescent="0.2">
      <c r="A84" s="143"/>
      <c r="B84" s="142">
        <v>78</v>
      </c>
      <c r="C84" s="140" t="b">
        <v>0</v>
      </c>
      <c r="D84" s="140" t="str">
        <v>K0</v>
      </c>
      <c r="E84" s="250" t="str">
        <f t="shared" si="4"/>
        <v>GBPFUT1MK0_Quote</v>
      </c>
      <c r="F84" s="251" t="str">
        <f t="shared" si="5"/>
        <v>GBPFUT1MK0ConvAdj_Quote</v>
      </c>
      <c r="G84" s="250" t="str">
        <f>_xll.qlFuturesConvAdjustmentQuote($F84,IborIndex,$D84,$E84,Volatility,MeanReversion,Permanent,Trigger,ObjectOverwrite)</f>
        <v>GBPFUT1MK0ConvAdj_Quote#0001</v>
      </c>
      <c r="H84" s="72" t="str">
        <f>_xll.ohRangeRetrieveError(G84)</f>
        <v/>
      </c>
    </row>
    <row r="85" spans="1:8" x14ac:dyDescent="0.2">
      <c r="A85" s="143"/>
      <c r="B85" s="142">
        <v>79</v>
      </c>
      <c r="C85" s="140" t="b">
        <v>0</v>
      </c>
      <c r="D85" s="140" t="str">
        <v>M0</v>
      </c>
      <c r="E85" s="250" t="str">
        <f t="shared" si="4"/>
        <v>GBPFUT1MM0_Quote</v>
      </c>
      <c r="F85" s="251" t="str">
        <f t="shared" si="5"/>
        <v>GBPFUT1MM0ConvAdj_Quote</v>
      </c>
      <c r="G85" s="250" t="str">
        <f>_xll.qlFuturesConvAdjustmentQuote($F85,IborIndex,$D85,$E85,Volatility,MeanReversion,Permanent,Trigger,ObjectOverwrite)</f>
        <v>GBPFUT1MM0ConvAdj_Quote#0001</v>
      </c>
      <c r="H85" s="72" t="str">
        <f>_xll.ohRangeRetrieveError(G85)</f>
        <v/>
      </c>
    </row>
    <row r="86" spans="1:8" x14ac:dyDescent="0.2">
      <c r="A86" s="143"/>
      <c r="B86" s="142">
        <v>80</v>
      </c>
      <c r="C86" s="140" t="b">
        <v>0</v>
      </c>
      <c r="D86" s="140" t="str">
        <v>N0</v>
      </c>
      <c r="E86" s="250" t="str">
        <f t="shared" si="4"/>
        <v>GBPFUT1MN0_Quote</v>
      </c>
      <c r="F86" s="251" t="str">
        <f t="shared" si="5"/>
        <v>GBPFUT1MN0ConvAdj_Quote</v>
      </c>
      <c r="G86" s="250" t="str">
        <f>_xll.qlFuturesConvAdjustmentQuote($F86,IborIndex,$D86,$E86,Volatility,MeanReversion,Permanent,Trigger,ObjectOverwrite)</f>
        <v>GBPFUT1MN0ConvAdj_Quote#0001</v>
      </c>
      <c r="H86" s="72" t="str">
        <f>_xll.ohRangeRetrieveError(G86)</f>
        <v/>
      </c>
    </row>
    <row r="87" spans="1:8" x14ac:dyDescent="0.2">
      <c r="A87" s="143"/>
      <c r="B87" s="142">
        <v>81</v>
      </c>
      <c r="C87" s="140" t="b">
        <v>0</v>
      </c>
      <c r="D87" s="140" t="str">
        <v>Q0</v>
      </c>
      <c r="E87" s="250" t="str">
        <f t="shared" si="4"/>
        <v>GBPFUT1MQ0_Quote</v>
      </c>
      <c r="F87" s="251" t="str">
        <f t="shared" si="5"/>
        <v>GBPFUT1MQ0ConvAdj_Quote</v>
      </c>
      <c r="G87" s="250" t="str">
        <f>_xll.qlFuturesConvAdjustmentQuote($F87,IborIndex,$D87,$E87,Volatility,MeanReversion,Permanent,Trigger,ObjectOverwrite)</f>
        <v>GBPFUT1MQ0ConvAdj_Quote#0001</v>
      </c>
      <c r="H87" s="72" t="str">
        <f>_xll.ohRangeRetrieveError(G87)</f>
        <v/>
      </c>
    </row>
    <row r="88" spans="1:8" x14ac:dyDescent="0.2">
      <c r="A88" s="143"/>
      <c r="B88" s="142">
        <v>82</v>
      </c>
      <c r="C88" s="140" t="b">
        <v>0</v>
      </c>
      <c r="D88" s="140" t="str">
        <v>U0</v>
      </c>
      <c r="E88" s="250" t="str">
        <f t="shared" si="4"/>
        <v>GBPFUT1MU0_Quote</v>
      </c>
      <c r="F88" s="251" t="str">
        <f t="shared" si="5"/>
        <v>GBPFUT1MU0ConvAdj_Quote</v>
      </c>
      <c r="G88" s="250" t="str">
        <f>_xll.qlFuturesConvAdjustmentQuote($F88,IborIndex,$D88,$E88,Volatility,MeanReversion,Permanent,Trigger,ObjectOverwrite)</f>
        <v>GBPFUT1MU0ConvAdj_Quote#0001</v>
      </c>
      <c r="H88" s="72" t="str">
        <f>_xll.ohRangeRetrieveError(G88)</f>
        <v/>
      </c>
    </row>
    <row r="89" spans="1:8" x14ac:dyDescent="0.2">
      <c r="A89" s="143"/>
      <c r="B89" s="142">
        <v>83</v>
      </c>
      <c r="C89" s="140" t="b">
        <v>0</v>
      </c>
      <c r="D89" s="140" t="str">
        <v>V0</v>
      </c>
      <c r="E89" s="250" t="str">
        <f t="shared" si="4"/>
        <v>GBPFUT1MV0_Quote</v>
      </c>
      <c r="F89" s="251" t="str">
        <f t="shared" si="5"/>
        <v>GBPFUT1MV0ConvAdj_Quote</v>
      </c>
      <c r="G89" s="250" t="str">
        <f>_xll.qlFuturesConvAdjustmentQuote($F89,IborIndex,$D89,$E89,Volatility,MeanReversion,Permanent,Trigger,ObjectOverwrite)</f>
        <v>GBPFUT1MV0ConvAdj_Quote#0001</v>
      </c>
      <c r="H89" s="72" t="str">
        <f>_xll.ohRangeRetrieveError(G89)</f>
        <v/>
      </c>
    </row>
    <row r="90" spans="1:8" x14ac:dyDescent="0.2">
      <c r="A90" s="143"/>
      <c r="B90" s="142">
        <v>84</v>
      </c>
      <c r="C90" s="140" t="b">
        <v>0</v>
      </c>
      <c r="D90" s="140" t="str">
        <v>X0</v>
      </c>
      <c r="E90" s="250" t="str">
        <f t="shared" si="4"/>
        <v>GBPFUT1MX0_Quote</v>
      </c>
      <c r="F90" s="251" t="str">
        <f t="shared" si="5"/>
        <v>GBPFUT1MX0ConvAdj_Quote</v>
      </c>
      <c r="G90" s="250" t="str">
        <f>_xll.qlFuturesConvAdjustmentQuote($F90,IborIndex,$D90,$E90,Volatility,MeanReversion,Permanent,Trigger,ObjectOverwrite)</f>
        <v>GBPFUT1MX0ConvAdj_Quote#0001</v>
      </c>
      <c r="H90" s="72" t="str">
        <f>_xll.ohRangeRetrieveError(G90)</f>
        <v/>
      </c>
    </row>
    <row r="91" spans="1:8" x14ac:dyDescent="0.2">
      <c r="A91" s="143"/>
      <c r="B91" s="142">
        <v>85</v>
      </c>
      <c r="C91" s="140" t="b">
        <v>0</v>
      </c>
      <c r="D91" s="140" t="str">
        <v>Z0</v>
      </c>
      <c r="E91" s="250" t="str">
        <f t="shared" si="4"/>
        <v>GBPFUT1MZ0_Quote</v>
      </c>
      <c r="F91" s="251" t="str">
        <f t="shared" si="5"/>
        <v>GBPFUT1MZ0ConvAdj_Quote</v>
      </c>
      <c r="G91" s="250" t="str">
        <f>_xll.qlFuturesConvAdjustmentQuote($F91,IborIndex,$D91,$E91,Volatility,MeanReversion,Permanent,Trigger,ObjectOverwrite)</f>
        <v>GBPFUT1MZ0ConvAdj_Quote#0001</v>
      </c>
      <c r="H91" s="72" t="str">
        <f>_xll.ohRangeRetrieveError(G91)</f>
        <v/>
      </c>
    </row>
    <row r="92" spans="1:8" x14ac:dyDescent="0.2">
      <c r="A92" s="143"/>
      <c r="B92" s="142">
        <v>86</v>
      </c>
      <c r="C92" s="140" t="b">
        <v>0</v>
      </c>
      <c r="D92" s="140" t="str">
        <v>F1</v>
      </c>
      <c r="E92" s="250" t="str">
        <f t="shared" si="4"/>
        <v>GBPFUT1MF1_Quote</v>
      </c>
      <c r="F92" s="251" t="str">
        <f t="shared" si="5"/>
        <v>GBPFUT1MF1ConvAdj_Quote</v>
      </c>
      <c r="G92" s="250" t="str">
        <f>_xll.qlFuturesConvAdjustmentQuote($F92,IborIndex,$D92,$E92,Volatility,MeanReversion,Permanent,Trigger,ObjectOverwrite)</f>
        <v>GBPFUT1MF1ConvAdj_Quote#0001</v>
      </c>
      <c r="H92" s="72" t="str">
        <f>_xll.ohRangeRetrieveError(G92)</f>
        <v/>
      </c>
    </row>
    <row r="93" spans="1:8" x14ac:dyDescent="0.2">
      <c r="A93" s="143"/>
      <c r="B93" s="142">
        <v>87</v>
      </c>
      <c r="C93" s="140" t="b">
        <v>0</v>
      </c>
      <c r="D93" s="140" t="str">
        <v>G1</v>
      </c>
      <c r="E93" s="250" t="str">
        <f t="shared" si="4"/>
        <v>GBPFUT1MG1_Quote</v>
      </c>
      <c r="F93" s="251" t="str">
        <f t="shared" si="5"/>
        <v>GBPFUT1MG1ConvAdj_Quote</v>
      </c>
      <c r="G93" s="250" t="str">
        <f>_xll.qlFuturesConvAdjustmentQuote($F93,IborIndex,$D93,$E93,Volatility,MeanReversion,Permanent,Trigger,ObjectOverwrite)</f>
        <v>GBPFUT1MG1ConvAdj_Quote#0001</v>
      </c>
      <c r="H93" s="72" t="str">
        <f>_xll.ohRangeRetrieveError(G93)</f>
        <v/>
      </c>
    </row>
    <row r="94" spans="1:8" x14ac:dyDescent="0.2">
      <c r="A94" s="143"/>
      <c r="B94" s="142">
        <v>88</v>
      </c>
      <c r="C94" s="140" t="b">
        <v>0</v>
      </c>
      <c r="D94" s="140" t="str">
        <v>H1</v>
      </c>
      <c r="E94" s="250" t="str">
        <f t="shared" si="4"/>
        <v>GBPFUT1MH1_Quote</v>
      </c>
      <c r="F94" s="251" t="str">
        <f t="shared" si="5"/>
        <v>GBPFUT1MH1ConvAdj_Quote</v>
      </c>
      <c r="G94" s="250" t="str">
        <f>_xll.qlFuturesConvAdjustmentQuote($F94,IborIndex,$D94,$E94,Volatility,MeanReversion,Permanent,Trigger,ObjectOverwrite)</f>
        <v>GBPFUT1MH1ConvAdj_Quote#0001</v>
      </c>
      <c r="H94" s="72" t="str">
        <f>_xll.ohRangeRetrieveError(G94)</f>
        <v/>
      </c>
    </row>
    <row r="95" spans="1:8" x14ac:dyDescent="0.2">
      <c r="A95" s="143"/>
      <c r="B95" s="142">
        <v>89</v>
      </c>
      <c r="C95" s="140" t="b">
        <v>0</v>
      </c>
      <c r="D95" s="140" t="str">
        <v>J1</v>
      </c>
      <c r="E95" s="250" t="str">
        <f t="shared" si="4"/>
        <v>GBPFUT1MJ1_Quote</v>
      </c>
      <c r="F95" s="251" t="str">
        <f t="shared" si="5"/>
        <v>GBPFUT1MJ1ConvAdj_Quote</v>
      </c>
      <c r="G95" s="250" t="str">
        <f>_xll.qlFuturesConvAdjustmentQuote($F95,IborIndex,$D95,$E95,Volatility,MeanReversion,Permanent,Trigger,ObjectOverwrite)</f>
        <v>GBPFUT1MJ1ConvAdj_Quote#0001</v>
      </c>
      <c r="H95" s="72" t="str">
        <f>_xll.ohRangeRetrieveError(G95)</f>
        <v/>
      </c>
    </row>
    <row r="96" spans="1:8" x14ac:dyDescent="0.2">
      <c r="A96" s="143"/>
      <c r="B96" s="142">
        <v>90</v>
      </c>
      <c r="C96" s="140" t="b">
        <v>0</v>
      </c>
      <c r="D96" s="140" t="str">
        <v>K1</v>
      </c>
      <c r="E96" s="250" t="str">
        <f t="shared" si="4"/>
        <v>GBPFUT1MK1_Quote</v>
      </c>
      <c r="F96" s="251" t="str">
        <f t="shared" si="5"/>
        <v>GBPFUT1MK1ConvAdj_Quote</v>
      </c>
      <c r="G96" s="250" t="str">
        <f>_xll.qlFuturesConvAdjustmentQuote($F96,IborIndex,$D96,$E96,Volatility,MeanReversion,Permanent,Trigger,ObjectOverwrite)</f>
        <v>GBPFUT1MK1ConvAdj_Quote#0001</v>
      </c>
      <c r="H96" s="72" t="str">
        <f>_xll.ohRangeRetrieveError(G96)</f>
        <v/>
      </c>
    </row>
    <row r="97" spans="1:8" x14ac:dyDescent="0.2">
      <c r="A97" s="143"/>
      <c r="B97" s="142">
        <v>91</v>
      </c>
      <c r="C97" s="140" t="b">
        <v>0</v>
      </c>
      <c r="D97" s="140" t="str">
        <v>M1</v>
      </c>
      <c r="E97" s="250" t="str">
        <f t="shared" si="4"/>
        <v>GBPFUT1MM1_Quote</v>
      </c>
      <c r="F97" s="251" t="str">
        <f t="shared" si="5"/>
        <v>GBPFUT1MM1ConvAdj_Quote</v>
      </c>
      <c r="G97" s="250" t="str">
        <f>_xll.qlFuturesConvAdjustmentQuote($F97,IborIndex,$D97,$E97,Volatility,MeanReversion,Permanent,Trigger,ObjectOverwrite)</f>
        <v>GBPFUT1MM1ConvAdj_Quote#0001</v>
      </c>
      <c r="H97" s="72" t="str">
        <f>_xll.ohRangeRetrieveError(G97)</f>
        <v/>
      </c>
    </row>
    <row r="98" spans="1:8" x14ac:dyDescent="0.2">
      <c r="A98" s="143"/>
      <c r="B98" s="142">
        <v>92</v>
      </c>
      <c r="C98" s="140" t="b">
        <v>0</v>
      </c>
      <c r="D98" s="140" t="str">
        <v>N1</v>
      </c>
      <c r="E98" s="250" t="str">
        <f t="shared" si="4"/>
        <v>GBPFUT1MN1_Quote</v>
      </c>
      <c r="F98" s="251" t="str">
        <f t="shared" si="5"/>
        <v>GBPFUT1MN1ConvAdj_Quote</v>
      </c>
      <c r="G98" s="250" t="str">
        <f>_xll.qlFuturesConvAdjustmentQuote($F98,IborIndex,$D98,$E98,Volatility,MeanReversion,Permanent,Trigger,ObjectOverwrite)</f>
        <v>GBPFUT1MN1ConvAdj_Quote#0001</v>
      </c>
      <c r="H98" s="72" t="str">
        <f>_xll.ohRangeRetrieveError(G98)</f>
        <v/>
      </c>
    </row>
    <row r="99" spans="1:8" x14ac:dyDescent="0.2">
      <c r="A99" s="143"/>
      <c r="B99" s="142">
        <v>93</v>
      </c>
      <c r="C99" s="140" t="b">
        <v>0</v>
      </c>
      <c r="D99" s="140" t="str">
        <v>Q1</v>
      </c>
      <c r="E99" s="250" t="str">
        <f t="shared" si="4"/>
        <v>GBPFUT1MQ1_Quote</v>
      </c>
      <c r="F99" s="251" t="str">
        <f t="shared" si="5"/>
        <v>GBPFUT1MQ1ConvAdj_Quote</v>
      </c>
      <c r="G99" s="250" t="str">
        <f>_xll.qlFuturesConvAdjustmentQuote($F99,IborIndex,$D99,$E99,Volatility,MeanReversion,Permanent,Trigger,ObjectOverwrite)</f>
        <v>GBPFUT1MQ1ConvAdj_Quote#0001</v>
      </c>
      <c r="H99" s="72" t="str">
        <f>_xll.ohRangeRetrieveError(G99)</f>
        <v/>
      </c>
    </row>
    <row r="100" spans="1:8" x14ac:dyDescent="0.2">
      <c r="A100" s="143"/>
      <c r="B100" s="142">
        <v>94</v>
      </c>
      <c r="C100" s="140" t="b">
        <v>0</v>
      </c>
      <c r="D100" s="140" t="str">
        <v>U1</v>
      </c>
      <c r="E100" s="250" t="str">
        <f t="shared" si="4"/>
        <v>GBPFUT1MU1_Quote</v>
      </c>
      <c r="F100" s="251" t="str">
        <f t="shared" si="5"/>
        <v>GBPFUT1MU1ConvAdj_Quote</v>
      </c>
      <c r="G100" s="250" t="str">
        <f>_xll.qlFuturesConvAdjustmentQuote($F100,IborIndex,$D100,$E100,Volatility,MeanReversion,Permanent,Trigger,ObjectOverwrite)</f>
        <v>GBPFUT1MU1ConvAdj_Quote#0001</v>
      </c>
      <c r="H100" s="72" t="str">
        <f>_xll.ohRangeRetrieveError(G100)</f>
        <v/>
      </c>
    </row>
    <row r="101" spans="1:8" x14ac:dyDescent="0.2">
      <c r="A101" s="143"/>
      <c r="B101" s="142">
        <v>95</v>
      </c>
      <c r="C101" s="140" t="b">
        <v>0</v>
      </c>
      <c r="D101" s="140" t="str">
        <v>V1</v>
      </c>
      <c r="E101" s="250" t="str">
        <f t="shared" si="4"/>
        <v>GBPFUT1MV1_Quote</v>
      </c>
      <c r="F101" s="251" t="str">
        <f t="shared" si="5"/>
        <v>GBPFUT1MV1ConvAdj_Quote</v>
      </c>
      <c r="G101" s="250" t="str">
        <f>_xll.qlFuturesConvAdjustmentQuote($F101,IborIndex,$D101,$E101,Volatility,MeanReversion,Permanent,Trigger,ObjectOverwrite)</f>
        <v>GBPFUT1MV1ConvAdj_Quote#0001</v>
      </c>
      <c r="H101" s="72" t="str">
        <f>_xll.ohRangeRetrieveError(G101)</f>
        <v/>
      </c>
    </row>
    <row r="102" spans="1:8" x14ac:dyDescent="0.2">
      <c r="A102" s="143"/>
      <c r="B102" s="142">
        <v>96</v>
      </c>
      <c r="C102" s="140" t="b">
        <v>0</v>
      </c>
      <c r="D102" s="140" t="str">
        <v>X1</v>
      </c>
      <c r="E102" s="250" t="str">
        <f t="shared" si="4"/>
        <v>GBPFUT1MX1_Quote</v>
      </c>
      <c r="F102" s="251" t="str">
        <f t="shared" si="5"/>
        <v>GBPFUT1MX1ConvAdj_Quote</v>
      </c>
      <c r="G102" s="250" t="str">
        <f>_xll.qlFuturesConvAdjustmentQuote($F102,IborIndex,$D102,$E102,Volatility,MeanReversion,Permanent,Trigger,ObjectOverwrite)</f>
        <v>GBPFUT1MX1ConvAdj_Quote#0001</v>
      </c>
      <c r="H102" s="72" t="str">
        <f>_xll.ohRangeRetrieveError(G102)</f>
        <v/>
      </c>
    </row>
    <row r="103" spans="1:8" x14ac:dyDescent="0.2">
      <c r="A103" s="143"/>
      <c r="B103" s="142">
        <v>97</v>
      </c>
      <c r="C103" s="140" t="b">
        <v>0</v>
      </c>
      <c r="D103" s="140" t="str">
        <v>Z1</v>
      </c>
      <c r="E103" s="250" t="str">
        <f t="shared" ref="E103:E126" si="6">Currency&amp;"FUT"&amp;$G$4&amp;$D103&amp;QuoteSuffix</f>
        <v>GBPFUT1MZ1_Quote</v>
      </c>
      <c r="F103" s="251" t="str">
        <f t="shared" ref="F103:F126" si="7">Currency&amp;"FUT"&amp;$G$4&amp;$D103&amp;"ConvAdj"&amp;QuoteSuffix</f>
        <v>GBPFUT1MZ1ConvAdj_Quote</v>
      </c>
      <c r="G103" s="250" t="str">
        <f>_xll.qlFuturesConvAdjustmentQuote($F103,IborIndex,$D103,$E103,Volatility,MeanReversion,Permanent,Trigger,ObjectOverwrite)</f>
        <v>GBPFUT1MZ1ConvAdj_Quote#0001</v>
      </c>
      <c r="H103" s="72" t="str">
        <f>_xll.ohRangeRetrieveError(G103)</f>
        <v/>
      </c>
    </row>
    <row r="104" spans="1:8" x14ac:dyDescent="0.2">
      <c r="A104" s="143"/>
      <c r="B104" s="142">
        <v>98</v>
      </c>
      <c r="C104" s="140" t="b">
        <v>0</v>
      </c>
      <c r="D104" s="140" t="str">
        <v>F2</v>
      </c>
      <c r="E104" s="250" t="str">
        <f t="shared" si="6"/>
        <v>GBPFUT1MF2_Quote</v>
      </c>
      <c r="F104" s="251" t="str">
        <f t="shared" si="7"/>
        <v>GBPFUT1MF2ConvAdj_Quote</v>
      </c>
      <c r="G104" s="250" t="str">
        <f>_xll.qlFuturesConvAdjustmentQuote($F104,IborIndex,$D104,$E104,Volatility,MeanReversion,Permanent,Trigger,ObjectOverwrite)</f>
        <v>GBPFUT1MF2ConvAdj_Quote#0001</v>
      </c>
      <c r="H104" s="72" t="str">
        <f>_xll.ohRangeRetrieveError(G104)</f>
        <v/>
      </c>
    </row>
    <row r="105" spans="1:8" x14ac:dyDescent="0.2">
      <c r="A105" s="143"/>
      <c r="B105" s="142">
        <v>99</v>
      </c>
      <c r="C105" s="140" t="b">
        <v>0</v>
      </c>
      <c r="D105" s="140" t="str">
        <v>G2</v>
      </c>
      <c r="E105" s="250" t="str">
        <f t="shared" si="6"/>
        <v>GBPFUT1MG2_Quote</v>
      </c>
      <c r="F105" s="251" t="str">
        <f t="shared" si="7"/>
        <v>GBPFUT1MG2ConvAdj_Quote</v>
      </c>
      <c r="G105" s="250" t="str">
        <f>_xll.qlFuturesConvAdjustmentQuote($F105,IborIndex,$D105,$E105,Volatility,MeanReversion,Permanent,Trigger,ObjectOverwrite)</f>
        <v>GBPFUT1MG2ConvAdj_Quote#0001</v>
      </c>
      <c r="H105" s="72" t="str">
        <f>_xll.ohRangeRetrieveError(G105)</f>
        <v/>
      </c>
    </row>
    <row r="106" spans="1:8" x14ac:dyDescent="0.2">
      <c r="A106" s="143"/>
      <c r="B106" s="142">
        <v>100</v>
      </c>
      <c r="C106" s="140" t="b">
        <v>0</v>
      </c>
      <c r="D106" s="140" t="str">
        <v>H2</v>
      </c>
      <c r="E106" s="250" t="str">
        <f t="shared" si="6"/>
        <v>GBPFUT1MH2_Quote</v>
      </c>
      <c r="F106" s="251" t="str">
        <f t="shared" si="7"/>
        <v>GBPFUT1MH2ConvAdj_Quote</v>
      </c>
      <c r="G106" s="250" t="str">
        <f>_xll.qlFuturesConvAdjustmentQuote($F106,IborIndex,$D106,$E106,Volatility,MeanReversion,Permanent,Trigger,ObjectOverwrite)</f>
        <v>GBPFUT1MH2ConvAdj_Quote#0001</v>
      </c>
      <c r="H106" s="72" t="str">
        <f>_xll.ohRangeRetrieveError(G106)</f>
        <v/>
      </c>
    </row>
    <row r="107" spans="1:8" x14ac:dyDescent="0.2">
      <c r="A107" s="143"/>
      <c r="B107" s="142">
        <v>101</v>
      </c>
      <c r="C107" s="140" t="b">
        <v>0</v>
      </c>
      <c r="D107" s="140" t="str">
        <v>J2</v>
      </c>
      <c r="E107" s="250" t="str">
        <f t="shared" si="6"/>
        <v>GBPFUT1MJ2_Quote</v>
      </c>
      <c r="F107" s="251" t="str">
        <f t="shared" si="7"/>
        <v>GBPFUT1MJ2ConvAdj_Quote</v>
      </c>
      <c r="G107" s="250" t="str">
        <f>_xll.qlFuturesConvAdjustmentQuote($F107,IborIndex,$D107,$E107,Volatility,MeanReversion,Permanent,Trigger,ObjectOverwrite)</f>
        <v>GBPFUT1MJ2ConvAdj_Quote#0001</v>
      </c>
      <c r="H107" s="72" t="str">
        <f>_xll.ohRangeRetrieveError(G107)</f>
        <v/>
      </c>
    </row>
    <row r="108" spans="1:8" x14ac:dyDescent="0.2">
      <c r="A108" s="143"/>
      <c r="B108" s="142">
        <v>102</v>
      </c>
      <c r="C108" s="140" t="b">
        <v>0</v>
      </c>
      <c r="D108" s="140" t="str">
        <v>K2</v>
      </c>
      <c r="E108" s="250" t="str">
        <f t="shared" si="6"/>
        <v>GBPFUT1MK2_Quote</v>
      </c>
      <c r="F108" s="251" t="str">
        <f t="shared" si="7"/>
        <v>GBPFUT1MK2ConvAdj_Quote</v>
      </c>
      <c r="G108" s="250" t="str">
        <f>_xll.qlFuturesConvAdjustmentQuote($F108,IborIndex,$D108,$E108,Volatility,MeanReversion,Permanent,Trigger,ObjectOverwrite)</f>
        <v>GBPFUT1MK2ConvAdj_Quote#0001</v>
      </c>
      <c r="H108" s="72" t="str">
        <f>_xll.ohRangeRetrieveError(G108)</f>
        <v/>
      </c>
    </row>
    <row r="109" spans="1:8" x14ac:dyDescent="0.2">
      <c r="A109" s="143"/>
      <c r="B109" s="142">
        <v>103</v>
      </c>
      <c r="C109" s="140" t="b">
        <v>0</v>
      </c>
      <c r="D109" s="140" t="str">
        <v>M2</v>
      </c>
      <c r="E109" s="250" t="str">
        <f t="shared" si="6"/>
        <v>GBPFUT1MM2_Quote</v>
      </c>
      <c r="F109" s="251" t="str">
        <f t="shared" si="7"/>
        <v>GBPFUT1MM2ConvAdj_Quote</v>
      </c>
      <c r="G109" s="250" t="str">
        <f>_xll.qlFuturesConvAdjustmentQuote($F109,IborIndex,$D109,$E109,Volatility,MeanReversion,Permanent,Trigger,ObjectOverwrite)</f>
        <v>GBPFUT1MM2ConvAdj_Quote#0001</v>
      </c>
      <c r="H109" s="72" t="str">
        <f>_xll.ohRangeRetrieveError(G109)</f>
        <v/>
      </c>
    </row>
    <row r="110" spans="1:8" x14ac:dyDescent="0.2">
      <c r="A110" s="143"/>
      <c r="B110" s="142">
        <v>104</v>
      </c>
      <c r="C110" s="140" t="b">
        <v>0</v>
      </c>
      <c r="D110" s="140" t="str">
        <v>N2</v>
      </c>
      <c r="E110" s="250" t="str">
        <f t="shared" si="6"/>
        <v>GBPFUT1MN2_Quote</v>
      </c>
      <c r="F110" s="251" t="str">
        <f t="shared" si="7"/>
        <v>GBPFUT1MN2ConvAdj_Quote</v>
      </c>
      <c r="G110" s="250" t="str">
        <f>_xll.qlFuturesConvAdjustmentQuote($F110,IborIndex,$D110,$E110,Volatility,MeanReversion,Permanent,Trigger,ObjectOverwrite)</f>
        <v>GBPFUT1MN2ConvAdj_Quote#0001</v>
      </c>
      <c r="H110" s="72" t="str">
        <f>_xll.ohRangeRetrieveError(G110)</f>
        <v/>
      </c>
    </row>
    <row r="111" spans="1:8" x14ac:dyDescent="0.2">
      <c r="A111" s="143"/>
      <c r="B111" s="142">
        <v>105</v>
      </c>
      <c r="C111" s="140" t="b">
        <v>0</v>
      </c>
      <c r="D111" s="140" t="str">
        <v>Q2</v>
      </c>
      <c r="E111" s="250" t="str">
        <f t="shared" si="6"/>
        <v>GBPFUT1MQ2_Quote</v>
      </c>
      <c r="F111" s="251" t="str">
        <f t="shared" si="7"/>
        <v>GBPFUT1MQ2ConvAdj_Quote</v>
      </c>
      <c r="G111" s="250" t="str">
        <f>_xll.qlFuturesConvAdjustmentQuote($F111,IborIndex,$D111,$E111,Volatility,MeanReversion,Permanent,Trigger,ObjectOverwrite)</f>
        <v>GBPFUT1MQ2ConvAdj_Quote#0001</v>
      </c>
      <c r="H111" s="72" t="str">
        <f>_xll.ohRangeRetrieveError(G111)</f>
        <v/>
      </c>
    </row>
    <row r="112" spans="1:8" x14ac:dyDescent="0.2">
      <c r="A112" s="143"/>
      <c r="B112" s="142">
        <v>106</v>
      </c>
      <c r="C112" s="140" t="b">
        <v>0</v>
      </c>
      <c r="D112" s="140" t="str">
        <v>U2</v>
      </c>
      <c r="E112" s="250" t="str">
        <f t="shared" si="6"/>
        <v>GBPFUT1MU2_Quote</v>
      </c>
      <c r="F112" s="251" t="str">
        <f t="shared" si="7"/>
        <v>GBPFUT1MU2ConvAdj_Quote</v>
      </c>
      <c r="G112" s="250" t="str">
        <f>_xll.qlFuturesConvAdjustmentQuote($F112,IborIndex,$D112,$E112,Volatility,MeanReversion,Permanent,Trigger,ObjectOverwrite)</f>
        <v>GBPFUT1MU2ConvAdj_Quote#0001</v>
      </c>
      <c r="H112" s="72" t="str">
        <f>_xll.ohRangeRetrieveError(G112)</f>
        <v/>
      </c>
    </row>
    <row r="113" spans="1:8" x14ac:dyDescent="0.2">
      <c r="A113" s="143"/>
      <c r="B113" s="142">
        <v>107</v>
      </c>
      <c r="C113" s="140" t="b">
        <v>0</v>
      </c>
      <c r="D113" s="140" t="str">
        <v>V2</v>
      </c>
      <c r="E113" s="250" t="str">
        <f t="shared" si="6"/>
        <v>GBPFUT1MV2_Quote</v>
      </c>
      <c r="F113" s="251" t="str">
        <f t="shared" si="7"/>
        <v>GBPFUT1MV2ConvAdj_Quote</v>
      </c>
      <c r="G113" s="250" t="str">
        <f>_xll.qlFuturesConvAdjustmentQuote($F113,IborIndex,$D113,$E113,Volatility,MeanReversion,Permanent,Trigger,ObjectOverwrite)</f>
        <v>GBPFUT1MV2ConvAdj_Quote#0001</v>
      </c>
      <c r="H113" s="72" t="str">
        <f>_xll.ohRangeRetrieveError(G113)</f>
        <v/>
      </c>
    </row>
    <row r="114" spans="1:8" x14ac:dyDescent="0.2">
      <c r="A114" s="143"/>
      <c r="B114" s="142">
        <v>108</v>
      </c>
      <c r="C114" s="140" t="b">
        <v>0</v>
      </c>
      <c r="D114" s="140" t="str">
        <v>X2</v>
      </c>
      <c r="E114" s="250" t="str">
        <f t="shared" si="6"/>
        <v>GBPFUT1MX2_Quote</v>
      </c>
      <c r="F114" s="251" t="str">
        <f t="shared" si="7"/>
        <v>GBPFUT1MX2ConvAdj_Quote</v>
      </c>
      <c r="G114" s="250" t="str">
        <f>_xll.qlFuturesConvAdjustmentQuote($F114,IborIndex,$D114,$E114,Volatility,MeanReversion,Permanent,Trigger,ObjectOverwrite)</f>
        <v>GBPFUT1MX2ConvAdj_Quote#0001</v>
      </c>
      <c r="H114" s="72" t="str">
        <f>_xll.ohRangeRetrieveError(G114)</f>
        <v/>
      </c>
    </row>
    <row r="115" spans="1:8" x14ac:dyDescent="0.2">
      <c r="A115" s="143"/>
      <c r="B115" s="142">
        <v>109</v>
      </c>
      <c r="C115" s="140" t="b">
        <v>0</v>
      </c>
      <c r="D115" s="140" t="str">
        <v>Z2</v>
      </c>
      <c r="E115" s="250" t="str">
        <f t="shared" si="6"/>
        <v>GBPFUT1MZ2_Quote</v>
      </c>
      <c r="F115" s="251" t="str">
        <f t="shared" si="7"/>
        <v>GBPFUT1MZ2ConvAdj_Quote</v>
      </c>
      <c r="G115" s="250" t="str">
        <f>_xll.qlFuturesConvAdjustmentQuote($F115,IborIndex,$D115,$E115,Volatility,MeanReversion,Permanent,Trigger,ObjectOverwrite)</f>
        <v>GBPFUT1MZ2ConvAdj_Quote#0001</v>
      </c>
      <c r="H115" s="72" t="str">
        <f>_xll.ohRangeRetrieveError(G115)</f>
        <v/>
      </c>
    </row>
    <row r="116" spans="1:8" x14ac:dyDescent="0.2">
      <c r="A116" s="143"/>
      <c r="B116" s="142">
        <v>110</v>
      </c>
      <c r="C116" s="140" t="b">
        <v>0</v>
      </c>
      <c r="D116" s="140" t="str">
        <v>F3</v>
      </c>
      <c r="E116" s="250" t="str">
        <f t="shared" si="6"/>
        <v>GBPFUT1MF3_Quote</v>
      </c>
      <c r="F116" s="251" t="str">
        <f t="shared" si="7"/>
        <v>GBPFUT1MF3ConvAdj_Quote</v>
      </c>
      <c r="G116" s="250" t="str">
        <f>_xll.qlFuturesConvAdjustmentQuote($F116,IborIndex,$D116,$E116,Volatility,MeanReversion,Permanent,Trigger,ObjectOverwrite)</f>
        <v>GBPFUT1MF3ConvAdj_Quote#0001</v>
      </c>
      <c r="H116" s="72" t="str">
        <f>_xll.ohRangeRetrieveError(G116)</f>
        <v/>
      </c>
    </row>
    <row r="117" spans="1:8" x14ac:dyDescent="0.2">
      <c r="A117" s="143"/>
      <c r="B117" s="142">
        <v>111</v>
      </c>
      <c r="C117" s="140" t="b">
        <v>0</v>
      </c>
      <c r="D117" s="140" t="str">
        <v>G3</v>
      </c>
      <c r="E117" s="250" t="str">
        <f t="shared" si="6"/>
        <v>GBPFUT1MG3_Quote</v>
      </c>
      <c r="F117" s="251" t="str">
        <f t="shared" si="7"/>
        <v>GBPFUT1MG3ConvAdj_Quote</v>
      </c>
      <c r="G117" s="250" t="str">
        <f>_xll.qlFuturesConvAdjustmentQuote($F117,IborIndex,$D117,$E117,Volatility,MeanReversion,Permanent,Trigger,ObjectOverwrite)</f>
        <v>GBPFUT1MG3ConvAdj_Quote#0001</v>
      </c>
      <c r="H117" s="72" t="str">
        <f>_xll.ohRangeRetrieveError(G117)</f>
        <v/>
      </c>
    </row>
    <row r="118" spans="1:8" x14ac:dyDescent="0.2">
      <c r="A118" s="143"/>
      <c r="B118" s="142">
        <v>112</v>
      </c>
      <c r="C118" s="140" t="b">
        <v>0</v>
      </c>
      <c r="D118" s="140" t="str">
        <v>H3</v>
      </c>
      <c r="E118" s="250" t="str">
        <f t="shared" si="6"/>
        <v>GBPFUT1MH3_Quote</v>
      </c>
      <c r="F118" s="251" t="str">
        <f t="shared" si="7"/>
        <v>GBPFUT1MH3ConvAdj_Quote</v>
      </c>
      <c r="G118" s="250" t="str">
        <f>_xll.qlFuturesConvAdjustmentQuote($F118,IborIndex,$D118,$E118,Volatility,MeanReversion,Permanent,Trigger,ObjectOverwrite)</f>
        <v>GBPFUT1MH3ConvAdj_Quote#0001</v>
      </c>
      <c r="H118" s="72" t="str">
        <f>_xll.ohRangeRetrieveError(G118)</f>
        <v/>
      </c>
    </row>
    <row r="119" spans="1:8" x14ac:dyDescent="0.2">
      <c r="A119" s="143"/>
      <c r="B119" s="142">
        <v>113</v>
      </c>
      <c r="C119" s="140" t="b">
        <v>0</v>
      </c>
      <c r="D119" s="140" t="str">
        <v>J3</v>
      </c>
      <c r="E119" s="250" t="str">
        <f t="shared" si="6"/>
        <v>GBPFUT1MJ3_Quote</v>
      </c>
      <c r="F119" s="251" t="str">
        <f t="shared" si="7"/>
        <v>GBPFUT1MJ3ConvAdj_Quote</v>
      </c>
      <c r="G119" s="250" t="str">
        <f>_xll.qlFuturesConvAdjustmentQuote($F119,IborIndex,$D119,$E119,Volatility,MeanReversion,Permanent,Trigger,ObjectOverwrite)</f>
        <v>GBPFUT1MJ3ConvAdj_Quote#0001</v>
      </c>
      <c r="H119" s="72" t="str">
        <f>_xll.ohRangeRetrieveError(G119)</f>
        <v/>
      </c>
    </row>
    <row r="120" spans="1:8" x14ac:dyDescent="0.2">
      <c r="A120" s="143"/>
      <c r="B120" s="142">
        <v>114</v>
      </c>
      <c r="C120" s="140" t="b">
        <v>0</v>
      </c>
      <c r="D120" s="140" t="str">
        <v>K3</v>
      </c>
      <c r="E120" s="250" t="str">
        <f t="shared" si="6"/>
        <v>GBPFUT1MK3_Quote</v>
      </c>
      <c r="F120" s="251" t="str">
        <f t="shared" si="7"/>
        <v>GBPFUT1MK3ConvAdj_Quote</v>
      </c>
      <c r="G120" s="250" t="str">
        <f>_xll.qlFuturesConvAdjustmentQuote($F120,IborIndex,$D120,$E120,Volatility,MeanReversion,Permanent,Trigger,ObjectOverwrite)</f>
        <v>GBPFUT1MK3ConvAdj_Quote#0001</v>
      </c>
      <c r="H120" s="72" t="str">
        <f>_xll.ohRangeRetrieveError(G120)</f>
        <v/>
      </c>
    </row>
    <row r="121" spans="1:8" x14ac:dyDescent="0.2">
      <c r="A121" s="143"/>
      <c r="B121" s="142">
        <v>115</v>
      </c>
      <c r="C121" s="140" t="b">
        <v>0</v>
      </c>
      <c r="D121" s="140" t="str">
        <v>M3</v>
      </c>
      <c r="E121" s="250" t="str">
        <f t="shared" si="6"/>
        <v>GBPFUT1MM3_Quote</v>
      </c>
      <c r="F121" s="251" t="str">
        <f t="shared" si="7"/>
        <v>GBPFUT1MM3ConvAdj_Quote</v>
      </c>
      <c r="G121" s="250" t="str">
        <f>_xll.qlFuturesConvAdjustmentQuote($F121,IborIndex,$D121,$E121,Volatility,MeanReversion,Permanent,Trigger,ObjectOverwrite)</f>
        <v>GBPFUT1MM3ConvAdj_Quote#0001</v>
      </c>
      <c r="H121" s="72" t="str">
        <f>_xll.ohRangeRetrieveError(G121)</f>
        <v/>
      </c>
    </row>
    <row r="122" spans="1:8" x14ac:dyDescent="0.2">
      <c r="A122" s="143"/>
      <c r="B122" s="142">
        <v>116</v>
      </c>
      <c r="C122" s="140" t="b">
        <v>0</v>
      </c>
      <c r="D122" s="140" t="str">
        <v>N3</v>
      </c>
      <c r="E122" s="250" t="str">
        <f t="shared" si="6"/>
        <v>GBPFUT1MN3_Quote</v>
      </c>
      <c r="F122" s="251" t="str">
        <f t="shared" si="7"/>
        <v>GBPFUT1MN3ConvAdj_Quote</v>
      </c>
      <c r="G122" s="250" t="str">
        <f>_xll.qlFuturesConvAdjustmentQuote($F122,IborIndex,$D122,$E122,Volatility,MeanReversion,Permanent,Trigger,ObjectOverwrite)</f>
        <v>GBPFUT1MN3ConvAdj_Quote#0001</v>
      </c>
      <c r="H122" s="72" t="str">
        <f>_xll.ohRangeRetrieveError(G122)</f>
        <v/>
      </c>
    </row>
    <row r="123" spans="1:8" x14ac:dyDescent="0.2">
      <c r="A123" s="143"/>
      <c r="B123" s="142">
        <v>117</v>
      </c>
      <c r="C123" s="140" t="b">
        <v>0</v>
      </c>
      <c r="D123" s="140" t="str">
        <v>Q3</v>
      </c>
      <c r="E123" s="250" t="str">
        <f t="shared" si="6"/>
        <v>GBPFUT1MQ3_Quote</v>
      </c>
      <c r="F123" s="251" t="str">
        <f t="shared" si="7"/>
        <v>GBPFUT1MQ3ConvAdj_Quote</v>
      </c>
      <c r="G123" s="250" t="str">
        <f>_xll.qlFuturesConvAdjustmentQuote($F123,IborIndex,$D123,$E123,Volatility,MeanReversion,Permanent,Trigger,ObjectOverwrite)</f>
        <v>GBPFUT1MQ3ConvAdj_Quote#0001</v>
      </c>
      <c r="H123" s="72" t="str">
        <f>_xll.ohRangeRetrieveError(G123)</f>
        <v/>
      </c>
    </row>
    <row r="124" spans="1:8" x14ac:dyDescent="0.2">
      <c r="A124" s="143"/>
      <c r="B124" s="142">
        <v>118</v>
      </c>
      <c r="C124" s="140" t="b">
        <v>0</v>
      </c>
      <c r="D124" s="140" t="str">
        <v>U3</v>
      </c>
      <c r="E124" s="250" t="str">
        <f t="shared" si="6"/>
        <v>GBPFUT1MU3_Quote</v>
      </c>
      <c r="F124" s="251" t="str">
        <f t="shared" si="7"/>
        <v>GBPFUT1MU3ConvAdj_Quote</v>
      </c>
      <c r="G124" s="250" t="str">
        <f>_xll.qlFuturesConvAdjustmentQuote($F124,IborIndex,$D124,$E124,Volatility,MeanReversion,Permanent,Trigger,ObjectOverwrite)</f>
        <v>GBPFUT1MU3ConvAdj_Quote#0001</v>
      </c>
      <c r="H124" s="72" t="str">
        <f>_xll.ohRangeRetrieveError(G124)</f>
        <v/>
      </c>
    </row>
    <row r="125" spans="1:8" x14ac:dyDescent="0.2">
      <c r="A125" s="143"/>
      <c r="B125" s="142">
        <v>119</v>
      </c>
      <c r="C125" s="140" t="b">
        <v>0</v>
      </c>
      <c r="D125" s="140" t="str">
        <v>V3</v>
      </c>
      <c r="E125" s="250" t="str">
        <f t="shared" si="6"/>
        <v>GBPFUT1MV3_Quote</v>
      </c>
      <c r="F125" s="251" t="str">
        <f t="shared" si="7"/>
        <v>GBPFUT1MV3ConvAdj_Quote</v>
      </c>
      <c r="G125" s="250" t="str">
        <f>_xll.qlFuturesConvAdjustmentQuote($F125,IborIndex,$D125,$E125,Volatility,MeanReversion,Permanent,Trigger,ObjectOverwrite)</f>
        <v>GBPFUT1MV3ConvAdj_Quote#0001</v>
      </c>
      <c r="H125" s="72" t="str">
        <f>_xll.ohRangeRetrieveError(G125)</f>
        <v/>
      </c>
    </row>
    <row r="126" spans="1:8" ht="12" thickBot="1" x14ac:dyDescent="0.25">
      <c r="A126" s="136"/>
      <c r="B126" s="142">
        <v>120</v>
      </c>
      <c r="C126" s="140" t="b">
        <v>0</v>
      </c>
      <c r="D126" s="140" t="str">
        <v>X3</v>
      </c>
      <c r="E126" s="250" t="str">
        <f t="shared" si="6"/>
        <v>GBPFUT1MX3_Quote</v>
      </c>
      <c r="F126" s="251" t="str">
        <f t="shared" si="7"/>
        <v>GBPFUT1MX3ConvAdj_Quote</v>
      </c>
      <c r="G126" s="250" t="str">
        <f>_xll.qlFuturesConvAdjustmentQuote($F126,IborIndex,$D126,$E126,Volatility,MeanReversion,Permanent,Trigger,ObjectOverwrite)</f>
        <v>GBPFUT1MX3ConvAdj_Quote#0001</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353</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GBPFUT3MZ3_Quote</v>
      </c>
      <c r="F7" s="251" t="str">
        <f t="shared" ref="F7:F38" si="1">Currency&amp;"FUT"&amp;$G$4&amp;$D7&amp;"ConvAdj"&amp;QuoteSuffix</f>
        <v>GBPFUT3MZ3ConvAdj_Quote</v>
      </c>
      <c r="G7" s="250" t="str">
        <f>_xll.qlFuturesConvAdjustmentQuote($F7,IborIndex,$D7,$E7,Volatility,MeanReversion,Permanent,Trigger,ObjectOverwrite)</f>
        <v>GBPFUT3MZ3ConvAdj_Quote#0001</v>
      </c>
      <c r="H7" s="72" t="str">
        <f>_xll.ohRangeRetrieveError(G7)</f>
        <v/>
      </c>
    </row>
    <row r="8" spans="1:8" x14ac:dyDescent="0.2">
      <c r="A8" s="143"/>
      <c r="B8" s="142">
        <v>2</v>
      </c>
      <c r="C8" s="140" t="b">
        <v>0</v>
      </c>
      <c r="D8" s="140" t="str">
        <v>F4</v>
      </c>
      <c r="E8" s="250" t="str">
        <f t="shared" si="0"/>
        <v>GBPFUT3MF4_Quote</v>
      </c>
      <c r="F8" s="251" t="str">
        <f t="shared" si="1"/>
        <v>GBPFUT3MF4ConvAdj_Quote</v>
      </c>
      <c r="G8" s="250" t="str">
        <f>_xll.qlFuturesConvAdjustmentQuote($F8,IborIndex,$D8,$E8,Volatility,MeanReversion,Permanent,Trigger,ObjectOverwrite)</f>
        <v>GBPFUT3MF4ConvAdj_Quote#0001</v>
      </c>
      <c r="H8" s="72" t="str">
        <f>_xll.ohRangeRetrieveError(G8)</f>
        <v/>
      </c>
    </row>
    <row r="9" spans="1:8" x14ac:dyDescent="0.2">
      <c r="A9" s="143"/>
      <c r="B9" s="142">
        <v>3</v>
      </c>
      <c r="C9" s="140" t="b">
        <v>0</v>
      </c>
      <c r="D9" s="140" t="str">
        <v>G4</v>
      </c>
      <c r="E9" s="250" t="str">
        <f t="shared" si="0"/>
        <v>GBPFUT3MG4_Quote</v>
      </c>
      <c r="F9" s="251" t="str">
        <f t="shared" si="1"/>
        <v>GBPFUT3MG4ConvAdj_Quote</v>
      </c>
      <c r="G9" s="250" t="str">
        <f>_xll.qlFuturesConvAdjustmentQuote($F9,IborIndex,$D9,$E9,Volatility,MeanReversion,Permanent,Trigger,ObjectOverwrite)</f>
        <v>GBPFUT3MG4ConvAdj_Quote#0001</v>
      </c>
      <c r="H9" s="72" t="str">
        <f>_xll.ohRangeRetrieveError(G9)</f>
        <v/>
      </c>
    </row>
    <row r="10" spans="1:8" x14ac:dyDescent="0.2">
      <c r="A10" s="143"/>
      <c r="B10" s="142">
        <v>4</v>
      </c>
      <c r="C10" s="140" t="b">
        <v>0</v>
      </c>
      <c r="D10" s="140" t="str">
        <v>H4</v>
      </c>
      <c r="E10" s="250" t="str">
        <f t="shared" si="0"/>
        <v>GBPFUT3MH4_Quote</v>
      </c>
      <c r="F10" s="251" t="str">
        <f t="shared" si="1"/>
        <v>GBPFUT3MH4ConvAdj_Quote</v>
      </c>
      <c r="G10" s="250" t="str">
        <f>_xll.qlFuturesConvAdjustmentQuote($F10,IborIndex,$D10,$E10,Volatility,MeanReversion,Permanent,Trigger,ObjectOverwrite)</f>
        <v>GBPFUT3MH4ConvAdj_Quote#0001</v>
      </c>
      <c r="H10" s="72" t="str">
        <f>_xll.ohRangeRetrieveError(G10)</f>
        <v/>
      </c>
    </row>
    <row r="11" spans="1:8" x14ac:dyDescent="0.2">
      <c r="A11" s="143"/>
      <c r="B11" s="142">
        <v>5</v>
      </c>
      <c r="C11" s="140" t="b">
        <v>0</v>
      </c>
      <c r="D11" s="140" t="str">
        <v>J4</v>
      </c>
      <c r="E11" s="250" t="str">
        <f t="shared" si="0"/>
        <v>GBPFUT3MJ4_Quote</v>
      </c>
      <c r="F11" s="251" t="str">
        <f t="shared" si="1"/>
        <v>GBPFUT3MJ4ConvAdj_Quote</v>
      </c>
      <c r="G11" s="250" t="str">
        <f>_xll.qlFuturesConvAdjustmentQuote($F11,IborIndex,$D11,$E11,Volatility,MeanReversion,Permanent,Trigger,ObjectOverwrite)</f>
        <v>GBPFUT3MJ4ConvAdj_Quote#0001</v>
      </c>
      <c r="H11" s="72" t="str">
        <f>_xll.ohRangeRetrieveError(G11)</f>
        <v/>
      </c>
    </row>
    <row r="12" spans="1:8" x14ac:dyDescent="0.2">
      <c r="A12" s="143"/>
      <c r="B12" s="142">
        <v>6</v>
      </c>
      <c r="C12" s="140" t="b">
        <v>0</v>
      </c>
      <c r="D12" s="140" t="str">
        <v>K4</v>
      </c>
      <c r="E12" s="250" t="str">
        <f t="shared" si="0"/>
        <v>GBPFUT3MK4_Quote</v>
      </c>
      <c r="F12" s="251" t="str">
        <f t="shared" si="1"/>
        <v>GBPFUT3MK4ConvAdj_Quote</v>
      </c>
      <c r="G12" s="250" t="str">
        <f>_xll.qlFuturesConvAdjustmentQuote($F12,IborIndex,$D12,$E12,Volatility,MeanReversion,Permanent,Trigger,ObjectOverwrite)</f>
        <v>GBPFUT3MK4ConvAdj_Quote#0001</v>
      </c>
      <c r="H12" s="72" t="str">
        <f>_xll.ohRangeRetrieveError(G12)</f>
        <v/>
      </c>
    </row>
    <row r="13" spans="1:8" x14ac:dyDescent="0.2">
      <c r="A13" s="143"/>
      <c r="B13" s="142">
        <v>7</v>
      </c>
      <c r="C13" s="140" t="b">
        <v>0</v>
      </c>
      <c r="D13" s="140" t="str">
        <v>M4</v>
      </c>
      <c r="E13" s="250" t="str">
        <f t="shared" si="0"/>
        <v>GBPFUT3MM4_Quote</v>
      </c>
      <c r="F13" s="251" t="str">
        <f t="shared" si="1"/>
        <v>GBPFUT3MM4ConvAdj_Quote</v>
      </c>
      <c r="G13" s="250" t="str">
        <f>_xll.qlFuturesConvAdjustmentQuote($F13,IborIndex,$D13,$E13,Volatility,MeanReversion,Permanent,Trigger,ObjectOverwrite)</f>
        <v>GBPFUT3MM4ConvAdj_Quote#0001</v>
      </c>
      <c r="H13" s="72" t="str">
        <f>_xll.ohRangeRetrieveError(G13)</f>
        <v/>
      </c>
    </row>
    <row r="14" spans="1:8" x14ac:dyDescent="0.2">
      <c r="A14" s="143"/>
      <c r="B14" s="142">
        <v>8</v>
      </c>
      <c r="C14" s="140" t="b">
        <v>0</v>
      </c>
      <c r="D14" s="140" t="str">
        <v>N4</v>
      </c>
      <c r="E14" s="250" t="str">
        <f t="shared" si="0"/>
        <v>GBPFUT3MN4_Quote</v>
      </c>
      <c r="F14" s="251" t="str">
        <f t="shared" si="1"/>
        <v>GBPFUT3MN4ConvAdj_Quote</v>
      </c>
      <c r="G14" s="250" t="str">
        <f>_xll.qlFuturesConvAdjustmentQuote($F14,IborIndex,$D14,$E14,Volatility,MeanReversion,Permanent,Trigger,ObjectOverwrite)</f>
        <v>GBPFUT3MN4ConvAdj_Quote#0001</v>
      </c>
      <c r="H14" s="72" t="str">
        <f>_xll.ohRangeRetrieveError(G14)</f>
        <v/>
      </c>
    </row>
    <row r="15" spans="1:8" x14ac:dyDescent="0.2">
      <c r="A15" s="143"/>
      <c r="B15" s="142">
        <v>9</v>
      </c>
      <c r="C15" s="140" t="b">
        <v>0</v>
      </c>
      <c r="D15" s="140" t="str">
        <v>Q4</v>
      </c>
      <c r="E15" s="250" t="str">
        <f t="shared" si="0"/>
        <v>GBPFUT3MQ4_Quote</v>
      </c>
      <c r="F15" s="251" t="str">
        <f t="shared" si="1"/>
        <v>GBPFUT3MQ4ConvAdj_Quote</v>
      </c>
      <c r="G15" s="250" t="str">
        <f>_xll.qlFuturesConvAdjustmentQuote($F15,IborIndex,$D15,$E15,Volatility,MeanReversion,Permanent,Trigger,ObjectOverwrite)</f>
        <v>GBPFUT3MQ4ConvAdj_Quote#0001</v>
      </c>
      <c r="H15" s="72" t="str">
        <f>_xll.ohRangeRetrieveError(G15)</f>
        <v/>
      </c>
    </row>
    <row r="16" spans="1:8" x14ac:dyDescent="0.2">
      <c r="A16" s="143"/>
      <c r="B16" s="142">
        <v>10</v>
      </c>
      <c r="C16" s="140" t="b">
        <v>0</v>
      </c>
      <c r="D16" s="140" t="str">
        <v>U4</v>
      </c>
      <c r="E16" s="250" t="str">
        <f t="shared" si="0"/>
        <v>GBPFUT3MU4_Quote</v>
      </c>
      <c r="F16" s="251" t="str">
        <f t="shared" si="1"/>
        <v>GBPFUT3MU4ConvAdj_Quote</v>
      </c>
      <c r="G16" s="250" t="str">
        <f>_xll.qlFuturesConvAdjustmentQuote($F16,IborIndex,$D16,$E16,Volatility,MeanReversion,Permanent,Trigger,ObjectOverwrite)</f>
        <v>GBPFUT3MU4ConvAdj_Quote#0001</v>
      </c>
      <c r="H16" s="72" t="str">
        <f>_xll.ohRangeRetrieveError(G16)</f>
        <v/>
      </c>
    </row>
    <row r="17" spans="1:8" x14ac:dyDescent="0.2">
      <c r="A17" s="143"/>
      <c r="B17" s="142">
        <v>11</v>
      </c>
      <c r="C17" s="140" t="b">
        <v>0</v>
      </c>
      <c r="D17" s="140" t="str">
        <v>V4</v>
      </c>
      <c r="E17" s="250" t="str">
        <f t="shared" si="0"/>
        <v>GBPFUT3MV4_Quote</v>
      </c>
      <c r="F17" s="251" t="str">
        <f t="shared" si="1"/>
        <v>GBPFUT3MV4ConvAdj_Quote</v>
      </c>
      <c r="G17" s="250" t="str">
        <f>_xll.qlFuturesConvAdjustmentQuote($F17,IborIndex,$D17,$E17,Volatility,MeanReversion,Permanent,Trigger,ObjectOverwrite)</f>
        <v>GBPFUT3MV4ConvAdj_Quote#0001</v>
      </c>
      <c r="H17" s="72" t="str">
        <f>_xll.ohRangeRetrieveError(G17)</f>
        <v/>
      </c>
    </row>
    <row r="18" spans="1:8" x14ac:dyDescent="0.2">
      <c r="A18" s="143"/>
      <c r="B18" s="142">
        <v>12</v>
      </c>
      <c r="C18" s="140" t="b">
        <v>0</v>
      </c>
      <c r="D18" s="140" t="str">
        <v>X4</v>
      </c>
      <c r="E18" s="250" t="str">
        <f t="shared" si="0"/>
        <v>GBPFUT3MX4_Quote</v>
      </c>
      <c r="F18" s="251" t="str">
        <f t="shared" si="1"/>
        <v>GBPFUT3MX4ConvAdj_Quote</v>
      </c>
      <c r="G18" s="250" t="str">
        <f>_xll.qlFuturesConvAdjustmentQuote($F18,IborIndex,$D18,$E18,Volatility,MeanReversion,Permanent,Trigger,ObjectOverwrite)</f>
        <v>GBPFUT3MX4ConvAdj_Quote#0001</v>
      </c>
      <c r="H18" s="72" t="str">
        <f>_xll.ohRangeRetrieveError(G18)</f>
        <v/>
      </c>
    </row>
    <row r="19" spans="1:8" x14ac:dyDescent="0.2">
      <c r="A19" s="143"/>
      <c r="B19" s="142">
        <v>13</v>
      </c>
      <c r="C19" s="140" t="b">
        <v>0</v>
      </c>
      <c r="D19" s="140" t="str">
        <v>Z4</v>
      </c>
      <c r="E19" s="250" t="str">
        <f t="shared" si="0"/>
        <v>GBPFUT3MZ4_Quote</v>
      </c>
      <c r="F19" s="251" t="str">
        <f t="shared" si="1"/>
        <v>GBPFUT3MZ4ConvAdj_Quote</v>
      </c>
      <c r="G19" s="250" t="str">
        <f>_xll.qlFuturesConvAdjustmentQuote($F19,IborIndex,$D19,$E19,Volatility,MeanReversion,Permanent,Trigger,ObjectOverwrite)</f>
        <v>GBPFUT3MZ4ConvAdj_Quote#0001</v>
      </c>
      <c r="H19" s="72" t="str">
        <f>_xll.ohRangeRetrieveError(G19)</f>
        <v/>
      </c>
    </row>
    <row r="20" spans="1:8" x14ac:dyDescent="0.2">
      <c r="A20" s="143"/>
      <c r="B20" s="142">
        <v>14</v>
      </c>
      <c r="C20" s="140" t="b">
        <v>0</v>
      </c>
      <c r="D20" s="140" t="str">
        <v>F5</v>
      </c>
      <c r="E20" s="250" t="str">
        <f t="shared" si="0"/>
        <v>GBPFUT3MF5_Quote</v>
      </c>
      <c r="F20" s="251" t="str">
        <f t="shared" si="1"/>
        <v>GBPFUT3MF5ConvAdj_Quote</v>
      </c>
      <c r="G20" s="250" t="str">
        <f>_xll.qlFuturesConvAdjustmentQuote($F20,IborIndex,$D20,$E20,Volatility,MeanReversion,Permanent,Trigger,ObjectOverwrite)</f>
        <v>GBPFUT3MF5ConvAdj_Quote#0001</v>
      </c>
      <c r="H20" s="72" t="str">
        <f>_xll.ohRangeRetrieveError(G20)</f>
        <v/>
      </c>
    </row>
    <row r="21" spans="1:8" x14ac:dyDescent="0.2">
      <c r="A21" s="143"/>
      <c r="B21" s="142">
        <v>15</v>
      </c>
      <c r="C21" s="140" t="b">
        <v>0</v>
      </c>
      <c r="D21" s="140" t="str">
        <v>G5</v>
      </c>
      <c r="E21" s="250" t="str">
        <f t="shared" si="0"/>
        <v>GBPFUT3MG5_Quote</v>
      </c>
      <c r="F21" s="251" t="str">
        <f t="shared" si="1"/>
        <v>GBPFUT3MG5ConvAdj_Quote</v>
      </c>
      <c r="G21" s="250" t="str">
        <f>_xll.qlFuturesConvAdjustmentQuote($F21,IborIndex,$D21,$E21,Volatility,MeanReversion,Permanent,Trigger,ObjectOverwrite)</f>
        <v>GBPFUT3MG5ConvAdj_Quote#0001</v>
      </c>
      <c r="H21" s="72" t="str">
        <f>_xll.ohRangeRetrieveError(G21)</f>
        <v/>
      </c>
    </row>
    <row r="22" spans="1:8" x14ac:dyDescent="0.2">
      <c r="A22" s="143"/>
      <c r="B22" s="142">
        <v>16</v>
      </c>
      <c r="C22" s="140" t="b">
        <v>0</v>
      </c>
      <c r="D22" s="140" t="str">
        <v>H5</v>
      </c>
      <c r="E22" s="250" t="str">
        <f t="shared" si="0"/>
        <v>GBPFUT3MH5_Quote</v>
      </c>
      <c r="F22" s="251" t="str">
        <f t="shared" si="1"/>
        <v>GBPFUT3MH5ConvAdj_Quote</v>
      </c>
      <c r="G22" s="250" t="str">
        <f>_xll.qlFuturesConvAdjustmentQuote($F22,IborIndex,$D22,$E22,Volatility,MeanReversion,Permanent,Trigger,ObjectOverwrite)</f>
        <v>GBPFUT3MH5ConvAdj_Quote#0001</v>
      </c>
      <c r="H22" s="72" t="str">
        <f>_xll.ohRangeRetrieveError(G22)</f>
        <v/>
      </c>
    </row>
    <row r="23" spans="1:8" x14ac:dyDescent="0.2">
      <c r="A23" s="143"/>
      <c r="B23" s="142">
        <v>17</v>
      </c>
      <c r="C23" s="140" t="b">
        <v>0</v>
      </c>
      <c r="D23" s="140" t="str">
        <v>J5</v>
      </c>
      <c r="E23" s="250" t="str">
        <f t="shared" si="0"/>
        <v>GBPFUT3MJ5_Quote</v>
      </c>
      <c r="F23" s="251" t="str">
        <f t="shared" si="1"/>
        <v>GBPFUT3MJ5ConvAdj_Quote</v>
      </c>
      <c r="G23" s="250" t="str">
        <f>_xll.qlFuturesConvAdjustmentQuote($F23,IborIndex,$D23,$E23,Volatility,MeanReversion,Permanent,Trigger,ObjectOverwrite)</f>
        <v>GBPFUT3MJ5ConvAdj_Quote#0001</v>
      </c>
      <c r="H23" s="72" t="str">
        <f>_xll.ohRangeRetrieveError(G23)</f>
        <v/>
      </c>
    </row>
    <row r="24" spans="1:8" x14ac:dyDescent="0.2">
      <c r="A24" s="143"/>
      <c r="B24" s="142">
        <v>18</v>
      </c>
      <c r="C24" s="140" t="b">
        <v>0</v>
      </c>
      <c r="D24" s="140" t="str">
        <v>K5</v>
      </c>
      <c r="E24" s="250" t="str">
        <f t="shared" si="0"/>
        <v>GBPFUT3MK5_Quote</v>
      </c>
      <c r="F24" s="251" t="str">
        <f t="shared" si="1"/>
        <v>GBPFUT3MK5ConvAdj_Quote</v>
      </c>
      <c r="G24" s="250" t="str">
        <f>_xll.qlFuturesConvAdjustmentQuote($F24,IborIndex,$D24,$E24,Volatility,MeanReversion,Permanent,Trigger,ObjectOverwrite)</f>
        <v>GBPFUT3MK5ConvAdj_Quote#0001</v>
      </c>
      <c r="H24" s="72" t="str">
        <f>_xll.ohRangeRetrieveError(G24)</f>
        <v/>
      </c>
    </row>
    <row r="25" spans="1:8" x14ac:dyDescent="0.2">
      <c r="A25" s="143"/>
      <c r="B25" s="142">
        <v>19</v>
      </c>
      <c r="C25" s="140" t="b">
        <v>0</v>
      </c>
      <c r="D25" s="140" t="str">
        <v>M5</v>
      </c>
      <c r="E25" s="250" t="str">
        <f t="shared" si="0"/>
        <v>GBPFUT3MM5_Quote</v>
      </c>
      <c r="F25" s="251" t="str">
        <f t="shared" si="1"/>
        <v>GBPFUT3MM5ConvAdj_Quote</v>
      </c>
      <c r="G25" s="250" t="str">
        <f>_xll.qlFuturesConvAdjustmentQuote($F25,IborIndex,$D25,$E25,Volatility,MeanReversion,Permanent,Trigger,ObjectOverwrite)</f>
        <v>GBPFUT3MM5ConvAdj_Quote#0001</v>
      </c>
      <c r="H25" s="72" t="str">
        <f>_xll.ohRangeRetrieveError(G25)</f>
        <v/>
      </c>
    </row>
    <row r="26" spans="1:8" x14ac:dyDescent="0.2">
      <c r="A26" s="143"/>
      <c r="B26" s="142">
        <v>20</v>
      </c>
      <c r="C26" s="140" t="b">
        <v>0</v>
      </c>
      <c r="D26" s="140" t="str">
        <v>N5</v>
      </c>
      <c r="E26" s="250" t="str">
        <f t="shared" si="0"/>
        <v>GBPFUT3MN5_Quote</v>
      </c>
      <c r="F26" s="251" t="str">
        <f t="shared" si="1"/>
        <v>GBPFUT3MN5ConvAdj_Quote</v>
      </c>
      <c r="G26" s="250" t="str">
        <f>_xll.qlFuturesConvAdjustmentQuote($F26,IborIndex,$D26,$E26,Volatility,MeanReversion,Permanent,Trigger,ObjectOverwrite)</f>
        <v>GBPFUT3MN5ConvAdj_Quote#0001</v>
      </c>
      <c r="H26" s="72" t="str">
        <f>_xll.ohRangeRetrieveError(G26)</f>
        <v/>
      </c>
    </row>
    <row r="27" spans="1:8" x14ac:dyDescent="0.2">
      <c r="A27" s="143"/>
      <c r="B27" s="142">
        <v>21</v>
      </c>
      <c r="C27" s="140" t="b">
        <v>0</v>
      </c>
      <c r="D27" s="140" t="str">
        <v>Q5</v>
      </c>
      <c r="E27" s="250" t="str">
        <f t="shared" si="0"/>
        <v>GBPFUT3MQ5_Quote</v>
      </c>
      <c r="F27" s="251" t="str">
        <f t="shared" si="1"/>
        <v>GBPFUT3MQ5ConvAdj_Quote</v>
      </c>
      <c r="G27" s="250" t="str">
        <f>_xll.qlFuturesConvAdjustmentQuote($F27,IborIndex,$D27,$E27,Volatility,MeanReversion,Permanent,Trigger,ObjectOverwrite)</f>
        <v>GBPFUT3MQ5ConvAdj_Quote#0001</v>
      </c>
      <c r="H27" s="72" t="str">
        <f>_xll.ohRangeRetrieveError(G27)</f>
        <v/>
      </c>
    </row>
    <row r="28" spans="1:8" x14ac:dyDescent="0.2">
      <c r="A28" s="143"/>
      <c r="B28" s="142">
        <v>22</v>
      </c>
      <c r="C28" s="140" t="b">
        <v>0</v>
      </c>
      <c r="D28" s="140" t="str">
        <v>U5</v>
      </c>
      <c r="E28" s="250" t="str">
        <f t="shared" si="0"/>
        <v>GBPFUT3MU5_Quote</v>
      </c>
      <c r="F28" s="251" t="str">
        <f t="shared" si="1"/>
        <v>GBPFUT3MU5ConvAdj_Quote</v>
      </c>
      <c r="G28" s="250" t="str">
        <f>_xll.qlFuturesConvAdjustmentQuote($F28,IborIndex,$D28,$E28,Volatility,MeanReversion,Permanent,Trigger,ObjectOverwrite)</f>
        <v>GBPFUT3MU5ConvAdj_Quote#0001</v>
      </c>
      <c r="H28" s="72" t="str">
        <f>_xll.ohRangeRetrieveError(G28)</f>
        <v/>
      </c>
    </row>
    <row r="29" spans="1:8" x14ac:dyDescent="0.2">
      <c r="A29" s="143"/>
      <c r="B29" s="142">
        <v>23</v>
      </c>
      <c r="C29" s="140" t="b">
        <v>0</v>
      </c>
      <c r="D29" s="140" t="str">
        <v>V5</v>
      </c>
      <c r="E29" s="250" t="str">
        <f t="shared" si="0"/>
        <v>GBPFUT3MV5_Quote</v>
      </c>
      <c r="F29" s="251" t="str">
        <f t="shared" si="1"/>
        <v>GBPFUT3MV5ConvAdj_Quote</v>
      </c>
      <c r="G29" s="250" t="str">
        <f>_xll.qlFuturesConvAdjustmentQuote($F29,IborIndex,$D29,$E29,Volatility,MeanReversion,Permanent,Trigger,ObjectOverwrite)</f>
        <v>GBPFUT3MV5ConvAdj_Quote#0001</v>
      </c>
      <c r="H29" s="72" t="str">
        <f>_xll.ohRangeRetrieveError(G29)</f>
        <v/>
      </c>
    </row>
    <row r="30" spans="1:8" x14ac:dyDescent="0.2">
      <c r="A30" s="143"/>
      <c r="B30" s="142">
        <v>24</v>
      </c>
      <c r="C30" s="140" t="b">
        <v>0</v>
      </c>
      <c r="D30" s="140" t="str">
        <v>X5</v>
      </c>
      <c r="E30" s="250" t="str">
        <f t="shared" si="0"/>
        <v>GBPFUT3MX5_Quote</v>
      </c>
      <c r="F30" s="251" t="str">
        <f t="shared" si="1"/>
        <v>GBPFUT3MX5ConvAdj_Quote</v>
      </c>
      <c r="G30" s="250" t="str">
        <f>_xll.qlFuturesConvAdjustmentQuote($F30,IborIndex,$D30,$E30,Volatility,MeanReversion,Permanent,Trigger,ObjectOverwrite)</f>
        <v>GBPFUT3MX5ConvAdj_Quote#0001</v>
      </c>
      <c r="H30" s="72" t="str">
        <f>_xll.ohRangeRetrieveError(G30)</f>
        <v/>
      </c>
    </row>
    <row r="31" spans="1:8" x14ac:dyDescent="0.2">
      <c r="A31" s="143"/>
      <c r="B31" s="142">
        <v>25</v>
      </c>
      <c r="C31" s="140" t="b">
        <v>0</v>
      </c>
      <c r="D31" s="140" t="str">
        <v>Z5</v>
      </c>
      <c r="E31" s="250" t="str">
        <f t="shared" si="0"/>
        <v>GBPFUT3MZ5_Quote</v>
      </c>
      <c r="F31" s="251" t="str">
        <f t="shared" si="1"/>
        <v>GBPFUT3MZ5ConvAdj_Quote</v>
      </c>
      <c r="G31" s="250" t="str">
        <f>_xll.qlFuturesConvAdjustmentQuote($F31,IborIndex,$D31,$E31,Volatility,MeanReversion,Permanent,Trigger,ObjectOverwrite)</f>
        <v>GBPFUT3MZ5ConvAdj_Quote#0001</v>
      </c>
      <c r="H31" s="72" t="str">
        <f>_xll.ohRangeRetrieveError(G31)</f>
        <v/>
      </c>
    </row>
    <row r="32" spans="1:8" x14ac:dyDescent="0.2">
      <c r="A32" s="143"/>
      <c r="B32" s="142">
        <v>26</v>
      </c>
      <c r="C32" s="140" t="b">
        <v>0</v>
      </c>
      <c r="D32" s="140" t="str">
        <v>F6</v>
      </c>
      <c r="E32" s="250" t="str">
        <f t="shared" si="0"/>
        <v>GBPFUT3MF6_Quote</v>
      </c>
      <c r="F32" s="251" t="str">
        <f t="shared" si="1"/>
        <v>GBPFUT3MF6ConvAdj_Quote</v>
      </c>
      <c r="G32" s="250" t="str">
        <f>_xll.qlFuturesConvAdjustmentQuote($F32,IborIndex,$D32,$E32,Volatility,MeanReversion,Permanent,Trigger,ObjectOverwrite)</f>
        <v>GBPFUT3MF6ConvAdj_Quote#0001</v>
      </c>
      <c r="H32" s="72" t="str">
        <f>_xll.ohRangeRetrieveError(G32)</f>
        <v/>
      </c>
    </row>
    <row r="33" spans="1:8" x14ac:dyDescent="0.2">
      <c r="A33" s="143"/>
      <c r="B33" s="142">
        <v>27</v>
      </c>
      <c r="C33" s="140" t="b">
        <v>0</v>
      </c>
      <c r="D33" s="140" t="str">
        <v>G6</v>
      </c>
      <c r="E33" s="250" t="str">
        <f t="shared" si="0"/>
        <v>GBPFUT3MG6_Quote</v>
      </c>
      <c r="F33" s="251" t="str">
        <f t="shared" si="1"/>
        <v>GBPFUT3MG6ConvAdj_Quote</v>
      </c>
      <c r="G33" s="250" t="str">
        <f>_xll.qlFuturesConvAdjustmentQuote($F33,IborIndex,$D33,$E33,Volatility,MeanReversion,Permanent,Trigger,ObjectOverwrite)</f>
        <v>GBPFUT3MG6ConvAdj_Quote#0001</v>
      </c>
      <c r="H33" s="72" t="str">
        <f>_xll.ohRangeRetrieveError(G33)</f>
        <v/>
      </c>
    </row>
    <row r="34" spans="1:8" x14ac:dyDescent="0.2">
      <c r="A34" s="143"/>
      <c r="B34" s="142">
        <v>28</v>
      </c>
      <c r="C34" s="140" t="b">
        <v>0</v>
      </c>
      <c r="D34" s="140" t="str">
        <v>H6</v>
      </c>
      <c r="E34" s="250" t="str">
        <f t="shared" si="0"/>
        <v>GBPFUT3MH6_Quote</v>
      </c>
      <c r="F34" s="251" t="str">
        <f t="shared" si="1"/>
        <v>GBPFUT3MH6ConvAdj_Quote</v>
      </c>
      <c r="G34" s="250" t="str">
        <f>_xll.qlFuturesConvAdjustmentQuote($F34,IborIndex,$D34,$E34,Volatility,MeanReversion,Permanent,Trigger,ObjectOverwrite)</f>
        <v>GBPFUT3MH6ConvAdj_Quote#0001</v>
      </c>
      <c r="H34" s="72" t="str">
        <f>_xll.ohRangeRetrieveError(G34)</f>
        <v/>
      </c>
    </row>
    <row r="35" spans="1:8" x14ac:dyDescent="0.2">
      <c r="A35" s="143"/>
      <c r="B35" s="142">
        <v>29</v>
      </c>
      <c r="C35" s="140" t="b">
        <v>0</v>
      </c>
      <c r="D35" s="140" t="str">
        <v>J6</v>
      </c>
      <c r="E35" s="250" t="str">
        <f t="shared" si="0"/>
        <v>GBPFUT3MJ6_Quote</v>
      </c>
      <c r="F35" s="251" t="str">
        <f t="shared" si="1"/>
        <v>GBPFUT3MJ6ConvAdj_Quote</v>
      </c>
      <c r="G35" s="250" t="str">
        <f>_xll.qlFuturesConvAdjustmentQuote($F35,IborIndex,$D35,$E35,Volatility,MeanReversion,Permanent,Trigger,ObjectOverwrite)</f>
        <v>GBPFUT3MJ6ConvAdj_Quote#0001</v>
      </c>
      <c r="H35" s="72" t="str">
        <f>_xll.ohRangeRetrieveError(G35)</f>
        <v/>
      </c>
    </row>
    <row r="36" spans="1:8" x14ac:dyDescent="0.2">
      <c r="A36" s="143"/>
      <c r="B36" s="142">
        <v>30</v>
      </c>
      <c r="C36" s="140" t="b">
        <v>0</v>
      </c>
      <c r="D36" s="140" t="str">
        <v>K6</v>
      </c>
      <c r="E36" s="250" t="str">
        <f t="shared" si="0"/>
        <v>GBPFUT3MK6_Quote</v>
      </c>
      <c r="F36" s="251" t="str">
        <f t="shared" si="1"/>
        <v>GBPFUT3MK6ConvAdj_Quote</v>
      </c>
      <c r="G36" s="250" t="str">
        <f>_xll.qlFuturesConvAdjustmentQuote($F36,IborIndex,$D36,$E36,Volatility,MeanReversion,Permanent,Trigger,ObjectOverwrite)</f>
        <v>GBPFUT3MK6ConvAdj_Quote#0001</v>
      </c>
      <c r="H36" s="72" t="str">
        <f>_xll.ohRangeRetrieveError(G36)</f>
        <v/>
      </c>
    </row>
    <row r="37" spans="1:8" x14ac:dyDescent="0.2">
      <c r="A37" s="143"/>
      <c r="B37" s="142">
        <v>31</v>
      </c>
      <c r="C37" s="140" t="b">
        <v>0</v>
      </c>
      <c r="D37" s="140" t="str">
        <v>M6</v>
      </c>
      <c r="E37" s="250" t="str">
        <f t="shared" si="0"/>
        <v>GBPFUT3MM6_Quote</v>
      </c>
      <c r="F37" s="251" t="str">
        <f t="shared" si="1"/>
        <v>GBPFUT3MM6ConvAdj_Quote</v>
      </c>
      <c r="G37" s="250" t="str">
        <f>_xll.qlFuturesConvAdjustmentQuote($F37,IborIndex,$D37,$E37,Volatility,MeanReversion,Permanent,Trigger,ObjectOverwrite)</f>
        <v>GBPFUT3MM6ConvAdj_Quote#0001</v>
      </c>
      <c r="H37" s="72" t="str">
        <f>_xll.ohRangeRetrieveError(G37)</f>
        <v/>
      </c>
    </row>
    <row r="38" spans="1:8" x14ac:dyDescent="0.2">
      <c r="A38" s="143"/>
      <c r="B38" s="142">
        <v>32</v>
      </c>
      <c r="C38" s="140" t="b">
        <v>0</v>
      </c>
      <c r="D38" s="140" t="str">
        <v>N6</v>
      </c>
      <c r="E38" s="250" t="str">
        <f t="shared" si="0"/>
        <v>GBPFUT3MN6_Quote</v>
      </c>
      <c r="F38" s="251" t="str">
        <f t="shared" si="1"/>
        <v>GBPFUT3MN6ConvAdj_Quote</v>
      </c>
      <c r="G38" s="250" t="str">
        <f>_xll.qlFuturesConvAdjustmentQuote($F38,IborIndex,$D38,$E38,Volatility,MeanReversion,Permanent,Trigger,ObjectOverwrite)</f>
        <v>GBPFUT3MN6ConvAdj_Quote#0001</v>
      </c>
      <c r="H38" s="72" t="str">
        <f>_xll.ohRangeRetrieveError(G38)</f>
        <v/>
      </c>
    </row>
    <row r="39" spans="1:8" x14ac:dyDescent="0.2">
      <c r="A39" s="143"/>
      <c r="B39" s="142">
        <v>33</v>
      </c>
      <c r="C39" s="140" t="b">
        <v>0</v>
      </c>
      <c r="D39" s="140" t="str">
        <v>Q6</v>
      </c>
      <c r="E39" s="250" t="str">
        <f t="shared" ref="E39:E70" si="2">Currency&amp;"FUT"&amp;$G$4&amp;$D39&amp;QuoteSuffix</f>
        <v>GBPFUT3MQ6_Quote</v>
      </c>
      <c r="F39" s="251" t="str">
        <f t="shared" ref="F39:F70" si="3">Currency&amp;"FUT"&amp;$G$4&amp;$D39&amp;"ConvAdj"&amp;QuoteSuffix</f>
        <v>GBPFUT3MQ6ConvAdj_Quote</v>
      </c>
      <c r="G39" s="250" t="str">
        <f>_xll.qlFuturesConvAdjustmentQuote($F39,IborIndex,$D39,$E39,Volatility,MeanReversion,Permanent,Trigger,ObjectOverwrite)</f>
        <v>GBPFUT3MQ6ConvAdj_Quote#0001</v>
      </c>
      <c r="H39" s="72" t="str">
        <f>_xll.ohRangeRetrieveError(G39)</f>
        <v/>
      </c>
    </row>
    <row r="40" spans="1:8" x14ac:dyDescent="0.2">
      <c r="A40" s="143"/>
      <c r="B40" s="142">
        <v>34</v>
      </c>
      <c r="C40" s="140" t="b">
        <v>0</v>
      </c>
      <c r="D40" s="140" t="str">
        <v>U6</v>
      </c>
      <c r="E40" s="250" t="str">
        <f t="shared" si="2"/>
        <v>GBPFUT3MU6_Quote</v>
      </c>
      <c r="F40" s="251" t="str">
        <f t="shared" si="3"/>
        <v>GBPFUT3MU6ConvAdj_Quote</v>
      </c>
      <c r="G40" s="250" t="str">
        <f>_xll.qlFuturesConvAdjustmentQuote($F40,IborIndex,$D40,$E40,Volatility,MeanReversion,Permanent,Trigger,ObjectOverwrite)</f>
        <v>GBPFUT3MU6ConvAdj_Quote#0001</v>
      </c>
      <c r="H40" s="72" t="str">
        <f>_xll.ohRangeRetrieveError(G40)</f>
        <v/>
      </c>
    </row>
    <row r="41" spans="1:8" x14ac:dyDescent="0.2">
      <c r="A41" s="143"/>
      <c r="B41" s="142">
        <v>35</v>
      </c>
      <c r="C41" s="140" t="b">
        <v>0</v>
      </c>
      <c r="D41" s="140" t="str">
        <v>V6</v>
      </c>
      <c r="E41" s="250" t="str">
        <f t="shared" si="2"/>
        <v>GBPFUT3MV6_Quote</v>
      </c>
      <c r="F41" s="251" t="str">
        <f t="shared" si="3"/>
        <v>GBPFUT3MV6ConvAdj_Quote</v>
      </c>
      <c r="G41" s="250" t="str">
        <f>_xll.qlFuturesConvAdjustmentQuote($F41,IborIndex,$D41,$E41,Volatility,MeanReversion,Permanent,Trigger,ObjectOverwrite)</f>
        <v>GBPFUT3MV6ConvAdj_Quote#0001</v>
      </c>
      <c r="H41" s="72" t="str">
        <f>_xll.ohRangeRetrieveError(G41)</f>
        <v/>
      </c>
    </row>
    <row r="42" spans="1:8" x14ac:dyDescent="0.2">
      <c r="A42" s="143"/>
      <c r="B42" s="142">
        <v>36</v>
      </c>
      <c r="C42" s="140" t="b">
        <v>0</v>
      </c>
      <c r="D42" s="140" t="str">
        <v>X6</v>
      </c>
      <c r="E42" s="250" t="str">
        <f t="shared" si="2"/>
        <v>GBPFUT3MX6_Quote</v>
      </c>
      <c r="F42" s="251" t="str">
        <f t="shared" si="3"/>
        <v>GBPFUT3MX6ConvAdj_Quote</v>
      </c>
      <c r="G42" s="250" t="str">
        <f>_xll.qlFuturesConvAdjustmentQuote($F42,IborIndex,$D42,$E42,Volatility,MeanReversion,Permanent,Trigger,ObjectOverwrite)</f>
        <v>GBPFUT3MX6ConvAdj_Quote#0001</v>
      </c>
      <c r="H42" s="72" t="str">
        <f>_xll.ohRangeRetrieveError(G42)</f>
        <v/>
      </c>
    </row>
    <row r="43" spans="1:8" x14ac:dyDescent="0.2">
      <c r="A43" s="143"/>
      <c r="B43" s="142">
        <v>37</v>
      </c>
      <c r="C43" s="140" t="b">
        <v>0</v>
      </c>
      <c r="D43" s="140" t="str">
        <v>Z6</v>
      </c>
      <c r="E43" s="250" t="str">
        <f t="shared" si="2"/>
        <v>GBPFUT3MZ6_Quote</v>
      </c>
      <c r="F43" s="251" t="str">
        <f t="shared" si="3"/>
        <v>GBPFUT3MZ6ConvAdj_Quote</v>
      </c>
      <c r="G43" s="250" t="str">
        <f>_xll.qlFuturesConvAdjustmentQuote($F43,IborIndex,$D43,$E43,Volatility,MeanReversion,Permanent,Trigger,ObjectOverwrite)</f>
        <v>GBPFUT3MZ6ConvAdj_Quote#0001</v>
      </c>
      <c r="H43" s="72" t="str">
        <f>_xll.ohRangeRetrieveError(G43)</f>
        <v/>
      </c>
    </row>
    <row r="44" spans="1:8" x14ac:dyDescent="0.2">
      <c r="A44" s="143"/>
      <c r="B44" s="142">
        <v>38</v>
      </c>
      <c r="C44" s="140" t="b">
        <v>0</v>
      </c>
      <c r="D44" s="140" t="str">
        <v>F7</v>
      </c>
      <c r="E44" s="250" t="str">
        <f t="shared" si="2"/>
        <v>GBPFUT3MF7_Quote</v>
      </c>
      <c r="F44" s="251" t="str">
        <f t="shared" si="3"/>
        <v>GBPFUT3MF7ConvAdj_Quote</v>
      </c>
      <c r="G44" s="250" t="str">
        <f>_xll.qlFuturesConvAdjustmentQuote($F44,IborIndex,$D44,$E44,Volatility,MeanReversion,Permanent,Trigger,ObjectOverwrite)</f>
        <v>GBPFUT3MF7ConvAdj_Quote#0001</v>
      </c>
      <c r="H44" s="72" t="str">
        <f>_xll.ohRangeRetrieveError(G44)</f>
        <v/>
      </c>
    </row>
    <row r="45" spans="1:8" x14ac:dyDescent="0.2">
      <c r="A45" s="143"/>
      <c r="B45" s="142">
        <v>39</v>
      </c>
      <c r="C45" s="140" t="b">
        <v>0</v>
      </c>
      <c r="D45" s="140" t="str">
        <v>G7</v>
      </c>
      <c r="E45" s="250" t="str">
        <f t="shared" si="2"/>
        <v>GBPFUT3MG7_Quote</v>
      </c>
      <c r="F45" s="251" t="str">
        <f t="shared" si="3"/>
        <v>GBPFUT3MG7ConvAdj_Quote</v>
      </c>
      <c r="G45" s="250" t="str">
        <f>_xll.qlFuturesConvAdjustmentQuote($F45,IborIndex,$D45,$E45,Volatility,MeanReversion,Permanent,Trigger,ObjectOverwrite)</f>
        <v>GBPFUT3MG7ConvAdj_Quote#0001</v>
      </c>
      <c r="H45" s="72" t="str">
        <f>_xll.ohRangeRetrieveError(G45)</f>
        <v/>
      </c>
    </row>
    <row r="46" spans="1:8" x14ac:dyDescent="0.2">
      <c r="A46" s="143"/>
      <c r="B46" s="142">
        <v>40</v>
      </c>
      <c r="C46" s="140" t="b">
        <v>0</v>
      </c>
      <c r="D46" s="140" t="str">
        <v>H7</v>
      </c>
      <c r="E46" s="250" t="str">
        <f t="shared" si="2"/>
        <v>GBPFUT3MH7_Quote</v>
      </c>
      <c r="F46" s="251" t="str">
        <f t="shared" si="3"/>
        <v>GBPFUT3MH7ConvAdj_Quote</v>
      </c>
      <c r="G46" s="250" t="str">
        <f>_xll.qlFuturesConvAdjustmentQuote($F46,IborIndex,$D46,$E46,Volatility,MeanReversion,Permanent,Trigger,ObjectOverwrite)</f>
        <v>GBPFUT3MH7ConvAdj_Quote#0001</v>
      </c>
      <c r="H46" s="72" t="str">
        <f>_xll.ohRangeRetrieveError(G46)</f>
        <v/>
      </c>
    </row>
    <row r="47" spans="1:8" x14ac:dyDescent="0.2">
      <c r="A47" s="143"/>
      <c r="B47" s="142">
        <v>41</v>
      </c>
      <c r="C47" s="140" t="b">
        <v>0</v>
      </c>
      <c r="D47" s="140" t="str">
        <v>J7</v>
      </c>
      <c r="E47" s="250" t="str">
        <f t="shared" si="2"/>
        <v>GBPFUT3MJ7_Quote</v>
      </c>
      <c r="F47" s="251" t="str">
        <f t="shared" si="3"/>
        <v>GBPFUT3MJ7ConvAdj_Quote</v>
      </c>
      <c r="G47" s="250" t="str">
        <f>_xll.qlFuturesConvAdjustmentQuote($F47,IborIndex,$D47,$E47,Volatility,MeanReversion,Permanent,Trigger,ObjectOverwrite)</f>
        <v>GBPFUT3MJ7ConvAdj_Quote#0001</v>
      </c>
      <c r="H47" s="72" t="str">
        <f>_xll.ohRangeRetrieveError(G47)</f>
        <v/>
      </c>
    </row>
    <row r="48" spans="1:8" x14ac:dyDescent="0.2">
      <c r="A48" s="143"/>
      <c r="B48" s="142">
        <v>42</v>
      </c>
      <c r="C48" s="140" t="b">
        <v>0</v>
      </c>
      <c r="D48" s="140" t="str">
        <v>K7</v>
      </c>
      <c r="E48" s="250" t="str">
        <f t="shared" si="2"/>
        <v>GBPFUT3MK7_Quote</v>
      </c>
      <c r="F48" s="251" t="str">
        <f t="shared" si="3"/>
        <v>GBPFUT3MK7ConvAdj_Quote</v>
      </c>
      <c r="G48" s="250" t="str">
        <f>_xll.qlFuturesConvAdjustmentQuote($F48,IborIndex,$D48,$E48,Volatility,MeanReversion,Permanent,Trigger,ObjectOverwrite)</f>
        <v>GBPFUT3MK7ConvAdj_Quote#0001</v>
      </c>
      <c r="H48" s="72" t="str">
        <f>_xll.ohRangeRetrieveError(G48)</f>
        <v/>
      </c>
    </row>
    <row r="49" spans="1:8" x14ac:dyDescent="0.2">
      <c r="A49" s="143"/>
      <c r="B49" s="142">
        <v>43</v>
      </c>
      <c r="C49" s="140" t="b">
        <v>0</v>
      </c>
      <c r="D49" s="140" t="str">
        <v>M7</v>
      </c>
      <c r="E49" s="250" t="str">
        <f t="shared" si="2"/>
        <v>GBPFUT3MM7_Quote</v>
      </c>
      <c r="F49" s="251" t="str">
        <f t="shared" si="3"/>
        <v>GBPFUT3MM7ConvAdj_Quote</v>
      </c>
      <c r="G49" s="250" t="str">
        <f>_xll.qlFuturesConvAdjustmentQuote($F49,IborIndex,$D49,$E49,Volatility,MeanReversion,Permanent,Trigger,ObjectOverwrite)</f>
        <v>GBPFUT3MM7ConvAdj_Quote#0001</v>
      </c>
      <c r="H49" s="72" t="str">
        <f>_xll.ohRangeRetrieveError(G49)</f>
        <v/>
      </c>
    </row>
    <row r="50" spans="1:8" x14ac:dyDescent="0.2">
      <c r="A50" s="143"/>
      <c r="B50" s="142">
        <v>44</v>
      </c>
      <c r="C50" s="140" t="b">
        <v>0</v>
      </c>
      <c r="D50" s="140" t="str">
        <v>N7</v>
      </c>
      <c r="E50" s="250" t="str">
        <f t="shared" si="2"/>
        <v>GBPFUT3MN7_Quote</v>
      </c>
      <c r="F50" s="251" t="str">
        <f t="shared" si="3"/>
        <v>GBPFUT3MN7ConvAdj_Quote</v>
      </c>
      <c r="G50" s="250" t="str">
        <f>_xll.qlFuturesConvAdjustmentQuote($F50,IborIndex,$D50,$E50,Volatility,MeanReversion,Permanent,Trigger,ObjectOverwrite)</f>
        <v>GBPFUT3MN7ConvAdj_Quote#0001</v>
      </c>
      <c r="H50" s="72" t="str">
        <f>_xll.ohRangeRetrieveError(G50)</f>
        <v/>
      </c>
    </row>
    <row r="51" spans="1:8" x14ac:dyDescent="0.2">
      <c r="A51" s="143"/>
      <c r="B51" s="142">
        <v>45</v>
      </c>
      <c r="C51" s="140" t="b">
        <v>0</v>
      </c>
      <c r="D51" s="140" t="str">
        <v>Q7</v>
      </c>
      <c r="E51" s="250" t="str">
        <f t="shared" si="2"/>
        <v>GBPFUT3MQ7_Quote</v>
      </c>
      <c r="F51" s="251" t="str">
        <f t="shared" si="3"/>
        <v>GBPFUT3MQ7ConvAdj_Quote</v>
      </c>
      <c r="G51" s="250" t="str">
        <f>_xll.qlFuturesConvAdjustmentQuote($F51,IborIndex,$D51,$E51,Volatility,MeanReversion,Permanent,Trigger,ObjectOverwrite)</f>
        <v>GBPFUT3MQ7ConvAdj_Quote#0001</v>
      </c>
      <c r="H51" s="72" t="str">
        <f>_xll.ohRangeRetrieveError(G51)</f>
        <v/>
      </c>
    </row>
    <row r="52" spans="1:8" x14ac:dyDescent="0.2">
      <c r="A52" s="143"/>
      <c r="B52" s="142">
        <v>46</v>
      </c>
      <c r="C52" s="140" t="b">
        <v>0</v>
      </c>
      <c r="D52" s="140" t="str">
        <v>U7</v>
      </c>
      <c r="E52" s="250" t="str">
        <f t="shared" si="2"/>
        <v>GBPFUT3MU7_Quote</v>
      </c>
      <c r="F52" s="251" t="str">
        <f t="shared" si="3"/>
        <v>GBPFUT3MU7ConvAdj_Quote</v>
      </c>
      <c r="G52" s="250" t="str">
        <f>_xll.qlFuturesConvAdjustmentQuote($F52,IborIndex,$D52,$E52,Volatility,MeanReversion,Permanent,Trigger,ObjectOverwrite)</f>
        <v>GBPFUT3MU7ConvAdj_Quote#0001</v>
      </c>
      <c r="H52" s="72" t="str">
        <f>_xll.ohRangeRetrieveError(G52)</f>
        <v/>
      </c>
    </row>
    <row r="53" spans="1:8" x14ac:dyDescent="0.2">
      <c r="A53" s="143"/>
      <c r="B53" s="142">
        <v>47</v>
      </c>
      <c r="C53" s="140" t="b">
        <v>0</v>
      </c>
      <c r="D53" s="140" t="str">
        <v>V7</v>
      </c>
      <c r="E53" s="250" t="str">
        <f t="shared" si="2"/>
        <v>GBPFUT3MV7_Quote</v>
      </c>
      <c r="F53" s="251" t="str">
        <f t="shared" si="3"/>
        <v>GBPFUT3MV7ConvAdj_Quote</v>
      </c>
      <c r="G53" s="250" t="str">
        <f>_xll.qlFuturesConvAdjustmentQuote($F53,IborIndex,$D53,$E53,Volatility,MeanReversion,Permanent,Trigger,ObjectOverwrite)</f>
        <v>GBPFUT3MV7ConvAdj_Quote#0001</v>
      </c>
      <c r="H53" s="72" t="str">
        <f>_xll.ohRangeRetrieveError(G53)</f>
        <v/>
      </c>
    </row>
    <row r="54" spans="1:8" x14ac:dyDescent="0.2">
      <c r="A54" s="143"/>
      <c r="B54" s="142">
        <v>48</v>
      </c>
      <c r="C54" s="140" t="b">
        <v>0</v>
      </c>
      <c r="D54" s="140" t="str">
        <v>X7</v>
      </c>
      <c r="E54" s="250" t="str">
        <f t="shared" si="2"/>
        <v>GBPFUT3MX7_Quote</v>
      </c>
      <c r="F54" s="251" t="str">
        <f t="shared" si="3"/>
        <v>GBPFUT3MX7ConvAdj_Quote</v>
      </c>
      <c r="G54" s="250" t="str">
        <f>_xll.qlFuturesConvAdjustmentQuote($F54,IborIndex,$D54,$E54,Volatility,MeanReversion,Permanent,Trigger,ObjectOverwrite)</f>
        <v>GBPFUT3MX7ConvAdj_Quote#0001</v>
      </c>
      <c r="H54" s="72" t="str">
        <f>_xll.ohRangeRetrieveError(G54)</f>
        <v/>
      </c>
    </row>
    <row r="55" spans="1:8" x14ac:dyDescent="0.2">
      <c r="A55" s="143"/>
      <c r="B55" s="142">
        <v>49</v>
      </c>
      <c r="C55" s="140" t="b">
        <v>0</v>
      </c>
      <c r="D55" s="140" t="str">
        <v>Z7</v>
      </c>
      <c r="E55" s="250" t="str">
        <f t="shared" si="2"/>
        <v>GBPFUT3MZ7_Quote</v>
      </c>
      <c r="F55" s="251" t="str">
        <f t="shared" si="3"/>
        <v>GBPFUT3MZ7ConvAdj_Quote</v>
      </c>
      <c r="G55" s="250" t="str">
        <f>_xll.qlFuturesConvAdjustmentQuote($F55,IborIndex,$D55,$E55,Volatility,MeanReversion,Permanent,Trigger,ObjectOverwrite)</f>
        <v>GBPFUT3MZ7ConvAdj_Quote#0001</v>
      </c>
      <c r="H55" s="72" t="str">
        <f>_xll.ohRangeRetrieveError(G55)</f>
        <v/>
      </c>
    </row>
    <row r="56" spans="1:8" x14ac:dyDescent="0.2">
      <c r="A56" s="143"/>
      <c r="B56" s="142">
        <v>50</v>
      </c>
      <c r="C56" s="140" t="b">
        <v>0</v>
      </c>
      <c r="D56" s="140" t="str">
        <v>F8</v>
      </c>
      <c r="E56" s="250" t="str">
        <f t="shared" si="2"/>
        <v>GBPFUT3MF8_Quote</v>
      </c>
      <c r="F56" s="251" t="str">
        <f t="shared" si="3"/>
        <v>GBPFUT3MF8ConvAdj_Quote</v>
      </c>
      <c r="G56" s="250" t="str">
        <f>_xll.qlFuturesConvAdjustmentQuote($F56,IborIndex,$D56,$E56,Volatility,MeanReversion,Permanent,Trigger,ObjectOverwrite)</f>
        <v>GBPFUT3MF8ConvAdj_Quote#0001</v>
      </c>
      <c r="H56" s="72" t="str">
        <f>_xll.ohRangeRetrieveError(G56)</f>
        <v/>
      </c>
    </row>
    <row r="57" spans="1:8" x14ac:dyDescent="0.2">
      <c r="A57" s="143"/>
      <c r="B57" s="142">
        <v>51</v>
      </c>
      <c r="C57" s="140" t="b">
        <v>0</v>
      </c>
      <c r="D57" s="140" t="str">
        <v>G8</v>
      </c>
      <c r="E57" s="250" t="str">
        <f t="shared" si="2"/>
        <v>GBPFUT3MG8_Quote</v>
      </c>
      <c r="F57" s="251" t="str">
        <f t="shared" si="3"/>
        <v>GBPFUT3MG8ConvAdj_Quote</v>
      </c>
      <c r="G57" s="250" t="str">
        <f>_xll.qlFuturesConvAdjustmentQuote($F57,IborIndex,$D57,$E57,Volatility,MeanReversion,Permanent,Trigger,ObjectOverwrite)</f>
        <v>GBPFUT3MG8ConvAdj_Quote#0001</v>
      </c>
      <c r="H57" s="72" t="str">
        <f>_xll.ohRangeRetrieveError(G57)</f>
        <v/>
      </c>
    </row>
    <row r="58" spans="1:8" x14ac:dyDescent="0.2">
      <c r="A58" s="143"/>
      <c r="B58" s="142">
        <v>52</v>
      </c>
      <c r="C58" s="140" t="b">
        <v>0</v>
      </c>
      <c r="D58" s="140" t="str">
        <v>H8</v>
      </c>
      <c r="E58" s="250" t="str">
        <f t="shared" si="2"/>
        <v>GBPFUT3MH8_Quote</v>
      </c>
      <c r="F58" s="251" t="str">
        <f t="shared" si="3"/>
        <v>GBPFUT3MH8ConvAdj_Quote</v>
      </c>
      <c r="G58" s="250" t="str">
        <f>_xll.qlFuturesConvAdjustmentQuote($F58,IborIndex,$D58,$E58,Volatility,MeanReversion,Permanent,Trigger,ObjectOverwrite)</f>
        <v>GBPFUT3MH8ConvAdj_Quote#0001</v>
      </c>
      <c r="H58" s="72" t="str">
        <f>_xll.ohRangeRetrieveError(G58)</f>
        <v/>
      </c>
    </row>
    <row r="59" spans="1:8" x14ac:dyDescent="0.2">
      <c r="A59" s="143"/>
      <c r="B59" s="142">
        <v>53</v>
      </c>
      <c r="C59" s="140" t="b">
        <v>0</v>
      </c>
      <c r="D59" s="140" t="str">
        <v>J8</v>
      </c>
      <c r="E59" s="250" t="str">
        <f t="shared" si="2"/>
        <v>GBPFUT3MJ8_Quote</v>
      </c>
      <c r="F59" s="251" t="str">
        <f t="shared" si="3"/>
        <v>GBPFUT3MJ8ConvAdj_Quote</v>
      </c>
      <c r="G59" s="250" t="str">
        <f>_xll.qlFuturesConvAdjustmentQuote($F59,IborIndex,$D59,$E59,Volatility,MeanReversion,Permanent,Trigger,ObjectOverwrite)</f>
        <v>GBPFUT3MJ8ConvAdj_Quote#0001</v>
      </c>
      <c r="H59" s="72" t="str">
        <f>_xll.ohRangeRetrieveError(G59)</f>
        <v/>
      </c>
    </row>
    <row r="60" spans="1:8" x14ac:dyDescent="0.2">
      <c r="A60" s="143"/>
      <c r="B60" s="142">
        <v>54</v>
      </c>
      <c r="C60" s="140" t="b">
        <v>0</v>
      </c>
      <c r="D60" s="140" t="str">
        <v>K8</v>
      </c>
      <c r="E60" s="250" t="str">
        <f t="shared" si="2"/>
        <v>GBPFUT3MK8_Quote</v>
      </c>
      <c r="F60" s="251" t="str">
        <f t="shared" si="3"/>
        <v>GBPFUT3MK8ConvAdj_Quote</v>
      </c>
      <c r="G60" s="250" t="str">
        <f>_xll.qlFuturesConvAdjustmentQuote($F60,IborIndex,$D60,$E60,Volatility,MeanReversion,Permanent,Trigger,ObjectOverwrite)</f>
        <v>GBPFUT3MK8ConvAdj_Quote#0001</v>
      </c>
      <c r="H60" s="72" t="str">
        <f>_xll.ohRangeRetrieveError(G60)</f>
        <v/>
      </c>
    </row>
    <row r="61" spans="1:8" x14ac:dyDescent="0.2">
      <c r="A61" s="143"/>
      <c r="B61" s="142">
        <v>55</v>
      </c>
      <c r="C61" s="140" t="b">
        <v>0</v>
      </c>
      <c r="D61" s="140" t="str">
        <v>M8</v>
      </c>
      <c r="E61" s="250" t="str">
        <f t="shared" si="2"/>
        <v>GBPFUT3MM8_Quote</v>
      </c>
      <c r="F61" s="251" t="str">
        <f t="shared" si="3"/>
        <v>GBPFUT3MM8ConvAdj_Quote</v>
      </c>
      <c r="G61" s="250" t="str">
        <f>_xll.qlFuturesConvAdjustmentQuote($F61,IborIndex,$D61,$E61,Volatility,MeanReversion,Permanent,Trigger,ObjectOverwrite)</f>
        <v>GBPFUT3MM8ConvAdj_Quote#0001</v>
      </c>
      <c r="H61" s="72" t="str">
        <f>_xll.ohRangeRetrieveError(G61)</f>
        <v/>
      </c>
    </row>
    <row r="62" spans="1:8" x14ac:dyDescent="0.2">
      <c r="A62" s="143"/>
      <c r="B62" s="142">
        <v>56</v>
      </c>
      <c r="C62" s="140" t="b">
        <v>0</v>
      </c>
      <c r="D62" s="140" t="str">
        <v>N8</v>
      </c>
      <c r="E62" s="250" t="str">
        <f t="shared" si="2"/>
        <v>GBPFUT3MN8_Quote</v>
      </c>
      <c r="F62" s="251" t="str">
        <f t="shared" si="3"/>
        <v>GBPFUT3MN8ConvAdj_Quote</v>
      </c>
      <c r="G62" s="250" t="str">
        <f>_xll.qlFuturesConvAdjustmentQuote($F62,IborIndex,$D62,$E62,Volatility,MeanReversion,Permanent,Trigger,ObjectOverwrite)</f>
        <v>GBPFUT3MN8ConvAdj_Quote#0001</v>
      </c>
      <c r="H62" s="72" t="str">
        <f>_xll.ohRangeRetrieveError(G62)</f>
        <v/>
      </c>
    </row>
    <row r="63" spans="1:8" x14ac:dyDescent="0.2">
      <c r="A63" s="143"/>
      <c r="B63" s="142">
        <v>57</v>
      </c>
      <c r="C63" s="140" t="b">
        <v>0</v>
      </c>
      <c r="D63" s="140" t="str">
        <v>Q8</v>
      </c>
      <c r="E63" s="250" t="str">
        <f t="shared" si="2"/>
        <v>GBPFUT3MQ8_Quote</v>
      </c>
      <c r="F63" s="251" t="str">
        <f t="shared" si="3"/>
        <v>GBPFUT3MQ8ConvAdj_Quote</v>
      </c>
      <c r="G63" s="250" t="str">
        <f>_xll.qlFuturesConvAdjustmentQuote($F63,IborIndex,$D63,$E63,Volatility,MeanReversion,Permanent,Trigger,ObjectOverwrite)</f>
        <v>GBPFUT3MQ8ConvAdj_Quote#0001</v>
      </c>
      <c r="H63" s="72" t="str">
        <f>_xll.ohRangeRetrieveError(G63)</f>
        <v/>
      </c>
    </row>
    <row r="64" spans="1:8" x14ac:dyDescent="0.2">
      <c r="A64" s="143"/>
      <c r="B64" s="142">
        <v>58</v>
      </c>
      <c r="C64" s="140" t="b">
        <v>0</v>
      </c>
      <c r="D64" s="140" t="str">
        <v>U8</v>
      </c>
      <c r="E64" s="250" t="str">
        <f t="shared" si="2"/>
        <v>GBPFUT3MU8_Quote</v>
      </c>
      <c r="F64" s="251" t="str">
        <f t="shared" si="3"/>
        <v>GBPFUT3MU8ConvAdj_Quote</v>
      </c>
      <c r="G64" s="250" t="str">
        <f>_xll.qlFuturesConvAdjustmentQuote($F64,IborIndex,$D64,$E64,Volatility,MeanReversion,Permanent,Trigger,ObjectOverwrite)</f>
        <v>GBPFUT3MU8ConvAdj_Quote#0001</v>
      </c>
      <c r="H64" s="72" t="str">
        <f>_xll.ohRangeRetrieveError(G64)</f>
        <v/>
      </c>
    </row>
    <row r="65" spans="1:8" x14ac:dyDescent="0.2">
      <c r="A65" s="143"/>
      <c r="B65" s="142">
        <v>59</v>
      </c>
      <c r="C65" s="140" t="b">
        <v>0</v>
      </c>
      <c r="D65" s="140" t="str">
        <v>V8</v>
      </c>
      <c r="E65" s="250" t="str">
        <f t="shared" si="2"/>
        <v>GBPFUT3MV8_Quote</v>
      </c>
      <c r="F65" s="251" t="str">
        <f t="shared" si="3"/>
        <v>GBPFUT3MV8ConvAdj_Quote</v>
      </c>
      <c r="G65" s="250" t="str">
        <f>_xll.qlFuturesConvAdjustmentQuote($F65,IborIndex,$D65,$E65,Volatility,MeanReversion,Permanent,Trigger,ObjectOverwrite)</f>
        <v>GBPFUT3MV8ConvAdj_Quote#0001</v>
      </c>
      <c r="H65" s="72" t="str">
        <f>_xll.ohRangeRetrieveError(G65)</f>
        <v/>
      </c>
    </row>
    <row r="66" spans="1:8" x14ac:dyDescent="0.2">
      <c r="A66" s="143"/>
      <c r="B66" s="142">
        <v>60</v>
      </c>
      <c r="C66" s="140" t="b">
        <v>0</v>
      </c>
      <c r="D66" s="140" t="str">
        <v>X8</v>
      </c>
      <c r="E66" s="250" t="str">
        <f t="shared" si="2"/>
        <v>GBPFUT3MX8_Quote</v>
      </c>
      <c r="F66" s="251" t="str">
        <f t="shared" si="3"/>
        <v>GBPFUT3MX8ConvAdj_Quote</v>
      </c>
      <c r="G66" s="250" t="str">
        <f>_xll.qlFuturesConvAdjustmentQuote($F66,IborIndex,$D66,$E66,Volatility,MeanReversion,Permanent,Trigger,ObjectOverwrite)</f>
        <v>GBPFUT3MX8ConvAdj_Quote#0001</v>
      </c>
      <c r="H66" s="72" t="str">
        <f>_xll.ohRangeRetrieveError(G66)</f>
        <v/>
      </c>
    </row>
    <row r="67" spans="1:8" x14ac:dyDescent="0.2">
      <c r="A67" s="143"/>
      <c r="B67" s="142">
        <v>61</v>
      </c>
      <c r="C67" s="140" t="b">
        <v>0</v>
      </c>
      <c r="D67" s="140" t="str">
        <v>Z8</v>
      </c>
      <c r="E67" s="250" t="str">
        <f t="shared" si="2"/>
        <v>GBPFUT3MZ8_Quote</v>
      </c>
      <c r="F67" s="251" t="str">
        <f t="shared" si="3"/>
        <v>GBPFUT3MZ8ConvAdj_Quote</v>
      </c>
      <c r="G67" s="250" t="str">
        <f>_xll.qlFuturesConvAdjustmentQuote($F67,IborIndex,$D67,$E67,Volatility,MeanReversion,Permanent,Trigger,ObjectOverwrite)</f>
        <v>GBPFUT3MZ8ConvAdj_Quote#0001</v>
      </c>
      <c r="H67" s="72" t="str">
        <f>_xll.ohRangeRetrieveError(G67)</f>
        <v/>
      </c>
    </row>
    <row r="68" spans="1:8" x14ac:dyDescent="0.2">
      <c r="A68" s="143"/>
      <c r="B68" s="142">
        <v>62</v>
      </c>
      <c r="C68" s="140" t="b">
        <v>0</v>
      </c>
      <c r="D68" s="140" t="str">
        <v>F9</v>
      </c>
      <c r="E68" s="250" t="str">
        <f t="shared" si="2"/>
        <v>GBPFUT3MF9_Quote</v>
      </c>
      <c r="F68" s="251" t="str">
        <f t="shared" si="3"/>
        <v>GBPFUT3MF9ConvAdj_Quote</v>
      </c>
      <c r="G68" s="250" t="str">
        <f>_xll.qlFuturesConvAdjustmentQuote($F68,IborIndex,$D68,$E68,Volatility,MeanReversion,Permanent,Trigger,ObjectOverwrite)</f>
        <v>GBPFUT3MF9ConvAdj_Quote#0001</v>
      </c>
      <c r="H68" s="72" t="str">
        <f>_xll.ohRangeRetrieveError(G68)</f>
        <v/>
      </c>
    </row>
    <row r="69" spans="1:8" x14ac:dyDescent="0.2">
      <c r="A69" s="143"/>
      <c r="B69" s="142">
        <v>63</v>
      </c>
      <c r="C69" s="140" t="b">
        <v>0</v>
      </c>
      <c r="D69" s="140" t="str">
        <v>G9</v>
      </c>
      <c r="E69" s="250" t="str">
        <f t="shared" si="2"/>
        <v>GBPFUT3MG9_Quote</v>
      </c>
      <c r="F69" s="251" t="str">
        <f t="shared" si="3"/>
        <v>GBPFUT3MG9ConvAdj_Quote</v>
      </c>
      <c r="G69" s="250" t="str">
        <f>_xll.qlFuturesConvAdjustmentQuote($F69,IborIndex,$D69,$E69,Volatility,MeanReversion,Permanent,Trigger,ObjectOverwrite)</f>
        <v>GBPFUT3MG9ConvAdj_Quote#0001</v>
      </c>
      <c r="H69" s="72" t="str">
        <f>_xll.ohRangeRetrieveError(G69)</f>
        <v/>
      </c>
    </row>
    <row r="70" spans="1:8" x14ac:dyDescent="0.2">
      <c r="A70" s="143"/>
      <c r="B70" s="142">
        <v>64</v>
      </c>
      <c r="C70" s="140" t="b">
        <v>0</v>
      </c>
      <c r="D70" s="140" t="str">
        <v>H9</v>
      </c>
      <c r="E70" s="250" t="str">
        <f t="shared" si="2"/>
        <v>GBPFUT3MH9_Quote</v>
      </c>
      <c r="F70" s="251" t="str">
        <f t="shared" si="3"/>
        <v>GBPFUT3MH9ConvAdj_Quote</v>
      </c>
      <c r="G70" s="250" t="str">
        <f>_xll.qlFuturesConvAdjustmentQuote($F70,IborIndex,$D70,$E70,Volatility,MeanReversion,Permanent,Trigger,ObjectOverwrite)</f>
        <v>GBPFUT3MH9ConvAdj_Quote#0001</v>
      </c>
      <c r="H70" s="72" t="str">
        <f>_xll.ohRangeRetrieveError(G70)</f>
        <v/>
      </c>
    </row>
    <row r="71" spans="1:8" x14ac:dyDescent="0.2">
      <c r="A71" s="143"/>
      <c r="B71" s="142">
        <v>65</v>
      </c>
      <c r="C71" s="140" t="b">
        <v>0</v>
      </c>
      <c r="D71" s="140" t="str">
        <v>J9</v>
      </c>
      <c r="E71" s="250" t="str">
        <f t="shared" ref="E71:E102" si="4">Currency&amp;"FUT"&amp;$G$4&amp;$D71&amp;QuoteSuffix</f>
        <v>GBPFUT3MJ9_Quote</v>
      </c>
      <c r="F71" s="251" t="str">
        <f t="shared" ref="F71:F102" si="5">Currency&amp;"FUT"&amp;$G$4&amp;$D71&amp;"ConvAdj"&amp;QuoteSuffix</f>
        <v>GBPFUT3MJ9ConvAdj_Quote</v>
      </c>
      <c r="G71" s="250" t="str">
        <f>_xll.qlFuturesConvAdjustmentQuote($F71,IborIndex,$D71,$E71,Volatility,MeanReversion,Permanent,Trigger,ObjectOverwrite)</f>
        <v>GBPFUT3MJ9ConvAdj_Quote#0001</v>
      </c>
      <c r="H71" s="72" t="str">
        <f>_xll.ohRangeRetrieveError(G71)</f>
        <v/>
      </c>
    </row>
    <row r="72" spans="1:8" x14ac:dyDescent="0.2">
      <c r="A72" s="143"/>
      <c r="B72" s="142">
        <v>66</v>
      </c>
      <c r="C72" s="140" t="b">
        <v>0</v>
      </c>
      <c r="D72" s="140" t="str">
        <v>K9</v>
      </c>
      <c r="E72" s="250" t="str">
        <f t="shared" si="4"/>
        <v>GBPFUT3MK9_Quote</v>
      </c>
      <c r="F72" s="251" t="str">
        <f t="shared" si="5"/>
        <v>GBPFUT3MK9ConvAdj_Quote</v>
      </c>
      <c r="G72" s="250" t="str">
        <f>_xll.qlFuturesConvAdjustmentQuote($F72,IborIndex,$D72,$E72,Volatility,MeanReversion,Permanent,Trigger,ObjectOverwrite)</f>
        <v>GBPFUT3MK9ConvAdj_Quote#0001</v>
      </c>
      <c r="H72" s="72" t="str">
        <f>_xll.ohRangeRetrieveError(G72)</f>
        <v/>
      </c>
    </row>
    <row r="73" spans="1:8" x14ac:dyDescent="0.2">
      <c r="A73" s="143"/>
      <c r="B73" s="142">
        <v>67</v>
      </c>
      <c r="C73" s="140" t="b">
        <v>0</v>
      </c>
      <c r="D73" s="140" t="str">
        <v>M9</v>
      </c>
      <c r="E73" s="250" t="str">
        <f t="shared" si="4"/>
        <v>GBPFUT3MM9_Quote</v>
      </c>
      <c r="F73" s="251" t="str">
        <f t="shared" si="5"/>
        <v>GBPFUT3MM9ConvAdj_Quote</v>
      </c>
      <c r="G73" s="250" t="str">
        <f>_xll.qlFuturesConvAdjustmentQuote($F73,IborIndex,$D73,$E73,Volatility,MeanReversion,Permanent,Trigger,ObjectOverwrite)</f>
        <v>GBPFUT3MM9ConvAdj_Quote#0001</v>
      </c>
      <c r="H73" s="72" t="str">
        <f>_xll.ohRangeRetrieveError(G73)</f>
        <v/>
      </c>
    </row>
    <row r="74" spans="1:8" x14ac:dyDescent="0.2">
      <c r="A74" s="143"/>
      <c r="B74" s="142">
        <v>68</v>
      </c>
      <c r="C74" s="140" t="b">
        <v>0</v>
      </c>
      <c r="D74" s="140" t="str">
        <v>N9</v>
      </c>
      <c r="E74" s="250" t="str">
        <f t="shared" si="4"/>
        <v>GBPFUT3MN9_Quote</v>
      </c>
      <c r="F74" s="251" t="str">
        <f t="shared" si="5"/>
        <v>GBPFUT3MN9ConvAdj_Quote</v>
      </c>
      <c r="G74" s="250" t="str">
        <f>_xll.qlFuturesConvAdjustmentQuote($F74,IborIndex,$D74,$E74,Volatility,MeanReversion,Permanent,Trigger,ObjectOverwrite)</f>
        <v>GBPFUT3MN9ConvAdj_Quote#0001</v>
      </c>
      <c r="H74" s="72" t="str">
        <f>_xll.ohRangeRetrieveError(G74)</f>
        <v/>
      </c>
    </row>
    <row r="75" spans="1:8" x14ac:dyDescent="0.2">
      <c r="A75" s="143"/>
      <c r="B75" s="142">
        <v>69</v>
      </c>
      <c r="C75" s="140" t="b">
        <v>0</v>
      </c>
      <c r="D75" s="140" t="str">
        <v>Q9</v>
      </c>
      <c r="E75" s="250" t="str">
        <f t="shared" si="4"/>
        <v>GBPFUT3MQ9_Quote</v>
      </c>
      <c r="F75" s="251" t="str">
        <f t="shared" si="5"/>
        <v>GBPFUT3MQ9ConvAdj_Quote</v>
      </c>
      <c r="G75" s="250" t="str">
        <f>_xll.qlFuturesConvAdjustmentQuote($F75,IborIndex,$D75,$E75,Volatility,MeanReversion,Permanent,Trigger,ObjectOverwrite)</f>
        <v>GBPFUT3MQ9ConvAdj_Quote#0001</v>
      </c>
      <c r="H75" s="72" t="str">
        <f>_xll.ohRangeRetrieveError(G75)</f>
        <v/>
      </c>
    </row>
    <row r="76" spans="1:8" x14ac:dyDescent="0.2">
      <c r="A76" s="143"/>
      <c r="B76" s="142">
        <v>70</v>
      </c>
      <c r="C76" s="140" t="b">
        <v>0</v>
      </c>
      <c r="D76" s="140" t="str">
        <v>U9</v>
      </c>
      <c r="E76" s="250" t="str">
        <f t="shared" si="4"/>
        <v>GBPFUT3MU9_Quote</v>
      </c>
      <c r="F76" s="251" t="str">
        <f t="shared" si="5"/>
        <v>GBPFUT3MU9ConvAdj_Quote</v>
      </c>
      <c r="G76" s="250" t="str">
        <f>_xll.qlFuturesConvAdjustmentQuote($F76,IborIndex,$D76,$E76,Volatility,MeanReversion,Permanent,Trigger,ObjectOverwrite)</f>
        <v>GBPFUT3MU9ConvAdj_Quote#0001</v>
      </c>
      <c r="H76" s="72" t="str">
        <f>_xll.ohRangeRetrieveError(G76)</f>
        <v/>
      </c>
    </row>
    <row r="77" spans="1:8" x14ac:dyDescent="0.2">
      <c r="A77" s="143"/>
      <c r="B77" s="142">
        <v>71</v>
      </c>
      <c r="C77" s="140" t="b">
        <v>0</v>
      </c>
      <c r="D77" s="140" t="str">
        <v>V9</v>
      </c>
      <c r="E77" s="250" t="str">
        <f t="shared" si="4"/>
        <v>GBPFUT3MV9_Quote</v>
      </c>
      <c r="F77" s="251" t="str">
        <f t="shared" si="5"/>
        <v>GBPFUT3MV9ConvAdj_Quote</v>
      </c>
      <c r="G77" s="250" t="str">
        <f>_xll.qlFuturesConvAdjustmentQuote($F77,IborIndex,$D77,$E77,Volatility,MeanReversion,Permanent,Trigger,ObjectOverwrite)</f>
        <v>GBPFUT3MV9ConvAdj_Quote#0001</v>
      </c>
      <c r="H77" s="72" t="str">
        <f>_xll.ohRangeRetrieveError(G77)</f>
        <v/>
      </c>
    </row>
    <row r="78" spans="1:8" x14ac:dyDescent="0.2">
      <c r="A78" s="143"/>
      <c r="B78" s="142">
        <v>72</v>
      </c>
      <c r="C78" s="140" t="b">
        <v>0</v>
      </c>
      <c r="D78" s="140" t="str">
        <v>X9</v>
      </c>
      <c r="E78" s="250" t="str">
        <f t="shared" si="4"/>
        <v>GBPFUT3MX9_Quote</v>
      </c>
      <c r="F78" s="251" t="str">
        <f t="shared" si="5"/>
        <v>GBPFUT3MX9ConvAdj_Quote</v>
      </c>
      <c r="G78" s="250" t="str">
        <f>_xll.qlFuturesConvAdjustmentQuote($F78,IborIndex,$D78,$E78,Volatility,MeanReversion,Permanent,Trigger,ObjectOverwrite)</f>
        <v>GBPFUT3MX9ConvAdj_Quote#0001</v>
      </c>
      <c r="H78" s="72" t="str">
        <f>_xll.ohRangeRetrieveError(G78)</f>
        <v/>
      </c>
    </row>
    <row r="79" spans="1:8" x14ac:dyDescent="0.2">
      <c r="A79" s="143"/>
      <c r="B79" s="142">
        <v>73</v>
      </c>
      <c r="C79" s="140" t="b">
        <v>0</v>
      </c>
      <c r="D79" s="140" t="str">
        <v>Z9</v>
      </c>
      <c r="E79" s="250" t="str">
        <f t="shared" si="4"/>
        <v>GBPFUT3MZ9_Quote</v>
      </c>
      <c r="F79" s="251" t="str">
        <f t="shared" si="5"/>
        <v>GBPFUT3MZ9ConvAdj_Quote</v>
      </c>
      <c r="G79" s="250" t="str">
        <f>_xll.qlFuturesConvAdjustmentQuote($F79,IborIndex,$D79,$E79,Volatility,MeanReversion,Permanent,Trigger,ObjectOverwrite)</f>
        <v>GBPFUT3MZ9ConvAdj_Quote#0001</v>
      </c>
      <c r="H79" s="72" t="str">
        <f>_xll.ohRangeRetrieveError(G79)</f>
        <v/>
      </c>
    </row>
    <row r="80" spans="1:8" x14ac:dyDescent="0.2">
      <c r="A80" s="143"/>
      <c r="B80" s="142">
        <v>74</v>
      </c>
      <c r="C80" s="140" t="b">
        <v>0</v>
      </c>
      <c r="D80" s="140" t="str">
        <v>F0</v>
      </c>
      <c r="E80" s="250" t="str">
        <f t="shared" si="4"/>
        <v>GBPFUT3MF0_Quote</v>
      </c>
      <c r="F80" s="251" t="str">
        <f t="shared" si="5"/>
        <v>GBPFUT3MF0ConvAdj_Quote</v>
      </c>
      <c r="G80" s="250" t="str">
        <f>_xll.qlFuturesConvAdjustmentQuote($F80,IborIndex,$D80,$E80,Volatility,MeanReversion,Permanent,Trigger,ObjectOverwrite)</f>
        <v>GBPFUT3MF0ConvAdj_Quote#0001</v>
      </c>
      <c r="H80" s="72" t="str">
        <f>_xll.ohRangeRetrieveError(G80)</f>
        <v/>
      </c>
    </row>
    <row r="81" spans="1:8" x14ac:dyDescent="0.2">
      <c r="A81" s="143"/>
      <c r="B81" s="142">
        <v>75</v>
      </c>
      <c r="C81" s="140" t="b">
        <v>0</v>
      </c>
      <c r="D81" s="140" t="str">
        <v>G0</v>
      </c>
      <c r="E81" s="250" t="str">
        <f t="shared" si="4"/>
        <v>GBPFUT3MG0_Quote</v>
      </c>
      <c r="F81" s="251" t="str">
        <f t="shared" si="5"/>
        <v>GBPFUT3MG0ConvAdj_Quote</v>
      </c>
      <c r="G81" s="250" t="str">
        <f>_xll.qlFuturesConvAdjustmentQuote($F81,IborIndex,$D81,$E81,Volatility,MeanReversion,Permanent,Trigger,ObjectOverwrite)</f>
        <v>GBPFUT3MG0ConvAdj_Quote#0001</v>
      </c>
      <c r="H81" s="72" t="str">
        <f>_xll.ohRangeRetrieveError(G81)</f>
        <v/>
      </c>
    </row>
    <row r="82" spans="1:8" x14ac:dyDescent="0.2">
      <c r="A82" s="143"/>
      <c r="B82" s="142">
        <v>76</v>
      </c>
      <c r="C82" s="140" t="b">
        <v>0</v>
      </c>
      <c r="D82" s="140" t="str">
        <v>H0</v>
      </c>
      <c r="E82" s="250" t="str">
        <f t="shared" si="4"/>
        <v>GBPFUT3MH0_Quote</v>
      </c>
      <c r="F82" s="251" t="str">
        <f t="shared" si="5"/>
        <v>GBPFUT3MH0ConvAdj_Quote</v>
      </c>
      <c r="G82" s="250" t="str">
        <f>_xll.qlFuturesConvAdjustmentQuote($F82,IborIndex,$D82,$E82,Volatility,MeanReversion,Permanent,Trigger,ObjectOverwrite)</f>
        <v>GBPFUT3MH0ConvAdj_Quote#0001</v>
      </c>
      <c r="H82" s="72" t="str">
        <f>_xll.ohRangeRetrieveError(G82)</f>
        <v/>
      </c>
    </row>
    <row r="83" spans="1:8" x14ac:dyDescent="0.2">
      <c r="A83" s="143"/>
      <c r="B83" s="142">
        <v>77</v>
      </c>
      <c r="C83" s="140" t="b">
        <v>0</v>
      </c>
      <c r="D83" s="140" t="str">
        <v>J0</v>
      </c>
      <c r="E83" s="250" t="str">
        <f t="shared" si="4"/>
        <v>GBPFUT3MJ0_Quote</v>
      </c>
      <c r="F83" s="251" t="str">
        <f t="shared" si="5"/>
        <v>GBPFUT3MJ0ConvAdj_Quote</v>
      </c>
      <c r="G83" s="250" t="str">
        <f>_xll.qlFuturesConvAdjustmentQuote($F83,IborIndex,$D83,$E83,Volatility,MeanReversion,Permanent,Trigger,ObjectOverwrite)</f>
        <v>GBPFUT3MJ0ConvAdj_Quote#0001</v>
      </c>
      <c r="H83" s="72" t="str">
        <f>_xll.ohRangeRetrieveError(G83)</f>
        <v/>
      </c>
    </row>
    <row r="84" spans="1:8" x14ac:dyDescent="0.2">
      <c r="A84" s="143"/>
      <c r="B84" s="142">
        <v>78</v>
      </c>
      <c r="C84" s="140" t="b">
        <v>0</v>
      </c>
      <c r="D84" s="140" t="str">
        <v>K0</v>
      </c>
      <c r="E84" s="250" t="str">
        <f t="shared" si="4"/>
        <v>GBPFUT3MK0_Quote</v>
      </c>
      <c r="F84" s="251" t="str">
        <f t="shared" si="5"/>
        <v>GBPFUT3MK0ConvAdj_Quote</v>
      </c>
      <c r="G84" s="250" t="str">
        <f>_xll.qlFuturesConvAdjustmentQuote($F84,IborIndex,$D84,$E84,Volatility,MeanReversion,Permanent,Trigger,ObjectOverwrite)</f>
        <v>GBPFUT3MK0ConvAdj_Quote#0001</v>
      </c>
      <c r="H84" s="72" t="str">
        <f>_xll.ohRangeRetrieveError(G84)</f>
        <v/>
      </c>
    </row>
    <row r="85" spans="1:8" x14ac:dyDescent="0.2">
      <c r="A85" s="143"/>
      <c r="B85" s="142">
        <v>79</v>
      </c>
      <c r="C85" s="140" t="b">
        <v>0</v>
      </c>
      <c r="D85" s="140" t="str">
        <v>M0</v>
      </c>
      <c r="E85" s="250" t="str">
        <f t="shared" si="4"/>
        <v>GBPFUT3MM0_Quote</v>
      </c>
      <c r="F85" s="251" t="str">
        <f t="shared" si="5"/>
        <v>GBPFUT3MM0ConvAdj_Quote</v>
      </c>
      <c r="G85" s="250" t="str">
        <f>_xll.qlFuturesConvAdjustmentQuote($F85,IborIndex,$D85,$E85,Volatility,MeanReversion,Permanent,Trigger,ObjectOverwrite)</f>
        <v>GBPFUT3MM0ConvAdj_Quote#0001</v>
      </c>
      <c r="H85" s="72" t="str">
        <f>_xll.ohRangeRetrieveError(G85)</f>
        <v/>
      </c>
    </row>
    <row r="86" spans="1:8" x14ac:dyDescent="0.2">
      <c r="A86" s="143"/>
      <c r="B86" s="142">
        <v>80</v>
      </c>
      <c r="C86" s="140" t="b">
        <v>0</v>
      </c>
      <c r="D86" s="140" t="str">
        <v>N0</v>
      </c>
      <c r="E86" s="250" t="str">
        <f t="shared" si="4"/>
        <v>GBPFUT3MN0_Quote</v>
      </c>
      <c r="F86" s="251" t="str">
        <f t="shared" si="5"/>
        <v>GBPFUT3MN0ConvAdj_Quote</v>
      </c>
      <c r="G86" s="250" t="str">
        <f>_xll.qlFuturesConvAdjustmentQuote($F86,IborIndex,$D86,$E86,Volatility,MeanReversion,Permanent,Trigger,ObjectOverwrite)</f>
        <v>GBPFUT3MN0ConvAdj_Quote#0001</v>
      </c>
      <c r="H86" s="72" t="str">
        <f>_xll.ohRangeRetrieveError(G86)</f>
        <v/>
      </c>
    </row>
    <row r="87" spans="1:8" x14ac:dyDescent="0.2">
      <c r="A87" s="143"/>
      <c r="B87" s="142">
        <v>81</v>
      </c>
      <c r="C87" s="140" t="b">
        <v>0</v>
      </c>
      <c r="D87" s="140" t="str">
        <v>Q0</v>
      </c>
      <c r="E87" s="250" t="str">
        <f t="shared" si="4"/>
        <v>GBPFUT3MQ0_Quote</v>
      </c>
      <c r="F87" s="251" t="str">
        <f t="shared" si="5"/>
        <v>GBPFUT3MQ0ConvAdj_Quote</v>
      </c>
      <c r="G87" s="250" t="str">
        <f>_xll.qlFuturesConvAdjustmentQuote($F87,IborIndex,$D87,$E87,Volatility,MeanReversion,Permanent,Trigger,ObjectOverwrite)</f>
        <v>GBPFUT3MQ0ConvAdj_Quote#0001</v>
      </c>
      <c r="H87" s="72" t="str">
        <f>_xll.ohRangeRetrieveError(G87)</f>
        <v/>
      </c>
    </row>
    <row r="88" spans="1:8" x14ac:dyDescent="0.2">
      <c r="A88" s="143"/>
      <c r="B88" s="142">
        <v>82</v>
      </c>
      <c r="C88" s="140" t="b">
        <v>0</v>
      </c>
      <c r="D88" s="140" t="str">
        <v>U0</v>
      </c>
      <c r="E88" s="250" t="str">
        <f t="shared" si="4"/>
        <v>GBPFUT3MU0_Quote</v>
      </c>
      <c r="F88" s="251" t="str">
        <f t="shared" si="5"/>
        <v>GBPFUT3MU0ConvAdj_Quote</v>
      </c>
      <c r="G88" s="250" t="str">
        <f>_xll.qlFuturesConvAdjustmentQuote($F88,IborIndex,$D88,$E88,Volatility,MeanReversion,Permanent,Trigger,ObjectOverwrite)</f>
        <v>GBPFUT3MU0ConvAdj_Quote#0001</v>
      </c>
      <c r="H88" s="72" t="str">
        <f>_xll.ohRangeRetrieveError(G88)</f>
        <v/>
      </c>
    </row>
    <row r="89" spans="1:8" x14ac:dyDescent="0.2">
      <c r="A89" s="143"/>
      <c r="B89" s="142">
        <v>83</v>
      </c>
      <c r="C89" s="140" t="b">
        <v>0</v>
      </c>
      <c r="D89" s="140" t="str">
        <v>V0</v>
      </c>
      <c r="E89" s="250" t="str">
        <f t="shared" si="4"/>
        <v>GBPFUT3MV0_Quote</v>
      </c>
      <c r="F89" s="251" t="str">
        <f t="shared" si="5"/>
        <v>GBPFUT3MV0ConvAdj_Quote</v>
      </c>
      <c r="G89" s="250" t="str">
        <f>_xll.qlFuturesConvAdjustmentQuote($F89,IborIndex,$D89,$E89,Volatility,MeanReversion,Permanent,Trigger,ObjectOverwrite)</f>
        <v>GBPFUT3MV0ConvAdj_Quote#0001</v>
      </c>
      <c r="H89" s="72" t="str">
        <f>_xll.ohRangeRetrieveError(G89)</f>
        <v/>
      </c>
    </row>
    <row r="90" spans="1:8" x14ac:dyDescent="0.2">
      <c r="A90" s="143"/>
      <c r="B90" s="142">
        <v>84</v>
      </c>
      <c r="C90" s="140" t="b">
        <v>0</v>
      </c>
      <c r="D90" s="140" t="str">
        <v>X0</v>
      </c>
      <c r="E90" s="250" t="str">
        <f t="shared" si="4"/>
        <v>GBPFUT3MX0_Quote</v>
      </c>
      <c r="F90" s="251" t="str">
        <f t="shared" si="5"/>
        <v>GBPFUT3MX0ConvAdj_Quote</v>
      </c>
      <c r="G90" s="250" t="str">
        <f>_xll.qlFuturesConvAdjustmentQuote($F90,IborIndex,$D90,$E90,Volatility,MeanReversion,Permanent,Trigger,ObjectOverwrite)</f>
        <v>GBPFUT3MX0ConvAdj_Quote#0001</v>
      </c>
      <c r="H90" s="72" t="str">
        <f>_xll.ohRangeRetrieveError(G90)</f>
        <v/>
      </c>
    </row>
    <row r="91" spans="1:8" x14ac:dyDescent="0.2">
      <c r="A91" s="143"/>
      <c r="B91" s="142">
        <v>85</v>
      </c>
      <c r="C91" s="140" t="b">
        <v>0</v>
      </c>
      <c r="D91" s="140" t="str">
        <v>Z0</v>
      </c>
      <c r="E91" s="250" t="str">
        <f t="shared" si="4"/>
        <v>GBPFUT3MZ0_Quote</v>
      </c>
      <c r="F91" s="251" t="str">
        <f t="shared" si="5"/>
        <v>GBPFUT3MZ0ConvAdj_Quote</v>
      </c>
      <c r="G91" s="250" t="str">
        <f>_xll.qlFuturesConvAdjustmentQuote($F91,IborIndex,$D91,$E91,Volatility,MeanReversion,Permanent,Trigger,ObjectOverwrite)</f>
        <v>GBPFUT3MZ0ConvAdj_Quote#0001</v>
      </c>
      <c r="H91" s="72" t="str">
        <f>_xll.ohRangeRetrieveError(G91)</f>
        <v/>
      </c>
    </row>
    <row r="92" spans="1:8" x14ac:dyDescent="0.2">
      <c r="A92" s="143"/>
      <c r="B92" s="142">
        <v>86</v>
      </c>
      <c r="C92" s="140" t="b">
        <v>0</v>
      </c>
      <c r="D92" s="140" t="str">
        <v>F1</v>
      </c>
      <c r="E92" s="250" t="str">
        <f t="shared" si="4"/>
        <v>GBPFUT3MF1_Quote</v>
      </c>
      <c r="F92" s="251" t="str">
        <f t="shared" si="5"/>
        <v>GBPFUT3MF1ConvAdj_Quote</v>
      </c>
      <c r="G92" s="250" t="str">
        <f>_xll.qlFuturesConvAdjustmentQuote($F92,IborIndex,$D92,$E92,Volatility,MeanReversion,Permanent,Trigger,ObjectOverwrite)</f>
        <v>GBPFUT3MF1ConvAdj_Quote#0001</v>
      </c>
      <c r="H92" s="72" t="str">
        <f>_xll.ohRangeRetrieveError(G92)</f>
        <v/>
      </c>
    </row>
    <row r="93" spans="1:8" x14ac:dyDescent="0.2">
      <c r="A93" s="143"/>
      <c r="B93" s="142">
        <v>87</v>
      </c>
      <c r="C93" s="140" t="b">
        <v>0</v>
      </c>
      <c r="D93" s="140" t="str">
        <v>G1</v>
      </c>
      <c r="E93" s="250" t="str">
        <f t="shared" si="4"/>
        <v>GBPFUT3MG1_Quote</v>
      </c>
      <c r="F93" s="251" t="str">
        <f t="shared" si="5"/>
        <v>GBPFUT3MG1ConvAdj_Quote</v>
      </c>
      <c r="G93" s="250" t="str">
        <f>_xll.qlFuturesConvAdjustmentQuote($F93,IborIndex,$D93,$E93,Volatility,MeanReversion,Permanent,Trigger,ObjectOverwrite)</f>
        <v>GBPFUT3MG1ConvAdj_Quote#0001</v>
      </c>
      <c r="H93" s="72" t="str">
        <f>_xll.ohRangeRetrieveError(G93)</f>
        <v/>
      </c>
    </row>
    <row r="94" spans="1:8" x14ac:dyDescent="0.2">
      <c r="A94" s="143"/>
      <c r="B94" s="142">
        <v>88</v>
      </c>
      <c r="C94" s="140" t="b">
        <v>0</v>
      </c>
      <c r="D94" s="140" t="str">
        <v>H1</v>
      </c>
      <c r="E94" s="250" t="str">
        <f t="shared" si="4"/>
        <v>GBPFUT3MH1_Quote</v>
      </c>
      <c r="F94" s="251" t="str">
        <f t="shared" si="5"/>
        <v>GBPFUT3MH1ConvAdj_Quote</v>
      </c>
      <c r="G94" s="250" t="str">
        <f>_xll.qlFuturesConvAdjustmentQuote($F94,IborIndex,$D94,$E94,Volatility,MeanReversion,Permanent,Trigger,ObjectOverwrite)</f>
        <v>GBPFUT3MH1ConvAdj_Quote#0001</v>
      </c>
      <c r="H94" s="72" t="str">
        <f>_xll.ohRangeRetrieveError(G94)</f>
        <v/>
      </c>
    </row>
    <row r="95" spans="1:8" x14ac:dyDescent="0.2">
      <c r="A95" s="143"/>
      <c r="B95" s="142">
        <v>89</v>
      </c>
      <c r="C95" s="140" t="b">
        <v>0</v>
      </c>
      <c r="D95" s="140" t="str">
        <v>J1</v>
      </c>
      <c r="E95" s="250" t="str">
        <f t="shared" si="4"/>
        <v>GBPFUT3MJ1_Quote</v>
      </c>
      <c r="F95" s="251" t="str">
        <f t="shared" si="5"/>
        <v>GBPFUT3MJ1ConvAdj_Quote</v>
      </c>
      <c r="G95" s="250" t="str">
        <f>_xll.qlFuturesConvAdjustmentQuote($F95,IborIndex,$D95,$E95,Volatility,MeanReversion,Permanent,Trigger,ObjectOverwrite)</f>
        <v>GBPFUT3MJ1ConvAdj_Quote#0001</v>
      </c>
      <c r="H95" s="72" t="str">
        <f>_xll.ohRangeRetrieveError(G95)</f>
        <v/>
      </c>
    </row>
    <row r="96" spans="1:8" x14ac:dyDescent="0.2">
      <c r="A96" s="143"/>
      <c r="B96" s="142">
        <v>90</v>
      </c>
      <c r="C96" s="140" t="b">
        <v>0</v>
      </c>
      <c r="D96" s="140" t="str">
        <v>K1</v>
      </c>
      <c r="E96" s="250" t="str">
        <f t="shared" si="4"/>
        <v>GBPFUT3MK1_Quote</v>
      </c>
      <c r="F96" s="251" t="str">
        <f t="shared" si="5"/>
        <v>GBPFUT3MK1ConvAdj_Quote</v>
      </c>
      <c r="G96" s="250" t="str">
        <f>_xll.qlFuturesConvAdjustmentQuote($F96,IborIndex,$D96,$E96,Volatility,MeanReversion,Permanent,Trigger,ObjectOverwrite)</f>
        <v>GBPFUT3MK1ConvAdj_Quote#0001</v>
      </c>
      <c r="H96" s="72" t="str">
        <f>_xll.ohRangeRetrieveError(G96)</f>
        <v/>
      </c>
    </row>
    <row r="97" spans="1:8" x14ac:dyDescent="0.2">
      <c r="A97" s="143"/>
      <c r="B97" s="142">
        <v>91</v>
      </c>
      <c r="C97" s="140" t="b">
        <v>0</v>
      </c>
      <c r="D97" s="140" t="str">
        <v>M1</v>
      </c>
      <c r="E97" s="250" t="str">
        <f t="shared" si="4"/>
        <v>GBPFUT3MM1_Quote</v>
      </c>
      <c r="F97" s="251" t="str">
        <f t="shared" si="5"/>
        <v>GBPFUT3MM1ConvAdj_Quote</v>
      </c>
      <c r="G97" s="250" t="str">
        <f>_xll.qlFuturesConvAdjustmentQuote($F97,IborIndex,$D97,$E97,Volatility,MeanReversion,Permanent,Trigger,ObjectOverwrite)</f>
        <v>GBPFUT3MM1ConvAdj_Quote#0001</v>
      </c>
      <c r="H97" s="72" t="str">
        <f>_xll.ohRangeRetrieveError(G97)</f>
        <v/>
      </c>
    </row>
    <row r="98" spans="1:8" x14ac:dyDescent="0.2">
      <c r="A98" s="143"/>
      <c r="B98" s="142">
        <v>92</v>
      </c>
      <c r="C98" s="140" t="b">
        <v>0</v>
      </c>
      <c r="D98" s="140" t="str">
        <v>N1</v>
      </c>
      <c r="E98" s="250" t="str">
        <f t="shared" si="4"/>
        <v>GBPFUT3MN1_Quote</v>
      </c>
      <c r="F98" s="251" t="str">
        <f t="shared" si="5"/>
        <v>GBPFUT3MN1ConvAdj_Quote</v>
      </c>
      <c r="G98" s="250" t="str">
        <f>_xll.qlFuturesConvAdjustmentQuote($F98,IborIndex,$D98,$E98,Volatility,MeanReversion,Permanent,Trigger,ObjectOverwrite)</f>
        <v>GBPFUT3MN1ConvAdj_Quote#0001</v>
      </c>
      <c r="H98" s="72" t="str">
        <f>_xll.ohRangeRetrieveError(G98)</f>
        <v/>
      </c>
    </row>
    <row r="99" spans="1:8" x14ac:dyDescent="0.2">
      <c r="A99" s="143"/>
      <c r="B99" s="142">
        <v>93</v>
      </c>
      <c r="C99" s="140" t="b">
        <v>0</v>
      </c>
      <c r="D99" s="140" t="str">
        <v>Q1</v>
      </c>
      <c r="E99" s="250" t="str">
        <f t="shared" si="4"/>
        <v>GBPFUT3MQ1_Quote</v>
      </c>
      <c r="F99" s="251" t="str">
        <f t="shared" si="5"/>
        <v>GBPFUT3MQ1ConvAdj_Quote</v>
      </c>
      <c r="G99" s="250" t="str">
        <f>_xll.qlFuturesConvAdjustmentQuote($F99,IborIndex,$D99,$E99,Volatility,MeanReversion,Permanent,Trigger,ObjectOverwrite)</f>
        <v>GBPFUT3MQ1ConvAdj_Quote#0001</v>
      </c>
      <c r="H99" s="72" t="str">
        <f>_xll.ohRangeRetrieveError(G99)</f>
        <v/>
      </c>
    </row>
    <row r="100" spans="1:8" x14ac:dyDescent="0.2">
      <c r="A100" s="143"/>
      <c r="B100" s="142">
        <v>94</v>
      </c>
      <c r="C100" s="140" t="b">
        <v>0</v>
      </c>
      <c r="D100" s="140" t="str">
        <v>U1</v>
      </c>
      <c r="E100" s="250" t="str">
        <f t="shared" si="4"/>
        <v>GBPFUT3MU1_Quote</v>
      </c>
      <c r="F100" s="251" t="str">
        <f t="shared" si="5"/>
        <v>GBPFUT3MU1ConvAdj_Quote</v>
      </c>
      <c r="G100" s="250" t="str">
        <f>_xll.qlFuturesConvAdjustmentQuote($F100,IborIndex,$D100,$E100,Volatility,MeanReversion,Permanent,Trigger,ObjectOverwrite)</f>
        <v>GBPFUT3MU1ConvAdj_Quote#0001</v>
      </c>
      <c r="H100" s="72" t="str">
        <f>_xll.ohRangeRetrieveError(G100)</f>
        <v/>
      </c>
    </row>
    <row r="101" spans="1:8" x14ac:dyDescent="0.2">
      <c r="A101" s="143"/>
      <c r="B101" s="142">
        <v>95</v>
      </c>
      <c r="C101" s="140" t="b">
        <v>0</v>
      </c>
      <c r="D101" s="140" t="str">
        <v>V1</v>
      </c>
      <c r="E101" s="250" t="str">
        <f t="shared" si="4"/>
        <v>GBPFUT3MV1_Quote</v>
      </c>
      <c r="F101" s="251" t="str">
        <f t="shared" si="5"/>
        <v>GBPFUT3MV1ConvAdj_Quote</v>
      </c>
      <c r="G101" s="250" t="str">
        <f>_xll.qlFuturesConvAdjustmentQuote($F101,IborIndex,$D101,$E101,Volatility,MeanReversion,Permanent,Trigger,ObjectOverwrite)</f>
        <v>GBPFUT3MV1ConvAdj_Quote#0001</v>
      </c>
      <c r="H101" s="72" t="str">
        <f>_xll.ohRangeRetrieveError(G101)</f>
        <v/>
      </c>
    </row>
    <row r="102" spans="1:8" x14ac:dyDescent="0.2">
      <c r="A102" s="143"/>
      <c r="B102" s="142">
        <v>96</v>
      </c>
      <c r="C102" s="140" t="b">
        <v>0</v>
      </c>
      <c r="D102" s="140" t="str">
        <v>X1</v>
      </c>
      <c r="E102" s="250" t="str">
        <f t="shared" si="4"/>
        <v>GBPFUT3MX1_Quote</v>
      </c>
      <c r="F102" s="251" t="str">
        <f t="shared" si="5"/>
        <v>GBPFUT3MX1ConvAdj_Quote</v>
      </c>
      <c r="G102" s="250" t="str">
        <f>_xll.qlFuturesConvAdjustmentQuote($F102,IborIndex,$D102,$E102,Volatility,MeanReversion,Permanent,Trigger,ObjectOverwrite)</f>
        <v>GBPFUT3MX1ConvAdj_Quote#0001</v>
      </c>
      <c r="H102" s="72" t="str">
        <f>_xll.ohRangeRetrieveError(G102)</f>
        <v/>
      </c>
    </row>
    <row r="103" spans="1:8" x14ac:dyDescent="0.2">
      <c r="A103" s="143"/>
      <c r="B103" s="142">
        <v>97</v>
      </c>
      <c r="C103" s="140" t="b">
        <v>0</v>
      </c>
      <c r="D103" s="140" t="str">
        <v>Z1</v>
      </c>
      <c r="E103" s="250" t="str">
        <f t="shared" ref="E103:E126" si="6">Currency&amp;"FUT"&amp;$G$4&amp;$D103&amp;QuoteSuffix</f>
        <v>GBPFUT3MZ1_Quote</v>
      </c>
      <c r="F103" s="251" t="str">
        <f t="shared" ref="F103:F126" si="7">Currency&amp;"FUT"&amp;$G$4&amp;$D103&amp;"ConvAdj"&amp;QuoteSuffix</f>
        <v>GBPFUT3MZ1ConvAdj_Quote</v>
      </c>
      <c r="G103" s="250" t="str">
        <f>_xll.qlFuturesConvAdjustmentQuote($F103,IborIndex,$D103,$E103,Volatility,MeanReversion,Permanent,Trigger,ObjectOverwrite)</f>
        <v>GBPFUT3MZ1ConvAdj_Quote#0001</v>
      </c>
      <c r="H103" s="72" t="str">
        <f>_xll.ohRangeRetrieveError(G103)</f>
        <v/>
      </c>
    </row>
    <row r="104" spans="1:8" x14ac:dyDescent="0.2">
      <c r="A104" s="143"/>
      <c r="B104" s="142">
        <v>98</v>
      </c>
      <c r="C104" s="140" t="b">
        <v>0</v>
      </c>
      <c r="D104" s="140" t="str">
        <v>F2</v>
      </c>
      <c r="E104" s="250" t="str">
        <f t="shared" si="6"/>
        <v>GBPFUT3MF2_Quote</v>
      </c>
      <c r="F104" s="251" t="str">
        <f t="shared" si="7"/>
        <v>GBPFUT3MF2ConvAdj_Quote</v>
      </c>
      <c r="G104" s="250" t="str">
        <f>_xll.qlFuturesConvAdjustmentQuote($F104,IborIndex,$D104,$E104,Volatility,MeanReversion,Permanent,Trigger,ObjectOverwrite)</f>
        <v>GBPFUT3MF2ConvAdj_Quote#0001</v>
      </c>
      <c r="H104" s="72" t="str">
        <f>_xll.ohRangeRetrieveError(G104)</f>
        <v/>
      </c>
    </row>
    <row r="105" spans="1:8" x14ac:dyDescent="0.2">
      <c r="A105" s="143"/>
      <c r="B105" s="142">
        <v>99</v>
      </c>
      <c r="C105" s="140" t="b">
        <v>0</v>
      </c>
      <c r="D105" s="140" t="str">
        <v>G2</v>
      </c>
      <c r="E105" s="250" t="str">
        <f t="shared" si="6"/>
        <v>GBPFUT3MG2_Quote</v>
      </c>
      <c r="F105" s="251" t="str">
        <f t="shared" si="7"/>
        <v>GBPFUT3MG2ConvAdj_Quote</v>
      </c>
      <c r="G105" s="250" t="str">
        <f>_xll.qlFuturesConvAdjustmentQuote($F105,IborIndex,$D105,$E105,Volatility,MeanReversion,Permanent,Trigger,ObjectOverwrite)</f>
        <v>GBPFUT3MG2ConvAdj_Quote#0001</v>
      </c>
      <c r="H105" s="72" t="str">
        <f>_xll.ohRangeRetrieveError(G105)</f>
        <v/>
      </c>
    </row>
    <row r="106" spans="1:8" x14ac:dyDescent="0.2">
      <c r="A106" s="143"/>
      <c r="B106" s="142">
        <v>100</v>
      </c>
      <c r="C106" s="140" t="b">
        <v>0</v>
      </c>
      <c r="D106" s="140" t="str">
        <v>H2</v>
      </c>
      <c r="E106" s="250" t="str">
        <f t="shared" si="6"/>
        <v>GBPFUT3MH2_Quote</v>
      </c>
      <c r="F106" s="251" t="str">
        <f t="shared" si="7"/>
        <v>GBPFUT3MH2ConvAdj_Quote</v>
      </c>
      <c r="G106" s="250" t="str">
        <f>_xll.qlFuturesConvAdjustmentQuote($F106,IborIndex,$D106,$E106,Volatility,MeanReversion,Permanent,Trigger,ObjectOverwrite)</f>
        <v>GBPFUT3MH2ConvAdj_Quote#0001</v>
      </c>
      <c r="H106" s="72" t="str">
        <f>_xll.ohRangeRetrieveError(G106)</f>
        <v/>
      </c>
    </row>
    <row r="107" spans="1:8" x14ac:dyDescent="0.2">
      <c r="A107" s="143"/>
      <c r="B107" s="142">
        <v>101</v>
      </c>
      <c r="C107" s="140" t="b">
        <v>0</v>
      </c>
      <c r="D107" s="140" t="str">
        <v>J2</v>
      </c>
      <c r="E107" s="250" t="str">
        <f t="shared" si="6"/>
        <v>GBPFUT3MJ2_Quote</v>
      </c>
      <c r="F107" s="251" t="str">
        <f t="shared" si="7"/>
        <v>GBPFUT3MJ2ConvAdj_Quote</v>
      </c>
      <c r="G107" s="250" t="str">
        <f>_xll.qlFuturesConvAdjustmentQuote($F107,IborIndex,$D107,$E107,Volatility,MeanReversion,Permanent,Trigger,ObjectOverwrite)</f>
        <v>GBPFUT3MJ2ConvAdj_Quote#0001</v>
      </c>
      <c r="H107" s="72" t="str">
        <f>_xll.ohRangeRetrieveError(G107)</f>
        <v/>
      </c>
    </row>
    <row r="108" spans="1:8" x14ac:dyDescent="0.2">
      <c r="A108" s="143"/>
      <c r="B108" s="142">
        <v>102</v>
      </c>
      <c r="C108" s="140" t="b">
        <v>0</v>
      </c>
      <c r="D108" s="140" t="str">
        <v>K2</v>
      </c>
      <c r="E108" s="250" t="str">
        <f t="shared" si="6"/>
        <v>GBPFUT3MK2_Quote</v>
      </c>
      <c r="F108" s="251" t="str">
        <f t="shared" si="7"/>
        <v>GBPFUT3MK2ConvAdj_Quote</v>
      </c>
      <c r="G108" s="250" t="str">
        <f>_xll.qlFuturesConvAdjustmentQuote($F108,IborIndex,$D108,$E108,Volatility,MeanReversion,Permanent,Trigger,ObjectOverwrite)</f>
        <v>GBPFUT3MK2ConvAdj_Quote#0001</v>
      </c>
      <c r="H108" s="72" t="str">
        <f>_xll.ohRangeRetrieveError(G108)</f>
        <v/>
      </c>
    </row>
    <row r="109" spans="1:8" x14ac:dyDescent="0.2">
      <c r="A109" s="143"/>
      <c r="B109" s="142">
        <v>103</v>
      </c>
      <c r="C109" s="140" t="b">
        <v>0</v>
      </c>
      <c r="D109" s="140" t="str">
        <v>M2</v>
      </c>
      <c r="E109" s="250" t="str">
        <f t="shared" si="6"/>
        <v>GBPFUT3MM2_Quote</v>
      </c>
      <c r="F109" s="251" t="str">
        <f t="shared" si="7"/>
        <v>GBPFUT3MM2ConvAdj_Quote</v>
      </c>
      <c r="G109" s="250" t="str">
        <f>_xll.qlFuturesConvAdjustmentQuote($F109,IborIndex,$D109,$E109,Volatility,MeanReversion,Permanent,Trigger,ObjectOverwrite)</f>
        <v>GBPFUT3MM2ConvAdj_Quote#0001</v>
      </c>
      <c r="H109" s="72" t="str">
        <f>_xll.ohRangeRetrieveError(G109)</f>
        <v/>
      </c>
    </row>
    <row r="110" spans="1:8" x14ac:dyDescent="0.2">
      <c r="A110" s="143"/>
      <c r="B110" s="142">
        <v>104</v>
      </c>
      <c r="C110" s="140" t="b">
        <v>0</v>
      </c>
      <c r="D110" s="140" t="str">
        <v>N2</v>
      </c>
      <c r="E110" s="250" t="str">
        <f t="shared" si="6"/>
        <v>GBPFUT3MN2_Quote</v>
      </c>
      <c r="F110" s="251" t="str">
        <f t="shared" si="7"/>
        <v>GBPFUT3MN2ConvAdj_Quote</v>
      </c>
      <c r="G110" s="250" t="str">
        <f>_xll.qlFuturesConvAdjustmentQuote($F110,IborIndex,$D110,$E110,Volatility,MeanReversion,Permanent,Trigger,ObjectOverwrite)</f>
        <v>GBPFUT3MN2ConvAdj_Quote#0001</v>
      </c>
      <c r="H110" s="72" t="str">
        <f>_xll.ohRangeRetrieveError(G110)</f>
        <v/>
      </c>
    </row>
    <row r="111" spans="1:8" x14ac:dyDescent="0.2">
      <c r="A111" s="143"/>
      <c r="B111" s="142">
        <v>105</v>
      </c>
      <c r="C111" s="140" t="b">
        <v>0</v>
      </c>
      <c r="D111" s="140" t="str">
        <v>Q2</v>
      </c>
      <c r="E111" s="250" t="str">
        <f t="shared" si="6"/>
        <v>GBPFUT3MQ2_Quote</v>
      </c>
      <c r="F111" s="251" t="str">
        <f t="shared" si="7"/>
        <v>GBPFUT3MQ2ConvAdj_Quote</v>
      </c>
      <c r="G111" s="250" t="str">
        <f>_xll.qlFuturesConvAdjustmentQuote($F111,IborIndex,$D111,$E111,Volatility,MeanReversion,Permanent,Trigger,ObjectOverwrite)</f>
        <v>GBPFUT3MQ2ConvAdj_Quote#0001</v>
      </c>
      <c r="H111" s="72" t="str">
        <f>_xll.ohRangeRetrieveError(G111)</f>
        <v/>
      </c>
    </row>
    <row r="112" spans="1:8" x14ac:dyDescent="0.2">
      <c r="A112" s="143"/>
      <c r="B112" s="142">
        <v>106</v>
      </c>
      <c r="C112" s="140" t="b">
        <v>0</v>
      </c>
      <c r="D112" s="140" t="str">
        <v>U2</v>
      </c>
      <c r="E112" s="250" t="str">
        <f t="shared" si="6"/>
        <v>GBPFUT3MU2_Quote</v>
      </c>
      <c r="F112" s="251" t="str">
        <f t="shared" si="7"/>
        <v>GBPFUT3MU2ConvAdj_Quote</v>
      </c>
      <c r="G112" s="250" t="str">
        <f>_xll.qlFuturesConvAdjustmentQuote($F112,IborIndex,$D112,$E112,Volatility,MeanReversion,Permanent,Trigger,ObjectOverwrite)</f>
        <v>GBPFUT3MU2ConvAdj_Quote#0001</v>
      </c>
      <c r="H112" s="72" t="str">
        <f>_xll.ohRangeRetrieveError(G112)</f>
        <v/>
      </c>
    </row>
    <row r="113" spans="1:8" x14ac:dyDescent="0.2">
      <c r="A113" s="143"/>
      <c r="B113" s="142">
        <v>107</v>
      </c>
      <c r="C113" s="140" t="b">
        <v>0</v>
      </c>
      <c r="D113" s="140" t="str">
        <v>V2</v>
      </c>
      <c r="E113" s="250" t="str">
        <f t="shared" si="6"/>
        <v>GBPFUT3MV2_Quote</v>
      </c>
      <c r="F113" s="251" t="str">
        <f t="shared" si="7"/>
        <v>GBPFUT3MV2ConvAdj_Quote</v>
      </c>
      <c r="G113" s="250" t="str">
        <f>_xll.qlFuturesConvAdjustmentQuote($F113,IborIndex,$D113,$E113,Volatility,MeanReversion,Permanent,Trigger,ObjectOverwrite)</f>
        <v>GBPFUT3MV2ConvAdj_Quote#0001</v>
      </c>
      <c r="H113" s="72" t="str">
        <f>_xll.ohRangeRetrieveError(G113)</f>
        <v/>
      </c>
    </row>
    <row r="114" spans="1:8" x14ac:dyDescent="0.2">
      <c r="A114" s="143"/>
      <c r="B114" s="142">
        <v>108</v>
      </c>
      <c r="C114" s="140" t="b">
        <v>0</v>
      </c>
      <c r="D114" s="140" t="str">
        <v>X2</v>
      </c>
      <c r="E114" s="250" t="str">
        <f t="shared" si="6"/>
        <v>GBPFUT3MX2_Quote</v>
      </c>
      <c r="F114" s="251" t="str">
        <f t="shared" si="7"/>
        <v>GBPFUT3MX2ConvAdj_Quote</v>
      </c>
      <c r="G114" s="250" t="str">
        <f>_xll.qlFuturesConvAdjustmentQuote($F114,IborIndex,$D114,$E114,Volatility,MeanReversion,Permanent,Trigger,ObjectOverwrite)</f>
        <v>GBPFUT3MX2ConvAdj_Quote#0001</v>
      </c>
      <c r="H114" s="72" t="str">
        <f>_xll.ohRangeRetrieveError(G114)</f>
        <v/>
      </c>
    </row>
    <row r="115" spans="1:8" x14ac:dyDescent="0.2">
      <c r="A115" s="143"/>
      <c r="B115" s="142">
        <v>109</v>
      </c>
      <c r="C115" s="140" t="b">
        <v>0</v>
      </c>
      <c r="D115" s="140" t="str">
        <v>Z2</v>
      </c>
      <c r="E115" s="250" t="str">
        <f t="shared" si="6"/>
        <v>GBPFUT3MZ2_Quote</v>
      </c>
      <c r="F115" s="251" t="str">
        <f t="shared" si="7"/>
        <v>GBPFUT3MZ2ConvAdj_Quote</v>
      </c>
      <c r="G115" s="250" t="str">
        <f>_xll.qlFuturesConvAdjustmentQuote($F115,IborIndex,$D115,$E115,Volatility,MeanReversion,Permanent,Trigger,ObjectOverwrite)</f>
        <v>GBPFUT3MZ2ConvAdj_Quote#0001</v>
      </c>
      <c r="H115" s="72" t="str">
        <f>_xll.ohRangeRetrieveError(G115)</f>
        <v/>
      </c>
    </row>
    <row r="116" spans="1:8" x14ac:dyDescent="0.2">
      <c r="A116" s="143"/>
      <c r="B116" s="142">
        <v>110</v>
      </c>
      <c r="C116" s="140" t="b">
        <v>0</v>
      </c>
      <c r="D116" s="140" t="str">
        <v>F3</v>
      </c>
      <c r="E116" s="250" t="str">
        <f t="shared" si="6"/>
        <v>GBPFUT3MF3_Quote</v>
      </c>
      <c r="F116" s="251" t="str">
        <f t="shared" si="7"/>
        <v>GBPFUT3MF3ConvAdj_Quote</v>
      </c>
      <c r="G116" s="250" t="str">
        <f>_xll.qlFuturesConvAdjustmentQuote($F116,IborIndex,$D116,$E116,Volatility,MeanReversion,Permanent,Trigger,ObjectOverwrite)</f>
        <v>GBPFUT3MF3ConvAdj_Quote#0001</v>
      </c>
      <c r="H116" s="72" t="str">
        <f>_xll.ohRangeRetrieveError(G116)</f>
        <v/>
      </c>
    </row>
    <row r="117" spans="1:8" x14ac:dyDescent="0.2">
      <c r="A117" s="143"/>
      <c r="B117" s="142">
        <v>111</v>
      </c>
      <c r="C117" s="140" t="b">
        <v>0</v>
      </c>
      <c r="D117" s="140" t="str">
        <v>G3</v>
      </c>
      <c r="E117" s="250" t="str">
        <f t="shared" si="6"/>
        <v>GBPFUT3MG3_Quote</v>
      </c>
      <c r="F117" s="251" t="str">
        <f t="shared" si="7"/>
        <v>GBPFUT3MG3ConvAdj_Quote</v>
      </c>
      <c r="G117" s="250" t="str">
        <f>_xll.qlFuturesConvAdjustmentQuote($F117,IborIndex,$D117,$E117,Volatility,MeanReversion,Permanent,Trigger,ObjectOverwrite)</f>
        <v>GBPFUT3MG3ConvAdj_Quote#0001</v>
      </c>
      <c r="H117" s="72" t="str">
        <f>_xll.ohRangeRetrieveError(G117)</f>
        <v/>
      </c>
    </row>
    <row r="118" spans="1:8" x14ac:dyDescent="0.2">
      <c r="A118" s="143"/>
      <c r="B118" s="142">
        <v>112</v>
      </c>
      <c r="C118" s="140" t="b">
        <v>0</v>
      </c>
      <c r="D118" s="140" t="str">
        <v>H3</v>
      </c>
      <c r="E118" s="250" t="str">
        <f t="shared" si="6"/>
        <v>GBPFUT3MH3_Quote</v>
      </c>
      <c r="F118" s="251" t="str">
        <f t="shared" si="7"/>
        <v>GBPFUT3MH3ConvAdj_Quote</v>
      </c>
      <c r="G118" s="250" t="str">
        <f>_xll.qlFuturesConvAdjustmentQuote($F118,IborIndex,$D118,$E118,Volatility,MeanReversion,Permanent,Trigger,ObjectOverwrite)</f>
        <v>GBPFUT3MH3ConvAdj_Quote#0001</v>
      </c>
      <c r="H118" s="72" t="str">
        <f>_xll.ohRangeRetrieveError(G118)</f>
        <v/>
      </c>
    </row>
    <row r="119" spans="1:8" x14ac:dyDescent="0.2">
      <c r="A119" s="143"/>
      <c r="B119" s="142">
        <v>113</v>
      </c>
      <c r="C119" s="140" t="b">
        <v>0</v>
      </c>
      <c r="D119" s="140" t="str">
        <v>J3</v>
      </c>
      <c r="E119" s="250" t="str">
        <f t="shared" si="6"/>
        <v>GBPFUT3MJ3_Quote</v>
      </c>
      <c r="F119" s="251" t="str">
        <f t="shared" si="7"/>
        <v>GBPFUT3MJ3ConvAdj_Quote</v>
      </c>
      <c r="G119" s="250" t="str">
        <f>_xll.qlFuturesConvAdjustmentQuote($F119,IborIndex,$D119,$E119,Volatility,MeanReversion,Permanent,Trigger,ObjectOverwrite)</f>
        <v>GBPFUT3MJ3ConvAdj_Quote#0001</v>
      </c>
      <c r="H119" s="72" t="str">
        <f>_xll.ohRangeRetrieveError(G119)</f>
        <v/>
      </c>
    </row>
    <row r="120" spans="1:8" x14ac:dyDescent="0.2">
      <c r="A120" s="143"/>
      <c r="B120" s="142">
        <v>114</v>
      </c>
      <c r="C120" s="140" t="b">
        <v>0</v>
      </c>
      <c r="D120" s="140" t="str">
        <v>K3</v>
      </c>
      <c r="E120" s="250" t="str">
        <f t="shared" si="6"/>
        <v>GBPFUT3MK3_Quote</v>
      </c>
      <c r="F120" s="251" t="str">
        <f t="shared" si="7"/>
        <v>GBPFUT3MK3ConvAdj_Quote</v>
      </c>
      <c r="G120" s="250" t="str">
        <f>_xll.qlFuturesConvAdjustmentQuote($F120,IborIndex,$D120,$E120,Volatility,MeanReversion,Permanent,Trigger,ObjectOverwrite)</f>
        <v>GBPFUT3MK3ConvAdj_Quote#0001</v>
      </c>
      <c r="H120" s="72" t="str">
        <f>_xll.ohRangeRetrieveError(G120)</f>
        <v/>
      </c>
    </row>
    <row r="121" spans="1:8" x14ac:dyDescent="0.2">
      <c r="A121" s="143"/>
      <c r="B121" s="142">
        <v>115</v>
      </c>
      <c r="C121" s="140" t="b">
        <v>0</v>
      </c>
      <c r="D121" s="140" t="str">
        <v>M3</v>
      </c>
      <c r="E121" s="250" t="str">
        <f t="shared" si="6"/>
        <v>GBPFUT3MM3_Quote</v>
      </c>
      <c r="F121" s="251" t="str">
        <f t="shared" si="7"/>
        <v>GBPFUT3MM3ConvAdj_Quote</v>
      </c>
      <c r="G121" s="250" t="str">
        <f>_xll.qlFuturesConvAdjustmentQuote($F121,IborIndex,$D121,$E121,Volatility,MeanReversion,Permanent,Trigger,ObjectOverwrite)</f>
        <v>GBPFUT3MM3ConvAdj_Quote#0001</v>
      </c>
      <c r="H121" s="72" t="str">
        <f>_xll.ohRangeRetrieveError(G121)</f>
        <v/>
      </c>
    </row>
    <row r="122" spans="1:8" x14ac:dyDescent="0.2">
      <c r="A122" s="143"/>
      <c r="B122" s="142">
        <v>116</v>
      </c>
      <c r="C122" s="140" t="b">
        <v>0</v>
      </c>
      <c r="D122" s="140" t="str">
        <v>N3</v>
      </c>
      <c r="E122" s="250" t="str">
        <f t="shared" si="6"/>
        <v>GBPFUT3MN3_Quote</v>
      </c>
      <c r="F122" s="251" t="str">
        <f t="shared" si="7"/>
        <v>GBPFUT3MN3ConvAdj_Quote</v>
      </c>
      <c r="G122" s="250" t="str">
        <f>_xll.qlFuturesConvAdjustmentQuote($F122,IborIndex,$D122,$E122,Volatility,MeanReversion,Permanent,Trigger,ObjectOverwrite)</f>
        <v>GBPFUT3MN3ConvAdj_Quote#0001</v>
      </c>
      <c r="H122" s="72" t="str">
        <f>_xll.ohRangeRetrieveError(G122)</f>
        <v/>
      </c>
    </row>
    <row r="123" spans="1:8" x14ac:dyDescent="0.2">
      <c r="A123" s="143"/>
      <c r="B123" s="142">
        <v>117</v>
      </c>
      <c r="C123" s="140" t="b">
        <v>0</v>
      </c>
      <c r="D123" s="140" t="str">
        <v>Q3</v>
      </c>
      <c r="E123" s="250" t="str">
        <f t="shared" si="6"/>
        <v>GBPFUT3MQ3_Quote</v>
      </c>
      <c r="F123" s="251" t="str">
        <f t="shared" si="7"/>
        <v>GBPFUT3MQ3ConvAdj_Quote</v>
      </c>
      <c r="G123" s="250" t="str">
        <f>_xll.qlFuturesConvAdjustmentQuote($F123,IborIndex,$D123,$E123,Volatility,MeanReversion,Permanent,Trigger,ObjectOverwrite)</f>
        <v>GBPFUT3MQ3ConvAdj_Quote#0001</v>
      </c>
      <c r="H123" s="72" t="str">
        <f>_xll.ohRangeRetrieveError(G123)</f>
        <v/>
      </c>
    </row>
    <row r="124" spans="1:8" x14ac:dyDescent="0.2">
      <c r="A124" s="143"/>
      <c r="B124" s="142">
        <v>118</v>
      </c>
      <c r="C124" s="140" t="b">
        <v>0</v>
      </c>
      <c r="D124" s="140" t="str">
        <v>U3</v>
      </c>
      <c r="E124" s="250" t="str">
        <f t="shared" si="6"/>
        <v>GBPFUT3MU3_Quote</v>
      </c>
      <c r="F124" s="251" t="str">
        <f t="shared" si="7"/>
        <v>GBPFUT3MU3ConvAdj_Quote</v>
      </c>
      <c r="G124" s="250" t="str">
        <f>_xll.qlFuturesConvAdjustmentQuote($F124,IborIndex,$D124,$E124,Volatility,MeanReversion,Permanent,Trigger,ObjectOverwrite)</f>
        <v>GBPFUT3MU3ConvAdj_Quote#0001</v>
      </c>
      <c r="H124" s="72" t="str">
        <f>_xll.ohRangeRetrieveError(G124)</f>
        <v/>
      </c>
    </row>
    <row r="125" spans="1:8" x14ac:dyDescent="0.2">
      <c r="A125" s="143"/>
      <c r="B125" s="142">
        <v>119</v>
      </c>
      <c r="C125" s="140" t="b">
        <v>0</v>
      </c>
      <c r="D125" s="140" t="str">
        <v>V3</v>
      </c>
      <c r="E125" s="250" t="str">
        <f t="shared" si="6"/>
        <v>GBPFUT3MV3_Quote</v>
      </c>
      <c r="F125" s="251" t="str">
        <f t="shared" si="7"/>
        <v>GBPFUT3MV3ConvAdj_Quote</v>
      </c>
      <c r="G125" s="250" t="str">
        <f>_xll.qlFuturesConvAdjustmentQuote($F125,IborIndex,$D125,$E125,Volatility,MeanReversion,Permanent,Trigger,ObjectOverwrite)</f>
        <v>GBPFUT3MV3ConvAdj_Quote#0001</v>
      </c>
      <c r="H125" s="72" t="str">
        <f>_xll.ohRangeRetrieveError(G125)</f>
        <v/>
      </c>
    </row>
    <row r="126" spans="1:8" ht="12" thickBot="1" x14ac:dyDescent="0.25">
      <c r="A126" s="136"/>
      <c r="B126" s="142">
        <v>120</v>
      </c>
      <c r="C126" s="140" t="b">
        <v>0</v>
      </c>
      <c r="D126" s="140" t="str">
        <v>X3</v>
      </c>
      <c r="E126" s="250" t="str">
        <f t="shared" si="6"/>
        <v>GBPFUT3MX3_Quote</v>
      </c>
      <c r="F126" s="251" t="str">
        <f t="shared" si="7"/>
        <v>GBPFUT3MX3ConvAdj_Quote</v>
      </c>
      <c r="G126" s="250" t="str">
        <f>_xll.qlFuturesConvAdjustmentQuote($F126,IborIndex,$D126,$E126,Volatility,MeanReversion,Permanent,Trigger,ObjectOverwrite)</f>
        <v>GBPFUT3MX3ConvAdj_Quote#0001</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39" priority="1" stopIfTrue="1" operator="greaterThan">
      <formula>0</formula>
    </cfRule>
    <cfRule type="cellIs" dxfId="38"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140625" style="255" customWidth="1"/>
    <col min="7" max="7" width="6" style="255" bestFit="1" customWidth="1"/>
    <col min="8" max="8" width="5.5703125" style="255" bestFit="1" customWidth="1"/>
    <col min="9" max="9" width="4.28515625" style="255" customWidth="1"/>
    <col min="10" max="10" width="9.5703125" style="255" bestFit="1" customWidth="1"/>
    <col min="11" max="11" width="11.5703125" style="255" bestFit="1" customWidth="1"/>
    <col min="12" max="12" width="8.85546875" style="255" bestFit="1" customWidth="1"/>
    <col min="13" max="13" width="8.5703125" style="255" bestFit="1" customWidth="1"/>
    <col min="14" max="14" width="10.140625" style="255" bestFit="1" customWidth="1"/>
    <col min="15" max="15" width="7.140625" style="255" hidden="1" customWidth="1"/>
    <col min="16" max="17" width="4.28515625" style="255" customWidth="1"/>
    <col min="18" max="18" width="4" style="255" bestFit="1" customWidth="1"/>
    <col min="19" max="19" width="3.85546875" style="255" bestFit="1" customWidth="1"/>
    <col min="20" max="20" width="4.42578125"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FSR</v>
      </c>
      <c r="E2" s="316"/>
      <c r="F2" s="315"/>
      <c r="G2" s="315"/>
      <c r="H2" s="312"/>
      <c r="I2" s="312"/>
      <c r="J2" s="314" t="str">
        <f>VLOOKUP(Currency,Traits,3,FALSE)</f>
        <v>Libor</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Currency&amp;$C4&amp;$D$2&amp;"="</f>
        <v>GBPONFSR=</v>
      </c>
      <c r="E4" s="304">
        <v>41464</v>
      </c>
      <c r="F4" s="328">
        <v>0.47813</v>
      </c>
      <c r="G4" s="302" t="b">
        <f t="shared" ref="G4:G21" si="1">IF(AND(ISNUMBER($F4),$F4&lt;&gt;0%),TRUE,FALSE)</f>
        <v>1</v>
      </c>
      <c r="H4" s="301" t="e">
        <f>IF($G4,_xll.qlIndexAddFixings($J4,$E4,$F4/100,TRUE,ISERROR($K4)),NA())</f>
        <v>#NUM!</v>
      </c>
      <c r="I4" s="282"/>
      <c r="J4" s="300" t="str">
        <f t="shared" ref="J4:J21" si="2">PROPER(Currency)&amp;$J$2&amp;$C4</f>
        <v>GbpLiborON</v>
      </c>
      <c r="K4" s="327" t="e">
        <f>_xll.qlIndexFixing($J4,$E4,TRUE,$G4)</f>
        <v>#NUM!</v>
      </c>
      <c r="L4" s="327" t="e">
        <f>IF($H4,_xll.qlIndexFixing($J4,$E4,FALSE,$G4),"-")</f>
        <v>#NUM!</v>
      </c>
      <c r="M4" s="327" t="e">
        <f t="shared" ref="M4:M21" si="3">K4-L4</f>
        <v>#NUM!</v>
      </c>
      <c r="N4" s="326"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GBPTNFSR=</v>
      </c>
      <c r="E5" s="294" t="s">
        <v>233</v>
      </c>
      <c r="F5" s="325" t="s">
        <v>233</v>
      </c>
      <c r="G5" s="293" t="b">
        <f t="shared" si="1"/>
        <v>0</v>
      </c>
      <c r="H5" s="292" t="e">
        <f>IF($G5,_xll.qlIndexAddFixings($J5,$E5,$F5/100,TRUE,ISERROR($K5)),NA())</f>
        <v>#N/A</v>
      </c>
      <c r="I5" s="282"/>
      <c r="J5" s="291" t="str">
        <f t="shared" si="2"/>
        <v>GbpLiborTN</v>
      </c>
      <c r="K5" s="324" t="e">
        <f>_xll.qlIndexFixing($J5,$E5,TRUE,$G5)</f>
        <v>#NUM!</v>
      </c>
      <c r="L5" s="324" t="e">
        <f>IF($H5,_xll.qlIndexFixing($J5,$E5,FALSE,$G5),"-")</f>
        <v>#N/A</v>
      </c>
      <c r="M5" s="324" t="e">
        <f t="shared" si="3"/>
        <v>#NUM!</v>
      </c>
      <c r="N5" s="323"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GBPSNFSR=</v>
      </c>
      <c r="E6" s="294" t="s">
        <v>233</v>
      </c>
      <c r="F6" s="325" t="s">
        <v>233</v>
      </c>
      <c r="G6" s="293" t="b">
        <f t="shared" si="1"/>
        <v>0</v>
      </c>
      <c r="H6" s="292" t="e">
        <f>IF($G6,_xll.qlIndexAddFixings($J6,$E6,$F6/100,TRUE,ISERROR($K6)),NA())</f>
        <v>#N/A</v>
      </c>
      <c r="I6" s="282"/>
      <c r="J6" s="291" t="str">
        <f t="shared" si="2"/>
        <v>GbpLiborSN</v>
      </c>
      <c r="K6" s="324" t="e">
        <f>_xll.qlIndexFixing($J6,$E6,TRUE,$G6)</f>
        <v>#NUM!</v>
      </c>
      <c r="L6" s="324" t="e">
        <f>IF($H6,_xll.qlIndexFixing($J6,$E6,FALSE,$G6),"-")</f>
        <v>#N/A</v>
      </c>
      <c r="M6" s="324" t="e">
        <f t="shared" si="3"/>
        <v>#NUM!</v>
      </c>
      <c r="N6" s="323"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GBPSWFSR=</v>
      </c>
      <c r="E7" s="294">
        <v>41464</v>
      </c>
      <c r="F7" s="325">
        <v>0.48687999999999998</v>
      </c>
      <c r="G7" s="293" t="b">
        <f t="shared" si="1"/>
        <v>1</v>
      </c>
      <c r="H7" s="292" t="b">
        <f>IF($G7,_xll.qlIndexAddFixings($J7,$E7,$F7/100,TRUE,ISERROR($K7)),NA())</f>
        <v>1</v>
      </c>
      <c r="I7" s="282"/>
      <c r="J7" s="291" t="str">
        <f t="shared" si="2"/>
        <v>GbpLiborSW</v>
      </c>
      <c r="K7" s="324">
        <f>_xll.qlIndexFixing($J7,$E7,TRUE,$G7)</f>
        <v>4.8687999999999995E-3</v>
      </c>
      <c r="L7" s="324">
        <f>IF($H7,_xll.qlIndexFixing($J7,$E7,FALSE,$G7),"-")</f>
        <v>4.8687999999999995E-3</v>
      </c>
      <c r="M7" s="324">
        <f t="shared" si="3"/>
        <v>0</v>
      </c>
      <c r="N7" s="323">
        <f>_xll.qlIndexFixing($J7,$E7,TRUE,$L7)</f>
        <v>4.8687999999999995E-3</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GBP2WFSR=</v>
      </c>
      <c r="E8" s="294">
        <v>41428</v>
      </c>
      <c r="F8" s="325">
        <v>0</v>
      </c>
      <c r="G8" s="293" t="b">
        <f t="shared" si="1"/>
        <v>0</v>
      </c>
      <c r="H8" s="292" t="e">
        <f>IF($G8,_xll.qlIndexAddFixings($J8,$E8,$F8/100,TRUE,ISERROR($K8)),NA())</f>
        <v>#N/A</v>
      </c>
      <c r="I8" s="282"/>
      <c r="J8" s="291" t="str">
        <f t="shared" si="2"/>
        <v>GbpLibor2W</v>
      </c>
      <c r="K8" s="324" t="e">
        <f>_xll.qlIndexFixing($J8,$E8,TRUE,$G8)</f>
        <v>#NUM!</v>
      </c>
      <c r="L8" s="324" t="e">
        <f>IF($H8,_xll.qlIndexFixing($J8,$E8,FALSE,$G8),"-")</f>
        <v>#N/A</v>
      </c>
      <c r="M8" s="324" t="e">
        <f t="shared" si="3"/>
        <v>#NUM!</v>
      </c>
      <c r="N8" s="323"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GBP3WFSR=</v>
      </c>
      <c r="E9" s="294" t="s">
        <v>233</v>
      </c>
      <c r="F9" s="325" t="s">
        <v>233</v>
      </c>
      <c r="G9" s="293" t="b">
        <f t="shared" si="1"/>
        <v>0</v>
      </c>
      <c r="H9" s="292" t="e">
        <f>IF($G9,_xll.qlIndexAddFixings($J9,$E9,$F9/100,TRUE,ISERROR($K9)),NA())</f>
        <v>#N/A</v>
      </c>
      <c r="I9" s="282"/>
      <c r="J9" s="291" t="str">
        <f t="shared" si="2"/>
        <v>GbpLibor3W</v>
      </c>
      <c r="K9" s="324" t="e">
        <f>_xll.qlIndexFixing($J9,$E9,TRUE,$G9)</f>
        <v>#NUM!</v>
      </c>
      <c r="L9" s="324" t="e">
        <f>IF($H9,_xll.qlIndexFixing($J9,$E9,FALSE,$G9),"-")</f>
        <v>#N/A</v>
      </c>
      <c r="M9" s="324" t="e">
        <f t="shared" si="3"/>
        <v>#NUM!</v>
      </c>
      <c r="N9" s="323"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GBP1MFSR=</v>
      </c>
      <c r="E10" s="294">
        <v>41464</v>
      </c>
      <c r="F10" s="325">
        <v>0.49249999999999999</v>
      </c>
      <c r="G10" s="293" t="b">
        <f t="shared" si="1"/>
        <v>1</v>
      </c>
      <c r="H10" s="292" t="b">
        <f>IF($G10,_xll.qlIndexAddFixings($J10,$E10,$F10/100,TRUE,ISERROR($K10)),NA())</f>
        <v>1</v>
      </c>
      <c r="I10" s="282"/>
      <c r="J10" s="291" t="str">
        <f t="shared" si="2"/>
        <v>GbpLibor1M</v>
      </c>
      <c r="K10" s="324">
        <f>_xll.qlIndexFixing($J10,$E10,TRUE,$G10)</f>
        <v>4.9249999999999997E-3</v>
      </c>
      <c r="L10" s="324">
        <f>IF($H10,_xll.qlIndexFixing($J10,$E10,FALSE,$G10),"-")</f>
        <v>4.9249999999999997E-3</v>
      </c>
      <c r="M10" s="324">
        <f t="shared" si="3"/>
        <v>0</v>
      </c>
      <c r="N10" s="323">
        <f>_xll.qlIndexFixing($J10,$E10,TRUE,$L10)</f>
        <v>4.9249999999999997E-3</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GBP2MFSR=</v>
      </c>
      <c r="E11" s="294">
        <v>41464</v>
      </c>
      <c r="F11" s="325">
        <v>0.49837999999999999</v>
      </c>
      <c r="G11" s="293" t="b">
        <f t="shared" si="1"/>
        <v>1</v>
      </c>
      <c r="H11" s="292" t="b">
        <f>IF($G11,_xll.qlIndexAddFixings($J11,$E11,$F11/100,TRUE,ISERROR($K11)),NA())</f>
        <v>1</v>
      </c>
      <c r="I11" s="282"/>
      <c r="J11" s="291" t="str">
        <f t="shared" si="2"/>
        <v>GbpLibor2M</v>
      </c>
      <c r="K11" s="324">
        <f>_xll.qlIndexFixing($J11,$E11,TRUE,$G11)</f>
        <v>4.9838E-3</v>
      </c>
      <c r="L11" s="324">
        <f>IF($H11,_xll.qlIndexFixing($J11,$E11,FALSE,$G11),"-")</f>
        <v>4.9838E-3</v>
      </c>
      <c r="M11" s="324">
        <f t="shared" si="3"/>
        <v>0</v>
      </c>
      <c r="N11" s="323">
        <f>_xll.qlIndexFixing($J11,$E11,TRUE,$L11)</f>
        <v>4.9838E-3</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GBP3MFSR=</v>
      </c>
      <c r="E12" s="294">
        <v>41464</v>
      </c>
      <c r="F12" s="325">
        <v>0.50812999999999997</v>
      </c>
      <c r="G12" s="293" t="b">
        <f t="shared" si="1"/>
        <v>1</v>
      </c>
      <c r="H12" s="292" t="b">
        <f>IF($G12,_xll.qlIndexAddFixings($J12,$E12,$F12/100,TRUE,ISERROR($K12)),NA())</f>
        <v>1</v>
      </c>
      <c r="I12" s="282"/>
      <c r="J12" s="291" t="str">
        <f t="shared" si="2"/>
        <v>GbpLibor3M</v>
      </c>
      <c r="K12" s="324">
        <f>_xll.qlIndexFixing($J12,$E12,TRUE,$G12)</f>
        <v>5.0812999999999995E-3</v>
      </c>
      <c r="L12" s="324">
        <f>IF($H12,_xll.qlIndexFixing($J12,$E12,FALSE,$G12),"-")</f>
        <v>5.0812999999999995E-3</v>
      </c>
      <c r="M12" s="324">
        <f t="shared" si="3"/>
        <v>0</v>
      </c>
      <c r="N12" s="323">
        <f>_xll.qlIndexFixing($J12,$E12,TRUE,$L12)</f>
        <v>5.0812999999999995E-3</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GBP4MFSR=</v>
      </c>
      <c r="E13" s="294">
        <v>41428</v>
      </c>
      <c r="F13" s="325">
        <v>0</v>
      </c>
      <c r="G13" s="293" t="b">
        <f t="shared" si="1"/>
        <v>0</v>
      </c>
      <c r="H13" s="292" t="e">
        <f>IF($G13,_xll.qlIndexAddFixings($J13,$E13,$F13/100,TRUE,ISERROR($K13)),NA())</f>
        <v>#N/A</v>
      </c>
      <c r="I13" s="282"/>
      <c r="J13" s="291" t="str">
        <f t="shared" si="2"/>
        <v>GbpLibor4M</v>
      </c>
      <c r="K13" s="324" t="e">
        <f>_xll.qlIndexFixing($J13,$E13,TRUE,$G13)</f>
        <v>#NUM!</v>
      </c>
      <c r="L13" s="324" t="e">
        <f>IF($H13,_xll.qlIndexFixing($J13,$E13,FALSE,$G13),"-")</f>
        <v>#N/A</v>
      </c>
      <c r="M13" s="324" t="e">
        <f t="shared" si="3"/>
        <v>#NUM!</v>
      </c>
      <c r="N13" s="323"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GBP5MFSR=</v>
      </c>
      <c r="E14" s="294">
        <v>41428</v>
      </c>
      <c r="F14" s="325">
        <v>0</v>
      </c>
      <c r="G14" s="293" t="b">
        <f t="shared" si="1"/>
        <v>0</v>
      </c>
      <c r="H14" s="292" t="e">
        <f>IF($G14,_xll.qlIndexAddFixings($J14,$E14,$F14/100,TRUE,ISERROR($K14)),NA())</f>
        <v>#N/A</v>
      </c>
      <c r="I14" s="282"/>
      <c r="J14" s="291" t="str">
        <f t="shared" si="2"/>
        <v>GbpLibor5M</v>
      </c>
      <c r="K14" s="324" t="e">
        <f>_xll.qlIndexFixing($J14,$E14,TRUE,$G14)</f>
        <v>#NUM!</v>
      </c>
      <c r="L14" s="324" t="e">
        <f>IF($H14,_xll.qlIndexFixing($J14,$E14,FALSE,$G14),"-")</f>
        <v>#N/A</v>
      </c>
      <c r="M14" s="324" t="e">
        <f t="shared" si="3"/>
        <v>#NUM!</v>
      </c>
      <c r="N14" s="323"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GBP6MFSR=</v>
      </c>
      <c r="E15" s="294">
        <v>41464</v>
      </c>
      <c r="F15" s="325">
        <v>0.59175</v>
      </c>
      <c r="G15" s="293" t="b">
        <f t="shared" si="1"/>
        <v>1</v>
      </c>
      <c r="H15" s="292" t="b">
        <f>IF($G15,_xll.qlIndexAddFixings($J15,$E15,$F15/100,TRUE,ISERROR($K15)),NA())</f>
        <v>1</v>
      </c>
      <c r="I15" s="282"/>
      <c r="J15" s="291" t="str">
        <f t="shared" si="2"/>
        <v>GbpLibor6M</v>
      </c>
      <c r="K15" s="324">
        <f>_xll.qlIndexFixing($J15,$E15,TRUE,$G15)</f>
        <v>5.9175E-3</v>
      </c>
      <c r="L15" s="324">
        <f>IF($H15,_xll.qlIndexFixing($J15,$E15,FALSE,$G15),"-")</f>
        <v>5.9175E-3</v>
      </c>
      <c r="M15" s="324">
        <f t="shared" si="3"/>
        <v>0</v>
      </c>
      <c r="N15" s="323">
        <f>_xll.qlIndexFixing($J15,$E15,TRUE,$L15)</f>
        <v>5.9175E-3</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GBP7MFSR=</v>
      </c>
      <c r="E16" s="294">
        <v>41428</v>
      </c>
      <c r="F16" s="325">
        <v>0</v>
      </c>
      <c r="G16" s="293" t="b">
        <f t="shared" si="1"/>
        <v>0</v>
      </c>
      <c r="H16" s="292" t="e">
        <f>IF($G16,_xll.qlIndexAddFixings($J16,$E16,$F16/100,TRUE,ISERROR($K16)),NA())</f>
        <v>#N/A</v>
      </c>
      <c r="I16" s="282"/>
      <c r="J16" s="291" t="str">
        <f t="shared" si="2"/>
        <v>GbpLibor7M</v>
      </c>
      <c r="K16" s="324" t="e">
        <f>_xll.qlIndexFixing($J16,$E16,TRUE,$G16)</f>
        <v>#NUM!</v>
      </c>
      <c r="L16" s="324" t="e">
        <f>IF($H16,_xll.qlIndexFixing($J16,$E16,FALSE,$G16),"-")</f>
        <v>#N/A</v>
      </c>
      <c r="M16" s="324" t="e">
        <f t="shared" si="3"/>
        <v>#NUM!</v>
      </c>
      <c r="N16" s="323"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GBP8MFSR=</v>
      </c>
      <c r="E17" s="294">
        <v>41428</v>
      </c>
      <c r="F17" s="325">
        <v>0</v>
      </c>
      <c r="G17" s="293" t="b">
        <f t="shared" si="1"/>
        <v>0</v>
      </c>
      <c r="H17" s="292" t="e">
        <f>IF($G17,_xll.qlIndexAddFixings($J17,$E17,$F17/100,TRUE,ISERROR($K17)),NA())</f>
        <v>#N/A</v>
      </c>
      <c r="I17" s="282"/>
      <c r="J17" s="291" t="str">
        <f t="shared" si="2"/>
        <v>GbpLibor8M</v>
      </c>
      <c r="K17" s="324" t="e">
        <f>_xll.qlIndexFixing($J17,$E17,TRUE,$G17)</f>
        <v>#NUM!</v>
      </c>
      <c r="L17" s="324" t="e">
        <f>IF($H17,_xll.qlIndexFixing($J17,$E17,FALSE,$G17),"-")</f>
        <v>#N/A</v>
      </c>
      <c r="M17" s="324" t="e">
        <f t="shared" si="3"/>
        <v>#NUM!</v>
      </c>
      <c r="N17" s="323"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GBP9MFSR=</v>
      </c>
      <c r="E18" s="294">
        <v>41428</v>
      </c>
      <c r="F18" s="325">
        <v>0</v>
      </c>
      <c r="G18" s="293" t="b">
        <f t="shared" si="1"/>
        <v>0</v>
      </c>
      <c r="H18" s="292" t="e">
        <f>IF($G18,_xll.qlIndexAddFixings($J18,$E18,$F18/100,TRUE,ISERROR($K18)),NA())</f>
        <v>#N/A</v>
      </c>
      <c r="I18" s="282"/>
      <c r="J18" s="291" t="str">
        <f t="shared" si="2"/>
        <v>GbpLibor9M</v>
      </c>
      <c r="K18" s="324" t="e">
        <f>_xll.qlIndexFixing($J18,$E18,TRUE,$G18)</f>
        <v>#NUM!</v>
      </c>
      <c r="L18" s="324" t="e">
        <f>IF($H18,_xll.qlIndexFixing($J18,$E18,FALSE,$G18),"-")</f>
        <v>#N/A</v>
      </c>
      <c r="M18" s="324" t="e">
        <f t="shared" si="3"/>
        <v>#NUM!</v>
      </c>
      <c r="N18" s="323"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GBP10MFSR=</v>
      </c>
      <c r="E19" s="294">
        <v>41428</v>
      </c>
      <c r="F19" s="325">
        <v>0</v>
      </c>
      <c r="G19" s="293" t="b">
        <f t="shared" si="1"/>
        <v>0</v>
      </c>
      <c r="H19" s="292" t="e">
        <f>IF($G19,_xll.qlIndexAddFixings($J19,$E19,$F19/100,TRUE,ISERROR($K19)),NA())</f>
        <v>#N/A</v>
      </c>
      <c r="I19" s="282"/>
      <c r="J19" s="291" t="str">
        <f t="shared" si="2"/>
        <v>GbpLibor10M</v>
      </c>
      <c r="K19" s="324" t="e">
        <f>_xll.qlIndexFixing($J19,$E19,TRUE,$G19)</f>
        <v>#NUM!</v>
      </c>
      <c r="L19" s="324" t="e">
        <f>IF($H19,_xll.qlIndexFixing($J19,$E19,FALSE,$G19),"-")</f>
        <v>#N/A</v>
      </c>
      <c r="M19" s="324" t="e">
        <f t="shared" si="3"/>
        <v>#NUM!</v>
      </c>
      <c r="N19" s="323"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GBP11MFSR=</v>
      </c>
      <c r="E20" s="294">
        <v>41428</v>
      </c>
      <c r="F20" s="325">
        <v>0</v>
      </c>
      <c r="G20" s="293" t="b">
        <f t="shared" si="1"/>
        <v>0</v>
      </c>
      <c r="H20" s="292" t="e">
        <f>IF($G20,_xll.qlIndexAddFixings($J20,$E20,$F20/100,TRUE,ISERROR($K20)),NA())</f>
        <v>#N/A</v>
      </c>
      <c r="I20" s="282"/>
      <c r="J20" s="291" t="str">
        <f t="shared" si="2"/>
        <v>GbpLibor11M</v>
      </c>
      <c r="K20" s="324" t="e">
        <f>_xll.qlIndexFixing($J20,$E20,TRUE,$G20)</f>
        <v>#NUM!</v>
      </c>
      <c r="L20" s="324" t="e">
        <f>IF($H20,_xll.qlIndexFixing($J20,$E20,FALSE,$G20),"-")</f>
        <v>#N/A</v>
      </c>
      <c r="M20" s="324" t="e">
        <f t="shared" si="3"/>
        <v>#NUM!</v>
      </c>
      <c r="N20" s="323"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GBP1YFSR=</v>
      </c>
      <c r="E21" s="285">
        <v>41464</v>
      </c>
      <c r="F21" s="322">
        <v>0.87938000000000005</v>
      </c>
      <c r="G21" s="284" t="b">
        <f t="shared" si="1"/>
        <v>1</v>
      </c>
      <c r="H21" s="283" t="b">
        <f>IF($G21,_xll.qlIndexAddFixings($J21,$E21,$F21/100,TRUE,ISERROR($K21)),NA())</f>
        <v>1</v>
      </c>
      <c r="I21" s="282"/>
      <c r="J21" s="281" t="str">
        <f t="shared" si="2"/>
        <v>GbpLibor1Y</v>
      </c>
      <c r="K21" s="321">
        <f>_xll.qlIndexFixing($J21,$E21,TRUE,$G21)</f>
        <v>8.7938000000000009E-3</v>
      </c>
      <c r="L21" s="321">
        <f>IF($H21,_xll.qlIndexFixing($J21,$E21,FALSE,$G21),"-")</f>
        <v>8.7938000000000009E-3</v>
      </c>
      <c r="M21" s="321">
        <f t="shared" si="3"/>
        <v>0</v>
      </c>
      <c r="N21" s="320">
        <f>_xll.qlIndexFixing($J21,$E21,TRUE,$L21)</f>
        <v>8.7938000000000009E-3</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248</v>
      </c>
      <c r="E24" s="265" t="s">
        <v>25</v>
      </c>
      <c r="F24" s="264"/>
    </row>
    <row r="25" spans="1:30" s="256" customFormat="1" x14ac:dyDescent="0.2">
      <c r="C25" s="262" t="s">
        <v>120</v>
      </c>
      <c r="D25" s="261" t="s">
        <v>248</v>
      </c>
      <c r="E25" s="260" t="s">
        <v>25</v>
      </c>
      <c r="J25" s="263"/>
    </row>
    <row r="26" spans="1:30" s="256" customFormat="1" x14ac:dyDescent="0.2">
      <c r="C26" s="262" t="s">
        <v>230</v>
      </c>
      <c r="D26" s="261" t="s">
        <v>248</v>
      </c>
      <c r="E26" s="260" t="s">
        <v>25</v>
      </c>
      <c r="J26" s="263"/>
    </row>
    <row r="27" spans="1:30" s="256" customFormat="1" x14ac:dyDescent="0.2">
      <c r="C27" s="262" t="s">
        <v>229</v>
      </c>
      <c r="D27" s="261" t="s">
        <v>248</v>
      </c>
      <c r="E27" s="260" t="s">
        <v>25</v>
      </c>
      <c r="J27" s="263"/>
    </row>
    <row r="28" spans="1:30" s="256" customFormat="1" x14ac:dyDescent="0.2">
      <c r="C28" s="262" t="s">
        <v>96</v>
      </c>
      <c r="D28" s="261" t="s">
        <v>248</v>
      </c>
      <c r="E28" s="260" t="s">
        <v>25</v>
      </c>
    </row>
    <row r="29" spans="1:30" s="256" customFormat="1" x14ac:dyDescent="0.2">
      <c r="C29" s="262" t="s">
        <v>117</v>
      </c>
      <c r="D29" s="261" t="s">
        <v>248</v>
      </c>
      <c r="E29" s="260" t="s">
        <v>25</v>
      </c>
    </row>
    <row r="30" spans="1:30" s="256" customFormat="1" ht="12" thickBot="1" x14ac:dyDescent="0.25">
      <c r="C30" s="259" t="s">
        <v>115</v>
      </c>
      <c r="D30" s="258" t="s">
        <v>248</v>
      </c>
      <c r="E30" s="257" t="s">
        <v>25</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37" priority="1" stopIfTrue="1" operator="greaterThan">
      <formula>0</formula>
    </cfRule>
    <cfRule type="cellIs" dxfId="36"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D38"/>
  <sheetViews>
    <sheetView workbookViewId="0"/>
  </sheetViews>
  <sheetFormatPr defaultRowHeight="11.25" x14ac:dyDescent="0.2"/>
  <cols>
    <col min="1" max="2" width="3.5703125" style="255" customWidth="1"/>
    <col min="3" max="3" width="5.7109375" style="255" bestFit="1" customWidth="1"/>
    <col min="4" max="4" width="10.85546875" style="255" bestFit="1" customWidth="1"/>
    <col min="5" max="5" width="16" style="255" bestFit="1" customWidth="1"/>
    <col min="6" max="6" width="9.85546875" style="255" customWidth="1"/>
    <col min="7" max="7" width="6" style="255" bestFit="1" customWidth="1"/>
    <col min="8" max="8" width="5.5703125" style="255" bestFit="1" customWidth="1"/>
    <col min="9" max="9" width="3.5703125" style="255" customWidth="1"/>
    <col min="10" max="10" width="22.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SFIX</v>
      </c>
      <c r="E2" s="316"/>
      <c r="F2" s="315"/>
      <c r="G2" s="315"/>
      <c r="H2" s="312"/>
      <c r="I2" s="312"/>
      <c r="J2" s="314" t="str">
        <f>VLOOKUP(Currency,Traits,3,FALSE)</f>
        <v>LiborSwapIsda</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GBPSFIX1Y=</v>
      </c>
      <c r="E4" s="304">
        <v>41464</v>
      </c>
      <c r="F4" s="302">
        <v>0.54600000000000004</v>
      </c>
      <c r="G4" s="302" t="b">
        <f t="shared" ref="G4:G18" si="1">IF(AND(ISNUMBER($F4),$F4&lt;&gt;0%),TRUE,FALSE)</f>
        <v>1</v>
      </c>
      <c r="H4" s="301" t="b">
        <f>IF($G4,_xll.qlIndexAddFixings($J4,$E4,$F4/100,TRUE,ISERROR($K4)),NA())</f>
        <v>1</v>
      </c>
      <c r="I4" s="282"/>
      <c r="J4" s="300" t="str">
        <f t="shared" ref="J4:J18" si="2">PROPER(Currency)&amp;$J$2&amp;$C4</f>
        <v>GbpLiborSwapIsda1Y</v>
      </c>
      <c r="K4" s="299">
        <f>_xll.qlIndexFixing($J4,$E4,TRUE,$G4)</f>
        <v>5.4600000000000004E-3</v>
      </c>
      <c r="L4" s="299">
        <f>IF($H4,_xll.qlIndexFixing($J4,$E4,FALSE,$G4),"-")</f>
        <v>5.4600000000000004E-3</v>
      </c>
      <c r="M4" s="299">
        <f t="shared" ref="M4:M18" si="3">K4-L4</f>
        <v>0</v>
      </c>
      <c r="N4" s="298">
        <f>_xll.qlIndexFixing($J4,$E4,TRUE,$L4)</f>
        <v>5.4600000000000004E-3</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GBPSFIX2Y=</v>
      </c>
      <c r="E5" s="294">
        <v>41464</v>
      </c>
      <c r="F5" s="293">
        <v>0.71699999999999997</v>
      </c>
      <c r="G5" s="293" t="b">
        <f t="shared" si="1"/>
        <v>1</v>
      </c>
      <c r="H5" s="292" t="b">
        <f>IF($G5,_xll.qlIndexAddFixings($J5,$E5,$F5/100,TRUE,ISERROR($K5)),NA())</f>
        <v>1</v>
      </c>
      <c r="I5" s="282"/>
      <c r="J5" s="291" t="str">
        <f t="shared" si="2"/>
        <v>GbpLiborSwapIsda2Y</v>
      </c>
      <c r="K5" s="290">
        <f>_xll.qlIndexFixing($J5,$E5,TRUE,$G5)</f>
        <v>7.1699999999999993E-3</v>
      </c>
      <c r="L5" s="290">
        <f>IF($H5,_xll.qlIndexFixing($J5,$E5,FALSE,$G5),"-")</f>
        <v>7.1699999999999993E-3</v>
      </c>
      <c r="M5" s="290">
        <f t="shared" si="3"/>
        <v>0</v>
      </c>
      <c r="N5" s="289">
        <f>_xll.qlIndexFixing($J5,$E5,TRUE,$L5)</f>
        <v>7.1699999999999993E-3</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GBPSFIX3Y=</v>
      </c>
      <c r="E6" s="294">
        <v>41464</v>
      </c>
      <c r="F6" s="293">
        <v>0.92300000000000004</v>
      </c>
      <c r="G6" s="293" t="b">
        <f t="shared" si="1"/>
        <v>1</v>
      </c>
      <c r="H6" s="292" t="b">
        <f>IF($G6,_xll.qlIndexAddFixings($J6,$E6,$F6/100,TRUE,ISERROR($K6)),NA())</f>
        <v>1</v>
      </c>
      <c r="I6" s="282"/>
      <c r="J6" s="291" t="str">
        <f t="shared" si="2"/>
        <v>GbpLiborSwapIsda3Y</v>
      </c>
      <c r="K6" s="290">
        <f>_xll.qlIndexFixing($J6,$E6,TRUE,$G6)</f>
        <v>9.2300000000000004E-3</v>
      </c>
      <c r="L6" s="290">
        <f>IF($H6,_xll.qlIndexFixing($J6,$E6,FALSE,$G6),"-")</f>
        <v>9.2300000000000004E-3</v>
      </c>
      <c r="M6" s="290">
        <f t="shared" si="3"/>
        <v>0</v>
      </c>
      <c r="N6" s="289">
        <f>_xll.qlIndexFixing($J6,$E6,TRUE,$L6)</f>
        <v>9.2300000000000004E-3</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GBPSFIX4Y=</v>
      </c>
      <c r="E7" s="294">
        <v>41464</v>
      </c>
      <c r="F7" s="293">
        <v>1.22</v>
      </c>
      <c r="G7" s="293" t="b">
        <f t="shared" si="1"/>
        <v>1</v>
      </c>
      <c r="H7" s="292" t="b">
        <f>IF($G7,_xll.qlIndexAddFixings($J7,$E7,$F7/100,TRUE,ISERROR($K7)),NA())</f>
        <v>1</v>
      </c>
      <c r="I7" s="282"/>
      <c r="J7" s="291" t="str">
        <f t="shared" si="2"/>
        <v>GbpLiborSwapIsda4Y</v>
      </c>
      <c r="K7" s="290">
        <f>_xll.qlIndexFixing($J7,$E7,TRUE,$G7)</f>
        <v>1.2199999999999999E-2</v>
      </c>
      <c r="L7" s="290">
        <f>IF($H7,_xll.qlIndexFixing($J7,$E7,FALSE,$G7),"-")</f>
        <v>1.2199999999999999E-2</v>
      </c>
      <c r="M7" s="290">
        <f t="shared" si="3"/>
        <v>0</v>
      </c>
      <c r="N7" s="289">
        <f>_xll.qlIndexFixing($J7,$E7,TRUE,$L7)</f>
        <v>1.2199999999999999E-2</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GBPSFIX5Y=</v>
      </c>
      <c r="E8" s="294">
        <v>41464</v>
      </c>
      <c r="F8" s="293">
        <v>1.5209999999999999</v>
      </c>
      <c r="G8" s="293" t="b">
        <f t="shared" si="1"/>
        <v>1</v>
      </c>
      <c r="H8" s="292" t="b">
        <f>IF($G8,_xll.qlIndexAddFixings($J8,$E8,$F8/100,TRUE,ISERROR($K8)),NA())</f>
        <v>1</v>
      </c>
      <c r="I8" s="282"/>
      <c r="J8" s="291" t="str">
        <f t="shared" si="2"/>
        <v>GbpLiborSwapIsda5Y</v>
      </c>
      <c r="K8" s="290">
        <f>_xll.qlIndexFixing($J8,$E8,TRUE,$G8)</f>
        <v>1.521E-2</v>
      </c>
      <c r="L8" s="290">
        <f>IF($H8,_xll.qlIndexFixing($J8,$E8,FALSE,$G8),"-")</f>
        <v>1.521E-2</v>
      </c>
      <c r="M8" s="290">
        <f t="shared" si="3"/>
        <v>0</v>
      </c>
      <c r="N8" s="289">
        <f>_xll.qlIndexFixing($J8,$E8,TRUE,$L8)</f>
        <v>1.521E-2</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GBPSFIX6Y=</v>
      </c>
      <c r="E9" s="294">
        <v>41464</v>
      </c>
      <c r="F9" s="293">
        <v>1.7869999999999999</v>
      </c>
      <c r="G9" s="293" t="b">
        <f t="shared" si="1"/>
        <v>1</v>
      </c>
      <c r="H9" s="292" t="b">
        <f>IF($G9,_xll.qlIndexAddFixings($J9,$E9,$F9/100,TRUE,ISERROR($K9)),NA())</f>
        <v>1</v>
      </c>
      <c r="I9" s="282"/>
      <c r="J9" s="291" t="str">
        <f t="shared" si="2"/>
        <v>GbpLiborSwapIsda6Y</v>
      </c>
      <c r="K9" s="290">
        <f>_xll.qlIndexFixing($J9,$E9,TRUE,$G9)</f>
        <v>1.787E-2</v>
      </c>
      <c r="L9" s="290">
        <f>IF($H9,_xll.qlIndexFixing($J9,$E9,FALSE,$G9),"-")</f>
        <v>1.787E-2</v>
      </c>
      <c r="M9" s="290">
        <f t="shared" si="3"/>
        <v>0</v>
      </c>
      <c r="N9" s="289">
        <f>_xll.qlIndexFixing($J9,$E9,TRUE,$L9)</f>
        <v>1.787E-2</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GBPSFIX7Y=</v>
      </c>
      <c r="E10" s="294">
        <v>41464</v>
      </c>
      <c r="F10" s="293">
        <v>2.028</v>
      </c>
      <c r="G10" s="293" t="b">
        <f t="shared" si="1"/>
        <v>1</v>
      </c>
      <c r="H10" s="292" t="b">
        <f>IF($G10,_xll.qlIndexAddFixings($J10,$E10,$F10/100,TRUE,ISERROR($K10)),NA())</f>
        <v>1</v>
      </c>
      <c r="I10" s="282"/>
      <c r="J10" s="291" t="str">
        <f t="shared" si="2"/>
        <v>GbpLiborSwapIsda7Y</v>
      </c>
      <c r="K10" s="290">
        <f>_xll.qlIndexFixing($J10,$E10,TRUE,$G10)</f>
        <v>2.0279999999999999E-2</v>
      </c>
      <c r="L10" s="290">
        <f>IF($H10,_xll.qlIndexFixing($J10,$E10,FALSE,$G10),"-")</f>
        <v>2.0279999999999999E-2</v>
      </c>
      <c r="M10" s="290">
        <f t="shared" si="3"/>
        <v>0</v>
      </c>
      <c r="N10" s="289">
        <f>_xll.qlIndexFixing($J10,$E10,TRUE,$L10)</f>
        <v>2.0279999999999999E-2</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GBPSFIX8Y=</v>
      </c>
      <c r="E11" s="294">
        <v>41464</v>
      </c>
      <c r="F11" s="293">
        <v>2.238</v>
      </c>
      <c r="G11" s="293" t="b">
        <f t="shared" si="1"/>
        <v>1</v>
      </c>
      <c r="H11" s="292" t="b">
        <f>IF($G11,_xll.qlIndexAddFixings($J11,$E11,$F11/100,TRUE,ISERROR($K11)),NA())</f>
        <v>1</v>
      </c>
      <c r="I11" s="282"/>
      <c r="J11" s="291" t="str">
        <f t="shared" si="2"/>
        <v>GbpLiborSwapIsda8Y</v>
      </c>
      <c r="K11" s="290">
        <f>_xll.qlIndexFixing($J11,$E11,TRUE,$G11)</f>
        <v>2.2380000000000001E-2</v>
      </c>
      <c r="L11" s="290">
        <f>IF($H11,_xll.qlIndexFixing($J11,$E11,FALSE,$G11),"-")</f>
        <v>2.2380000000000001E-2</v>
      </c>
      <c r="M11" s="290">
        <f t="shared" si="3"/>
        <v>0</v>
      </c>
      <c r="N11" s="289">
        <f>_xll.qlIndexFixing($J11,$E11,TRUE,$L11)</f>
        <v>2.2380000000000001E-2</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GBPSFIX9Y=</v>
      </c>
      <c r="E12" s="294">
        <v>41464</v>
      </c>
      <c r="F12" s="293">
        <v>2.4180000000000001</v>
      </c>
      <c r="G12" s="293" t="b">
        <f t="shared" si="1"/>
        <v>1</v>
      </c>
      <c r="H12" s="292" t="b">
        <f>IF($G12,_xll.qlIndexAddFixings($J12,$E12,$F12/100,TRUE,ISERROR($K12)),NA())</f>
        <v>1</v>
      </c>
      <c r="I12" s="282"/>
      <c r="J12" s="291" t="str">
        <f t="shared" si="2"/>
        <v>GbpLiborSwapIsda9Y</v>
      </c>
      <c r="K12" s="290">
        <f>_xll.qlIndexFixing($J12,$E12,TRUE,$G12)</f>
        <v>2.418E-2</v>
      </c>
      <c r="L12" s="290">
        <f>IF($H12,_xll.qlIndexFixing($J12,$E12,FALSE,$G12),"-")</f>
        <v>2.418E-2</v>
      </c>
      <c r="M12" s="290">
        <f t="shared" si="3"/>
        <v>0</v>
      </c>
      <c r="N12" s="289">
        <f>_xll.qlIndexFixing($J12,$E12,TRUE,$L12)</f>
        <v>2.418E-2</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GBPSFIX10Y=</v>
      </c>
      <c r="E13" s="294">
        <v>41464</v>
      </c>
      <c r="F13" s="293">
        <v>2.5670000000000002</v>
      </c>
      <c r="G13" s="293" t="b">
        <f t="shared" si="1"/>
        <v>1</v>
      </c>
      <c r="H13" s="292" t="b">
        <f>IF($G13,_xll.qlIndexAddFixings($J13,$E13,$F13/100,TRUE,ISERROR($K13)),NA())</f>
        <v>1</v>
      </c>
      <c r="I13" s="282"/>
      <c r="J13" s="291" t="str">
        <f t="shared" si="2"/>
        <v>GbpLiborSwapIsda10Y</v>
      </c>
      <c r="K13" s="290">
        <f>_xll.qlIndexFixing($J13,$E13,TRUE,$G13)</f>
        <v>2.5670000000000002E-2</v>
      </c>
      <c r="L13" s="290">
        <f>IF($H13,_xll.qlIndexFixing($J13,$E13,FALSE,$G13),"-")</f>
        <v>2.5670000000000002E-2</v>
      </c>
      <c r="M13" s="290">
        <f t="shared" si="3"/>
        <v>0</v>
      </c>
      <c r="N13" s="289">
        <f>_xll.qlIndexFixing($J13,$E13,TRUE,$L13)</f>
        <v>2.5670000000000002E-2</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GBPSFIX12Y=</v>
      </c>
      <c r="E14" s="294">
        <v>41464</v>
      </c>
      <c r="F14" s="293">
        <v>2.7909999999999999</v>
      </c>
      <c r="G14" s="293" t="b">
        <f t="shared" si="1"/>
        <v>1</v>
      </c>
      <c r="H14" s="292" t="b">
        <f>IF($G14,_xll.qlIndexAddFixings($J14,$E14,$F14/100,TRUE,ISERROR($K14)),NA())</f>
        <v>1</v>
      </c>
      <c r="I14" s="282"/>
      <c r="J14" s="291" t="str">
        <f t="shared" si="2"/>
        <v>GbpLiborSwapIsda12Y</v>
      </c>
      <c r="K14" s="290">
        <f>_xll.qlIndexFixing($J14,$E14,TRUE,$G14)</f>
        <v>2.7910000000000001E-2</v>
      </c>
      <c r="L14" s="290">
        <f>IF($H14,_xll.qlIndexFixing($J14,$E14,FALSE,$G14),"-")</f>
        <v>2.7910000000000001E-2</v>
      </c>
      <c r="M14" s="290">
        <f t="shared" si="3"/>
        <v>0</v>
      </c>
      <c r="N14" s="289">
        <f>_xll.qlIndexFixing($J14,$E14,TRUE,$L14)</f>
        <v>2.7910000000000001E-2</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GBPSFIX15Y=</v>
      </c>
      <c r="E15" s="294">
        <v>41464</v>
      </c>
      <c r="F15" s="293">
        <v>3.0190000000000001</v>
      </c>
      <c r="G15" s="293" t="b">
        <f t="shared" si="1"/>
        <v>1</v>
      </c>
      <c r="H15" s="292" t="b">
        <f>IF($G15,_xll.qlIndexAddFixings($J15,$E15,$F15/100,TRUE,ISERROR($K15)),NA())</f>
        <v>1</v>
      </c>
      <c r="I15" s="282"/>
      <c r="J15" s="291" t="str">
        <f t="shared" si="2"/>
        <v>GbpLiborSwapIsda15Y</v>
      </c>
      <c r="K15" s="290">
        <f>_xll.qlIndexFixing($J15,$E15,TRUE,$G15)</f>
        <v>3.0190000000000002E-2</v>
      </c>
      <c r="L15" s="290">
        <f>IF($H15,_xll.qlIndexFixing($J15,$E15,FALSE,$G15),"-")</f>
        <v>3.0190000000000002E-2</v>
      </c>
      <c r="M15" s="290">
        <f t="shared" si="3"/>
        <v>0</v>
      </c>
      <c r="N15" s="289">
        <f>_xll.qlIndexFixing($J15,$E15,TRUE,$L15)</f>
        <v>3.0190000000000002E-2</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GBPSFIX20Y=</v>
      </c>
      <c r="E16" s="294">
        <v>41464</v>
      </c>
      <c r="F16" s="293">
        <v>3.2389999999999999</v>
      </c>
      <c r="G16" s="293" t="b">
        <f t="shared" si="1"/>
        <v>1</v>
      </c>
      <c r="H16" s="292" t="b">
        <f>IF($G16,_xll.qlIndexAddFixings($J16,$E16,$F16/100,TRUE,ISERROR($K16)),NA())</f>
        <v>1</v>
      </c>
      <c r="I16" s="282"/>
      <c r="J16" s="291" t="str">
        <f t="shared" si="2"/>
        <v>GbpLiborSwapIsda20Y</v>
      </c>
      <c r="K16" s="290">
        <f>_xll.qlIndexFixing($J16,$E16,TRUE,$G16)</f>
        <v>3.2390000000000002E-2</v>
      </c>
      <c r="L16" s="290">
        <f>IF($H16,_xll.qlIndexFixing($J16,$E16,FALSE,$G16),"-")</f>
        <v>3.2390000000000002E-2</v>
      </c>
      <c r="M16" s="290">
        <f t="shared" si="3"/>
        <v>0</v>
      </c>
      <c r="N16" s="289">
        <f>_xll.qlIndexFixing($J16,$E16,TRUE,$L16)</f>
        <v>3.2390000000000002E-2</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GBPSFIX25Y=</v>
      </c>
      <c r="E17" s="294">
        <v>41464</v>
      </c>
      <c r="F17" s="293">
        <v>3.3420000000000001</v>
      </c>
      <c r="G17" s="293" t="b">
        <f t="shared" si="1"/>
        <v>1</v>
      </c>
      <c r="H17" s="292" t="b">
        <f>IF($G17,_xll.qlIndexAddFixings($J17,$E17,$F17/100,TRUE,ISERROR($K17)),NA())</f>
        <v>1</v>
      </c>
      <c r="I17" s="282"/>
      <c r="J17" s="291" t="str">
        <f t="shared" si="2"/>
        <v>GbpLiborSwapIsda25Y</v>
      </c>
      <c r="K17" s="290">
        <f>_xll.qlIndexFixing($J17,$E17,TRUE,$G17)</f>
        <v>3.3419999999999998E-2</v>
      </c>
      <c r="L17" s="290">
        <f>IF($H17,_xll.qlIndexFixing($J17,$E17,FALSE,$G17),"-")</f>
        <v>3.3419999999999998E-2</v>
      </c>
      <c r="M17" s="290">
        <f t="shared" si="3"/>
        <v>0</v>
      </c>
      <c r="N17" s="289">
        <f>_xll.qlIndexFixing($J17,$E17,TRUE,$L17)</f>
        <v>3.3419999999999998E-2</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GBPSFIX30Y=</v>
      </c>
      <c r="E18" s="285">
        <v>41464</v>
      </c>
      <c r="F18" s="284">
        <v>3.3820000000000001</v>
      </c>
      <c r="G18" s="284" t="b">
        <f t="shared" si="1"/>
        <v>1</v>
      </c>
      <c r="H18" s="283" t="b">
        <f>IF($G18,_xll.qlIndexAddFixings($J18,$E18,$F18/100,TRUE,ISERROR($K18)),NA())</f>
        <v>1</v>
      </c>
      <c r="I18" s="282"/>
      <c r="J18" s="281" t="str">
        <f t="shared" si="2"/>
        <v>GbpLiborSwapIsda30Y</v>
      </c>
      <c r="K18" s="280">
        <f>_xll.qlIndexFixing($J18,$E18,TRUE,$G18)</f>
        <v>3.3820000000000003E-2</v>
      </c>
      <c r="L18" s="280">
        <f>IF($H18,_xll.qlIndexFixing($J18,$E18,FALSE,$G18),"-")</f>
        <v>3.3820000000000003E-2</v>
      </c>
      <c r="M18" s="280">
        <f t="shared" si="3"/>
        <v>0</v>
      </c>
      <c r="N18" s="279">
        <f>_xll.qlIndexFixing($J18,$E18,TRUE,$L18)</f>
        <v>3.3820000000000003E-2</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250</v>
      </c>
      <c r="E21" s="265" t="s">
        <v>251</v>
      </c>
    </row>
    <row r="22" spans="1:30" s="256" customFormat="1" x14ac:dyDescent="0.2">
      <c r="C22" s="262" t="s">
        <v>120</v>
      </c>
      <c r="D22" s="261" t="s">
        <v>253</v>
      </c>
      <c r="E22" s="260" t="s">
        <v>252</v>
      </c>
    </row>
    <row r="23" spans="1:30" s="256" customFormat="1" x14ac:dyDescent="0.2">
      <c r="C23" s="262" t="s">
        <v>230</v>
      </c>
      <c r="D23" s="261" t="s">
        <v>250</v>
      </c>
      <c r="E23" s="260" t="s">
        <v>249</v>
      </c>
    </row>
    <row r="24" spans="1:30" s="256" customFormat="1" x14ac:dyDescent="0.2">
      <c r="C24" s="262" t="s">
        <v>229</v>
      </c>
      <c r="D24" s="261" t="s">
        <v>250</v>
      </c>
      <c r="E24" s="260" t="s">
        <v>251</v>
      </c>
    </row>
    <row r="25" spans="1:30" s="256" customFormat="1" x14ac:dyDescent="0.2">
      <c r="C25" s="262" t="s">
        <v>96</v>
      </c>
      <c r="D25" s="261" t="s">
        <v>250</v>
      </c>
      <c r="E25" s="260" t="s">
        <v>251</v>
      </c>
    </row>
    <row r="26" spans="1:30" s="256" customFormat="1" x14ac:dyDescent="0.2">
      <c r="C26" s="262" t="s">
        <v>117</v>
      </c>
      <c r="D26" s="261" t="s">
        <v>250</v>
      </c>
      <c r="E26" s="260" t="s">
        <v>249</v>
      </c>
    </row>
    <row r="27" spans="1:30" s="256" customFormat="1" ht="12" thickBot="1" x14ac:dyDescent="0.25">
      <c r="C27" s="259" t="s">
        <v>115</v>
      </c>
      <c r="D27" s="330" t="s">
        <v>250</v>
      </c>
      <c r="E27" s="329" t="s">
        <v>249</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35" priority="1" stopIfTrue="1" operator="greaterThan">
      <formula>0</formula>
    </cfRule>
    <cfRule type="cellIs" dxfId="34" priority="2" stopIfTrue="1" operator="lessThan">
      <formula>0</formula>
    </cfRule>
  </conditionalFormatting>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33" priority="1" stopIfTrue="1" operator="greaterThan">
      <formula>0</formula>
    </cfRule>
    <cfRule type="cellIs" dxfId="32" priority="2" stopIfTrue="1" operator="lessThan">
      <formula>0</formula>
    </cfRule>
  </conditionalFormatting>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31" priority="1" stopIfTrue="1" operator="greaterThan">
      <formula>0</formula>
    </cfRule>
    <cfRule type="cellIs" dxfId="30" priority="2" stopIfTrue="1" operator="lessThan">
      <formula>0</formula>
    </cfRule>
  </conditionalFormatting>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B25"/>
  <sheetViews>
    <sheetView tabSelected="1" workbookViewId="0"/>
  </sheetViews>
  <sheetFormatPr defaultRowHeight="11.25" x14ac:dyDescent="0.2"/>
  <cols>
    <col min="1" max="1" width="4.28515625" style="64" customWidth="1"/>
    <col min="2" max="2" width="3.85546875" style="64" bestFit="1" customWidth="1"/>
    <col min="3" max="3" width="12.5703125" style="64" bestFit="1" customWidth="1"/>
    <col min="4" max="4" width="5.7109375" style="64" bestFit="1" customWidth="1"/>
    <col min="5" max="5" width="4.28515625" style="64" customWidth="1"/>
    <col min="6" max="6" width="5.7109375" style="64" bestFit="1" customWidth="1"/>
    <col min="7" max="7" width="4.28515625" style="64" customWidth="1"/>
    <col min="8" max="8" width="12.42578125" style="64" bestFit="1" customWidth="1"/>
    <col min="9" max="10" width="7.7109375" style="64" bestFit="1" customWidth="1"/>
    <col min="11" max="11" width="4.28515625" style="64" customWidth="1"/>
    <col min="12" max="12" width="2.140625" style="64" customWidth="1"/>
    <col min="13" max="13" width="9.42578125" style="64" bestFit="1" customWidth="1"/>
    <col min="14" max="15" width="7.140625" style="64" bestFit="1" customWidth="1"/>
    <col min="16" max="16" width="5.140625" style="64" bestFit="1" customWidth="1"/>
    <col min="17" max="17" width="4.85546875" style="64" bestFit="1" customWidth="1"/>
    <col min="18" max="16384" width="9.140625" style="64"/>
  </cols>
  <sheetData>
    <row r="1" spans="1:28" x14ac:dyDescent="0.2">
      <c r="A1" s="381" t="s">
        <v>356</v>
      </c>
      <c r="B1" s="201"/>
      <c r="C1" s="201"/>
      <c r="D1" s="201"/>
      <c r="E1" s="201"/>
      <c r="F1" s="201"/>
      <c r="G1" s="201"/>
      <c r="H1" s="201"/>
      <c r="I1" s="201"/>
      <c r="J1" s="201"/>
      <c r="K1" s="198"/>
    </row>
    <row r="2" spans="1:28" x14ac:dyDescent="0.2">
      <c r="A2" s="380"/>
      <c r="B2" s="379"/>
      <c r="C2" s="140" t="s">
        <v>25</v>
      </c>
      <c r="D2" s="343"/>
      <c r="E2" s="343"/>
      <c r="F2" s="343"/>
      <c r="G2" s="343"/>
      <c r="H2" s="378" t="s">
        <v>289</v>
      </c>
      <c r="I2" s="377" t="s">
        <v>288</v>
      </c>
      <c r="J2" s="376"/>
      <c r="K2" s="33"/>
      <c r="Y2" s="64">
        <v>0</v>
      </c>
      <c r="AB2" s="64">
        <v>1</v>
      </c>
    </row>
    <row r="3" spans="1:28" x14ac:dyDescent="0.2">
      <c r="A3" s="118"/>
      <c r="B3" s="376"/>
      <c r="C3" s="376"/>
      <c r="D3" s="376"/>
      <c r="E3" s="343"/>
      <c r="F3" s="343"/>
      <c r="G3" s="343"/>
      <c r="H3" s="376"/>
      <c r="I3" s="376"/>
      <c r="J3" s="375">
        <f>_xll.ohTrigger(J5:J22)</f>
        <v>3</v>
      </c>
      <c r="K3" s="218"/>
    </row>
    <row r="4" spans="1:28" ht="27" customHeight="1" x14ac:dyDescent="0.2">
      <c r="A4" s="118"/>
      <c r="B4" s="371"/>
      <c r="C4" s="374" t="e">
        <f ca="1">_xll.RData(C5:C22,D4:D4,"RTFEED:IDN",ReutersRtMode,,D5)</f>
        <v>#NAME?</v>
      </c>
      <c r="D4" s="373" t="str">
        <f>VLOOKUP(Contributor,ContributorTable,5,FALSE)</f>
        <v>LAST</v>
      </c>
      <c r="E4" s="343"/>
      <c r="F4" s="372" t="s">
        <v>287</v>
      </c>
      <c r="G4" s="343"/>
      <c r="H4" s="371" t="s">
        <v>241</v>
      </c>
      <c r="I4" s="370" t="s">
        <v>286</v>
      </c>
      <c r="J4" s="369" t="s">
        <v>285</v>
      </c>
      <c r="K4" s="218"/>
      <c r="M4" s="368" t="s">
        <v>284</v>
      </c>
      <c r="N4" s="367" t="s">
        <v>283</v>
      </c>
      <c r="O4" s="367" t="s">
        <v>282</v>
      </c>
      <c r="P4" s="367" t="s">
        <v>281</v>
      </c>
      <c r="Q4" s="366" t="s">
        <v>280</v>
      </c>
    </row>
    <row r="5" spans="1:28" x14ac:dyDescent="0.2">
      <c r="A5" s="118"/>
      <c r="B5" s="365" t="s">
        <v>236</v>
      </c>
      <c r="C5" s="353" t="str">
        <f t="shared" ref="C5:C22" si="0">Currency&amp;VLOOKUP(Contributor,ContributorTable,2,FALSE)&amp;B5&amp;VLOOKUP(Contributor,ContributorTable,3,FALSE)&amp;"="&amp;VLOOKUP(Contributor,ContributorTable,4,FALSE)</f>
        <v>GBPONFSR=</v>
      </c>
      <c r="D5" s="364">
        <v>0.47625000000000001</v>
      </c>
      <c r="E5" s="343"/>
      <c r="F5" s="363">
        <v>0.48</v>
      </c>
      <c r="G5" s="343"/>
      <c r="H5" s="362" t="str">
        <f t="shared" ref="H5:H22" si="1">Currency&amp;B5&amp;$I$2</f>
        <v>GBPOND_Quote</v>
      </c>
      <c r="I5" s="361">
        <f t="array" ref="I5:I22">QuoteLive</f>
        <v>0.47625000000000001</v>
      </c>
      <c r="J5" s="360" t="e">
        <f>_xll.qlSimpleQuoteSetValue($H5,$I5/100,Trigger)</f>
        <v>#N/A</v>
      </c>
      <c r="K5" s="218"/>
      <c r="M5" s="359" t="s">
        <v>231</v>
      </c>
      <c r="N5" s="82" t="s">
        <v>232</v>
      </c>
      <c r="O5" s="82" t="s">
        <v>267</v>
      </c>
      <c r="P5" s="82" t="str">
        <f>""</f>
        <v/>
      </c>
      <c r="Q5" s="358" t="s">
        <v>244</v>
      </c>
    </row>
    <row r="6" spans="1:28" x14ac:dyDescent="0.2">
      <c r="A6" s="118"/>
      <c r="B6" s="354" t="s">
        <v>235</v>
      </c>
      <c r="C6" s="353" t="str">
        <f t="shared" si="0"/>
        <v>GBPTNFSR=</v>
      </c>
      <c r="D6" s="352" t="s">
        <v>233</v>
      </c>
      <c r="E6" s="343"/>
      <c r="F6" s="351" t="s">
        <v>275</v>
      </c>
      <c r="G6" s="343"/>
      <c r="H6" s="350" t="str">
        <f t="shared" si="1"/>
        <v>GBPTND_Quote</v>
      </c>
      <c r="I6" s="349" t="str">
        <v>The record could not be found</v>
      </c>
      <c r="J6" s="348" t="e">
        <f>_xll.qlSimpleQuoteSetValue($H6,$I6/100,Trigger)</f>
        <v>#NUM!</v>
      </c>
      <c r="K6" s="218"/>
      <c r="M6" s="359" t="s">
        <v>25</v>
      </c>
      <c r="N6" s="82"/>
      <c r="O6" s="82" t="s">
        <v>248</v>
      </c>
      <c r="P6" s="82"/>
      <c r="Q6" s="358" t="s">
        <v>244</v>
      </c>
    </row>
    <row r="7" spans="1:28" x14ac:dyDescent="0.2">
      <c r="A7" s="118"/>
      <c r="B7" s="354" t="s">
        <v>234</v>
      </c>
      <c r="C7" s="353" t="str">
        <f t="shared" si="0"/>
        <v>GBPSNFSR=</v>
      </c>
      <c r="D7" s="352" t="s">
        <v>233</v>
      </c>
      <c r="E7" s="343"/>
      <c r="F7" s="351" t="s">
        <v>275</v>
      </c>
      <c r="G7" s="343"/>
      <c r="H7" s="350" t="str">
        <f t="shared" si="1"/>
        <v>GBPSND_Quote</v>
      </c>
      <c r="I7" s="349" t="str">
        <v>The record could not be found</v>
      </c>
      <c r="J7" s="348" t="e">
        <f>_xll.qlSimpleQuoteSetValue($H7,$I7/100,Trigger)</f>
        <v>#NUM!</v>
      </c>
      <c r="K7" s="218"/>
      <c r="M7" s="359" t="s">
        <v>279</v>
      </c>
      <c r="N7" s="82"/>
      <c r="O7" s="82" t="s">
        <v>267</v>
      </c>
      <c r="P7" s="82"/>
      <c r="Q7" s="358" t="s">
        <v>265</v>
      </c>
    </row>
    <row r="8" spans="1:28" x14ac:dyDescent="0.2">
      <c r="A8" s="118"/>
      <c r="B8" s="354" t="s">
        <v>19</v>
      </c>
      <c r="C8" s="353" t="str">
        <f t="shared" si="0"/>
        <v>GBPSWFSR=</v>
      </c>
      <c r="D8" s="352">
        <v>0.48125000000000001</v>
      </c>
      <c r="E8" s="343"/>
      <c r="F8" s="351">
        <v>0.48438000000000009</v>
      </c>
      <c r="G8" s="343"/>
      <c r="H8" s="350" t="str">
        <f t="shared" si="1"/>
        <v>GBPSWD_Quote</v>
      </c>
      <c r="I8" s="349">
        <v>0.48125000000000001</v>
      </c>
      <c r="J8" s="348" t="e">
        <f>_xll.qlSimpleQuoteSetValue($H8,$I8/100,Trigger)</f>
        <v>#N/A</v>
      </c>
      <c r="K8" s="218"/>
      <c r="M8" s="359" t="s">
        <v>278</v>
      </c>
      <c r="N8" s="82"/>
      <c r="O8" s="82" t="s">
        <v>267</v>
      </c>
      <c r="P8" s="82" t="s">
        <v>277</v>
      </c>
      <c r="Q8" s="358" t="s">
        <v>265</v>
      </c>
    </row>
    <row r="9" spans="1:28" x14ac:dyDescent="0.2">
      <c r="A9" s="118"/>
      <c r="B9" s="354" t="s">
        <v>18</v>
      </c>
      <c r="C9" s="353" t="str">
        <f t="shared" si="0"/>
        <v>GBP2WFSR=</v>
      </c>
      <c r="D9" s="352">
        <v>0.48749999999999999</v>
      </c>
      <c r="E9" s="343"/>
      <c r="F9" s="351">
        <v>0.49249999999999999</v>
      </c>
      <c r="G9" s="343"/>
      <c r="H9" s="350" t="str">
        <f t="shared" si="1"/>
        <v>GBP2WD_Quote</v>
      </c>
      <c r="I9" s="349">
        <v>0.48749999999999999</v>
      </c>
      <c r="J9" s="348" t="e">
        <f>_xll.qlSimpleQuoteSetValue($H9,$I9/100,Trigger)</f>
        <v>#N/A</v>
      </c>
      <c r="K9" s="218"/>
      <c r="M9" s="359" t="s">
        <v>276</v>
      </c>
      <c r="N9" s="82"/>
      <c r="O9" s="82" t="s">
        <v>267</v>
      </c>
      <c r="P9" s="82" t="s">
        <v>276</v>
      </c>
      <c r="Q9" s="358" t="s">
        <v>265</v>
      </c>
    </row>
    <row r="10" spans="1:28" x14ac:dyDescent="0.2">
      <c r="A10" s="118"/>
      <c r="B10" s="354" t="s">
        <v>16</v>
      </c>
      <c r="C10" s="353" t="str">
        <f t="shared" si="0"/>
        <v>GBP3WFSR=</v>
      </c>
      <c r="D10" s="352" t="s">
        <v>233</v>
      </c>
      <c r="E10" s="343"/>
      <c r="F10" s="351" t="s">
        <v>275</v>
      </c>
      <c r="G10" s="343"/>
      <c r="H10" s="350" t="str">
        <f t="shared" si="1"/>
        <v>GBP3WD_Quote</v>
      </c>
      <c r="I10" s="349" t="str">
        <v>The record could not be found</v>
      </c>
      <c r="J10" s="348" t="e">
        <f>_xll.qlSimpleQuoteSetValue($H10,$I10/100,Trigger)</f>
        <v>#NUM!</v>
      </c>
      <c r="K10" s="218"/>
      <c r="M10" s="359" t="s">
        <v>274</v>
      </c>
      <c r="N10" s="82"/>
      <c r="O10" s="82" t="s">
        <v>267</v>
      </c>
      <c r="P10" s="82" t="s">
        <v>273</v>
      </c>
      <c r="Q10" s="358" t="s">
        <v>265</v>
      </c>
    </row>
    <row r="11" spans="1:28" x14ac:dyDescent="0.2">
      <c r="A11" s="118"/>
      <c r="B11" s="354" t="s">
        <v>15</v>
      </c>
      <c r="C11" s="353" t="str">
        <f t="shared" si="0"/>
        <v>GBP1MFSR=</v>
      </c>
      <c r="D11" s="352">
        <v>0.49187999999999998</v>
      </c>
      <c r="E11" s="343"/>
      <c r="F11" s="351">
        <v>0.49438000000000004</v>
      </c>
      <c r="G11" s="343"/>
      <c r="H11" s="350" t="str">
        <f t="shared" si="1"/>
        <v>GBP1MD_Quote</v>
      </c>
      <c r="I11" s="349">
        <v>0.49187999999999998</v>
      </c>
      <c r="J11" s="348" t="e">
        <f>_xll.qlSimpleQuoteSetValue($H11,$I11/100,Trigger)</f>
        <v>#N/A</v>
      </c>
      <c r="K11" s="218"/>
      <c r="M11" s="359" t="s">
        <v>272</v>
      </c>
      <c r="N11" s="82"/>
      <c r="O11" s="82" t="s">
        <v>267</v>
      </c>
      <c r="P11" s="82" t="s">
        <v>271</v>
      </c>
      <c r="Q11" s="358" t="s">
        <v>265</v>
      </c>
    </row>
    <row r="12" spans="1:28" x14ac:dyDescent="0.2">
      <c r="A12" s="118"/>
      <c r="B12" s="354" t="s">
        <v>13</v>
      </c>
      <c r="C12" s="353" t="str">
        <f t="shared" si="0"/>
        <v>GBP2MFSR=</v>
      </c>
      <c r="D12" s="352">
        <v>0.50063000000000002</v>
      </c>
      <c r="E12" s="343"/>
      <c r="F12" s="351">
        <v>0.51</v>
      </c>
      <c r="G12" s="343"/>
      <c r="H12" s="350" t="str">
        <f t="shared" si="1"/>
        <v>GBP2MD_Quote</v>
      </c>
      <c r="I12" s="349">
        <v>0.50063000000000002</v>
      </c>
      <c r="J12" s="348" t="e">
        <f>_xll.qlSimpleQuoteSetValue($H12,$I12/100,Trigger)</f>
        <v>#N/A</v>
      </c>
      <c r="K12" s="218"/>
      <c r="M12" s="359" t="s">
        <v>270</v>
      </c>
      <c r="N12" s="82"/>
      <c r="O12" s="82" t="s">
        <v>267</v>
      </c>
      <c r="P12" s="82" t="s">
        <v>269</v>
      </c>
      <c r="Q12" s="358" t="s">
        <v>265</v>
      </c>
    </row>
    <row r="13" spans="1:28" x14ac:dyDescent="0.2">
      <c r="A13" s="118"/>
      <c r="B13" s="354" t="s">
        <v>12</v>
      </c>
      <c r="C13" s="353" t="str">
        <f t="shared" si="0"/>
        <v>GBP3MFSR=</v>
      </c>
      <c r="D13" s="352">
        <v>0.51124999999999998</v>
      </c>
      <c r="E13" s="343"/>
      <c r="F13" s="351">
        <v>0.51875000000000004</v>
      </c>
      <c r="G13" s="343"/>
      <c r="H13" s="350" t="str">
        <f t="shared" si="1"/>
        <v>GBP3MD_Quote</v>
      </c>
      <c r="I13" s="349">
        <v>0.51124999999999998</v>
      </c>
      <c r="J13" s="348" t="e">
        <f>_xll.qlSimpleQuoteSetValue($H13,$I13/100,Trigger)</f>
        <v>#N/A</v>
      </c>
      <c r="K13" s="218"/>
      <c r="M13" s="357" t="s">
        <v>268</v>
      </c>
      <c r="N13" s="356"/>
      <c r="O13" s="356" t="s">
        <v>267</v>
      </c>
      <c r="P13" s="356" t="s">
        <v>266</v>
      </c>
      <c r="Q13" s="355" t="s">
        <v>265</v>
      </c>
    </row>
    <row r="14" spans="1:28" x14ac:dyDescent="0.2">
      <c r="A14" s="118"/>
      <c r="B14" s="354" t="s">
        <v>11</v>
      </c>
      <c r="C14" s="353" t="str">
        <f t="shared" si="0"/>
        <v>GBP4MFSR=</v>
      </c>
      <c r="D14" s="352">
        <v>0.54500000000000004</v>
      </c>
      <c r="E14" s="343"/>
      <c r="F14" s="351">
        <v>0.56000000000000005</v>
      </c>
      <c r="G14" s="343"/>
      <c r="H14" s="350" t="str">
        <f t="shared" si="1"/>
        <v>GBP4MD_Quote</v>
      </c>
      <c r="I14" s="349">
        <v>0.54500000000000004</v>
      </c>
      <c r="J14" s="348" t="e">
        <f>_xll.qlSimpleQuoteSetValue($H14,$I14/100,Trigger)</f>
        <v>#N/A</v>
      </c>
      <c r="K14" s="218"/>
    </row>
    <row r="15" spans="1:28" x14ac:dyDescent="0.2">
      <c r="A15" s="118"/>
      <c r="B15" s="354" t="s">
        <v>9</v>
      </c>
      <c r="C15" s="353" t="str">
        <f t="shared" si="0"/>
        <v>GBP5MFSR=</v>
      </c>
      <c r="D15" s="352">
        <v>0.60687999999999998</v>
      </c>
      <c r="E15" s="343"/>
      <c r="F15" s="351">
        <v>0.62937999999999994</v>
      </c>
      <c r="G15" s="343"/>
      <c r="H15" s="350" t="str">
        <f t="shared" si="1"/>
        <v>GBP5MD_Quote</v>
      </c>
      <c r="I15" s="349">
        <v>0.60687999999999998</v>
      </c>
      <c r="J15" s="348" t="e">
        <f>_xll.qlSimpleQuoteSetValue($H15,$I15/100,Trigger)</f>
        <v>#N/A</v>
      </c>
      <c r="K15" s="218"/>
    </row>
    <row r="16" spans="1:28" x14ac:dyDescent="0.2">
      <c r="A16" s="118"/>
      <c r="B16" s="354" t="s">
        <v>8</v>
      </c>
      <c r="C16" s="353" t="str">
        <f t="shared" si="0"/>
        <v>GBP6MFSR=</v>
      </c>
      <c r="D16" s="352">
        <v>0.64375000000000004</v>
      </c>
      <c r="E16" s="343"/>
      <c r="F16" s="351">
        <v>0.66874999999999996</v>
      </c>
      <c r="G16" s="343"/>
      <c r="H16" s="350" t="str">
        <f t="shared" si="1"/>
        <v>GBP6MD_Quote</v>
      </c>
      <c r="I16" s="349">
        <v>0.64375000000000004</v>
      </c>
      <c r="J16" s="348" t="e">
        <f>_xll.qlSimpleQuoteSetValue($H16,$I16/100,Trigger)</f>
        <v>#N/A</v>
      </c>
      <c r="K16" s="218"/>
    </row>
    <row r="17" spans="1:11" x14ac:dyDescent="0.2">
      <c r="A17" s="118"/>
      <c r="B17" s="354" t="s">
        <v>7</v>
      </c>
      <c r="C17" s="353" t="str">
        <f t="shared" si="0"/>
        <v>GBP7MFSR=</v>
      </c>
      <c r="D17" s="352">
        <v>0.69374999999999998</v>
      </c>
      <c r="E17" s="343"/>
      <c r="F17" s="351">
        <v>0.71812999999999994</v>
      </c>
      <c r="G17" s="343"/>
      <c r="H17" s="350" t="str">
        <f t="shared" si="1"/>
        <v>GBP7MD_Quote</v>
      </c>
      <c r="I17" s="349">
        <v>0.69374999999999998</v>
      </c>
      <c r="J17" s="348" t="e">
        <f>_xll.qlSimpleQuoteSetValue($H17,$I17/100,Trigger)</f>
        <v>#N/A</v>
      </c>
      <c r="K17" s="218"/>
    </row>
    <row r="18" spans="1:11" x14ac:dyDescent="0.2">
      <c r="A18" s="118"/>
      <c r="B18" s="354" t="s">
        <v>6</v>
      </c>
      <c r="C18" s="353" t="str">
        <f t="shared" si="0"/>
        <v>GBP8MFSR=</v>
      </c>
      <c r="D18" s="352">
        <v>0.76</v>
      </c>
      <c r="E18" s="343"/>
      <c r="F18" s="351">
        <v>0.78874999999999995</v>
      </c>
      <c r="G18" s="343"/>
      <c r="H18" s="350" t="str">
        <f t="shared" si="1"/>
        <v>GBP8MD_Quote</v>
      </c>
      <c r="I18" s="349">
        <v>0.76</v>
      </c>
      <c r="J18" s="348" t="e">
        <f>_xll.qlSimpleQuoteSetValue($H18,$I18/100,Trigger)</f>
        <v>#N/A</v>
      </c>
      <c r="K18" s="218"/>
    </row>
    <row r="19" spans="1:11" x14ac:dyDescent="0.2">
      <c r="A19" s="118"/>
      <c r="B19" s="354" t="s">
        <v>4</v>
      </c>
      <c r="C19" s="353" t="str">
        <f t="shared" si="0"/>
        <v>GBP9MFSR=</v>
      </c>
      <c r="D19" s="352">
        <v>0.81188000000000005</v>
      </c>
      <c r="E19" s="343"/>
      <c r="F19" s="351">
        <v>0.84125000000000005</v>
      </c>
      <c r="G19" s="343"/>
      <c r="H19" s="350" t="str">
        <f t="shared" si="1"/>
        <v>GBP9MD_Quote</v>
      </c>
      <c r="I19" s="349">
        <v>0.81188000000000005</v>
      </c>
      <c r="J19" s="348" t="e">
        <f>_xll.qlSimpleQuoteSetValue($H19,$I19/100,Trigger)</f>
        <v>#N/A</v>
      </c>
      <c r="K19" s="218"/>
    </row>
    <row r="20" spans="1:11" x14ac:dyDescent="0.2">
      <c r="A20" s="118"/>
      <c r="B20" s="354" t="s">
        <v>3</v>
      </c>
      <c r="C20" s="353" t="str">
        <f t="shared" si="0"/>
        <v>GBP10MFSR=</v>
      </c>
      <c r="D20" s="352">
        <v>0.86312999999999995</v>
      </c>
      <c r="E20" s="343"/>
      <c r="F20" s="351">
        <v>0.89312999999999998</v>
      </c>
      <c r="G20" s="343"/>
      <c r="H20" s="350" t="str">
        <f t="shared" si="1"/>
        <v>GBP10MD_Quote</v>
      </c>
      <c r="I20" s="349">
        <v>0.86312999999999995</v>
      </c>
      <c r="J20" s="348" t="e">
        <f>_xll.qlSimpleQuoteSetValue($H20,$I20/100,Trigger)</f>
        <v>#N/A</v>
      </c>
      <c r="K20" s="218"/>
    </row>
    <row r="21" spans="1:11" x14ac:dyDescent="0.2">
      <c r="A21" s="118"/>
      <c r="B21" s="354" t="s">
        <v>2</v>
      </c>
      <c r="C21" s="353" t="str">
        <f t="shared" si="0"/>
        <v>GBP11MFSR=</v>
      </c>
      <c r="D21" s="352">
        <v>0.92062999999999995</v>
      </c>
      <c r="E21" s="343"/>
      <c r="F21" s="351">
        <v>0.95313000000000003</v>
      </c>
      <c r="G21" s="343"/>
      <c r="H21" s="350" t="str">
        <f t="shared" si="1"/>
        <v>GBP11MD_Quote</v>
      </c>
      <c r="I21" s="349">
        <v>0.92062999999999995</v>
      </c>
      <c r="J21" s="348" t="e">
        <f>_xll.qlSimpleQuoteSetValue($H21,$I21/100,Trigger)</f>
        <v>#N/A</v>
      </c>
      <c r="K21" s="218"/>
    </row>
    <row r="22" spans="1:11" x14ac:dyDescent="0.2">
      <c r="A22" s="118"/>
      <c r="B22" s="347" t="s">
        <v>1</v>
      </c>
      <c r="C22" s="346" t="str">
        <f t="shared" si="0"/>
        <v>GBP1YFSR=</v>
      </c>
      <c r="D22" s="345">
        <v>0.97438000000000002</v>
      </c>
      <c r="E22" s="343"/>
      <c r="F22" s="344">
        <v>1.0131299999999999</v>
      </c>
      <c r="G22" s="343"/>
      <c r="H22" s="342" t="str">
        <f t="shared" si="1"/>
        <v>GBP1YD_Quote</v>
      </c>
      <c r="I22" s="341">
        <v>0.97438000000000002</v>
      </c>
      <c r="J22" s="340" t="e">
        <f>_xll.qlSimpleQuoteSetValue($H22,$I22/100,Trigger)</f>
        <v>#N/A</v>
      </c>
      <c r="K22" s="218"/>
    </row>
    <row r="23" spans="1:11" ht="12" thickBot="1" x14ac:dyDescent="0.25">
      <c r="A23" s="32"/>
      <c r="B23" s="31"/>
      <c r="C23" s="31"/>
      <c r="D23" s="31"/>
      <c r="E23" s="31"/>
      <c r="F23" s="31"/>
      <c r="G23" s="31"/>
      <c r="H23" s="31"/>
      <c r="I23" s="31"/>
      <c r="J23" s="31"/>
      <c r="K23" s="30"/>
    </row>
    <row r="25" spans="1:11" hidden="1" x14ac:dyDescent="0.2">
      <c r="A25" s="64" t="s">
        <v>264</v>
      </c>
    </row>
  </sheetData>
  <conditionalFormatting sqref="J5:J22">
    <cfRule type="cellIs" dxfId="29" priority="1" stopIfTrue="1" operator="greaterThan">
      <formula>0</formula>
    </cfRule>
    <cfRule type="cellIs" dxfId="28" priority="2" stopIfTrue="1" operator="lessThan">
      <formula>0</formula>
    </cfRule>
  </conditionalFormatting>
  <dataValidations count="1">
    <dataValidation type="list"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formula1>Contributors</formula1>
    </dataValidation>
  </dataValidations>
  <pageMargins left="0.75" right="0.75" top="1" bottom="1" header="0.5" footer="0.5"/>
  <pageSetup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W25"/>
  <sheetViews>
    <sheetView workbookViewId="0"/>
  </sheetViews>
  <sheetFormatPr defaultRowHeight="11.25" x14ac:dyDescent="0.2"/>
  <cols>
    <col min="1" max="1" width="5" style="64" customWidth="1"/>
    <col min="2" max="2" width="5" style="64" bestFit="1" customWidth="1"/>
    <col min="3" max="3" width="4.5703125" style="64" bestFit="1" customWidth="1"/>
    <col min="4" max="4" width="9.5703125" style="64" bestFit="1" customWidth="1"/>
    <col min="5" max="5" width="13.42578125" style="64" bestFit="1" customWidth="1"/>
    <col min="6" max="7" width="5.7109375" style="64" bestFit="1" customWidth="1"/>
    <col min="8" max="8" width="5.140625" style="64" bestFit="1" customWidth="1"/>
    <col min="9" max="9" width="10.28515625" style="64" customWidth="1"/>
    <col min="10" max="10" width="5.7109375" style="64" bestFit="1" customWidth="1"/>
    <col min="11" max="11" width="7.5703125" style="64" customWidth="1"/>
    <col min="12" max="12" width="5.7109375" style="64" bestFit="1" customWidth="1"/>
    <col min="13" max="13" width="7.5703125" style="64" customWidth="1"/>
    <col min="14" max="14" width="14.28515625" style="64" bestFit="1" customWidth="1"/>
    <col min="15" max="16" width="7.7109375" style="64" bestFit="1" customWidth="1"/>
    <col min="17" max="17" width="5" style="64" customWidth="1"/>
    <col min="18" max="22" width="4.28515625" style="64" customWidth="1"/>
    <col min="23" max="23" width="7" style="64" bestFit="1" customWidth="1"/>
    <col min="24" max="16384" width="9.140625" style="64"/>
  </cols>
  <sheetData>
    <row r="1" spans="1:23" x14ac:dyDescent="0.2">
      <c r="A1" s="417" t="s">
        <v>356</v>
      </c>
      <c r="B1" s="201"/>
      <c r="C1" s="201"/>
      <c r="D1" s="201"/>
      <c r="E1" s="201"/>
      <c r="F1" s="201"/>
      <c r="G1" s="201"/>
      <c r="H1" s="201"/>
      <c r="I1" s="201"/>
      <c r="J1" s="201"/>
      <c r="K1" s="201"/>
      <c r="L1" s="201"/>
      <c r="M1" s="201"/>
      <c r="N1" s="201"/>
      <c r="O1" s="201"/>
      <c r="P1" s="201"/>
      <c r="Q1" s="198"/>
    </row>
    <row r="2" spans="1:23" x14ac:dyDescent="0.2">
      <c r="A2" s="380"/>
      <c r="C2" s="133"/>
      <c r="D2" s="133"/>
      <c r="E2" s="140" t="s">
        <v>276</v>
      </c>
      <c r="F2" s="133"/>
      <c r="G2" s="133"/>
      <c r="H2" s="133"/>
      <c r="I2" s="133"/>
      <c r="J2" s="343"/>
      <c r="K2" s="343"/>
      <c r="L2" s="343"/>
      <c r="M2" s="343"/>
      <c r="N2" s="416" t="s">
        <v>289</v>
      </c>
      <c r="O2" s="140" t="s">
        <v>131</v>
      </c>
      <c r="P2" s="133"/>
      <c r="Q2" s="33"/>
    </row>
    <row r="3" spans="1:23" x14ac:dyDescent="0.2">
      <c r="A3" s="118"/>
      <c r="B3" s="133"/>
      <c r="C3" s="343"/>
      <c r="D3" s="133"/>
      <c r="E3" s="133"/>
      <c r="F3" s="133"/>
      <c r="G3" s="133"/>
      <c r="H3" s="133"/>
      <c r="I3" s="133"/>
      <c r="J3" s="133"/>
      <c r="K3" s="343"/>
      <c r="L3" s="343"/>
      <c r="M3" s="343"/>
      <c r="N3" s="133"/>
      <c r="O3" s="133"/>
      <c r="P3" s="375">
        <f>_xll.ohTrigger(P5:P24)</f>
        <v>3</v>
      </c>
      <c r="Q3" s="218"/>
    </row>
    <row r="4" spans="1:23" ht="22.5" x14ac:dyDescent="0.2">
      <c r="A4" s="118"/>
      <c r="B4" s="204"/>
      <c r="C4" s="141"/>
      <c r="D4" s="196"/>
      <c r="E4" s="374" t="e">
        <f ca="1">_xll.RData(E5:E24,F4:I4,"RTFEED:IDN",ReutersRtMode,,F5)</f>
        <v>#NAME?</v>
      </c>
      <c r="F4" s="415" t="s">
        <v>293</v>
      </c>
      <c r="G4" s="415" t="s">
        <v>265</v>
      </c>
      <c r="H4" s="415" t="s">
        <v>244</v>
      </c>
      <c r="I4" s="415" t="s">
        <v>292</v>
      </c>
      <c r="J4" s="369" t="s">
        <v>291</v>
      </c>
      <c r="K4" s="343"/>
      <c r="L4" s="372" t="s">
        <v>287</v>
      </c>
      <c r="M4" s="343"/>
      <c r="N4" s="414" t="s">
        <v>241</v>
      </c>
      <c r="O4" s="413" t="s">
        <v>286</v>
      </c>
      <c r="P4" s="246" t="s">
        <v>285</v>
      </c>
      <c r="Q4" s="218"/>
      <c r="W4" s="412" t="s">
        <v>290</v>
      </c>
    </row>
    <row r="5" spans="1:23" x14ac:dyDescent="0.2">
      <c r="A5" s="118"/>
      <c r="B5" s="406" t="s">
        <v>170</v>
      </c>
      <c r="C5" s="405" t="s">
        <v>153</v>
      </c>
      <c r="D5" s="403" t="str">
        <f t="shared" ref="D5:D24" si="0">Currency&amp;$B5&amp;$C5</f>
        <v>GBPT3F1</v>
      </c>
      <c r="E5" s="403" t="str">
        <f t="array" ref="E5:E24">UPPER(Instruments)&amp;"="&amp;VLOOKUP(Contributor,ContributorTable,2,FALSE)</f>
        <v>GBPT3F1=ICAP</v>
      </c>
      <c r="F5" s="404" t="s">
        <v>233</v>
      </c>
      <c r="G5" s="404" t="s">
        <v>233</v>
      </c>
      <c r="H5" s="403" t="s">
        <v>233</v>
      </c>
      <c r="I5" s="403" t="s">
        <v>233</v>
      </c>
      <c r="J5" s="364" t="e">
        <f>_xll.qlMidSafe($F5,$G5)</f>
        <v>#NUM!</v>
      </c>
      <c r="K5" s="343"/>
      <c r="L5" s="411" t="e">
        <v>#NUM!</v>
      </c>
      <c r="M5" s="343"/>
      <c r="N5" s="410" t="str">
        <f t="shared" ref="N5:N24" si="1">$D5&amp;$O$2</f>
        <v>GBPT3F1_Quote</v>
      </c>
      <c r="O5" s="361" t="e">
        <f t="array" ref="O5:O24">QuoteLive</f>
        <v>#NUM!</v>
      </c>
      <c r="P5" s="360" t="e">
        <f>_xll.qlSimpleQuoteSetValue($N5,$O5/100,Trigger)</f>
        <v>#NUM!</v>
      </c>
      <c r="Q5" s="218"/>
      <c r="S5" s="383"/>
      <c r="W5" s="382" t="e">
        <f t="shared" ref="W5:W19" si="2">(G5-J5)/50</f>
        <v>#VALUE!</v>
      </c>
    </row>
    <row r="6" spans="1:23" x14ac:dyDescent="0.2">
      <c r="A6" s="118"/>
      <c r="B6" s="409" t="s">
        <v>169</v>
      </c>
      <c r="C6" s="398" t="s">
        <v>153</v>
      </c>
      <c r="D6" s="396" t="str">
        <f t="shared" si="0"/>
        <v>GBPTOM3F1</v>
      </c>
      <c r="E6" s="396" t="str">
        <v>GBPTOM3F1=ICAP</v>
      </c>
      <c r="F6" s="397" t="s">
        <v>233</v>
      </c>
      <c r="G6" s="397" t="s">
        <v>233</v>
      </c>
      <c r="H6" s="396" t="s">
        <v>233</v>
      </c>
      <c r="I6" s="396" t="s">
        <v>233</v>
      </c>
      <c r="J6" s="345" t="e">
        <f>_xll.qlMidSafe($F6,$G6)</f>
        <v>#NUM!</v>
      </c>
      <c r="K6" s="343"/>
      <c r="L6" s="408" t="e">
        <v>#NUM!</v>
      </c>
      <c r="M6" s="343"/>
      <c r="N6" s="407" t="str">
        <f t="shared" si="1"/>
        <v>GBPTOM3F1_Quote</v>
      </c>
      <c r="O6" s="341" t="e">
        <v>#NUM!</v>
      </c>
      <c r="P6" s="340" t="e">
        <f>_xll.qlSimpleQuoteSetValue($N6,$O6/100,Trigger)</f>
        <v>#NUM!</v>
      </c>
      <c r="Q6" s="218"/>
      <c r="S6" s="383"/>
      <c r="W6" s="382" t="e">
        <f t="shared" si="2"/>
        <v>#VALUE!</v>
      </c>
    </row>
    <row r="7" spans="1:23" x14ac:dyDescent="0.2">
      <c r="A7" s="118"/>
      <c r="B7" s="406">
        <v>1</v>
      </c>
      <c r="C7" s="405" t="s">
        <v>168</v>
      </c>
      <c r="D7" s="403" t="str">
        <f t="shared" si="0"/>
        <v>GBP1x4F</v>
      </c>
      <c r="E7" s="403" t="str">
        <v>GBP1X4F=ICAP</v>
      </c>
      <c r="F7" s="404">
        <v>0.48499999999999999</v>
      </c>
      <c r="G7" s="404">
        <v>0.53500000000000003</v>
      </c>
      <c r="H7" s="403">
        <v>0</v>
      </c>
      <c r="I7" s="403">
        <v>0</v>
      </c>
      <c r="J7" s="364">
        <f>_xll.qlMidSafe($F7,$G7)</f>
        <v>0.51</v>
      </c>
      <c r="K7" s="343"/>
      <c r="L7" s="395">
        <v>0.51500000000000001</v>
      </c>
      <c r="M7" s="343"/>
      <c r="N7" s="394" t="str">
        <f t="shared" si="1"/>
        <v>GBP1x4F_Quote</v>
      </c>
      <c r="O7" s="349">
        <v>0.51</v>
      </c>
      <c r="P7" s="348" t="e">
        <f>_xll.qlSimpleQuoteSetValue($N7,$O7/100,Trigger)</f>
        <v>#N/A</v>
      </c>
      <c r="Q7" s="218"/>
      <c r="S7" s="383"/>
      <c r="W7" s="382">
        <f t="shared" si="2"/>
        <v>5.0000000000000044E-4</v>
      </c>
    </row>
    <row r="8" spans="1:23" x14ac:dyDescent="0.2">
      <c r="A8" s="118"/>
      <c r="B8" s="399">
        <v>2</v>
      </c>
      <c r="C8" s="402" t="s">
        <v>167</v>
      </c>
      <c r="D8" s="400" t="str">
        <f t="shared" si="0"/>
        <v>GBP2x5F</v>
      </c>
      <c r="E8" s="400" t="str">
        <v>GBP2X5F=ICAP</v>
      </c>
      <c r="F8" s="401">
        <v>0.49</v>
      </c>
      <c r="G8" s="401">
        <v>0.54</v>
      </c>
      <c r="H8" s="400">
        <v>0</v>
      </c>
      <c r="I8" s="400">
        <v>0</v>
      </c>
      <c r="J8" s="352">
        <f>_xll.qlMidSafe($F8,$G8)</f>
        <v>0.51500000000000001</v>
      </c>
      <c r="K8" s="343"/>
      <c r="L8" s="395">
        <v>0.51</v>
      </c>
      <c r="M8" s="343"/>
      <c r="N8" s="394" t="str">
        <f t="shared" si="1"/>
        <v>GBP2x5F_Quote</v>
      </c>
      <c r="O8" s="349">
        <v>0.51500000000000001</v>
      </c>
      <c r="P8" s="348" t="e">
        <f>_xll.qlSimpleQuoteSetValue($N8,$O8/100,Trigger)</f>
        <v>#N/A</v>
      </c>
      <c r="Q8" s="218"/>
      <c r="S8" s="383"/>
      <c r="W8" s="382">
        <f t="shared" si="2"/>
        <v>5.0000000000000044E-4</v>
      </c>
    </row>
    <row r="9" spans="1:23" x14ac:dyDescent="0.2">
      <c r="A9" s="118"/>
      <c r="B9" s="399">
        <v>3</v>
      </c>
      <c r="C9" s="402" t="s">
        <v>166</v>
      </c>
      <c r="D9" s="400" t="str">
        <f t="shared" si="0"/>
        <v>GBP3x6F</v>
      </c>
      <c r="E9" s="400" t="str">
        <v>GBP3X6F=ICAP</v>
      </c>
      <c r="F9" s="401">
        <v>0.495</v>
      </c>
      <c r="G9" s="401">
        <v>0.54500000000000004</v>
      </c>
      <c r="H9" s="400">
        <v>0</v>
      </c>
      <c r="I9" s="400">
        <v>0</v>
      </c>
      <c r="J9" s="352">
        <f>_xll.qlMidSafe($F9,$G9)</f>
        <v>0.52</v>
      </c>
      <c r="K9" s="343"/>
      <c r="L9" s="395">
        <v>0.51</v>
      </c>
      <c r="M9" s="343"/>
      <c r="N9" s="394" t="str">
        <f t="shared" si="1"/>
        <v>GBP3x6F_Quote</v>
      </c>
      <c r="O9" s="349">
        <v>0.52</v>
      </c>
      <c r="P9" s="348" t="e">
        <f>_xll.qlSimpleQuoteSetValue($N9,$O9/100,Trigger)</f>
        <v>#N/A</v>
      </c>
      <c r="Q9" s="218"/>
      <c r="S9" s="383"/>
      <c r="W9" s="382">
        <f t="shared" si="2"/>
        <v>5.0000000000000044E-4</v>
      </c>
    </row>
    <row r="10" spans="1:23" x14ac:dyDescent="0.2">
      <c r="A10" s="118"/>
      <c r="B10" s="399">
        <v>4</v>
      </c>
      <c r="C10" s="402" t="s">
        <v>163</v>
      </c>
      <c r="D10" s="400" t="str">
        <f t="shared" si="0"/>
        <v>GBP4x7F</v>
      </c>
      <c r="E10" s="400" t="str">
        <v>GBP4X7F=ICAP</v>
      </c>
      <c r="F10" s="401">
        <v>0.5</v>
      </c>
      <c r="G10" s="401">
        <v>0.55000000000000004</v>
      </c>
      <c r="H10" s="400">
        <v>0</v>
      </c>
      <c r="I10" s="400">
        <v>0</v>
      </c>
      <c r="J10" s="352">
        <f>_xll.qlMidSafe($F10,$G10)</f>
        <v>0.52500000000000002</v>
      </c>
      <c r="K10" s="343"/>
      <c r="L10" s="395">
        <v>0.505</v>
      </c>
      <c r="M10" s="343"/>
      <c r="N10" s="394" t="str">
        <f t="shared" si="1"/>
        <v>GBP4x7F_Quote</v>
      </c>
      <c r="O10" s="349">
        <v>0.52500000000000002</v>
      </c>
      <c r="P10" s="348" t="e">
        <f>_xll.qlSimpleQuoteSetValue($N10,$O10/100,Trigger)</f>
        <v>#N/A</v>
      </c>
      <c r="Q10" s="218"/>
      <c r="S10" s="383"/>
      <c r="W10" s="382">
        <f t="shared" si="2"/>
        <v>5.0000000000000044E-4</v>
      </c>
    </row>
    <row r="11" spans="1:23" x14ac:dyDescent="0.2">
      <c r="A11" s="118"/>
      <c r="B11" s="399">
        <v>5</v>
      </c>
      <c r="C11" s="402" t="s">
        <v>162</v>
      </c>
      <c r="D11" s="400" t="str">
        <f t="shared" si="0"/>
        <v>GBP5x8F</v>
      </c>
      <c r="E11" s="400" t="str">
        <v>GBP5X8F=ICAP</v>
      </c>
      <c r="F11" s="401">
        <v>0.505</v>
      </c>
      <c r="G11" s="401">
        <v>0.55500000000000005</v>
      </c>
      <c r="H11" s="400">
        <v>0</v>
      </c>
      <c r="I11" s="400">
        <v>0</v>
      </c>
      <c r="J11" s="352">
        <f>_xll.qlMidSafe($F11,$G11)</f>
        <v>0.53</v>
      </c>
      <c r="K11" s="343"/>
      <c r="L11" s="395">
        <v>0.505</v>
      </c>
      <c r="M11" s="343"/>
      <c r="N11" s="394" t="str">
        <f t="shared" si="1"/>
        <v>GBP5x8F_Quote</v>
      </c>
      <c r="O11" s="349">
        <v>0.53</v>
      </c>
      <c r="P11" s="348" t="e">
        <f>_xll.qlSimpleQuoteSetValue($N11,$O11/100,Trigger)</f>
        <v>#N/A</v>
      </c>
      <c r="Q11" s="218"/>
      <c r="S11" s="383"/>
      <c r="W11" s="382">
        <f t="shared" si="2"/>
        <v>5.0000000000000044E-4</v>
      </c>
    </row>
    <row r="12" spans="1:23" x14ac:dyDescent="0.2">
      <c r="A12" s="118"/>
      <c r="B12" s="409">
        <v>6</v>
      </c>
      <c r="C12" s="398" t="s">
        <v>161</v>
      </c>
      <c r="D12" s="396" t="str">
        <f t="shared" si="0"/>
        <v>GBP6x9F</v>
      </c>
      <c r="E12" s="396" t="str">
        <v>GBP6X9F=ICAP</v>
      </c>
      <c r="F12" s="397">
        <v>0.51</v>
      </c>
      <c r="G12" s="397">
        <v>0.56000000000000005</v>
      </c>
      <c r="H12" s="396">
        <v>0</v>
      </c>
      <c r="I12" s="396">
        <v>0</v>
      </c>
      <c r="J12" s="345">
        <f>_xll.qlMidSafe($F12,$G12)</f>
        <v>0.53500000000000003</v>
      </c>
      <c r="K12" s="343"/>
      <c r="L12" s="408">
        <v>0.5</v>
      </c>
      <c r="M12" s="343"/>
      <c r="N12" s="394" t="str">
        <f t="shared" si="1"/>
        <v>GBP6x9F_Quote</v>
      </c>
      <c r="O12" s="349">
        <v>0.53500000000000003</v>
      </c>
      <c r="P12" s="348" t="e">
        <f>_xll.qlSimpleQuoteSetValue($N12,$O12/100,Trigger)</f>
        <v>#N/A</v>
      </c>
      <c r="Q12" s="218"/>
      <c r="S12" s="383"/>
      <c r="W12" s="382">
        <f t="shared" si="2"/>
        <v>5.0000000000000044E-4</v>
      </c>
    </row>
    <row r="13" spans="1:23" x14ac:dyDescent="0.2">
      <c r="A13" s="118"/>
      <c r="B13" s="406" t="s">
        <v>165</v>
      </c>
      <c r="C13" s="405" t="s">
        <v>153</v>
      </c>
      <c r="D13" s="403" t="str">
        <f t="shared" si="0"/>
        <v>GBPT6F1</v>
      </c>
      <c r="E13" s="403" t="str">
        <v>GBPT6F1=ICAP</v>
      </c>
      <c r="F13" s="404" t="s">
        <v>233</v>
      </c>
      <c r="G13" s="404" t="s">
        <v>233</v>
      </c>
      <c r="H13" s="403" t="s">
        <v>233</v>
      </c>
      <c r="I13" s="403" t="s">
        <v>233</v>
      </c>
      <c r="J13" s="364" t="e">
        <f>_xll.qlMidSafe($F13,$G13)</f>
        <v>#NUM!</v>
      </c>
      <c r="K13" s="343"/>
      <c r="L13" s="411" t="e">
        <v>#NUM!</v>
      </c>
      <c r="M13" s="343"/>
      <c r="N13" s="410" t="str">
        <f t="shared" si="1"/>
        <v>GBPT6F1_Quote</v>
      </c>
      <c r="O13" s="361" t="e">
        <v>#NUM!</v>
      </c>
      <c r="P13" s="360" t="e">
        <f>_xll.qlSimpleQuoteSetValue($N13,$O13/100,Trigger)</f>
        <v>#NUM!</v>
      </c>
      <c r="Q13" s="218"/>
      <c r="S13" s="383"/>
      <c r="W13" s="382" t="e">
        <f t="shared" si="2"/>
        <v>#VALUE!</v>
      </c>
    </row>
    <row r="14" spans="1:23" x14ac:dyDescent="0.2">
      <c r="A14" s="118"/>
      <c r="B14" s="409" t="s">
        <v>164</v>
      </c>
      <c r="C14" s="398" t="s">
        <v>153</v>
      </c>
      <c r="D14" s="396" t="str">
        <f t="shared" si="0"/>
        <v>GBPTOM6F1</v>
      </c>
      <c r="E14" s="396" t="str">
        <v>GBPTOM6F1=ICAP</v>
      </c>
      <c r="F14" s="397" t="s">
        <v>233</v>
      </c>
      <c r="G14" s="397" t="s">
        <v>233</v>
      </c>
      <c r="H14" s="396" t="s">
        <v>233</v>
      </c>
      <c r="I14" s="396" t="s">
        <v>233</v>
      </c>
      <c r="J14" s="345" t="e">
        <f>_xll.qlMidSafe($F14,$G14)</f>
        <v>#NUM!</v>
      </c>
      <c r="K14" s="343"/>
      <c r="L14" s="408" t="e">
        <v>#NUM!</v>
      </c>
      <c r="M14" s="343"/>
      <c r="N14" s="407" t="str">
        <f t="shared" si="1"/>
        <v>GBPTOM6F1_Quote</v>
      </c>
      <c r="O14" s="341" t="e">
        <v>#NUM!</v>
      </c>
      <c r="P14" s="340" t="e">
        <f>_xll.qlSimpleQuoteSetValue($N14,$O14/100,Trigger)</f>
        <v>#NUM!</v>
      </c>
      <c r="Q14" s="218"/>
      <c r="S14" s="383"/>
      <c r="W14" s="382" t="e">
        <f t="shared" si="2"/>
        <v>#VALUE!</v>
      </c>
    </row>
    <row r="15" spans="1:23" x14ac:dyDescent="0.2">
      <c r="A15" s="118"/>
      <c r="B15" s="406">
        <v>1</v>
      </c>
      <c r="C15" s="405" t="str">
        <f t="shared" ref="C15:C23" si="3">"x"&amp;B15+6&amp;"F"</f>
        <v>x7F</v>
      </c>
      <c r="D15" s="403" t="str">
        <f t="shared" si="0"/>
        <v>GBP1x7F</v>
      </c>
      <c r="E15" s="403" t="str">
        <v>GBP1X7F=ICAP</v>
      </c>
      <c r="F15" s="404">
        <v>0.62</v>
      </c>
      <c r="G15" s="404">
        <v>0.67</v>
      </c>
      <c r="H15" s="403">
        <v>0</v>
      </c>
      <c r="I15" s="403">
        <v>0</v>
      </c>
      <c r="J15" s="364">
        <f>_xll.qlMidSafe($F15,$G15)</f>
        <v>0.64500000000000002</v>
      </c>
      <c r="K15" s="343"/>
      <c r="L15" s="395">
        <v>0.65</v>
      </c>
      <c r="M15" s="343"/>
      <c r="N15" s="394" t="str">
        <f t="shared" si="1"/>
        <v>GBP1x7F_Quote</v>
      </c>
      <c r="O15" s="349">
        <v>0.64500000000000002</v>
      </c>
      <c r="P15" s="348" t="e">
        <f>_xll.qlSimpleQuoteSetValue($N15,$O15/100,Trigger)</f>
        <v>#N/A</v>
      </c>
      <c r="Q15" s="218"/>
      <c r="S15" s="383"/>
      <c r="W15" s="382">
        <f t="shared" si="2"/>
        <v>5.0000000000000044E-4</v>
      </c>
    </row>
    <row r="16" spans="1:23" x14ac:dyDescent="0.2">
      <c r="A16" s="118"/>
      <c r="B16" s="399">
        <v>2</v>
      </c>
      <c r="C16" s="402" t="str">
        <f t="shared" si="3"/>
        <v>x8F</v>
      </c>
      <c r="D16" s="400" t="str">
        <f t="shared" si="0"/>
        <v>GBP2x8F</v>
      </c>
      <c r="E16" s="400" t="str">
        <v>GBP2X8F=ICAP</v>
      </c>
      <c r="F16" s="401">
        <v>0.625</v>
      </c>
      <c r="G16" s="401">
        <v>0.67500000000000004</v>
      </c>
      <c r="H16" s="400">
        <v>0</v>
      </c>
      <c r="I16" s="400">
        <v>0</v>
      </c>
      <c r="J16" s="352">
        <f>_xll.qlMidSafe($F16,$G16)</f>
        <v>0.65</v>
      </c>
      <c r="K16" s="343"/>
      <c r="L16" s="395">
        <v>0.64500000000000002</v>
      </c>
      <c r="M16" s="343"/>
      <c r="N16" s="394" t="str">
        <f t="shared" si="1"/>
        <v>GBP2x8F_Quote</v>
      </c>
      <c r="O16" s="349">
        <v>0.65</v>
      </c>
      <c r="P16" s="348" t="e">
        <f>_xll.qlSimpleQuoteSetValue($N16,$O16/100,Trigger)</f>
        <v>#N/A</v>
      </c>
      <c r="Q16" s="218"/>
      <c r="S16" s="383"/>
      <c r="W16" s="382">
        <f t="shared" si="2"/>
        <v>5.0000000000000044E-4</v>
      </c>
    </row>
    <row r="17" spans="1:23" x14ac:dyDescent="0.2">
      <c r="A17" s="118"/>
      <c r="B17" s="399">
        <v>3</v>
      </c>
      <c r="C17" s="402" t="str">
        <f t="shared" si="3"/>
        <v>x9F</v>
      </c>
      <c r="D17" s="400" t="str">
        <f t="shared" si="0"/>
        <v>GBP3x9F</v>
      </c>
      <c r="E17" s="400" t="str">
        <v>GBP3X9F=ICAP</v>
      </c>
      <c r="F17" s="401">
        <v>0.63</v>
      </c>
      <c r="G17" s="401">
        <v>0.68</v>
      </c>
      <c r="H17" s="400">
        <v>0</v>
      </c>
      <c r="I17" s="400">
        <v>0</v>
      </c>
      <c r="J17" s="352">
        <f>_xll.qlMidSafe($F17,$G17)</f>
        <v>0.65500000000000003</v>
      </c>
      <c r="K17" s="343"/>
      <c r="L17" s="395">
        <v>0.64</v>
      </c>
      <c r="M17" s="343"/>
      <c r="N17" s="394" t="str">
        <f t="shared" si="1"/>
        <v>GBP3x9F_Quote</v>
      </c>
      <c r="O17" s="349">
        <v>0.65500000000000003</v>
      </c>
      <c r="P17" s="348" t="e">
        <f>_xll.qlSimpleQuoteSetValue($N17,$O17/100,Trigger)</f>
        <v>#N/A</v>
      </c>
      <c r="Q17" s="218"/>
      <c r="S17" s="383"/>
      <c r="W17" s="382">
        <f t="shared" si="2"/>
        <v>5.0000000000000044E-4</v>
      </c>
    </row>
    <row r="18" spans="1:23" x14ac:dyDescent="0.2">
      <c r="A18" s="118"/>
      <c r="B18" s="399">
        <v>4</v>
      </c>
      <c r="C18" s="402" t="str">
        <f t="shared" si="3"/>
        <v>x10F</v>
      </c>
      <c r="D18" s="400" t="str">
        <f t="shared" si="0"/>
        <v>GBP4x10F</v>
      </c>
      <c r="E18" s="400" t="str">
        <v>GBP4X10F=ICAP</v>
      </c>
      <c r="F18" s="401">
        <v>0.63500000000000001</v>
      </c>
      <c r="G18" s="401">
        <v>0.68500000000000005</v>
      </c>
      <c r="H18" s="400">
        <v>0</v>
      </c>
      <c r="I18" s="400">
        <v>0</v>
      </c>
      <c r="J18" s="352">
        <f>_xll.qlMidSafe($F18,$G18)</f>
        <v>0.66</v>
      </c>
      <c r="K18" s="343"/>
      <c r="L18" s="395">
        <v>0.63500000000000001</v>
      </c>
      <c r="M18" s="343"/>
      <c r="N18" s="394" t="str">
        <f t="shared" si="1"/>
        <v>GBP4x10F_Quote</v>
      </c>
      <c r="O18" s="349">
        <v>0.66</v>
      </c>
      <c r="P18" s="348" t="e">
        <f>_xll.qlSimpleQuoteSetValue($N18,$O18/100,Trigger)</f>
        <v>#N/A</v>
      </c>
      <c r="Q18" s="218"/>
      <c r="S18" s="383"/>
      <c r="W18" s="382">
        <f t="shared" si="2"/>
        <v>5.0000000000000044E-4</v>
      </c>
    </row>
    <row r="19" spans="1:23" x14ac:dyDescent="0.2">
      <c r="A19" s="118"/>
      <c r="B19" s="399">
        <v>5</v>
      </c>
      <c r="C19" s="402" t="str">
        <f t="shared" si="3"/>
        <v>x11F</v>
      </c>
      <c r="D19" s="400" t="str">
        <f t="shared" si="0"/>
        <v>GBP5x11F</v>
      </c>
      <c r="E19" s="400" t="str">
        <v>GBP5X11F=ICAP</v>
      </c>
      <c r="F19" s="401">
        <v>0.64</v>
      </c>
      <c r="G19" s="401">
        <v>0.69</v>
      </c>
      <c r="H19" s="400">
        <v>0</v>
      </c>
      <c r="I19" s="400">
        <v>0</v>
      </c>
      <c r="J19" s="352">
        <f>_xll.qlMidSafe($F19,$G19)</f>
        <v>0.66500000000000004</v>
      </c>
      <c r="K19" s="343"/>
      <c r="L19" s="395">
        <v>0.63500000000000001</v>
      </c>
      <c r="M19" s="343"/>
      <c r="N19" s="394" t="str">
        <f t="shared" si="1"/>
        <v>GBP5x11F_Quote</v>
      </c>
      <c r="O19" s="349">
        <v>0.66500000000000004</v>
      </c>
      <c r="P19" s="348" t="e">
        <f>_xll.qlSimpleQuoteSetValue($N19,$O19/100,Trigger)</f>
        <v>#N/A</v>
      </c>
      <c r="Q19" s="218"/>
      <c r="S19" s="383"/>
      <c r="W19" s="382">
        <f t="shared" si="2"/>
        <v>4.9999999999999828E-4</v>
      </c>
    </row>
    <row r="20" spans="1:23" x14ac:dyDescent="0.2">
      <c r="A20" s="118"/>
      <c r="B20" s="399">
        <v>6</v>
      </c>
      <c r="C20" s="402" t="str">
        <f t="shared" si="3"/>
        <v>x12F</v>
      </c>
      <c r="D20" s="400" t="str">
        <f t="shared" si="0"/>
        <v>GBP6x12F</v>
      </c>
      <c r="E20" s="400" t="str">
        <v>GBP6X12F=ICAP</v>
      </c>
      <c r="F20" s="401">
        <v>0.64</v>
      </c>
      <c r="G20" s="401">
        <v>0.69</v>
      </c>
      <c r="H20" s="400">
        <v>0</v>
      </c>
      <c r="I20" s="400">
        <v>0</v>
      </c>
      <c r="J20" s="352">
        <f>_xll.qlMidSafe($F20,$G20)</f>
        <v>0.66500000000000004</v>
      </c>
      <c r="K20" s="343"/>
      <c r="L20" s="395">
        <v>0.63500000000000001</v>
      </c>
      <c r="M20" s="343"/>
      <c r="N20" s="394" t="str">
        <f t="shared" si="1"/>
        <v>GBP6x12F_Quote</v>
      </c>
      <c r="O20" s="349">
        <v>0.66500000000000004</v>
      </c>
      <c r="P20" s="348" t="e">
        <f>_xll.qlSimpleQuoteSetValue($N20,$O20/100,Trigger)</f>
        <v>#N/A</v>
      </c>
      <c r="Q20" s="218"/>
      <c r="S20" s="383"/>
      <c r="W20" s="382"/>
    </row>
    <row r="21" spans="1:23" x14ac:dyDescent="0.2">
      <c r="A21" s="118"/>
      <c r="B21" s="399">
        <v>9</v>
      </c>
      <c r="C21" s="402" t="str">
        <f t="shared" si="3"/>
        <v>x15F</v>
      </c>
      <c r="D21" s="400" t="str">
        <f t="shared" si="0"/>
        <v>GBP9x15F</v>
      </c>
      <c r="E21" s="400" t="str">
        <v>GBP9X15F=ICAP</v>
      </c>
      <c r="F21" s="401">
        <v>0.66</v>
      </c>
      <c r="G21" s="401">
        <v>0.71</v>
      </c>
      <c r="H21" s="400">
        <v>0</v>
      </c>
      <c r="I21" s="400">
        <v>0</v>
      </c>
      <c r="J21" s="352">
        <f>_xll.qlMidSafe($F21,$G21)</f>
        <v>0.68500000000000005</v>
      </c>
      <c r="K21" s="343"/>
      <c r="L21" s="395">
        <v>0.64</v>
      </c>
      <c r="M21" s="343"/>
      <c r="N21" s="394" t="str">
        <f t="shared" si="1"/>
        <v>GBP9x15F_Quote</v>
      </c>
      <c r="O21" s="349">
        <v>0.68500000000000005</v>
      </c>
      <c r="P21" s="348" t="e">
        <f>_xll.qlSimpleQuoteSetValue($N21,$O21/100,Trigger)</f>
        <v>#N/A</v>
      </c>
      <c r="Q21" s="218"/>
      <c r="S21" s="383"/>
      <c r="W21" s="382"/>
    </row>
    <row r="22" spans="1:23" x14ac:dyDescent="0.2">
      <c r="A22" s="118"/>
      <c r="B22" s="399">
        <v>12</v>
      </c>
      <c r="C22" s="402" t="str">
        <f t="shared" si="3"/>
        <v>x18F</v>
      </c>
      <c r="D22" s="400" t="str">
        <f t="shared" si="0"/>
        <v>GBP12x18F</v>
      </c>
      <c r="E22" s="400" t="str">
        <v>GBP12X18F=ICAP</v>
      </c>
      <c r="F22" s="401">
        <v>0.69499999999999995</v>
      </c>
      <c r="G22" s="401">
        <v>0.745</v>
      </c>
      <c r="H22" s="400">
        <v>0</v>
      </c>
      <c r="I22" s="400">
        <v>0</v>
      </c>
      <c r="J22" s="352">
        <f>_xll.qlMidSafe($F22,$G22)</f>
        <v>0.72</v>
      </c>
      <c r="K22" s="343"/>
      <c r="L22" s="395">
        <v>0.65500000000000003</v>
      </c>
      <c r="M22" s="343"/>
      <c r="N22" s="394" t="str">
        <f t="shared" si="1"/>
        <v>GBP12x18F_Quote</v>
      </c>
      <c r="O22" s="349">
        <v>0.72</v>
      </c>
      <c r="P22" s="348" t="e">
        <f>_xll.qlSimpleQuoteSetValue($N22,$O22/100,Trigger)</f>
        <v>#N/A</v>
      </c>
      <c r="Q22" s="218"/>
      <c r="S22" s="383"/>
      <c r="W22" s="382">
        <f>(G22-J22)/50</f>
        <v>5.0000000000000044E-4</v>
      </c>
    </row>
    <row r="23" spans="1:23" x14ac:dyDescent="0.2">
      <c r="A23" s="118"/>
      <c r="B23" s="399">
        <v>18</v>
      </c>
      <c r="C23" s="398" t="str">
        <f t="shared" si="3"/>
        <v>x24F</v>
      </c>
      <c r="D23" s="396" t="str">
        <f t="shared" si="0"/>
        <v>GBP18x24F</v>
      </c>
      <c r="E23" s="396" t="str">
        <v>GBP18X24F=ICAP</v>
      </c>
      <c r="F23" s="397" t="s">
        <v>233</v>
      </c>
      <c r="G23" s="397" t="s">
        <v>233</v>
      </c>
      <c r="H23" s="396" t="s">
        <v>233</v>
      </c>
      <c r="I23" s="396" t="s">
        <v>233</v>
      </c>
      <c r="J23" s="345" t="e">
        <f>_xll.qlMidSafe($F23,$G23)</f>
        <v>#NUM!</v>
      </c>
      <c r="K23" s="343"/>
      <c r="L23" s="395" t="e">
        <v>#NUM!</v>
      </c>
      <c r="M23" s="343"/>
      <c r="N23" s="394" t="str">
        <f t="shared" si="1"/>
        <v>GBP18x24F_Quote</v>
      </c>
      <c r="O23" s="349" t="e">
        <v>#NUM!</v>
      </c>
      <c r="P23" s="348" t="e">
        <f>_xll.qlSimpleQuoteSetValue($N23,$O23/100,Trigger)</f>
        <v>#NUM!</v>
      </c>
      <c r="Q23" s="218"/>
      <c r="S23" s="383"/>
      <c r="W23" s="382" t="e">
        <f>(G23-J23)/50</f>
        <v>#VALUE!</v>
      </c>
    </row>
    <row r="24" spans="1:23" x14ac:dyDescent="0.2">
      <c r="A24" s="118"/>
      <c r="B24" s="393">
        <v>12</v>
      </c>
      <c r="C24" s="392" t="s">
        <v>152</v>
      </c>
      <c r="D24" s="390" t="str">
        <f t="shared" si="0"/>
        <v>GBP12x24F</v>
      </c>
      <c r="E24" s="390" t="str">
        <v>GBP12X24F=ICAP</v>
      </c>
      <c r="F24" s="391">
        <v>0.98499999999999999</v>
      </c>
      <c r="G24" s="391">
        <v>1.085</v>
      </c>
      <c r="H24" s="390">
        <v>0</v>
      </c>
      <c r="I24" s="390">
        <v>0</v>
      </c>
      <c r="J24" s="389">
        <f>_xll.qlMidSafe($F24,$G24)</f>
        <v>1.0349999999999999</v>
      </c>
      <c r="K24" s="343"/>
      <c r="L24" s="388">
        <v>1</v>
      </c>
      <c r="M24" s="343"/>
      <c r="N24" s="387" t="str">
        <f t="shared" si="1"/>
        <v>GBP12x24F_Quote</v>
      </c>
      <c r="O24" s="386">
        <v>1.0349999999999999</v>
      </c>
      <c r="P24" s="385" t="e">
        <f>_xll.qlSimpleQuoteSetValue($N24,$O24/100,Trigger)</f>
        <v>#N/A</v>
      </c>
      <c r="Q24" s="218"/>
      <c r="S24" s="383"/>
      <c r="W24" s="382">
        <f>(G24-J24)/50</f>
        <v>1.0000000000000009E-3</v>
      </c>
    </row>
    <row r="25" spans="1:23" ht="12" thickBot="1" x14ac:dyDescent="0.25">
      <c r="A25" s="32"/>
      <c r="B25" s="31"/>
      <c r="C25" s="31"/>
      <c r="D25" s="31"/>
      <c r="E25" s="31"/>
      <c r="F25" s="31"/>
      <c r="G25" s="31"/>
      <c r="H25" s="31"/>
      <c r="I25" s="31"/>
      <c r="J25" s="31"/>
      <c r="K25" s="31"/>
      <c r="L25" s="31"/>
      <c r="M25" s="31"/>
      <c r="N25" s="31"/>
      <c r="O25" s="31"/>
      <c r="P25" s="31"/>
      <c r="Q25" s="384"/>
      <c r="S25" s="383"/>
      <c r="W25" s="382"/>
    </row>
  </sheetData>
  <conditionalFormatting sqref="P5:P24">
    <cfRule type="cellIs" dxfId="27" priority="1" stopIfTrue="1" operator="greaterThan">
      <formula>0</formula>
    </cfRule>
    <cfRule type="cellIs" dxfId="26" priority="2" stopIfTrue="1" operator="lessThan">
      <formula>0</formula>
    </cfRule>
  </conditionalFormatting>
  <dataValidations count="1">
    <dataValidation type="list" showInputMessage="1" showErrorMessage="1" sqref="E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E65538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E131074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E196610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E262146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E32768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E393218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E458754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E524290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E589826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E65536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E720898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E786434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E851970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E917506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E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RDU983042 RNQ983042 RXM983042 SHI983042 SRE983042 TBA983042 TKW983042 TUS983042 UEO983042 UOK983042 UYG983042 VIC983042 VRY983042 WBU983042 WLQ983042 WVM983042">
      <formula1>Contributors</formula1>
    </dataValidation>
  </dataValidations>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8"/>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8.85546875" style="65" bestFit="1" customWidth="1"/>
    <col min="7" max="7" width="10.5703125" style="65" bestFit="1" customWidth="1"/>
    <col min="8" max="10" width="6.5703125" style="65" bestFit="1" customWidth="1"/>
    <col min="11" max="11" width="9.7109375" style="65" customWidth="1"/>
    <col min="12" max="12" width="6.5703125" style="65" bestFit="1" customWidth="1"/>
    <col min="13" max="13" width="2.85546875" style="65" customWidth="1"/>
    <col min="14" max="14" width="6.5703125" style="65" customWidth="1"/>
    <col min="15" max="15" width="2.85546875" style="65" customWidth="1"/>
    <col min="16" max="16" width="15.855468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16384" width="9.140625" style="65"/>
  </cols>
  <sheetData>
    <row r="1" spans="1:24" ht="12.75" customHeight="1" x14ac:dyDescent="0.2">
      <c r="A1" s="154" t="s">
        <v>356</v>
      </c>
      <c r="B1" s="229"/>
      <c r="C1" s="229"/>
      <c r="D1" s="229"/>
      <c r="E1" s="229"/>
      <c r="F1" s="229"/>
      <c r="G1" s="229"/>
      <c r="H1" s="229"/>
      <c r="I1" s="229"/>
      <c r="J1" s="229"/>
      <c r="K1" s="229"/>
      <c r="L1" s="229"/>
      <c r="M1" s="230"/>
      <c r="N1" s="230"/>
      <c r="O1" s="229"/>
      <c r="P1" s="229"/>
      <c r="Q1" s="229"/>
      <c r="R1" s="229"/>
      <c r="S1" s="150"/>
    </row>
    <row r="2" spans="1:24" ht="12.75" customHeight="1" x14ac:dyDescent="0.2">
      <c r="A2" s="149"/>
      <c r="B2" s="238"/>
      <c r="C2" s="462"/>
      <c r="D2" s="462"/>
      <c r="E2" s="238"/>
      <c r="F2" s="238"/>
      <c r="G2" s="238"/>
      <c r="H2" s="238"/>
      <c r="I2" s="238"/>
      <c r="J2" s="238"/>
      <c r="K2" s="238"/>
      <c r="L2" s="238"/>
      <c r="M2" s="422"/>
      <c r="N2" s="422"/>
      <c r="O2" s="238"/>
      <c r="P2" s="461" t="s">
        <v>289</v>
      </c>
      <c r="Q2" s="460" t="s">
        <v>131</v>
      </c>
      <c r="R2" s="238"/>
      <c r="S2" s="458"/>
    </row>
    <row r="3" spans="1:24" ht="12.75" customHeight="1" x14ac:dyDescent="0.2">
      <c r="A3" s="149"/>
      <c r="B3" s="238"/>
      <c r="C3" s="238"/>
      <c r="D3" s="238"/>
      <c r="E3" s="238"/>
      <c r="F3" s="238"/>
      <c r="G3" s="238"/>
      <c r="H3" s="238"/>
      <c r="I3" s="238"/>
      <c r="J3" s="238"/>
      <c r="K3" s="238"/>
      <c r="L3" s="238"/>
      <c r="M3" s="422"/>
      <c r="N3" s="422"/>
      <c r="O3" s="238"/>
      <c r="Q3" s="238"/>
      <c r="R3" s="238"/>
      <c r="S3" s="458"/>
    </row>
    <row r="4" spans="1:24" ht="12.75" customHeight="1" thickBot="1" x14ac:dyDescent="0.25">
      <c r="A4" s="149"/>
      <c r="B4" s="238"/>
      <c r="C4" s="238"/>
      <c r="D4" s="238"/>
      <c r="E4" s="238"/>
      <c r="F4" s="238"/>
      <c r="G4" s="238"/>
      <c r="H4" s="238"/>
      <c r="I4" s="238"/>
      <c r="J4" s="238"/>
      <c r="K4" s="238"/>
      <c r="L4" s="238"/>
      <c r="M4" s="422"/>
      <c r="N4" s="422"/>
      <c r="O4" s="238"/>
      <c r="P4" s="422" t="s">
        <v>299</v>
      </c>
      <c r="Q4" s="238"/>
      <c r="R4" s="459">
        <f>_xll.ohTrigger(R6:R17)</f>
        <v>3</v>
      </c>
      <c r="S4" s="458"/>
    </row>
    <row r="5" spans="1:24" ht="22.5" x14ac:dyDescent="0.2">
      <c r="A5" s="149"/>
      <c r="B5" s="457" t="s">
        <v>175</v>
      </c>
      <c r="C5" s="452" t="s">
        <v>174</v>
      </c>
      <c r="D5" s="452" t="s">
        <v>173</v>
      </c>
      <c r="E5" s="452" t="s">
        <v>298</v>
      </c>
      <c r="F5" s="456" t="e">
        <f ca="1">_xll.RData(F6:F17,G5:K5,"RTFEED:IDN",ReutersRtMode,,G6)</f>
        <v>#NAME?</v>
      </c>
      <c r="G5" s="452" t="s">
        <v>297</v>
      </c>
      <c r="H5" s="452" t="s">
        <v>293</v>
      </c>
      <c r="I5" s="452" t="s">
        <v>265</v>
      </c>
      <c r="J5" s="452" t="s">
        <v>244</v>
      </c>
      <c r="K5" s="452" t="s">
        <v>292</v>
      </c>
      <c r="L5" s="455" t="s">
        <v>291</v>
      </c>
      <c r="M5" s="422"/>
      <c r="N5" s="454" t="s">
        <v>287</v>
      </c>
      <c r="O5" s="422"/>
      <c r="P5" s="453" t="s">
        <v>241</v>
      </c>
      <c r="Q5" s="452" t="s">
        <v>286</v>
      </c>
      <c r="R5" s="451" t="s">
        <v>285</v>
      </c>
      <c r="S5" s="137"/>
      <c r="U5" s="450" t="s">
        <v>296</v>
      </c>
      <c r="V5" s="449" t="s">
        <v>295</v>
      </c>
      <c r="X5" s="412" t="s">
        <v>290</v>
      </c>
    </row>
    <row r="6" spans="1:24" ht="12.75" customHeight="1" x14ac:dyDescent="0.2">
      <c r="A6" s="143"/>
      <c r="B6" s="448">
        <v>1</v>
      </c>
      <c r="C6" s="447" t="b">
        <v>0</v>
      </c>
      <c r="D6" s="442" t="str">
        <f t="array" ref="D6:D17">_xll.qlIMMcode(FuturesDates)</f>
        <v>Z3</v>
      </c>
      <c r="E6" s="446">
        <f t="array" ref="E6:E17">_xll.qlIMMNextDates(_xll.qlSettingsEvaluationDate(Trigger)-1,$C6:$C17)</f>
        <v>41626</v>
      </c>
      <c r="F6" s="442" t="str">
        <f t="array" ref="F6:F17">VLOOKUP(Currency,LiffeCodes,2)&amp;FuturesCodes</f>
        <v>Z3</v>
      </c>
      <c r="G6" s="445" t="s">
        <v>233</v>
      </c>
      <c r="H6" s="442" t="s">
        <v>233</v>
      </c>
      <c r="I6" s="442" t="s">
        <v>233</v>
      </c>
      <c r="J6" s="442" t="s">
        <v>233</v>
      </c>
      <c r="K6" s="442" t="s">
        <v>233</v>
      </c>
      <c r="L6" s="441" t="e">
        <f>_xll.qlMidSafe($H6,$I6)</f>
        <v>#NUM!</v>
      </c>
      <c r="M6" s="422"/>
      <c r="N6" s="444" t="e">
        <v>#NUM!</v>
      </c>
      <c r="O6" s="422"/>
      <c r="P6" s="443" t="str">
        <f t="array" ref="P6:P17">Currency&amp;$P$4&amp;FuturesCodes&amp;$Q$2</f>
        <v>GBPFUT1MZ3_Quote</v>
      </c>
      <c r="Q6" s="442" t="e">
        <f t="array" ref="Q6:Q17">QuoteLive</f>
        <v>#NUM!</v>
      </c>
      <c r="R6" s="441" t="e">
        <f>_xll.qlSimpleQuoteSetValue($P6,$Q6,Trigger)</f>
        <v>#NUM!</v>
      </c>
      <c r="S6" s="137"/>
      <c r="U6" s="439" t="s">
        <v>121</v>
      </c>
      <c r="V6" s="438"/>
      <c r="X6" s="418" t="e">
        <f t="shared" ref="X6:X17" si="0">(I6-L6)/50</f>
        <v>#VALUE!</v>
      </c>
    </row>
    <row r="7" spans="1:24" x14ac:dyDescent="0.2">
      <c r="A7" s="143"/>
      <c r="B7" s="435">
        <v>2</v>
      </c>
      <c r="C7" s="434" t="b">
        <v>0</v>
      </c>
      <c r="D7" s="429" t="str">
        <v>F4</v>
      </c>
      <c r="E7" s="433">
        <v>41654</v>
      </c>
      <c r="F7" s="429" t="str">
        <v>F4</v>
      </c>
      <c r="G7" s="432" t="s">
        <v>233</v>
      </c>
      <c r="H7" s="429" t="s">
        <v>233</v>
      </c>
      <c r="I7" s="429" t="s">
        <v>233</v>
      </c>
      <c r="J7" s="429" t="s">
        <v>233</v>
      </c>
      <c r="K7" s="429" t="s">
        <v>233</v>
      </c>
      <c r="L7" s="428" t="e">
        <f>_xll.qlMidSafe($H7,$I7)</f>
        <v>#NUM!</v>
      </c>
      <c r="M7" s="422"/>
      <c r="N7" s="440" t="e">
        <v>#NUM!</v>
      </c>
      <c r="O7" s="422"/>
      <c r="P7" s="430" t="str">
        <v>GBPFUT1MF4_Quote</v>
      </c>
      <c r="Q7" s="429" t="e">
        <v>#NUM!</v>
      </c>
      <c r="R7" s="428" t="e">
        <f>_xll.qlSimpleQuoteSetValue($P7,$Q7,Trigger)</f>
        <v>#NUM!</v>
      </c>
      <c r="S7" s="137"/>
      <c r="U7" s="439" t="s">
        <v>120</v>
      </c>
      <c r="V7" s="438"/>
      <c r="X7" s="418" t="e">
        <f t="shared" si="0"/>
        <v>#VALUE!</v>
      </c>
    </row>
    <row r="8" spans="1:24" x14ac:dyDescent="0.2">
      <c r="A8" s="143"/>
      <c r="B8" s="435">
        <v>3</v>
      </c>
      <c r="C8" s="434" t="b">
        <v>0</v>
      </c>
      <c r="D8" s="429" t="str">
        <v>G4</v>
      </c>
      <c r="E8" s="433">
        <v>41689</v>
      </c>
      <c r="F8" s="429" t="str">
        <v>G4</v>
      </c>
      <c r="G8" s="432" t="s">
        <v>233</v>
      </c>
      <c r="H8" s="429" t="s">
        <v>233</v>
      </c>
      <c r="I8" s="429" t="s">
        <v>233</v>
      </c>
      <c r="J8" s="429" t="s">
        <v>233</v>
      </c>
      <c r="K8" s="429" t="s">
        <v>233</v>
      </c>
      <c r="L8" s="428" t="e">
        <f>_xll.qlMidSafe($H8,$I8)</f>
        <v>#NUM!</v>
      </c>
      <c r="M8" s="422"/>
      <c r="N8" s="440" t="e">
        <v>#NUM!</v>
      </c>
      <c r="O8" s="422"/>
      <c r="P8" s="430" t="str">
        <v>GBPFUT1MG4_Quote</v>
      </c>
      <c r="Q8" s="429" t="e">
        <v>#NUM!</v>
      </c>
      <c r="R8" s="428" t="e">
        <f>_xll.qlSimpleQuoteSetValue($P8,$Q8,Trigger)</f>
        <v>#NUM!</v>
      </c>
      <c r="S8" s="137"/>
      <c r="U8" s="439" t="s">
        <v>96</v>
      </c>
      <c r="V8" s="438"/>
      <c r="X8" s="418" t="e">
        <f t="shared" si="0"/>
        <v>#VALUE!</v>
      </c>
    </row>
    <row r="9" spans="1:24" x14ac:dyDescent="0.2">
      <c r="A9" s="143"/>
      <c r="B9" s="435">
        <v>4</v>
      </c>
      <c r="C9" s="434" t="b">
        <v>0</v>
      </c>
      <c r="D9" s="429" t="str">
        <v>H4</v>
      </c>
      <c r="E9" s="433">
        <v>41717</v>
      </c>
      <c r="F9" s="429" t="str">
        <v>H4</v>
      </c>
      <c r="G9" s="432" t="s">
        <v>233</v>
      </c>
      <c r="H9" s="429" t="s">
        <v>233</v>
      </c>
      <c r="I9" s="429" t="s">
        <v>233</v>
      </c>
      <c r="J9" s="429" t="s">
        <v>233</v>
      </c>
      <c r="K9" s="429" t="s">
        <v>233</v>
      </c>
      <c r="L9" s="428" t="e">
        <f>_xll.qlMidSafe($H9,$I9)</f>
        <v>#NUM!</v>
      </c>
      <c r="M9" s="422"/>
      <c r="N9" s="440" t="e">
        <v>#NUM!</v>
      </c>
      <c r="O9" s="422"/>
      <c r="P9" s="430" t="str">
        <v>GBPFUT1MH4_Quote</v>
      </c>
      <c r="Q9" s="429" t="e">
        <v>#NUM!</v>
      </c>
      <c r="R9" s="428" t="e">
        <f>_xll.qlSimpleQuoteSetValue($P9,$Q9,Trigger)</f>
        <v>#NUM!</v>
      </c>
      <c r="S9" s="137"/>
      <c r="U9" s="439" t="s">
        <v>117</v>
      </c>
      <c r="V9" s="438"/>
      <c r="X9" s="418" t="e">
        <f t="shared" si="0"/>
        <v>#VALUE!</v>
      </c>
    </row>
    <row r="10" spans="1:24" ht="12" thickBot="1" x14ac:dyDescent="0.25">
      <c r="A10" s="143"/>
      <c r="B10" s="435">
        <v>5</v>
      </c>
      <c r="C10" s="434" t="b">
        <v>0</v>
      </c>
      <c r="D10" s="429" t="str">
        <v>J4</v>
      </c>
      <c r="E10" s="433">
        <v>41745</v>
      </c>
      <c r="F10" s="429" t="str">
        <v>J4</v>
      </c>
      <c r="G10" s="432" t="s">
        <v>233</v>
      </c>
      <c r="H10" s="429" t="s">
        <v>233</v>
      </c>
      <c r="I10" s="429" t="s">
        <v>233</v>
      </c>
      <c r="J10" s="429" t="s">
        <v>233</v>
      </c>
      <c r="K10" s="429" t="s">
        <v>233</v>
      </c>
      <c r="L10" s="428" t="e">
        <f>_xll.qlMidSafe($H10,$I10)</f>
        <v>#NUM!</v>
      </c>
      <c r="M10" s="422"/>
      <c r="N10" s="431" t="e">
        <v>#NUM!</v>
      </c>
      <c r="O10" s="422"/>
      <c r="P10" s="430" t="str">
        <v>GBPFUT1MJ4_Quote</v>
      </c>
      <c r="Q10" s="429" t="e">
        <v>#NUM!</v>
      </c>
      <c r="R10" s="428" t="e">
        <f>_xll.qlSimpleQuoteSetValue($P10,$Q10,Trigger)</f>
        <v>#NUM!</v>
      </c>
      <c r="S10" s="137"/>
      <c r="U10" s="437" t="s">
        <v>115</v>
      </c>
      <c r="V10" s="436" t="s">
        <v>294</v>
      </c>
      <c r="X10" s="418" t="e">
        <f t="shared" si="0"/>
        <v>#VALUE!</v>
      </c>
    </row>
    <row r="11" spans="1:24" x14ac:dyDescent="0.2">
      <c r="A11" s="143"/>
      <c r="B11" s="435">
        <v>6</v>
      </c>
      <c r="C11" s="434" t="b">
        <v>0</v>
      </c>
      <c r="D11" s="429" t="str">
        <v>K4</v>
      </c>
      <c r="E11" s="433">
        <v>41780</v>
      </c>
      <c r="F11" s="429" t="str">
        <v>K4</v>
      </c>
      <c r="G11" s="432" t="s">
        <v>233</v>
      </c>
      <c r="H11" s="429" t="s">
        <v>233</v>
      </c>
      <c r="I11" s="429" t="s">
        <v>233</v>
      </c>
      <c r="J11" s="429" t="s">
        <v>233</v>
      </c>
      <c r="K11" s="429" t="s">
        <v>233</v>
      </c>
      <c r="L11" s="428" t="e">
        <f>_xll.qlMidSafe($H11,$I11)</f>
        <v>#NUM!</v>
      </c>
      <c r="M11" s="422"/>
      <c r="N11" s="431" t="e">
        <v>#NUM!</v>
      </c>
      <c r="O11" s="422"/>
      <c r="P11" s="430" t="str">
        <v>GBPFUT1MK4_Quote</v>
      </c>
      <c r="Q11" s="429" t="e">
        <v>#NUM!</v>
      </c>
      <c r="R11" s="428" t="e">
        <f>_xll.qlSimpleQuoteSetValue($P11,$Q11,Trigger)</f>
        <v>#NUM!</v>
      </c>
      <c r="S11" s="137"/>
      <c r="X11" s="418" t="e">
        <f t="shared" si="0"/>
        <v>#VALUE!</v>
      </c>
    </row>
    <row r="12" spans="1:24" x14ac:dyDescent="0.2">
      <c r="A12" s="143"/>
      <c r="B12" s="435">
        <v>7</v>
      </c>
      <c r="C12" s="434" t="b">
        <v>0</v>
      </c>
      <c r="D12" s="429" t="str">
        <v>M4</v>
      </c>
      <c r="E12" s="433">
        <v>41808</v>
      </c>
      <c r="F12" s="429" t="str">
        <v>M4</v>
      </c>
      <c r="G12" s="432" t="s">
        <v>233</v>
      </c>
      <c r="H12" s="429" t="s">
        <v>233</v>
      </c>
      <c r="I12" s="429" t="s">
        <v>233</v>
      </c>
      <c r="J12" s="429" t="s">
        <v>233</v>
      </c>
      <c r="K12" s="429" t="s">
        <v>233</v>
      </c>
      <c r="L12" s="428" t="e">
        <f>_xll.qlMidSafe($H12,$I12)</f>
        <v>#NUM!</v>
      </c>
      <c r="M12" s="422"/>
      <c r="N12" s="431" t="e">
        <v>#NUM!</v>
      </c>
      <c r="O12" s="422"/>
      <c r="P12" s="430" t="str">
        <v>GBPFUT1MM4_Quote</v>
      </c>
      <c r="Q12" s="429" t="e">
        <v>#NUM!</v>
      </c>
      <c r="R12" s="428" t="e">
        <f>_xll.qlSimpleQuoteSetValue($P12,$Q12,Trigger)</f>
        <v>#NUM!</v>
      </c>
      <c r="S12" s="137"/>
      <c r="X12" s="418" t="e">
        <f t="shared" si="0"/>
        <v>#VALUE!</v>
      </c>
    </row>
    <row r="13" spans="1:24" x14ac:dyDescent="0.2">
      <c r="A13" s="143"/>
      <c r="B13" s="435">
        <v>8</v>
      </c>
      <c r="C13" s="434" t="b">
        <v>0</v>
      </c>
      <c r="D13" s="429" t="str">
        <v>N4</v>
      </c>
      <c r="E13" s="433">
        <v>41836</v>
      </c>
      <c r="F13" s="429" t="str">
        <v>N4</v>
      </c>
      <c r="G13" s="432" t="s">
        <v>233</v>
      </c>
      <c r="H13" s="429" t="s">
        <v>233</v>
      </c>
      <c r="I13" s="429" t="s">
        <v>233</v>
      </c>
      <c r="J13" s="429" t="s">
        <v>233</v>
      </c>
      <c r="K13" s="429" t="s">
        <v>233</v>
      </c>
      <c r="L13" s="428" t="e">
        <f>_xll.qlMidSafe($H13,$I13)</f>
        <v>#NUM!</v>
      </c>
      <c r="M13" s="422"/>
      <c r="N13" s="431" t="e">
        <v>#NUM!</v>
      </c>
      <c r="O13" s="422"/>
      <c r="P13" s="430" t="str">
        <v>GBPFUT1MN4_Quote</v>
      </c>
      <c r="Q13" s="429" t="e">
        <v>#NUM!</v>
      </c>
      <c r="R13" s="428" t="e">
        <f>_xll.qlSimpleQuoteSetValue($P13,$Q13,Trigger)</f>
        <v>#NUM!</v>
      </c>
      <c r="S13" s="137"/>
      <c r="X13" s="418" t="e">
        <f t="shared" si="0"/>
        <v>#VALUE!</v>
      </c>
    </row>
    <row r="14" spans="1:24" x14ac:dyDescent="0.2">
      <c r="A14" s="143"/>
      <c r="B14" s="435">
        <v>9</v>
      </c>
      <c r="C14" s="434" t="b">
        <v>0</v>
      </c>
      <c r="D14" s="429" t="str">
        <v>Q4</v>
      </c>
      <c r="E14" s="433">
        <v>41871</v>
      </c>
      <c r="F14" s="429" t="str">
        <v>Q4</v>
      </c>
      <c r="G14" s="432" t="s">
        <v>233</v>
      </c>
      <c r="H14" s="429" t="s">
        <v>233</v>
      </c>
      <c r="I14" s="429" t="s">
        <v>233</v>
      </c>
      <c r="J14" s="429" t="s">
        <v>233</v>
      </c>
      <c r="K14" s="429" t="s">
        <v>233</v>
      </c>
      <c r="L14" s="428" t="e">
        <f>_xll.qlMidSafe($H14,$I14)</f>
        <v>#NUM!</v>
      </c>
      <c r="M14" s="422"/>
      <c r="N14" s="431" t="e">
        <v>#NUM!</v>
      </c>
      <c r="O14" s="422"/>
      <c r="P14" s="430" t="str">
        <v>GBPFUT1MQ4_Quote</v>
      </c>
      <c r="Q14" s="429" t="e">
        <v>#NUM!</v>
      </c>
      <c r="R14" s="428" t="e">
        <f>_xll.qlSimpleQuoteSetValue($P14,$Q14,Trigger)</f>
        <v>#NUM!</v>
      </c>
      <c r="S14" s="137"/>
      <c r="X14" s="418" t="e">
        <f t="shared" si="0"/>
        <v>#VALUE!</v>
      </c>
    </row>
    <row r="15" spans="1:24" x14ac:dyDescent="0.2">
      <c r="A15" s="143"/>
      <c r="B15" s="435">
        <v>10</v>
      </c>
      <c r="C15" s="434" t="b">
        <v>0</v>
      </c>
      <c r="D15" s="429" t="str">
        <v>U4</v>
      </c>
      <c r="E15" s="433">
        <v>41899</v>
      </c>
      <c r="F15" s="429" t="str">
        <v>U4</v>
      </c>
      <c r="G15" s="432" t="s">
        <v>233</v>
      </c>
      <c r="H15" s="429" t="s">
        <v>233</v>
      </c>
      <c r="I15" s="429" t="s">
        <v>233</v>
      </c>
      <c r="J15" s="429" t="s">
        <v>233</v>
      </c>
      <c r="K15" s="429" t="s">
        <v>233</v>
      </c>
      <c r="L15" s="428" t="e">
        <f>_xll.qlMidSafe($H15,$I15)</f>
        <v>#NUM!</v>
      </c>
      <c r="M15" s="422"/>
      <c r="N15" s="431" t="e">
        <v>#NUM!</v>
      </c>
      <c r="O15" s="422"/>
      <c r="P15" s="430" t="str">
        <v>GBPFUT1MU4_Quote</v>
      </c>
      <c r="Q15" s="429" t="e">
        <v>#NUM!</v>
      </c>
      <c r="R15" s="428" t="e">
        <f>_xll.qlSimpleQuoteSetValue($P15,$Q15,Trigger)</f>
        <v>#NUM!</v>
      </c>
      <c r="S15" s="137"/>
      <c r="X15" s="418" t="e">
        <f t="shared" si="0"/>
        <v>#VALUE!</v>
      </c>
    </row>
    <row r="16" spans="1:24" x14ac:dyDescent="0.2">
      <c r="A16" s="143"/>
      <c r="B16" s="435">
        <v>11</v>
      </c>
      <c r="C16" s="434" t="b">
        <v>0</v>
      </c>
      <c r="D16" s="429" t="str">
        <v>V4</v>
      </c>
      <c r="E16" s="433">
        <v>41927</v>
      </c>
      <c r="F16" s="429" t="str">
        <v>V4</v>
      </c>
      <c r="G16" s="432" t="s">
        <v>233</v>
      </c>
      <c r="H16" s="429" t="s">
        <v>233</v>
      </c>
      <c r="I16" s="429" t="s">
        <v>233</v>
      </c>
      <c r="J16" s="429" t="s">
        <v>233</v>
      </c>
      <c r="K16" s="429" t="s">
        <v>233</v>
      </c>
      <c r="L16" s="428" t="e">
        <f>_xll.qlMidSafe($H16,$I16)</f>
        <v>#NUM!</v>
      </c>
      <c r="M16" s="422"/>
      <c r="N16" s="431" t="e">
        <v>#NUM!</v>
      </c>
      <c r="O16" s="422"/>
      <c r="P16" s="430" t="str">
        <v>GBPFUT1MV4_Quote</v>
      </c>
      <c r="Q16" s="429" t="e">
        <v>#NUM!</v>
      </c>
      <c r="R16" s="428" t="e">
        <f>_xll.qlSimpleQuoteSetValue($P16,$Q16,Trigger)</f>
        <v>#NUM!</v>
      </c>
      <c r="S16" s="137"/>
      <c r="X16" s="418" t="e">
        <f t="shared" si="0"/>
        <v>#VALUE!</v>
      </c>
    </row>
    <row r="17" spans="1:24" x14ac:dyDescent="0.2">
      <c r="A17" s="143"/>
      <c r="B17" s="427">
        <v>12</v>
      </c>
      <c r="C17" s="426" t="b">
        <v>0</v>
      </c>
      <c r="D17" s="420" t="str">
        <v>X4</v>
      </c>
      <c r="E17" s="425">
        <v>41962</v>
      </c>
      <c r="F17" s="420" t="str">
        <v>X4</v>
      </c>
      <c r="G17" s="424" t="s">
        <v>233</v>
      </c>
      <c r="H17" s="420" t="s">
        <v>233</v>
      </c>
      <c r="I17" s="420" t="s">
        <v>233</v>
      </c>
      <c r="J17" s="420" t="s">
        <v>233</v>
      </c>
      <c r="K17" s="420" t="s">
        <v>233</v>
      </c>
      <c r="L17" s="419" t="e">
        <f>_xll.qlMidSafe($H17,$I17)</f>
        <v>#NUM!</v>
      </c>
      <c r="M17" s="422"/>
      <c r="N17" s="423" t="e">
        <v>#NUM!</v>
      </c>
      <c r="O17" s="422"/>
      <c r="P17" s="421" t="str">
        <v>GBPFUT1MX4_Quote</v>
      </c>
      <c r="Q17" s="420" t="e">
        <v>#NUM!</v>
      </c>
      <c r="R17" s="419" t="e">
        <f>_xll.qlSimpleQuoteSetValue($P17,$Q17,Trigger)</f>
        <v>#NUM!</v>
      </c>
      <c r="S17" s="137"/>
      <c r="X17" s="418" t="e">
        <f t="shared" si="0"/>
        <v>#VALUE!</v>
      </c>
    </row>
    <row r="18" spans="1:24" ht="12" thickBot="1" x14ac:dyDescent="0.25">
      <c r="A18" s="136"/>
      <c r="B18" s="135"/>
      <c r="C18" s="135"/>
      <c r="D18" s="135"/>
      <c r="E18" s="135"/>
      <c r="F18" s="135"/>
      <c r="G18" s="135"/>
      <c r="H18" s="135"/>
      <c r="I18" s="135"/>
      <c r="J18" s="135"/>
      <c r="K18" s="135"/>
      <c r="L18" s="135"/>
      <c r="M18" s="135"/>
      <c r="N18" s="135"/>
      <c r="O18" s="135"/>
      <c r="P18" s="135"/>
      <c r="Q18" s="135"/>
      <c r="R18" s="135"/>
      <c r="S18" s="134"/>
    </row>
  </sheetData>
  <conditionalFormatting sqref="R6:R17">
    <cfRule type="cellIs" dxfId="25" priority="1" stopIfTrue="1" operator="greaterThan">
      <formula>0</formula>
    </cfRule>
    <cfRule type="cellIs" dxfId="24" priority="2" stopIfTrue="1" operator="lessThan">
      <formula>0</formula>
    </cfRule>
  </conditionalFormatting>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X48"/>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8.85546875" style="65" bestFit="1" customWidth="1"/>
    <col min="7" max="7" width="9" style="65" customWidth="1"/>
    <col min="8" max="10" width="6.5703125" style="65" bestFit="1" customWidth="1"/>
    <col min="11" max="11" width="9.85546875" style="65" customWidth="1"/>
    <col min="12" max="12" width="6.5703125" style="65" bestFit="1" customWidth="1"/>
    <col min="13" max="13" width="2.85546875" style="65" customWidth="1"/>
    <col min="14" max="14" width="6.5703125" style="65" customWidth="1"/>
    <col min="15" max="15" width="2.85546875" style="65" customWidth="1"/>
    <col min="16" max="16" width="15.855468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16384" width="9.140625" style="65"/>
  </cols>
  <sheetData>
    <row r="1" spans="1:24" ht="12.75" customHeight="1" x14ac:dyDescent="0.2">
      <c r="A1" s="154" t="s">
        <v>356</v>
      </c>
      <c r="B1" s="229"/>
      <c r="C1" s="229"/>
      <c r="D1" s="229"/>
      <c r="E1" s="229"/>
      <c r="F1" s="229"/>
      <c r="G1" s="229"/>
      <c r="H1" s="229"/>
      <c r="I1" s="229"/>
      <c r="J1" s="229"/>
      <c r="K1" s="229"/>
      <c r="L1" s="229"/>
      <c r="M1" s="230"/>
      <c r="N1" s="230"/>
      <c r="O1" s="229"/>
      <c r="P1" s="229"/>
      <c r="Q1" s="229"/>
      <c r="R1" s="229"/>
      <c r="S1" s="150"/>
    </row>
    <row r="2" spans="1:24" ht="12.75" customHeight="1" x14ac:dyDescent="0.2">
      <c r="A2" s="149"/>
      <c r="B2" s="238"/>
      <c r="C2" s="462"/>
      <c r="D2" s="462"/>
      <c r="E2" s="238"/>
      <c r="F2" s="238"/>
      <c r="G2" s="238"/>
      <c r="H2" s="238"/>
      <c r="I2" s="238"/>
      <c r="J2" s="238"/>
      <c r="K2" s="238"/>
      <c r="L2" s="238"/>
      <c r="M2" s="422"/>
      <c r="N2" s="422"/>
      <c r="O2" s="238"/>
      <c r="P2" s="461" t="s">
        <v>289</v>
      </c>
      <c r="Q2" s="460" t="s">
        <v>131</v>
      </c>
      <c r="R2" s="238"/>
      <c r="S2" s="458"/>
    </row>
    <row r="3" spans="1:24" ht="12.75" customHeight="1" x14ac:dyDescent="0.2">
      <c r="A3" s="149"/>
      <c r="B3" s="238"/>
      <c r="C3" s="238"/>
      <c r="D3" s="238"/>
      <c r="E3" s="238"/>
      <c r="F3" s="238"/>
      <c r="G3" s="238"/>
      <c r="H3" s="238"/>
      <c r="I3" s="238"/>
      <c r="J3" s="238"/>
      <c r="K3" s="238"/>
      <c r="L3" s="238"/>
      <c r="M3" s="422"/>
      <c r="N3" s="422"/>
      <c r="O3" s="238"/>
      <c r="Q3" s="238"/>
      <c r="R3" s="238"/>
      <c r="S3" s="458"/>
    </row>
    <row r="4" spans="1:24" ht="12.75" customHeight="1" thickBot="1" x14ac:dyDescent="0.25">
      <c r="A4" s="149"/>
      <c r="B4" s="238"/>
      <c r="C4" s="238"/>
      <c r="D4" s="238"/>
      <c r="E4" s="238"/>
      <c r="F4" s="238"/>
      <c r="G4" s="238"/>
      <c r="H4" s="238"/>
      <c r="I4" s="238"/>
      <c r="J4" s="238"/>
      <c r="K4" s="238"/>
      <c r="L4" s="238"/>
      <c r="M4" s="422"/>
      <c r="N4" s="422"/>
      <c r="O4" s="238"/>
      <c r="P4" s="422" t="s">
        <v>304</v>
      </c>
      <c r="Q4" s="238"/>
      <c r="R4" s="459">
        <f>_xll.ohTrigger(R6:R47)</f>
        <v>3</v>
      </c>
      <c r="S4" s="458"/>
    </row>
    <row r="5" spans="1:24" ht="22.5" x14ac:dyDescent="0.2">
      <c r="A5" s="149"/>
      <c r="B5" s="469" t="s">
        <v>175</v>
      </c>
      <c r="C5" s="464" t="s">
        <v>174</v>
      </c>
      <c r="D5" s="464" t="s">
        <v>173</v>
      </c>
      <c r="E5" s="464" t="s">
        <v>298</v>
      </c>
      <c r="F5" s="468" t="e">
        <f ca="1">_xll.RData(F6:F47,G5:K5,"RTFEED:IDN",ReutersRtMode,,G6)</f>
        <v>#NAME?</v>
      </c>
      <c r="G5" s="464" t="s">
        <v>297</v>
      </c>
      <c r="H5" s="464" t="s">
        <v>293</v>
      </c>
      <c r="I5" s="464" t="s">
        <v>265</v>
      </c>
      <c r="J5" s="464" t="s">
        <v>244</v>
      </c>
      <c r="K5" s="464" t="s">
        <v>292</v>
      </c>
      <c r="L5" s="467" t="s">
        <v>291</v>
      </c>
      <c r="M5" s="422"/>
      <c r="N5" s="466" t="s">
        <v>287</v>
      </c>
      <c r="O5" s="422"/>
      <c r="P5" s="465" t="s">
        <v>241</v>
      </c>
      <c r="Q5" s="464" t="s">
        <v>286</v>
      </c>
      <c r="R5" s="463" t="s">
        <v>285</v>
      </c>
      <c r="S5" s="137"/>
      <c r="U5" s="450" t="s">
        <v>296</v>
      </c>
      <c r="V5" s="449" t="s">
        <v>295</v>
      </c>
      <c r="X5" s="412" t="s">
        <v>290</v>
      </c>
    </row>
    <row r="6" spans="1:24" ht="12.75" customHeight="1" x14ac:dyDescent="0.2">
      <c r="A6" s="143"/>
      <c r="B6" s="448">
        <v>1</v>
      </c>
      <c r="C6" s="447" t="b">
        <v>0</v>
      </c>
      <c r="D6" s="442" t="str">
        <f t="array" ref="D6:D47">_xll.qlIMMcode(FuturesDates)</f>
        <v>Z3</v>
      </c>
      <c r="E6" s="446">
        <f t="array" ref="E6:E47">_xll.qlIMMNextDates(_xll.qlSettingsEvaluationDate(Trigger)-1,$C6:$C47)</f>
        <v>41626</v>
      </c>
      <c r="F6" s="442" t="str">
        <f t="array" ref="F6:F47">VLOOKUP(Currency,LiffeCodes,2)&amp;FuturesCodes</f>
        <v>FSSZ3</v>
      </c>
      <c r="G6" s="445">
        <v>41325</v>
      </c>
      <c r="H6" s="442">
        <v>0</v>
      </c>
      <c r="I6" s="442">
        <v>0</v>
      </c>
      <c r="J6" s="442">
        <v>0</v>
      </c>
      <c r="K6" s="442">
        <v>99.45</v>
      </c>
      <c r="L6" s="441" t="e">
        <f>_xll.qlMidSafe($H6,$I6)</f>
        <v>#NUM!</v>
      </c>
      <c r="M6" s="422"/>
      <c r="N6" s="444">
        <v>99.484999999999999</v>
      </c>
      <c r="O6" s="422"/>
      <c r="P6" s="443" t="str">
        <f t="array" ref="P6:P47">Currency&amp;$P$4&amp;FuturesCodes&amp;$Q$2</f>
        <v>GBPFUT3MZ3_Quote</v>
      </c>
      <c r="Q6" s="442" t="e">
        <f t="array" ref="Q6:Q47">QuoteLive</f>
        <v>#NUM!</v>
      </c>
      <c r="R6" s="441" t="e">
        <f>_xll.qlSimpleQuoteSetValue($P6,$Q6,Trigger)</f>
        <v>#NUM!</v>
      </c>
      <c r="S6" s="137"/>
      <c r="U6" s="439" t="s">
        <v>121</v>
      </c>
      <c r="V6" s="438" t="s">
        <v>303</v>
      </c>
      <c r="X6" s="418" t="e">
        <f t="shared" ref="X6:X47" si="0">(I6-L6)/50</f>
        <v>#NUM!</v>
      </c>
    </row>
    <row r="7" spans="1:24" x14ac:dyDescent="0.2">
      <c r="A7" s="143"/>
      <c r="B7" s="435">
        <v>2</v>
      </c>
      <c r="C7" s="434" t="b">
        <v>0</v>
      </c>
      <c r="D7" s="429" t="str">
        <v>F4</v>
      </c>
      <c r="E7" s="433">
        <v>41654</v>
      </c>
      <c r="F7" s="429" t="str">
        <v>FSSF4</v>
      </c>
      <c r="G7" s="432">
        <v>41353</v>
      </c>
      <c r="H7" s="429">
        <v>99.48</v>
      </c>
      <c r="I7" s="429">
        <v>99.49</v>
      </c>
      <c r="J7" s="429">
        <v>99.48</v>
      </c>
      <c r="K7" s="429">
        <v>99.49</v>
      </c>
      <c r="L7" s="428">
        <f>_xll.qlMidSafe($H7,$I7)</f>
        <v>99.484999999999999</v>
      </c>
      <c r="M7" s="422"/>
      <c r="N7" s="440" t="e">
        <v>#NUM!</v>
      </c>
      <c r="O7" s="422"/>
      <c r="P7" s="430" t="str">
        <v>GBPFUT3MF4_Quote</v>
      </c>
      <c r="Q7" s="429">
        <v>99.484999999999999</v>
      </c>
      <c r="R7" s="428" t="e">
        <f>_xll.qlSimpleQuoteSetValue($P7,$Q7,Trigger)</f>
        <v>#N/A</v>
      </c>
      <c r="S7" s="137"/>
      <c r="U7" s="439" t="s">
        <v>120</v>
      </c>
      <c r="V7" s="438" t="s">
        <v>302</v>
      </c>
      <c r="X7" s="418">
        <f t="shared" si="0"/>
        <v>9.9999999999909054E-5</v>
      </c>
    </row>
    <row r="8" spans="1:24" x14ac:dyDescent="0.2">
      <c r="A8" s="143"/>
      <c r="B8" s="435">
        <v>3</v>
      </c>
      <c r="C8" s="434" t="b">
        <v>0</v>
      </c>
      <c r="D8" s="429" t="str">
        <v>G4</v>
      </c>
      <c r="E8" s="433">
        <v>41689</v>
      </c>
      <c r="F8" s="429" t="str">
        <v>FSSG4</v>
      </c>
      <c r="G8" s="432">
        <v>41381</v>
      </c>
      <c r="H8" s="429">
        <v>0</v>
      </c>
      <c r="I8" s="429">
        <v>0</v>
      </c>
      <c r="J8" s="429">
        <v>0</v>
      </c>
      <c r="K8" s="429">
        <v>99.5</v>
      </c>
      <c r="L8" s="428" t="e">
        <f>_xll.qlMidSafe($H8,$I8)</f>
        <v>#NUM!</v>
      </c>
      <c r="M8" s="422"/>
      <c r="N8" s="440" t="e">
        <v>#NUM!</v>
      </c>
      <c r="O8" s="422"/>
      <c r="P8" s="430" t="str">
        <v>GBPFUT3MG4_Quote</v>
      </c>
      <c r="Q8" s="429" t="e">
        <v>#NUM!</v>
      </c>
      <c r="R8" s="428" t="e">
        <f>_xll.qlSimpleQuoteSetValue($P8,$Q8,Trigger)</f>
        <v>#NUM!</v>
      </c>
      <c r="S8" s="137"/>
      <c r="U8" s="439" t="s">
        <v>96</v>
      </c>
      <c r="V8" s="438" t="s">
        <v>301</v>
      </c>
      <c r="X8" s="418" t="e">
        <f t="shared" si="0"/>
        <v>#NUM!</v>
      </c>
    </row>
    <row r="9" spans="1:24" x14ac:dyDescent="0.2">
      <c r="A9" s="143"/>
      <c r="B9" s="435">
        <v>4</v>
      </c>
      <c r="C9" s="434" t="b">
        <v>0</v>
      </c>
      <c r="D9" s="429" t="str">
        <v>H4</v>
      </c>
      <c r="E9" s="433">
        <v>41717</v>
      </c>
      <c r="F9" s="429" t="str">
        <v>FSSH4</v>
      </c>
      <c r="G9" s="432" t="s">
        <v>233</v>
      </c>
      <c r="H9" s="429" t="s">
        <v>233</v>
      </c>
      <c r="I9" s="429" t="s">
        <v>233</v>
      </c>
      <c r="J9" s="429" t="s">
        <v>233</v>
      </c>
      <c r="K9" s="429" t="s">
        <v>233</v>
      </c>
      <c r="L9" s="428" t="e">
        <f>_xll.qlMidSafe($H9,$I9)</f>
        <v>#NUM!</v>
      </c>
      <c r="M9" s="422"/>
      <c r="N9" s="440">
        <v>99.495000000000005</v>
      </c>
      <c r="O9" s="422"/>
      <c r="P9" s="430" t="str">
        <v>GBPFUT3MH4_Quote</v>
      </c>
      <c r="Q9" s="429" t="e">
        <v>#NUM!</v>
      </c>
      <c r="R9" s="428" t="e">
        <f>_xll.qlSimpleQuoteSetValue($P9,$Q9,Trigger)</f>
        <v>#NUM!</v>
      </c>
      <c r="S9" s="137"/>
      <c r="U9" s="439" t="s">
        <v>117</v>
      </c>
      <c r="V9" s="438"/>
      <c r="X9" s="418" t="e">
        <f t="shared" si="0"/>
        <v>#VALUE!</v>
      </c>
    </row>
    <row r="10" spans="1:24" ht="12" thickBot="1" x14ac:dyDescent="0.25">
      <c r="A10" s="143"/>
      <c r="B10" s="435">
        <v>5</v>
      </c>
      <c r="C10" s="434" t="b">
        <v>0</v>
      </c>
      <c r="D10" s="429" t="str">
        <v>J4</v>
      </c>
      <c r="E10" s="433">
        <v>41745</v>
      </c>
      <c r="F10" s="429" t="str">
        <v>FSSJ4</v>
      </c>
      <c r="G10" s="432">
        <v>41444</v>
      </c>
      <c r="H10" s="429">
        <v>99.46</v>
      </c>
      <c r="I10" s="429">
        <v>99.47</v>
      </c>
      <c r="J10" s="429">
        <v>99.47</v>
      </c>
      <c r="K10" s="429">
        <v>99.48</v>
      </c>
      <c r="L10" s="428">
        <f>_xll.qlMidSafe($H10,$I10)</f>
        <v>99.465000000000003</v>
      </c>
      <c r="M10" s="422"/>
      <c r="N10" s="431" t="e">
        <v>#NUM!</v>
      </c>
      <c r="O10" s="422"/>
      <c r="P10" s="430" t="str">
        <v>GBPFUT3MJ4_Quote</v>
      </c>
      <c r="Q10" s="429">
        <v>99.465000000000003</v>
      </c>
      <c r="R10" s="428" t="e">
        <f>_xll.qlSimpleQuoteSetValue($P10,$Q10,Trigger)</f>
        <v>#N/A</v>
      </c>
      <c r="S10" s="137"/>
      <c r="U10" s="437" t="s">
        <v>115</v>
      </c>
      <c r="V10" s="436" t="s">
        <v>300</v>
      </c>
      <c r="X10" s="418">
        <f t="shared" si="0"/>
        <v>9.9999999999909054E-5</v>
      </c>
    </row>
    <row r="11" spans="1:24" x14ac:dyDescent="0.2">
      <c r="A11" s="143"/>
      <c r="B11" s="435">
        <v>6</v>
      </c>
      <c r="C11" s="434" t="b">
        <v>0</v>
      </c>
      <c r="D11" s="429" t="str">
        <v>K4</v>
      </c>
      <c r="E11" s="433">
        <v>41780</v>
      </c>
      <c r="F11" s="429" t="str">
        <v>FSSK4</v>
      </c>
      <c r="G11" s="432" t="s">
        <v>233</v>
      </c>
      <c r="H11" s="429" t="s">
        <v>233</v>
      </c>
      <c r="I11" s="429" t="s">
        <v>233</v>
      </c>
      <c r="J11" s="429" t="s">
        <v>233</v>
      </c>
      <c r="K11" s="429" t="s">
        <v>233</v>
      </c>
      <c r="L11" s="428" t="e">
        <f>_xll.qlMidSafe($H11,$I11)</f>
        <v>#NUM!</v>
      </c>
      <c r="M11" s="422"/>
      <c r="N11" s="431" t="e">
        <v>#NUM!</v>
      </c>
      <c r="O11" s="422"/>
      <c r="P11" s="430" t="str">
        <v>GBPFUT3MK4_Quote</v>
      </c>
      <c r="Q11" s="429" t="e">
        <v>#NUM!</v>
      </c>
      <c r="R11" s="428" t="e">
        <f>_xll.qlSimpleQuoteSetValue($P11,$Q11,Trigger)</f>
        <v>#NUM!</v>
      </c>
      <c r="S11" s="137"/>
      <c r="X11" s="418" t="e">
        <f t="shared" si="0"/>
        <v>#VALUE!</v>
      </c>
    </row>
    <row r="12" spans="1:24" x14ac:dyDescent="0.2">
      <c r="A12" s="143"/>
      <c r="B12" s="435">
        <v>7</v>
      </c>
      <c r="C12" s="434" t="b">
        <v>0</v>
      </c>
      <c r="D12" s="429" t="str">
        <v>M4</v>
      </c>
      <c r="E12" s="433">
        <v>41808</v>
      </c>
      <c r="F12" s="429" t="str">
        <v>FSSM4</v>
      </c>
      <c r="G12" s="432" t="s">
        <v>233</v>
      </c>
      <c r="H12" s="429" t="s">
        <v>233</v>
      </c>
      <c r="I12" s="429" t="s">
        <v>233</v>
      </c>
      <c r="J12" s="429" t="s">
        <v>233</v>
      </c>
      <c r="K12" s="429" t="s">
        <v>233</v>
      </c>
      <c r="L12" s="428" t="e">
        <f>_xll.qlMidSafe($H12,$I12)</f>
        <v>#NUM!</v>
      </c>
      <c r="M12" s="422"/>
      <c r="N12" s="431">
        <v>99.495000000000005</v>
      </c>
      <c r="O12" s="422"/>
      <c r="P12" s="430" t="str">
        <v>GBPFUT3MM4_Quote</v>
      </c>
      <c r="Q12" s="429" t="e">
        <v>#NUM!</v>
      </c>
      <c r="R12" s="428" t="e">
        <f>_xll.qlSimpleQuoteSetValue($P12,$Q12,Trigger)</f>
        <v>#NUM!</v>
      </c>
      <c r="S12" s="137"/>
      <c r="X12" s="418" t="e">
        <f t="shared" si="0"/>
        <v>#VALUE!</v>
      </c>
    </row>
    <row r="13" spans="1:24" x14ac:dyDescent="0.2">
      <c r="A13" s="143"/>
      <c r="B13" s="435">
        <v>8</v>
      </c>
      <c r="C13" s="434" t="b">
        <v>0</v>
      </c>
      <c r="D13" s="429" t="str">
        <v>N4</v>
      </c>
      <c r="E13" s="433">
        <v>41836</v>
      </c>
      <c r="F13" s="429" t="str">
        <v>FSSN4</v>
      </c>
      <c r="G13" s="432">
        <v>41535</v>
      </c>
      <c r="H13" s="429">
        <v>99.45</v>
      </c>
      <c r="I13" s="429">
        <v>99.47</v>
      </c>
      <c r="J13" s="429">
        <v>99.46</v>
      </c>
      <c r="K13" s="429">
        <v>99.47</v>
      </c>
      <c r="L13" s="428">
        <f>_xll.qlMidSafe($H13,$I13)</f>
        <v>99.460000000000008</v>
      </c>
      <c r="M13" s="422"/>
      <c r="N13" s="431" t="e">
        <v>#NUM!</v>
      </c>
      <c r="O13" s="422"/>
      <c r="P13" s="430" t="str">
        <v>GBPFUT3MN4_Quote</v>
      </c>
      <c r="Q13" s="429">
        <v>99.460000000000008</v>
      </c>
      <c r="R13" s="428" t="e">
        <f>_xll.qlSimpleQuoteSetValue($P13,$Q13,Trigger)</f>
        <v>#N/A</v>
      </c>
      <c r="S13" s="137"/>
      <c r="X13" s="418">
        <f t="shared" si="0"/>
        <v>1.9999999999981811E-4</v>
      </c>
    </row>
    <row r="14" spans="1:24" x14ac:dyDescent="0.2">
      <c r="A14" s="143"/>
      <c r="B14" s="435">
        <v>9</v>
      </c>
      <c r="C14" s="434" t="b">
        <v>0</v>
      </c>
      <c r="D14" s="429" t="str">
        <v>Q4</v>
      </c>
      <c r="E14" s="433">
        <v>41871</v>
      </c>
      <c r="F14" s="429" t="str">
        <v>FSSQ4</v>
      </c>
      <c r="G14" s="432" t="s">
        <v>233</v>
      </c>
      <c r="H14" s="429" t="s">
        <v>233</v>
      </c>
      <c r="I14" s="429" t="s">
        <v>233</v>
      </c>
      <c r="J14" s="429" t="s">
        <v>233</v>
      </c>
      <c r="K14" s="429" t="s">
        <v>233</v>
      </c>
      <c r="L14" s="428" t="e">
        <f>_xll.qlMidSafe($H14,$I14)</f>
        <v>#NUM!</v>
      </c>
      <c r="M14" s="422"/>
      <c r="N14" s="431" t="e">
        <v>#NUM!</v>
      </c>
      <c r="O14" s="422"/>
      <c r="P14" s="430" t="str">
        <v>GBPFUT3MQ4_Quote</v>
      </c>
      <c r="Q14" s="429" t="e">
        <v>#NUM!</v>
      </c>
      <c r="R14" s="428" t="e">
        <f>_xll.qlSimpleQuoteSetValue($P14,$Q14,Trigger)</f>
        <v>#NUM!</v>
      </c>
      <c r="S14" s="137"/>
      <c r="X14" s="418" t="e">
        <f t="shared" si="0"/>
        <v>#VALUE!</v>
      </c>
    </row>
    <row r="15" spans="1:24" x14ac:dyDescent="0.2">
      <c r="A15" s="143"/>
      <c r="B15" s="435">
        <v>10</v>
      </c>
      <c r="C15" s="434" t="b">
        <v>0</v>
      </c>
      <c r="D15" s="429" t="str">
        <v>U4</v>
      </c>
      <c r="E15" s="433">
        <v>41899</v>
      </c>
      <c r="F15" s="429" t="str">
        <v>FSSU4</v>
      </c>
      <c r="G15" s="432" t="s">
        <v>233</v>
      </c>
      <c r="H15" s="429" t="s">
        <v>233</v>
      </c>
      <c r="I15" s="429" t="s">
        <v>233</v>
      </c>
      <c r="J15" s="429" t="s">
        <v>233</v>
      </c>
      <c r="K15" s="429" t="s">
        <v>233</v>
      </c>
      <c r="L15" s="428" t="e">
        <f>_xll.qlMidSafe($H15,$I15)</f>
        <v>#NUM!</v>
      </c>
      <c r="M15" s="422"/>
      <c r="N15" s="431">
        <v>99.484999999999999</v>
      </c>
      <c r="O15" s="422"/>
      <c r="P15" s="430" t="str">
        <v>GBPFUT3MU4_Quote</v>
      </c>
      <c r="Q15" s="429" t="e">
        <v>#NUM!</v>
      </c>
      <c r="R15" s="428" t="e">
        <f>_xll.qlSimpleQuoteSetValue($P15,$Q15,Trigger)</f>
        <v>#NUM!</v>
      </c>
      <c r="S15" s="137"/>
      <c r="X15" s="418" t="e">
        <f t="shared" si="0"/>
        <v>#VALUE!</v>
      </c>
    </row>
    <row r="16" spans="1:24" x14ac:dyDescent="0.2">
      <c r="A16" s="143"/>
      <c r="B16" s="435">
        <v>11</v>
      </c>
      <c r="C16" s="434" t="b">
        <v>0</v>
      </c>
      <c r="D16" s="429" t="str">
        <v>V4</v>
      </c>
      <c r="E16" s="433">
        <v>41927</v>
      </c>
      <c r="F16" s="429" t="str">
        <v>FSSV4</v>
      </c>
      <c r="G16" s="432">
        <v>41626</v>
      </c>
      <c r="H16" s="429">
        <v>99.43</v>
      </c>
      <c r="I16" s="429">
        <v>99.44</v>
      </c>
      <c r="J16" s="429">
        <v>99.43</v>
      </c>
      <c r="K16" s="429">
        <v>99.444999999999993</v>
      </c>
      <c r="L16" s="428">
        <f>_xll.qlMidSafe($H16,$I16)</f>
        <v>99.435000000000002</v>
      </c>
      <c r="M16" s="422"/>
      <c r="N16" s="431" t="e">
        <v>#NUM!</v>
      </c>
      <c r="O16" s="422"/>
      <c r="P16" s="430" t="str">
        <v>GBPFUT3MV4_Quote</v>
      </c>
      <c r="Q16" s="429">
        <v>99.435000000000002</v>
      </c>
      <c r="R16" s="428" t="e">
        <f>_xll.qlSimpleQuoteSetValue($P16,$Q16,Trigger)</f>
        <v>#N/A</v>
      </c>
      <c r="S16" s="137"/>
      <c r="X16" s="418">
        <f t="shared" si="0"/>
        <v>9.9999999999909054E-5</v>
      </c>
    </row>
    <row r="17" spans="1:24" x14ac:dyDescent="0.2">
      <c r="A17" s="143"/>
      <c r="B17" s="435">
        <v>12</v>
      </c>
      <c r="C17" s="434" t="b">
        <v>0</v>
      </c>
      <c r="D17" s="429" t="str">
        <v>X4</v>
      </c>
      <c r="E17" s="433">
        <v>41962</v>
      </c>
      <c r="F17" s="429" t="str">
        <v>FSSX4</v>
      </c>
      <c r="G17" s="432" t="s">
        <v>233</v>
      </c>
      <c r="H17" s="429" t="s">
        <v>233</v>
      </c>
      <c r="I17" s="429" t="s">
        <v>233</v>
      </c>
      <c r="J17" s="429" t="s">
        <v>233</v>
      </c>
      <c r="K17" s="429" t="s">
        <v>233</v>
      </c>
      <c r="L17" s="428" t="e">
        <f>_xll.qlMidSafe($H17,$I17)</f>
        <v>#NUM!</v>
      </c>
      <c r="M17" s="422"/>
      <c r="N17" s="431" t="e">
        <v>#NUM!</v>
      </c>
      <c r="O17" s="422"/>
      <c r="P17" s="430" t="str">
        <v>GBPFUT3MX4_Quote</v>
      </c>
      <c r="Q17" s="429" t="e">
        <v>#NUM!</v>
      </c>
      <c r="R17" s="428" t="e">
        <f>_xll.qlSimpleQuoteSetValue($P17,$Q17,Trigger)</f>
        <v>#NUM!</v>
      </c>
      <c r="S17" s="137"/>
      <c r="X17" s="418" t="e">
        <f t="shared" si="0"/>
        <v>#VALUE!</v>
      </c>
    </row>
    <row r="18" spans="1:24" x14ac:dyDescent="0.2">
      <c r="A18" s="143"/>
      <c r="B18" s="435">
        <v>13</v>
      </c>
      <c r="C18" s="434" t="b">
        <v>1</v>
      </c>
      <c r="D18" s="429" t="str">
        <v>Z4</v>
      </c>
      <c r="E18" s="433">
        <v>41990</v>
      </c>
      <c r="F18" s="429" t="str">
        <v>FSSZ4</v>
      </c>
      <c r="G18" s="432">
        <v>41717</v>
      </c>
      <c r="H18" s="429">
        <v>99.4</v>
      </c>
      <c r="I18" s="429">
        <v>99.41</v>
      </c>
      <c r="J18" s="429">
        <v>99.41</v>
      </c>
      <c r="K18" s="429">
        <v>99.415000000000006</v>
      </c>
      <c r="L18" s="428">
        <f>_xll.qlMidSafe($H18,$I18)</f>
        <v>99.405000000000001</v>
      </c>
      <c r="M18" s="422"/>
      <c r="N18" s="431">
        <v>99.474999999999994</v>
      </c>
      <c r="O18" s="422"/>
      <c r="P18" s="430" t="str">
        <v>GBPFUT3MZ4_Quote</v>
      </c>
      <c r="Q18" s="429">
        <v>99.405000000000001</v>
      </c>
      <c r="R18" s="428" t="e">
        <f>_xll.qlSimpleQuoteSetValue($P18,$Q18,Trigger)</f>
        <v>#N/A</v>
      </c>
      <c r="S18" s="137"/>
      <c r="X18" s="418">
        <f t="shared" si="0"/>
        <v>9.9999999999909054E-5</v>
      </c>
    </row>
    <row r="19" spans="1:24" x14ac:dyDescent="0.2">
      <c r="A19" s="143"/>
      <c r="B19" s="435">
        <v>14</v>
      </c>
      <c r="C19" s="434" t="b">
        <v>1</v>
      </c>
      <c r="D19" s="429" t="str">
        <v>H5</v>
      </c>
      <c r="E19" s="433">
        <v>42081</v>
      </c>
      <c r="F19" s="429" t="str">
        <v>FSSH5</v>
      </c>
      <c r="G19" s="432">
        <v>41808</v>
      </c>
      <c r="H19" s="429">
        <v>99.35</v>
      </c>
      <c r="I19" s="429">
        <v>99.36</v>
      </c>
      <c r="J19" s="429">
        <v>99.36</v>
      </c>
      <c r="K19" s="429">
        <v>99.364999999999995</v>
      </c>
      <c r="L19" s="428">
        <f>_xll.qlMidSafe($H19,$I19)</f>
        <v>99.35499999999999</v>
      </c>
      <c r="M19" s="422"/>
      <c r="N19" s="431">
        <v>99.454999999999998</v>
      </c>
      <c r="O19" s="422"/>
      <c r="P19" s="430" t="str">
        <v>GBPFUT3MH5_Quote</v>
      </c>
      <c r="Q19" s="429">
        <v>99.35499999999999</v>
      </c>
      <c r="R19" s="428" t="e">
        <f>_xll.qlSimpleQuoteSetValue($P19,$Q19,Trigger)</f>
        <v>#N/A</v>
      </c>
      <c r="S19" s="137"/>
      <c r="X19" s="418">
        <f t="shared" si="0"/>
        <v>1.0000000000019326E-4</v>
      </c>
    </row>
    <row r="20" spans="1:24" x14ac:dyDescent="0.2">
      <c r="A20" s="143"/>
      <c r="B20" s="435">
        <v>15</v>
      </c>
      <c r="C20" s="434" t="b">
        <v>1</v>
      </c>
      <c r="D20" s="429" t="str">
        <v>M5</v>
      </c>
      <c r="E20" s="433">
        <v>42172</v>
      </c>
      <c r="F20" s="429" t="str">
        <v>FSSM5</v>
      </c>
      <c r="G20" s="432">
        <v>41899</v>
      </c>
      <c r="H20" s="429">
        <v>99.3</v>
      </c>
      <c r="I20" s="429">
        <v>99.31</v>
      </c>
      <c r="J20" s="429">
        <v>99.3</v>
      </c>
      <c r="K20" s="429">
        <v>99.31</v>
      </c>
      <c r="L20" s="428">
        <f>_xll.qlMidSafe($H20,$I20)</f>
        <v>99.305000000000007</v>
      </c>
      <c r="M20" s="422"/>
      <c r="N20" s="431">
        <v>99.415000000000006</v>
      </c>
      <c r="O20" s="422"/>
      <c r="P20" s="430" t="str">
        <v>GBPFUT3MM5_Quote</v>
      </c>
      <c r="Q20" s="429">
        <v>99.305000000000007</v>
      </c>
      <c r="R20" s="428" t="e">
        <f>_xll.qlSimpleQuoteSetValue($P20,$Q20,Trigger)</f>
        <v>#N/A</v>
      </c>
      <c r="S20" s="137"/>
      <c r="X20" s="418">
        <f t="shared" si="0"/>
        <v>9.9999999999909054E-5</v>
      </c>
    </row>
    <row r="21" spans="1:24" x14ac:dyDescent="0.2">
      <c r="A21" s="143"/>
      <c r="B21" s="435">
        <v>16</v>
      </c>
      <c r="C21" s="434" t="b">
        <v>1</v>
      </c>
      <c r="D21" s="429" t="str">
        <v>U5</v>
      </c>
      <c r="E21" s="433">
        <v>42263</v>
      </c>
      <c r="F21" s="429" t="str">
        <v>FSSU5</v>
      </c>
      <c r="G21" s="432">
        <v>41990</v>
      </c>
      <c r="H21" s="429">
        <v>99.23</v>
      </c>
      <c r="I21" s="429">
        <v>99.24</v>
      </c>
      <c r="J21" s="429">
        <v>99.23</v>
      </c>
      <c r="K21" s="429">
        <v>99.245000000000005</v>
      </c>
      <c r="L21" s="428">
        <f>_xll.qlMidSafe($H21,$I21)</f>
        <v>99.234999999999999</v>
      </c>
      <c r="M21" s="422"/>
      <c r="N21" s="431">
        <v>99.375</v>
      </c>
      <c r="O21" s="422"/>
      <c r="P21" s="430" t="str">
        <v>GBPFUT3MU5_Quote</v>
      </c>
      <c r="Q21" s="429">
        <v>99.234999999999999</v>
      </c>
      <c r="R21" s="428" t="e">
        <f>_xll.qlSimpleQuoteSetValue($P21,$Q21,Trigger)</f>
        <v>#N/A</v>
      </c>
      <c r="S21" s="137"/>
      <c r="X21" s="418">
        <f t="shared" si="0"/>
        <v>9.9999999999909054E-5</v>
      </c>
    </row>
    <row r="22" spans="1:24" x14ac:dyDescent="0.2">
      <c r="A22" s="143"/>
      <c r="B22" s="435">
        <v>17</v>
      </c>
      <c r="C22" s="434" t="b">
        <v>1</v>
      </c>
      <c r="D22" s="429" t="str">
        <v>Z5</v>
      </c>
      <c r="E22" s="433">
        <v>42354</v>
      </c>
      <c r="F22" s="429" t="str">
        <v>FSSZ5</v>
      </c>
      <c r="G22" s="432">
        <v>42081</v>
      </c>
      <c r="H22" s="429">
        <v>99.16</v>
      </c>
      <c r="I22" s="429">
        <v>99.17</v>
      </c>
      <c r="J22" s="429">
        <v>99.16</v>
      </c>
      <c r="K22" s="429">
        <v>99.17</v>
      </c>
      <c r="L22" s="428">
        <f>_xll.qlMidSafe($H22,$I22)</f>
        <v>99.164999999999992</v>
      </c>
      <c r="M22" s="422"/>
      <c r="N22" s="431">
        <v>99.325000000000003</v>
      </c>
      <c r="O22" s="422"/>
      <c r="P22" s="430" t="str">
        <v>GBPFUT3MZ5_Quote</v>
      </c>
      <c r="Q22" s="429">
        <v>99.164999999999992</v>
      </c>
      <c r="R22" s="428" t="e">
        <f>_xll.qlSimpleQuoteSetValue($P22,$Q22,Trigger)</f>
        <v>#N/A</v>
      </c>
      <c r="S22" s="137"/>
      <c r="X22" s="418">
        <f t="shared" si="0"/>
        <v>1.0000000000019326E-4</v>
      </c>
    </row>
    <row r="23" spans="1:24" x14ac:dyDescent="0.2">
      <c r="A23" s="143"/>
      <c r="B23" s="435">
        <v>18</v>
      </c>
      <c r="C23" s="434" t="b">
        <v>1</v>
      </c>
      <c r="D23" s="429" t="str">
        <v>H6</v>
      </c>
      <c r="E23" s="433">
        <v>42445</v>
      </c>
      <c r="F23" s="429" t="str">
        <v>FSSH6</v>
      </c>
      <c r="G23" s="432">
        <v>42172</v>
      </c>
      <c r="H23" s="429">
        <v>99.07</v>
      </c>
      <c r="I23" s="429">
        <v>99.08</v>
      </c>
      <c r="J23" s="429">
        <v>99.08</v>
      </c>
      <c r="K23" s="429">
        <v>99.084999999999994</v>
      </c>
      <c r="L23" s="428">
        <f>_xll.qlMidSafe($H23,$I23)</f>
        <v>99.074999999999989</v>
      </c>
      <c r="M23" s="422"/>
      <c r="N23" s="431">
        <v>99.275000000000006</v>
      </c>
      <c r="O23" s="422"/>
      <c r="P23" s="430" t="str">
        <v>GBPFUT3MH6_Quote</v>
      </c>
      <c r="Q23" s="429">
        <v>99.074999999999989</v>
      </c>
      <c r="R23" s="428" t="e">
        <f>_xll.qlSimpleQuoteSetValue($P23,$Q23,Trigger)</f>
        <v>#N/A</v>
      </c>
      <c r="S23" s="137"/>
      <c r="X23" s="418">
        <f t="shared" si="0"/>
        <v>1.0000000000019326E-4</v>
      </c>
    </row>
    <row r="24" spans="1:24" x14ac:dyDescent="0.2">
      <c r="A24" s="143"/>
      <c r="B24" s="435">
        <v>19</v>
      </c>
      <c r="C24" s="434" t="b">
        <v>1</v>
      </c>
      <c r="D24" s="429" t="str">
        <v>M6</v>
      </c>
      <c r="E24" s="433">
        <v>42536</v>
      </c>
      <c r="F24" s="429" t="str">
        <v>FSSM6</v>
      </c>
      <c r="G24" s="432">
        <v>42263</v>
      </c>
      <c r="H24" s="429">
        <v>98.97</v>
      </c>
      <c r="I24" s="429">
        <v>98.98</v>
      </c>
      <c r="J24" s="429">
        <v>98.98</v>
      </c>
      <c r="K24" s="429">
        <v>98.99</v>
      </c>
      <c r="L24" s="428">
        <f>_xll.qlMidSafe($H24,$I24)</f>
        <v>98.974999999999994</v>
      </c>
      <c r="M24" s="422"/>
      <c r="N24" s="431">
        <v>99.204999999999998</v>
      </c>
      <c r="O24" s="422"/>
      <c r="P24" s="430" t="str">
        <v>GBPFUT3MM6_Quote</v>
      </c>
      <c r="Q24" s="429">
        <v>98.974999999999994</v>
      </c>
      <c r="R24" s="428" t="e">
        <f>_xll.qlSimpleQuoteSetValue($P24,$Q24,Trigger)</f>
        <v>#N/A</v>
      </c>
      <c r="S24" s="137"/>
      <c r="X24" s="418">
        <f t="shared" si="0"/>
        <v>1.0000000000019326E-4</v>
      </c>
    </row>
    <row r="25" spans="1:24" x14ac:dyDescent="0.2">
      <c r="A25" s="143"/>
      <c r="B25" s="435">
        <v>20</v>
      </c>
      <c r="C25" s="434" t="b">
        <v>1</v>
      </c>
      <c r="D25" s="429" t="str">
        <v>U6</v>
      </c>
      <c r="E25" s="433">
        <v>42634</v>
      </c>
      <c r="F25" s="429" t="str">
        <v>FSSU6</v>
      </c>
      <c r="G25" s="432">
        <v>42354</v>
      </c>
      <c r="H25" s="429">
        <v>98.86</v>
      </c>
      <c r="I25" s="429">
        <v>98.87</v>
      </c>
      <c r="J25" s="429">
        <v>98.87</v>
      </c>
      <c r="K25" s="429">
        <v>98.875</v>
      </c>
      <c r="L25" s="428">
        <f>_xll.qlMidSafe($H25,$I25)</f>
        <v>98.865000000000009</v>
      </c>
      <c r="M25" s="422"/>
      <c r="N25" s="431">
        <v>99.135000000000005</v>
      </c>
      <c r="O25" s="422"/>
      <c r="P25" s="430" t="str">
        <v>GBPFUT3MU6_Quote</v>
      </c>
      <c r="Q25" s="429">
        <v>98.865000000000009</v>
      </c>
      <c r="R25" s="428" t="e">
        <f>_xll.qlSimpleQuoteSetValue($P25,$Q25,Trigger)</f>
        <v>#N/A</v>
      </c>
      <c r="S25" s="137"/>
      <c r="X25" s="418">
        <f t="shared" si="0"/>
        <v>9.9999999999909054E-5</v>
      </c>
    </row>
    <row r="26" spans="1:24" x14ac:dyDescent="0.2">
      <c r="A26" s="143"/>
      <c r="B26" s="435">
        <v>21</v>
      </c>
      <c r="C26" s="434" t="b">
        <v>1</v>
      </c>
      <c r="D26" s="429" t="str">
        <v>Z6</v>
      </c>
      <c r="E26" s="433">
        <v>42725</v>
      </c>
      <c r="F26" s="429" t="str">
        <v>FSSZ6</v>
      </c>
      <c r="G26" s="432">
        <v>42445</v>
      </c>
      <c r="H26" s="429">
        <v>98.75</v>
      </c>
      <c r="I26" s="429">
        <v>98.76</v>
      </c>
      <c r="J26" s="429">
        <v>98.76</v>
      </c>
      <c r="K26" s="429">
        <v>98.77</v>
      </c>
      <c r="L26" s="428">
        <f>_xll.qlMidSafe($H26,$I26)</f>
        <v>98.754999999999995</v>
      </c>
      <c r="M26" s="422"/>
      <c r="N26" s="431">
        <v>99.04</v>
      </c>
      <c r="O26" s="422"/>
      <c r="P26" s="430" t="str">
        <v>GBPFUT3MZ6_Quote</v>
      </c>
      <c r="Q26" s="429">
        <v>98.754999999999995</v>
      </c>
      <c r="R26" s="428" t="e">
        <f>_xll.qlSimpleQuoteSetValue($P26,$Q26,Trigger)</f>
        <v>#N/A</v>
      </c>
      <c r="S26" s="137"/>
      <c r="X26" s="418">
        <f t="shared" si="0"/>
        <v>1.0000000000019326E-4</v>
      </c>
    </row>
    <row r="27" spans="1:24" x14ac:dyDescent="0.2">
      <c r="A27" s="143"/>
      <c r="B27" s="435">
        <v>22</v>
      </c>
      <c r="C27" s="434" t="b">
        <v>1</v>
      </c>
      <c r="D27" s="429" t="str">
        <v>H7</v>
      </c>
      <c r="E27" s="433">
        <v>42809</v>
      </c>
      <c r="F27" s="429" t="str">
        <v>FSSH7</v>
      </c>
      <c r="G27" s="432">
        <v>42536</v>
      </c>
      <c r="H27" s="429">
        <v>98.63</v>
      </c>
      <c r="I27" s="429">
        <v>98.64</v>
      </c>
      <c r="J27" s="429">
        <v>98.64</v>
      </c>
      <c r="K27" s="429">
        <v>98.65</v>
      </c>
      <c r="L27" s="428">
        <f>_xll.qlMidSafe($H27,$I27)</f>
        <v>98.634999999999991</v>
      </c>
      <c r="M27" s="422"/>
      <c r="N27" s="431">
        <v>98.95</v>
      </c>
      <c r="O27" s="422"/>
      <c r="P27" s="430" t="str">
        <v>GBPFUT3MH7_Quote</v>
      </c>
      <c r="Q27" s="429">
        <v>98.634999999999991</v>
      </c>
      <c r="R27" s="428" t="e">
        <f>_xll.qlSimpleQuoteSetValue($P27,$Q27,Trigger)</f>
        <v>#N/A</v>
      </c>
      <c r="S27" s="137"/>
      <c r="X27" s="418">
        <f t="shared" si="0"/>
        <v>1.0000000000019326E-4</v>
      </c>
    </row>
    <row r="28" spans="1:24" x14ac:dyDescent="0.2">
      <c r="A28" s="143"/>
      <c r="B28" s="435">
        <v>23</v>
      </c>
      <c r="C28" s="434" t="b">
        <v>1</v>
      </c>
      <c r="D28" s="429" t="str">
        <v>M7</v>
      </c>
      <c r="E28" s="433">
        <v>42907</v>
      </c>
      <c r="F28" s="429" t="str">
        <v>FSSM7</v>
      </c>
      <c r="G28" s="432">
        <v>42634</v>
      </c>
      <c r="H28" s="429">
        <v>98.51</v>
      </c>
      <c r="I28" s="429">
        <v>98.53</v>
      </c>
      <c r="J28" s="429">
        <v>98.53</v>
      </c>
      <c r="K28" s="429">
        <v>98.525000000000006</v>
      </c>
      <c r="L28" s="428">
        <f>_xll.qlMidSafe($H28,$I28)</f>
        <v>98.52000000000001</v>
      </c>
      <c r="M28" s="422"/>
      <c r="N28" s="431">
        <v>98.84</v>
      </c>
      <c r="O28" s="422"/>
      <c r="P28" s="430" t="str">
        <v>GBPFUT3MM7_Quote</v>
      </c>
      <c r="Q28" s="429">
        <v>98.52000000000001</v>
      </c>
      <c r="R28" s="428" t="e">
        <f>_xll.qlSimpleQuoteSetValue($P28,$Q28,Trigger)</f>
        <v>#N/A</v>
      </c>
      <c r="S28" s="137"/>
      <c r="X28" s="418">
        <f t="shared" si="0"/>
        <v>1.9999999999981811E-4</v>
      </c>
    </row>
    <row r="29" spans="1:24" x14ac:dyDescent="0.2">
      <c r="A29" s="143"/>
      <c r="B29" s="435">
        <v>24</v>
      </c>
      <c r="C29" s="434" t="b">
        <v>1</v>
      </c>
      <c r="D29" s="429" t="str">
        <v>U7</v>
      </c>
      <c r="E29" s="433">
        <v>42998</v>
      </c>
      <c r="F29" s="429" t="str">
        <v>FSSU7</v>
      </c>
      <c r="G29" s="432">
        <v>42725</v>
      </c>
      <c r="H29" s="429">
        <v>98.37</v>
      </c>
      <c r="I29" s="429">
        <v>98.39</v>
      </c>
      <c r="J29" s="429">
        <v>98.36</v>
      </c>
      <c r="K29" s="429">
        <v>98.385000000000005</v>
      </c>
      <c r="L29" s="428">
        <f>_xll.qlMidSafe($H29,$I29)</f>
        <v>98.38</v>
      </c>
      <c r="M29" s="422"/>
      <c r="N29" s="431">
        <v>98.724999999999994</v>
      </c>
      <c r="O29" s="422"/>
      <c r="P29" s="430" t="str">
        <v>GBPFUT3MU7_Quote</v>
      </c>
      <c r="Q29" s="429">
        <v>98.38</v>
      </c>
      <c r="R29" s="428" t="e">
        <f>_xll.qlSimpleQuoteSetValue($P29,$Q29,Trigger)</f>
        <v>#N/A</v>
      </c>
      <c r="S29" s="137"/>
      <c r="X29" s="418">
        <f t="shared" si="0"/>
        <v>2.0000000000010233E-4</v>
      </c>
    </row>
    <row r="30" spans="1:24" x14ac:dyDescent="0.2">
      <c r="A30" s="143"/>
      <c r="B30" s="435">
        <v>25</v>
      </c>
      <c r="C30" s="434" t="b">
        <v>1</v>
      </c>
      <c r="D30" s="429" t="str">
        <v>Z7</v>
      </c>
      <c r="E30" s="433">
        <v>43089</v>
      </c>
      <c r="F30" s="429" t="str">
        <v>FSSZ7</v>
      </c>
      <c r="G30" s="432">
        <v>42809</v>
      </c>
      <c r="H30" s="429">
        <v>98.24</v>
      </c>
      <c r="I30" s="429">
        <v>98.28</v>
      </c>
      <c r="J30" s="429">
        <v>98.26</v>
      </c>
      <c r="K30" s="429">
        <v>98.265000000000001</v>
      </c>
      <c r="L30" s="428">
        <f>_xll.qlMidSafe($H30,$I30)</f>
        <v>98.259999999999991</v>
      </c>
      <c r="M30" s="422"/>
      <c r="N30" s="431">
        <v>98.59</v>
      </c>
      <c r="O30" s="422"/>
      <c r="P30" s="430" t="str">
        <v>GBPFUT3MZ7_Quote</v>
      </c>
      <c r="Q30" s="429">
        <v>98.259999999999991</v>
      </c>
      <c r="R30" s="428" t="e">
        <f>_xll.qlSimpleQuoteSetValue($P30,$Q30,Trigger)</f>
        <v>#N/A</v>
      </c>
      <c r="S30" s="137"/>
      <c r="X30" s="418">
        <f t="shared" si="0"/>
        <v>4.0000000000020466E-4</v>
      </c>
    </row>
    <row r="31" spans="1:24" x14ac:dyDescent="0.2">
      <c r="A31" s="143"/>
      <c r="B31" s="435">
        <v>26</v>
      </c>
      <c r="C31" s="434" t="b">
        <v>1</v>
      </c>
      <c r="D31" s="429" t="str">
        <v>H8</v>
      </c>
      <c r="E31" s="433">
        <v>43180</v>
      </c>
      <c r="F31" s="429" t="str">
        <v>FSSH8</v>
      </c>
      <c r="G31" s="432">
        <v>42907</v>
      </c>
      <c r="H31" s="429">
        <v>98.11</v>
      </c>
      <c r="I31" s="429">
        <v>98.17</v>
      </c>
      <c r="J31" s="429">
        <v>0</v>
      </c>
      <c r="K31" s="429">
        <v>98.125</v>
      </c>
      <c r="L31" s="428">
        <f>_xll.qlMidSafe($H31,$I31)</f>
        <v>98.14</v>
      </c>
      <c r="M31" s="422"/>
      <c r="N31" s="431">
        <v>98.474999999999994</v>
      </c>
      <c r="O31" s="422"/>
      <c r="P31" s="430" t="str">
        <v>GBPFUT3MH8_Quote</v>
      </c>
      <c r="Q31" s="429">
        <v>98.14</v>
      </c>
      <c r="R31" s="428" t="e">
        <f>_xll.qlSimpleQuoteSetValue($P31,$Q31,Trigger)</f>
        <v>#N/A</v>
      </c>
      <c r="S31" s="137"/>
      <c r="X31" s="418">
        <f t="shared" si="0"/>
        <v>6.0000000000002272E-4</v>
      </c>
    </row>
    <row r="32" spans="1:24" x14ac:dyDescent="0.2">
      <c r="A32" s="143"/>
      <c r="B32" s="435">
        <v>27</v>
      </c>
      <c r="C32" s="434" t="b">
        <v>1</v>
      </c>
      <c r="D32" s="429" t="str">
        <v>M8</v>
      </c>
      <c r="E32" s="433">
        <v>43271</v>
      </c>
      <c r="F32" s="429" t="str">
        <v>FSSM8</v>
      </c>
      <c r="G32" s="432">
        <v>42998</v>
      </c>
      <c r="H32" s="429">
        <v>0</v>
      </c>
      <c r="I32" s="429">
        <v>0</v>
      </c>
      <c r="J32" s="429">
        <v>0</v>
      </c>
      <c r="K32" s="429">
        <v>97.99</v>
      </c>
      <c r="L32" s="428" t="e">
        <f>_xll.qlMidSafe($H32,$I32)</f>
        <v>#NUM!</v>
      </c>
      <c r="M32" s="422"/>
      <c r="N32" s="431" t="e">
        <v>#NUM!</v>
      </c>
      <c r="O32" s="422"/>
      <c r="P32" s="430" t="str">
        <v>GBPFUT3MM8_Quote</v>
      </c>
      <c r="Q32" s="429" t="e">
        <v>#NUM!</v>
      </c>
      <c r="R32" s="428" t="e">
        <f>_xll.qlSimpleQuoteSetValue($P32,$Q32,Trigger)</f>
        <v>#NUM!</v>
      </c>
      <c r="S32" s="137"/>
      <c r="X32" s="418" t="e">
        <f t="shared" si="0"/>
        <v>#NUM!</v>
      </c>
    </row>
    <row r="33" spans="1:24" x14ac:dyDescent="0.2">
      <c r="A33" s="143"/>
      <c r="B33" s="435">
        <v>28</v>
      </c>
      <c r="C33" s="434" t="b">
        <v>1</v>
      </c>
      <c r="D33" s="429" t="str">
        <v>U8</v>
      </c>
      <c r="E33" s="433">
        <v>43362</v>
      </c>
      <c r="F33" s="429" t="str">
        <v>FSSU8</v>
      </c>
      <c r="G33" s="432">
        <v>43089</v>
      </c>
      <c r="H33" s="429">
        <v>0</v>
      </c>
      <c r="I33" s="429">
        <v>0</v>
      </c>
      <c r="J33" s="429">
        <v>0</v>
      </c>
      <c r="K33" s="429">
        <v>97.85</v>
      </c>
      <c r="L33" s="428" t="e">
        <f>_xll.qlMidSafe($H33,$I33)</f>
        <v>#NUM!</v>
      </c>
      <c r="M33" s="422"/>
      <c r="N33" s="431" t="e">
        <v>#NUM!</v>
      </c>
      <c r="O33" s="422"/>
      <c r="P33" s="430" t="str">
        <v>GBPFUT3MU8_Quote</v>
      </c>
      <c r="Q33" s="429" t="e">
        <v>#NUM!</v>
      </c>
      <c r="R33" s="428" t="e">
        <f>_xll.qlSimpleQuoteSetValue($P33,$Q33,Trigger)</f>
        <v>#NUM!</v>
      </c>
      <c r="S33" s="137"/>
      <c r="X33" s="418" t="e">
        <f t="shared" si="0"/>
        <v>#NUM!</v>
      </c>
    </row>
    <row r="34" spans="1:24" x14ac:dyDescent="0.2">
      <c r="A34" s="143"/>
      <c r="B34" s="435">
        <v>29</v>
      </c>
      <c r="C34" s="434" t="b">
        <v>1</v>
      </c>
      <c r="D34" s="429" t="str">
        <v>Z8</v>
      </c>
      <c r="E34" s="433">
        <v>43453</v>
      </c>
      <c r="F34" s="429" t="str">
        <v>FSSZ8</v>
      </c>
      <c r="G34" s="432">
        <v>43180</v>
      </c>
      <c r="H34" s="429">
        <v>0</v>
      </c>
      <c r="I34" s="429">
        <v>0</v>
      </c>
      <c r="J34" s="429">
        <v>0</v>
      </c>
      <c r="K34" s="429">
        <v>97.71</v>
      </c>
      <c r="L34" s="428" t="e">
        <f>_xll.qlMidSafe($H34,$I34)</f>
        <v>#NUM!</v>
      </c>
      <c r="M34" s="422"/>
      <c r="N34" s="431" t="e">
        <v>#NUM!</v>
      </c>
      <c r="O34" s="422"/>
      <c r="P34" s="430" t="str">
        <v>GBPFUT3MZ8_Quote</v>
      </c>
      <c r="Q34" s="429" t="e">
        <v>#NUM!</v>
      </c>
      <c r="R34" s="428" t="e">
        <f>_xll.qlSimpleQuoteSetValue($P34,$Q34,Trigger)</f>
        <v>#NUM!</v>
      </c>
      <c r="S34" s="137"/>
      <c r="X34" s="418" t="e">
        <f t="shared" si="0"/>
        <v>#NUM!</v>
      </c>
    </row>
    <row r="35" spans="1:24" x14ac:dyDescent="0.2">
      <c r="A35" s="143"/>
      <c r="B35" s="435">
        <v>30</v>
      </c>
      <c r="C35" s="434" t="b">
        <v>1</v>
      </c>
      <c r="D35" s="429" t="str">
        <v>H9</v>
      </c>
      <c r="E35" s="433">
        <v>43544</v>
      </c>
      <c r="F35" s="429" t="str">
        <v>FSSH9</v>
      </c>
      <c r="G35" s="432">
        <v>43271</v>
      </c>
      <c r="H35" s="429">
        <v>0</v>
      </c>
      <c r="I35" s="429">
        <v>0</v>
      </c>
      <c r="J35" s="429">
        <v>0</v>
      </c>
      <c r="K35" s="429">
        <v>97.57</v>
      </c>
      <c r="L35" s="428" t="e">
        <f>_xll.qlMidSafe($H35,$I35)</f>
        <v>#NUM!</v>
      </c>
      <c r="M35" s="422"/>
      <c r="N35" s="431" t="e">
        <v>#NUM!</v>
      </c>
      <c r="O35" s="422"/>
      <c r="P35" s="430" t="str">
        <v>GBPFUT3MH9_Quote</v>
      </c>
      <c r="Q35" s="429" t="e">
        <v>#NUM!</v>
      </c>
      <c r="R35" s="428" t="e">
        <f>_xll.qlSimpleQuoteSetValue($P35,$Q35,Trigger)</f>
        <v>#NUM!</v>
      </c>
      <c r="S35" s="137"/>
      <c r="X35" s="418" t="e">
        <f t="shared" si="0"/>
        <v>#NUM!</v>
      </c>
    </row>
    <row r="36" spans="1:24" x14ac:dyDescent="0.2">
      <c r="A36" s="143"/>
      <c r="B36" s="435">
        <v>31</v>
      </c>
      <c r="C36" s="434" t="b">
        <v>1</v>
      </c>
      <c r="D36" s="429" t="str">
        <v>M9</v>
      </c>
      <c r="E36" s="433">
        <v>43635</v>
      </c>
      <c r="F36" s="429" t="str">
        <v>FSSM9</v>
      </c>
      <c r="G36" s="432">
        <v>43362</v>
      </c>
      <c r="H36" s="429">
        <v>0</v>
      </c>
      <c r="I36" s="429">
        <v>0</v>
      </c>
      <c r="J36" s="429">
        <v>0</v>
      </c>
      <c r="K36" s="429">
        <v>97.44</v>
      </c>
      <c r="L36" s="428" t="e">
        <f>_xll.qlMidSafe($H36,$I36)</f>
        <v>#NUM!</v>
      </c>
      <c r="M36" s="422"/>
      <c r="N36" s="431" t="e">
        <v>#NUM!</v>
      </c>
      <c r="O36" s="422"/>
      <c r="P36" s="430" t="str">
        <v>GBPFUT3MM9_Quote</v>
      </c>
      <c r="Q36" s="429" t="e">
        <v>#NUM!</v>
      </c>
      <c r="R36" s="428" t="e">
        <f>_xll.qlSimpleQuoteSetValue($P36,$Q36,Trigger)</f>
        <v>#NUM!</v>
      </c>
      <c r="S36" s="137"/>
      <c r="X36" s="418" t="e">
        <f t="shared" si="0"/>
        <v>#NUM!</v>
      </c>
    </row>
    <row r="37" spans="1:24" x14ac:dyDescent="0.2">
      <c r="A37" s="143"/>
      <c r="B37" s="435">
        <v>32</v>
      </c>
      <c r="C37" s="434" t="b">
        <v>1</v>
      </c>
      <c r="D37" s="429" t="str">
        <v>U9</v>
      </c>
      <c r="E37" s="433">
        <v>43726</v>
      </c>
      <c r="F37" s="429" t="str">
        <v>FSSU9</v>
      </c>
      <c r="G37" s="432">
        <v>43453</v>
      </c>
      <c r="H37" s="429">
        <v>0</v>
      </c>
      <c r="I37" s="429">
        <v>0</v>
      </c>
      <c r="J37" s="429">
        <v>0</v>
      </c>
      <c r="K37" s="429">
        <v>97.44</v>
      </c>
      <c r="L37" s="428" t="e">
        <f>_xll.qlMidSafe($H37,$I37)</f>
        <v>#NUM!</v>
      </c>
      <c r="M37" s="422"/>
      <c r="N37" s="431" t="e">
        <v>#NUM!</v>
      </c>
      <c r="O37" s="422"/>
      <c r="P37" s="430" t="str">
        <v>GBPFUT3MU9_Quote</v>
      </c>
      <c r="Q37" s="429" t="e">
        <v>#NUM!</v>
      </c>
      <c r="R37" s="428" t="e">
        <f>_xll.qlSimpleQuoteSetValue($P37,$Q37,Trigger)</f>
        <v>#NUM!</v>
      </c>
      <c r="S37" s="137"/>
      <c r="X37" s="418" t="e">
        <f t="shared" si="0"/>
        <v>#NUM!</v>
      </c>
    </row>
    <row r="38" spans="1:24" x14ac:dyDescent="0.2">
      <c r="A38" s="143"/>
      <c r="B38" s="435">
        <v>33</v>
      </c>
      <c r="C38" s="434" t="b">
        <v>1</v>
      </c>
      <c r="D38" s="429" t="str">
        <v>Z9</v>
      </c>
      <c r="E38" s="433">
        <v>43817</v>
      </c>
      <c r="F38" s="429" t="str">
        <v>FSSZ9</v>
      </c>
      <c r="G38" s="432" t="s">
        <v>233</v>
      </c>
      <c r="H38" s="429" t="s">
        <v>233</v>
      </c>
      <c r="I38" s="429" t="s">
        <v>233</v>
      </c>
      <c r="J38" s="429" t="s">
        <v>233</v>
      </c>
      <c r="K38" s="429" t="s">
        <v>233</v>
      </c>
      <c r="L38" s="428" t="e">
        <f>_xll.qlMidSafe($H38,$I38)</f>
        <v>#NUM!</v>
      </c>
      <c r="M38" s="422"/>
      <c r="N38" s="431" t="e">
        <v>#NUM!</v>
      </c>
      <c r="O38" s="422"/>
      <c r="P38" s="430" t="str">
        <v>GBPFUT3MZ9_Quote</v>
      </c>
      <c r="Q38" s="429" t="e">
        <v>#NUM!</v>
      </c>
      <c r="R38" s="428" t="e">
        <f>_xll.qlSimpleQuoteSetValue($P38,$Q38,Trigger)</f>
        <v>#NUM!</v>
      </c>
      <c r="S38" s="137"/>
      <c r="X38" s="418" t="e">
        <f t="shared" si="0"/>
        <v>#VALUE!</v>
      </c>
    </row>
    <row r="39" spans="1:24" x14ac:dyDescent="0.2">
      <c r="A39" s="143"/>
      <c r="B39" s="435">
        <v>34</v>
      </c>
      <c r="C39" s="434" t="b">
        <v>1</v>
      </c>
      <c r="D39" s="429" t="str">
        <v>H0</v>
      </c>
      <c r="E39" s="433">
        <v>43908</v>
      </c>
      <c r="F39" s="429" t="str">
        <v>FSSH0</v>
      </c>
      <c r="G39" s="432" t="s">
        <v>233</v>
      </c>
      <c r="H39" s="429" t="s">
        <v>233</v>
      </c>
      <c r="I39" s="429" t="s">
        <v>233</v>
      </c>
      <c r="J39" s="429" t="s">
        <v>233</v>
      </c>
      <c r="K39" s="429" t="s">
        <v>233</v>
      </c>
      <c r="L39" s="428" t="e">
        <f>_xll.qlMidSafe($H39,$I39)</f>
        <v>#NUM!</v>
      </c>
      <c r="M39" s="422"/>
      <c r="N39" s="431" t="e">
        <v>#NUM!</v>
      </c>
      <c r="O39" s="422"/>
      <c r="P39" s="430" t="str">
        <v>GBPFUT3MH0_Quote</v>
      </c>
      <c r="Q39" s="429" t="e">
        <v>#NUM!</v>
      </c>
      <c r="R39" s="428" t="e">
        <f>_xll.qlSimpleQuoteSetValue($P39,$Q39,Trigger)</f>
        <v>#NUM!</v>
      </c>
      <c r="S39" s="137"/>
      <c r="X39" s="418" t="e">
        <f t="shared" si="0"/>
        <v>#VALUE!</v>
      </c>
    </row>
    <row r="40" spans="1:24" x14ac:dyDescent="0.2">
      <c r="A40" s="143"/>
      <c r="B40" s="435">
        <v>35</v>
      </c>
      <c r="C40" s="434" t="b">
        <v>1</v>
      </c>
      <c r="D40" s="429" t="str">
        <v>M0</v>
      </c>
      <c r="E40" s="433">
        <v>43999</v>
      </c>
      <c r="F40" s="429" t="str">
        <v>FSSM0</v>
      </c>
      <c r="G40" s="432" t="s">
        <v>233</v>
      </c>
      <c r="H40" s="429" t="s">
        <v>233</v>
      </c>
      <c r="I40" s="429" t="s">
        <v>233</v>
      </c>
      <c r="J40" s="429" t="s">
        <v>233</v>
      </c>
      <c r="K40" s="429" t="s">
        <v>233</v>
      </c>
      <c r="L40" s="428" t="e">
        <f>_xll.qlMidSafe($H40,$I40)</f>
        <v>#NUM!</v>
      </c>
      <c r="M40" s="422"/>
      <c r="N40" s="431" t="e">
        <v>#NUM!</v>
      </c>
      <c r="O40" s="422"/>
      <c r="P40" s="430" t="str">
        <v>GBPFUT3MM0_Quote</v>
      </c>
      <c r="Q40" s="429" t="e">
        <v>#NUM!</v>
      </c>
      <c r="R40" s="428" t="e">
        <f>_xll.qlSimpleQuoteSetValue($P40,$Q40,Trigger)</f>
        <v>#NUM!</v>
      </c>
      <c r="S40" s="137"/>
      <c r="X40" s="418" t="e">
        <f t="shared" si="0"/>
        <v>#VALUE!</v>
      </c>
    </row>
    <row r="41" spans="1:24" x14ac:dyDescent="0.2">
      <c r="A41" s="143"/>
      <c r="B41" s="435">
        <v>36</v>
      </c>
      <c r="C41" s="434" t="b">
        <v>1</v>
      </c>
      <c r="D41" s="429" t="str">
        <v>U0</v>
      </c>
      <c r="E41" s="433">
        <v>44090</v>
      </c>
      <c r="F41" s="429" t="str">
        <v>FSSU0</v>
      </c>
      <c r="G41" s="432" t="s">
        <v>233</v>
      </c>
      <c r="H41" s="429" t="s">
        <v>233</v>
      </c>
      <c r="I41" s="429" t="s">
        <v>233</v>
      </c>
      <c r="J41" s="429" t="s">
        <v>233</v>
      </c>
      <c r="K41" s="429" t="s">
        <v>233</v>
      </c>
      <c r="L41" s="428" t="e">
        <f>_xll.qlMidSafe($H41,$I41)</f>
        <v>#NUM!</v>
      </c>
      <c r="M41" s="422"/>
      <c r="N41" s="431" t="e">
        <v>#NUM!</v>
      </c>
      <c r="O41" s="422"/>
      <c r="P41" s="430" t="str">
        <v>GBPFUT3MU0_Quote</v>
      </c>
      <c r="Q41" s="429" t="e">
        <v>#NUM!</v>
      </c>
      <c r="R41" s="428" t="e">
        <f>_xll.qlSimpleQuoteSetValue($P41,$Q41,Trigger)</f>
        <v>#NUM!</v>
      </c>
      <c r="S41" s="137"/>
      <c r="X41" s="418" t="e">
        <f t="shared" si="0"/>
        <v>#VALUE!</v>
      </c>
    </row>
    <row r="42" spans="1:24" x14ac:dyDescent="0.2">
      <c r="A42" s="143"/>
      <c r="B42" s="435">
        <v>37</v>
      </c>
      <c r="C42" s="434" t="b">
        <v>1</v>
      </c>
      <c r="D42" s="429" t="str">
        <v>Z0</v>
      </c>
      <c r="E42" s="433">
        <v>44181</v>
      </c>
      <c r="F42" s="429" t="str">
        <v>FSSZ0</v>
      </c>
      <c r="G42" s="432" t="s">
        <v>233</v>
      </c>
      <c r="H42" s="429" t="s">
        <v>233</v>
      </c>
      <c r="I42" s="429" t="s">
        <v>233</v>
      </c>
      <c r="J42" s="429" t="s">
        <v>233</v>
      </c>
      <c r="K42" s="429" t="s">
        <v>233</v>
      </c>
      <c r="L42" s="428" t="e">
        <f>_xll.qlMidSafe($H42,$I42)</f>
        <v>#NUM!</v>
      </c>
      <c r="M42" s="422"/>
      <c r="N42" s="431" t="e">
        <v>#NUM!</v>
      </c>
      <c r="O42" s="422"/>
      <c r="P42" s="430" t="str">
        <v>GBPFUT3MZ0_Quote</v>
      </c>
      <c r="Q42" s="429" t="e">
        <v>#NUM!</v>
      </c>
      <c r="R42" s="428" t="e">
        <f>_xll.qlSimpleQuoteSetValue($P42,$Q42,Trigger)</f>
        <v>#NUM!</v>
      </c>
      <c r="S42" s="137"/>
      <c r="X42" s="418" t="e">
        <f t="shared" si="0"/>
        <v>#VALUE!</v>
      </c>
    </row>
    <row r="43" spans="1:24" x14ac:dyDescent="0.2">
      <c r="A43" s="143"/>
      <c r="B43" s="435">
        <v>38</v>
      </c>
      <c r="C43" s="434" t="b">
        <v>1</v>
      </c>
      <c r="D43" s="429" t="str">
        <v>H1</v>
      </c>
      <c r="E43" s="433">
        <v>44272</v>
      </c>
      <c r="F43" s="429" t="str">
        <v>FSSH1</v>
      </c>
      <c r="G43" s="432" t="s">
        <v>233</v>
      </c>
      <c r="H43" s="429" t="s">
        <v>233</v>
      </c>
      <c r="I43" s="429" t="s">
        <v>233</v>
      </c>
      <c r="J43" s="429" t="s">
        <v>233</v>
      </c>
      <c r="K43" s="429" t="s">
        <v>233</v>
      </c>
      <c r="L43" s="428" t="e">
        <f>_xll.qlMidSafe($H43,$I43)</f>
        <v>#NUM!</v>
      </c>
      <c r="M43" s="422"/>
      <c r="N43" s="431" t="e">
        <v>#NUM!</v>
      </c>
      <c r="O43" s="422"/>
      <c r="P43" s="430" t="str">
        <v>GBPFUT3MH1_Quote</v>
      </c>
      <c r="Q43" s="429" t="e">
        <v>#NUM!</v>
      </c>
      <c r="R43" s="428" t="e">
        <f>_xll.qlSimpleQuoteSetValue($P43,$Q43,Trigger)</f>
        <v>#NUM!</v>
      </c>
      <c r="S43" s="137"/>
      <c r="X43" s="418" t="e">
        <f t="shared" si="0"/>
        <v>#VALUE!</v>
      </c>
    </row>
    <row r="44" spans="1:24" x14ac:dyDescent="0.2">
      <c r="A44" s="143"/>
      <c r="B44" s="435">
        <v>39</v>
      </c>
      <c r="C44" s="434" t="b">
        <v>1</v>
      </c>
      <c r="D44" s="429" t="str">
        <v>M1</v>
      </c>
      <c r="E44" s="433">
        <v>44363</v>
      </c>
      <c r="F44" s="429" t="str">
        <v>FSSM1</v>
      </c>
      <c r="G44" s="432" t="s">
        <v>233</v>
      </c>
      <c r="H44" s="429" t="s">
        <v>233</v>
      </c>
      <c r="I44" s="429" t="s">
        <v>233</v>
      </c>
      <c r="J44" s="429" t="s">
        <v>233</v>
      </c>
      <c r="K44" s="429" t="s">
        <v>233</v>
      </c>
      <c r="L44" s="428" t="e">
        <f>_xll.qlMidSafe($H44,$I44)</f>
        <v>#NUM!</v>
      </c>
      <c r="M44" s="422"/>
      <c r="N44" s="431" t="e">
        <v>#NUM!</v>
      </c>
      <c r="O44" s="422"/>
      <c r="P44" s="430" t="str">
        <v>GBPFUT3MM1_Quote</v>
      </c>
      <c r="Q44" s="429" t="e">
        <v>#NUM!</v>
      </c>
      <c r="R44" s="428" t="e">
        <f>_xll.qlSimpleQuoteSetValue($P44,$Q44,Trigger)</f>
        <v>#NUM!</v>
      </c>
      <c r="S44" s="137"/>
      <c r="X44" s="418" t="e">
        <f t="shared" si="0"/>
        <v>#VALUE!</v>
      </c>
    </row>
    <row r="45" spans="1:24" x14ac:dyDescent="0.2">
      <c r="A45" s="143"/>
      <c r="B45" s="435">
        <v>40</v>
      </c>
      <c r="C45" s="434" t="b">
        <v>1</v>
      </c>
      <c r="D45" s="429" t="str">
        <v>U1</v>
      </c>
      <c r="E45" s="433">
        <v>44454</v>
      </c>
      <c r="F45" s="429" t="str">
        <v>FSSU1</v>
      </c>
      <c r="G45" s="432" t="s">
        <v>233</v>
      </c>
      <c r="H45" s="429" t="s">
        <v>233</v>
      </c>
      <c r="I45" s="429" t="s">
        <v>233</v>
      </c>
      <c r="J45" s="429" t="s">
        <v>233</v>
      </c>
      <c r="K45" s="429" t="s">
        <v>233</v>
      </c>
      <c r="L45" s="428" t="e">
        <f>_xll.qlMidSafe($H45,$I45)</f>
        <v>#NUM!</v>
      </c>
      <c r="M45" s="422"/>
      <c r="N45" s="431" t="e">
        <v>#NUM!</v>
      </c>
      <c r="O45" s="422"/>
      <c r="P45" s="430" t="str">
        <v>GBPFUT3MU1_Quote</v>
      </c>
      <c r="Q45" s="429" t="e">
        <v>#NUM!</v>
      </c>
      <c r="R45" s="428" t="e">
        <f>_xll.qlSimpleQuoteSetValue($P45,$Q45,Trigger)</f>
        <v>#NUM!</v>
      </c>
      <c r="S45" s="137"/>
      <c r="X45" s="418" t="e">
        <f t="shared" si="0"/>
        <v>#VALUE!</v>
      </c>
    </row>
    <row r="46" spans="1:24" x14ac:dyDescent="0.2">
      <c r="A46" s="143"/>
      <c r="B46" s="435">
        <v>41</v>
      </c>
      <c r="C46" s="434" t="b">
        <v>1</v>
      </c>
      <c r="D46" s="429" t="str">
        <v>Z1</v>
      </c>
      <c r="E46" s="433">
        <v>44545</v>
      </c>
      <c r="F46" s="429" t="str">
        <v>FSSZ1</v>
      </c>
      <c r="G46" s="432" t="s">
        <v>233</v>
      </c>
      <c r="H46" s="429" t="s">
        <v>233</v>
      </c>
      <c r="I46" s="429" t="s">
        <v>233</v>
      </c>
      <c r="J46" s="429" t="s">
        <v>233</v>
      </c>
      <c r="K46" s="429" t="s">
        <v>233</v>
      </c>
      <c r="L46" s="428" t="e">
        <f>_xll.qlMidSafe($H46,$I46)</f>
        <v>#NUM!</v>
      </c>
      <c r="M46" s="422"/>
      <c r="N46" s="431" t="e">
        <v>#NUM!</v>
      </c>
      <c r="O46" s="422"/>
      <c r="P46" s="430" t="str">
        <v>GBPFUT3MZ1_Quote</v>
      </c>
      <c r="Q46" s="429" t="e">
        <v>#NUM!</v>
      </c>
      <c r="R46" s="428" t="e">
        <f>_xll.qlSimpleQuoteSetValue($P46,$Q46,Trigger)</f>
        <v>#NUM!</v>
      </c>
      <c r="S46" s="137"/>
      <c r="X46" s="418" t="e">
        <f t="shared" si="0"/>
        <v>#VALUE!</v>
      </c>
    </row>
    <row r="47" spans="1:24" x14ac:dyDescent="0.2">
      <c r="A47" s="143"/>
      <c r="B47" s="427">
        <v>42</v>
      </c>
      <c r="C47" s="426" t="b">
        <v>1</v>
      </c>
      <c r="D47" s="420" t="str">
        <v>H2</v>
      </c>
      <c r="E47" s="425">
        <v>44636</v>
      </c>
      <c r="F47" s="420" t="str">
        <v>FSSH2</v>
      </c>
      <c r="G47" s="424" t="s">
        <v>233</v>
      </c>
      <c r="H47" s="420" t="s">
        <v>233</v>
      </c>
      <c r="I47" s="420" t="s">
        <v>233</v>
      </c>
      <c r="J47" s="420" t="s">
        <v>233</v>
      </c>
      <c r="K47" s="420" t="s">
        <v>233</v>
      </c>
      <c r="L47" s="419" t="e">
        <f>_xll.qlMidSafe($H47,$I47)</f>
        <v>#NUM!</v>
      </c>
      <c r="M47" s="422"/>
      <c r="N47" s="423" t="e">
        <v>#NUM!</v>
      </c>
      <c r="O47" s="422"/>
      <c r="P47" s="421" t="str">
        <v>GBPFUT3MH2_Quote</v>
      </c>
      <c r="Q47" s="420" t="e">
        <v>#NUM!</v>
      </c>
      <c r="R47" s="419" t="e">
        <f>_xll.qlSimpleQuoteSetValue($P47,$Q47,Trigger)</f>
        <v>#NUM!</v>
      </c>
      <c r="S47" s="137"/>
      <c r="X47" s="418" t="e">
        <f t="shared" si="0"/>
        <v>#VALUE!</v>
      </c>
    </row>
    <row r="48" spans="1:24" ht="12" thickBot="1" x14ac:dyDescent="0.25">
      <c r="A48" s="136"/>
      <c r="B48" s="135"/>
      <c r="C48" s="135"/>
      <c r="D48" s="135"/>
      <c r="E48" s="135"/>
      <c r="F48" s="135"/>
      <c r="G48" s="135"/>
      <c r="H48" s="135"/>
      <c r="I48" s="135"/>
      <c r="J48" s="135"/>
      <c r="K48" s="135"/>
      <c r="L48" s="135"/>
      <c r="M48" s="135"/>
      <c r="N48" s="135"/>
      <c r="O48" s="135"/>
      <c r="P48" s="135"/>
      <c r="Q48" s="135"/>
      <c r="R48" s="135"/>
      <c r="S48" s="134"/>
    </row>
  </sheetData>
  <conditionalFormatting sqref="R6:R47">
    <cfRule type="cellIs" dxfId="23" priority="1" stopIfTrue="1" operator="greaterThan">
      <formula>0</formula>
    </cfRule>
    <cfRule type="cellIs" dxfId="22" priority="2" stopIfTrue="1" operator="lessThan">
      <formula>0</formula>
    </cfRule>
  </conditionalFormatting>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X10"/>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11.42578125" style="65" bestFit="1" customWidth="1"/>
    <col min="7" max="7" width="9" style="65" customWidth="1"/>
    <col min="8" max="10" width="6.5703125" style="65" bestFit="1" customWidth="1"/>
    <col min="11" max="11" width="9.85546875" style="65" customWidth="1"/>
    <col min="12" max="12" width="8" style="65" bestFit="1" customWidth="1"/>
    <col min="13" max="13" width="2.85546875" style="65" customWidth="1"/>
    <col min="14" max="14" width="6.5703125" style="65" customWidth="1"/>
    <col min="15" max="15" width="2.85546875" style="65" customWidth="1"/>
    <col min="16" max="16" width="18.71093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23" width="9.140625" style="65"/>
    <col min="24" max="24" width="7" style="65" bestFit="1" customWidth="1"/>
    <col min="25" max="16384" width="9.140625" style="65"/>
  </cols>
  <sheetData>
    <row r="1" spans="1:24" ht="12.75" customHeight="1" x14ac:dyDescent="0.2">
      <c r="A1" s="154" t="s">
        <v>356</v>
      </c>
      <c r="B1" s="229"/>
      <c r="C1" s="229"/>
      <c r="D1" s="229"/>
      <c r="E1" s="229"/>
      <c r="F1" s="229"/>
      <c r="G1" s="229"/>
      <c r="H1" s="229"/>
      <c r="I1" s="229"/>
      <c r="J1" s="229"/>
      <c r="K1" s="229"/>
      <c r="L1" s="229"/>
      <c r="M1" s="230"/>
      <c r="N1" s="230"/>
      <c r="O1" s="229"/>
      <c r="P1" s="229"/>
      <c r="Q1" s="229"/>
      <c r="R1" s="229"/>
      <c r="S1" s="150"/>
    </row>
    <row r="2" spans="1:24" ht="12.75" customHeight="1" x14ac:dyDescent="0.2">
      <c r="A2" s="149"/>
      <c r="B2" s="238"/>
      <c r="C2" s="462"/>
      <c r="D2" s="462"/>
      <c r="F2" s="140" t="s">
        <v>276</v>
      </c>
      <c r="G2" s="238"/>
      <c r="H2" s="238"/>
      <c r="I2" s="238"/>
      <c r="J2" s="238"/>
      <c r="K2" s="238"/>
      <c r="L2" s="238"/>
      <c r="M2" s="422"/>
      <c r="N2" s="422"/>
      <c r="O2" s="238"/>
      <c r="P2" s="461" t="s">
        <v>289</v>
      </c>
      <c r="Q2" s="460" t="s">
        <v>131</v>
      </c>
      <c r="R2" s="238"/>
      <c r="S2" s="458"/>
    </row>
    <row r="3" spans="1:24" ht="12.75" customHeight="1" x14ac:dyDescent="0.2">
      <c r="A3" s="149"/>
      <c r="B3" s="238"/>
      <c r="C3" s="238"/>
      <c r="D3" s="238"/>
      <c r="E3" s="238"/>
      <c r="F3" s="238"/>
      <c r="G3" s="238"/>
      <c r="H3" s="238"/>
      <c r="I3" s="238"/>
      <c r="J3" s="238"/>
      <c r="K3" s="238"/>
      <c r="L3" s="238"/>
      <c r="M3" s="422"/>
      <c r="N3" s="422"/>
      <c r="O3" s="238"/>
      <c r="Q3" s="238"/>
      <c r="R3" s="238"/>
      <c r="S3" s="458"/>
    </row>
    <row r="4" spans="1:24" ht="12.75" customHeight="1" x14ac:dyDescent="0.2">
      <c r="A4" s="149"/>
      <c r="B4" s="238"/>
      <c r="C4" s="238"/>
      <c r="D4" s="238"/>
      <c r="E4" s="471">
        <f>_xll.qlCalendarEndOfMonth("TARGET",_xll.qlCalendarAdvance("TARGET",_xll.qlSettingsEvaluationDate(Trigger),"2d"))</f>
        <v>41639</v>
      </c>
      <c r="F4" s="238"/>
      <c r="G4" s="238"/>
      <c r="H4" s="238"/>
      <c r="I4" s="238"/>
      <c r="J4" s="238"/>
      <c r="K4" s="238"/>
      <c r="L4" s="238"/>
      <c r="M4" s="422"/>
      <c r="N4" s="422"/>
      <c r="O4" s="238"/>
      <c r="P4" s="422" t="s">
        <v>306</v>
      </c>
      <c r="Q4" s="238"/>
      <c r="R4" s="459">
        <f>_xll.ohTrigger(R6:R9)</f>
        <v>3</v>
      </c>
      <c r="S4" s="458"/>
    </row>
    <row r="5" spans="1:24" ht="22.5" x14ac:dyDescent="0.2">
      <c r="A5" s="149"/>
      <c r="B5" s="469" t="s">
        <v>175</v>
      </c>
      <c r="C5" s="464" t="s">
        <v>174</v>
      </c>
      <c r="D5" s="464" t="s">
        <v>173</v>
      </c>
      <c r="E5" s="464" t="s">
        <v>298</v>
      </c>
      <c r="F5" s="468" t="e">
        <f ca="1">_xll.RData(F6:F9,G5:K5,"RTFEED:IDN",ReutersRtMode,,G6)</f>
        <v>#NAME?</v>
      </c>
      <c r="G5" s="464" t="s">
        <v>297</v>
      </c>
      <c r="H5" s="464" t="s">
        <v>293</v>
      </c>
      <c r="I5" s="464" t="s">
        <v>265</v>
      </c>
      <c r="J5" s="464" t="s">
        <v>244</v>
      </c>
      <c r="K5" s="464" t="s">
        <v>292</v>
      </c>
      <c r="L5" s="467" t="s">
        <v>291</v>
      </c>
      <c r="M5" s="422"/>
      <c r="N5" s="466" t="s">
        <v>287</v>
      </c>
      <c r="O5" s="422"/>
      <c r="P5" s="465" t="s">
        <v>241</v>
      </c>
      <c r="Q5" s="464" t="s">
        <v>286</v>
      </c>
      <c r="R5" s="463" t="s">
        <v>285</v>
      </c>
      <c r="S5" s="137"/>
      <c r="X5" s="412" t="s">
        <v>290</v>
      </c>
    </row>
    <row r="6" spans="1:24" ht="12.75" customHeight="1" x14ac:dyDescent="0.2">
      <c r="A6" s="143"/>
      <c r="B6" s="448">
        <v>1</v>
      </c>
      <c r="C6" s="447" t="b">
        <v>0</v>
      </c>
      <c r="D6" s="442" t="str">
        <f t="array" ref="D6:D9">_xll.qlIMMcode(FuturesDates)</f>
        <v>F4</v>
      </c>
      <c r="E6" s="446">
        <f t="array" ref="E6:E9">_xll.qlIMMNextDates(E4,$C6:$C9)</f>
        <v>41654</v>
      </c>
      <c r="F6" s="442" t="str">
        <f t="array" ref="F6:F9">Currency&amp;"6F"&amp;B6:B9&amp;"="&amp;VLOOKUP(Contributor,ContributorTable,2,FALSE)</f>
        <v>GBP6F1=ICAP</v>
      </c>
      <c r="G6" s="445" t="s">
        <v>305</v>
      </c>
      <c r="H6" s="442">
        <v>0.61499999999999999</v>
      </c>
      <c r="I6" s="442">
        <v>0.67500000000000004</v>
      </c>
      <c r="J6" s="442">
        <v>0</v>
      </c>
      <c r="K6" s="442">
        <v>0</v>
      </c>
      <c r="L6" s="441">
        <f>100-_xll.qlMidSafe($H6,$I6)</f>
        <v>99.355000000000004</v>
      </c>
      <c r="M6" s="422"/>
      <c r="N6" s="444">
        <v>99.344999999999999</v>
      </c>
      <c r="O6" s="422"/>
      <c r="P6" s="443" t="str">
        <f t="array" ref="P6:P9">Currency&amp;P4&amp;FuturesCodes&amp;$Q$2</f>
        <v>GBPIMMFRA6MF4_Quote</v>
      </c>
      <c r="Q6" s="442">
        <f t="array" ref="Q6:Q9">QuoteLive</f>
        <v>99.355000000000004</v>
      </c>
      <c r="R6" s="441" t="e">
        <f>_xll.qlSimpleQuoteSetValue($P6,$Q6,Trigger)</f>
        <v>#N/A</v>
      </c>
      <c r="S6" s="137"/>
      <c r="X6" s="418">
        <f>(I6-H6)/100</f>
        <v>6.0000000000000049E-4</v>
      </c>
    </row>
    <row r="7" spans="1:24" x14ac:dyDescent="0.2">
      <c r="A7" s="143"/>
      <c r="B7" s="435">
        <v>2</v>
      </c>
      <c r="C7" s="434" t="b">
        <v>0</v>
      </c>
      <c r="D7" s="429" t="str">
        <v>G4</v>
      </c>
      <c r="E7" s="433">
        <v>41689</v>
      </c>
      <c r="F7" s="429" t="str">
        <v>GBP6F2=ICAP</v>
      </c>
      <c r="G7" s="432" t="s">
        <v>305</v>
      </c>
      <c r="H7" s="429">
        <v>0.63</v>
      </c>
      <c r="I7" s="429">
        <v>0.69</v>
      </c>
      <c r="J7" s="429">
        <v>0</v>
      </c>
      <c r="K7" s="429">
        <v>0</v>
      </c>
      <c r="L7" s="428">
        <f>100-_xll.qlMidSafe($H7,$I7)</f>
        <v>99.34</v>
      </c>
      <c r="M7" s="422"/>
      <c r="N7" s="440">
        <v>99.36</v>
      </c>
      <c r="O7" s="422"/>
      <c r="P7" s="430" t="str">
        <v>GBPIMMFRA6MG4_Quote</v>
      </c>
      <c r="Q7" s="429">
        <v>99.34</v>
      </c>
      <c r="R7" s="428" t="e">
        <f>_xll.qlSimpleQuoteSetValue($P7,$Q7,Trigger)</f>
        <v>#N/A</v>
      </c>
      <c r="S7" s="137"/>
      <c r="X7" s="418">
        <f>(I7-H7)/100</f>
        <v>5.9999999999999941E-4</v>
      </c>
    </row>
    <row r="8" spans="1:24" x14ac:dyDescent="0.2">
      <c r="A8" s="143"/>
      <c r="B8" s="435">
        <v>3</v>
      </c>
      <c r="C8" s="434" t="b">
        <v>0</v>
      </c>
      <c r="D8" s="429" t="str">
        <v>H4</v>
      </c>
      <c r="E8" s="433">
        <v>41717</v>
      </c>
      <c r="F8" s="429" t="str">
        <v>GBP6F3=ICAP</v>
      </c>
      <c r="G8" s="432" t="s">
        <v>305</v>
      </c>
      <c r="H8" s="429">
        <v>0.64</v>
      </c>
      <c r="I8" s="429">
        <v>0.7</v>
      </c>
      <c r="J8" s="429">
        <v>0</v>
      </c>
      <c r="K8" s="429">
        <v>0</v>
      </c>
      <c r="L8" s="428">
        <f>100-_xll.qlMidSafe($H8,$I8)</f>
        <v>99.33</v>
      </c>
      <c r="M8" s="422"/>
      <c r="N8" s="440">
        <v>99.364999999999995</v>
      </c>
      <c r="O8" s="422"/>
      <c r="P8" s="430" t="str">
        <v>GBPIMMFRA6MH4_Quote</v>
      </c>
      <c r="Q8" s="429">
        <v>99.33</v>
      </c>
      <c r="R8" s="428" t="e">
        <f>_xll.qlSimpleQuoteSetValue($P8,$Q8,Trigger)</f>
        <v>#N/A</v>
      </c>
      <c r="S8" s="137"/>
      <c r="X8" s="418">
        <f>(I8-H8)/100</f>
        <v>5.9999999999999941E-4</v>
      </c>
    </row>
    <row r="9" spans="1:24" x14ac:dyDescent="0.2">
      <c r="A9" s="143"/>
      <c r="B9" s="427">
        <v>4</v>
      </c>
      <c r="C9" s="426" t="b">
        <v>0</v>
      </c>
      <c r="D9" s="420" t="str">
        <v>J4</v>
      </c>
      <c r="E9" s="425">
        <v>41745</v>
      </c>
      <c r="F9" s="420" t="str">
        <v>GBP6F4=ICAP</v>
      </c>
      <c r="G9" s="424" t="s">
        <v>305</v>
      </c>
      <c r="H9" s="420">
        <v>0.67</v>
      </c>
      <c r="I9" s="420">
        <v>0.73</v>
      </c>
      <c r="J9" s="420">
        <v>0</v>
      </c>
      <c r="K9" s="420">
        <v>0</v>
      </c>
      <c r="L9" s="419">
        <f>100-_xll.qlMidSafe($H9,$I9)</f>
        <v>99.3</v>
      </c>
      <c r="M9" s="422"/>
      <c r="N9" s="470">
        <v>99.36</v>
      </c>
      <c r="O9" s="422"/>
      <c r="P9" s="421" t="str">
        <v>GBPIMMFRA6MJ4_Quote</v>
      </c>
      <c r="Q9" s="420">
        <v>99.3</v>
      </c>
      <c r="R9" s="419" t="e">
        <f>_xll.qlSimpleQuoteSetValue($P9,$Q9,Trigger)</f>
        <v>#N/A</v>
      </c>
      <c r="S9" s="137"/>
      <c r="X9" s="418">
        <f>(I9-H9)/100</f>
        <v>5.9999999999999941E-4</v>
      </c>
    </row>
    <row r="10" spans="1:24" ht="12" thickBot="1" x14ac:dyDescent="0.25">
      <c r="A10" s="136"/>
      <c r="B10" s="135"/>
      <c r="C10" s="135"/>
      <c r="D10" s="135"/>
      <c r="E10" s="135"/>
      <c r="F10" s="135"/>
      <c r="G10" s="135"/>
      <c r="H10" s="135"/>
      <c r="I10" s="135"/>
      <c r="J10" s="135"/>
      <c r="K10" s="135"/>
      <c r="L10" s="135"/>
      <c r="M10" s="135"/>
      <c r="N10" s="135"/>
      <c r="O10" s="135"/>
      <c r="P10" s="135"/>
      <c r="Q10" s="135"/>
      <c r="R10" s="135"/>
      <c r="S10" s="134"/>
    </row>
  </sheetData>
  <conditionalFormatting sqref="R6:R9">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Q9"/>
  <sheetViews>
    <sheetView workbookViewId="0"/>
  </sheetViews>
  <sheetFormatPr defaultRowHeight="11.25" x14ac:dyDescent="0.2"/>
  <cols>
    <col min="1" max="1" width="4.28515625" style="65" customWidth="1"/>
    <col min="2" max="2" width="14.140625" style="65" customWidth="1"/>
    <col min="3" max="3" width="4.85546875" style="65" bestFit="1" customWidth="1"/>
    <col min="4" max="4" width="4.28515625" style="65" customWidth="1"/>
    <col min="5" max="5" width="11.7109375" style="65" bestFit="1" customWidth="1"/>
    <col min="6" max="6" width="6.28515625" style="65" bestFit="1" customWidth="1"/>
    <col min="7" max="7" width="4.28515625" style="65" customWidth="1"/>
    <col min="8" max="8" width="6.28515625" style="65" bestFit="1" customWidth="1"/>
    <col min="9" max="9" width="4.28515625" style="65" customWidth="1"/>
    <col min="10" max="10" width="23.42578125" style="65" bestFit="1" customWidth="1"/>
    <col min="11" max="11" width="7.7109375" style="65" bestFit="1" customWidth="1"/>
    <col min="12" max="12" width="7" style="65" bestFit="1" customWidth="1"/>
    <col min="13" max="13" width="4.28515625" style="65" customWidth="1"/>
    <col min="14" max="14" width="2.28515625" style="65" customWidth="1"/>
    <col min="15" max="15" width="4" style="65" bestFit="1" customWidth="1"/>
    <col min="16" max="16" width="3.140625" style="65" bestFit="1" customWidth="1"/>
    <col min="17" max="17" width="2.7109375" style="65" bestFit="1" customWidth="1"/>
    <col min="18" max="16384" width="9.140625" style="65"/>
  </cols>
  <sheetData>
    <row r="1" spans="1:17" x14ac:dyDescent="0.2">
      <c r="A1" s="154" t="s">
        <v>356</v>
      </c>
      <c r="B1" s="229"/>
      <c r="C1" s="229"/>
      <c r="D1" s="229"/>
      <c r="E1" s="229"/>
      <c r="F1" s="229"/>
      <c r="G1" s="229"/>
      <c r="H1" s="229"/>
      <c r="I1" s="229"/>
      <c r="J1" s="229"/>
      <c r="K1" s="229"/>
      <c r="L1" s="229"/>
      <c r="M1" s="228"/>
    </row>
    <row r="2" spans="1:17" x14ac:dyDescent="0.2">
      <c r="A2" s="149"/>
      <c r="B2" s="140" t="s">
        <v>276</v>
      </c>
      <c r="C2" s="238"/>
      <c r="D2" s="238"/>
      <c r="E2" s="238"/>
      <c r="F2" s="238"/>
      <c r="G2" s="238"/>
      <c r="H2" s="238"/>
      <c r="I2" s="238"/>
      <c r="J2" s="238"/>
      <c r="K2" s="238"/>
      <c r="L2" s="238"/>
      <c r="M2" s="137"/>
    </row>
    <row r="3" spans="1:17" x14ac:dyDescent="0.2">
      <c r="A3" s="149"/>
      <c r="B3" s="238"/>
      <c r="C3" s="238"/>
      <c r="D3" s="238"/>
      <c r="E3" s="238"/>
      <c r="F3" s="238"/>
      <c r="G3" s="238"/>
      <c r="H3" s="238"/>
      <c r="I3" s="238"/>
      <c r="J3" s="238"/>
      <c r="K3" s="238"/>
      <c r="L3" s="459">
        <f>_xll.ohTrigger(L5:L46)</f>
        <v>5</v>
      </c>
      <c r="M3" s="137"/>
      <c r="P3" s="65" t="s">
        <v>83</v>
      </c>
    </row>
    <row r="4" spans="1:17" ht="13.5" thickBot="1" x14ac:dyDescent="0.25">
      <c r="A4" s="149"/>
      <c r="B4" s="492" t="e">
        <f ca="1">_xll.RData(B5,C4,"RTFEED:IDN",ReutersRtMode,,C5)</f>
        <v>#NAME?</v>
      </c>
      <c r="C4" s="493" t="s">
        <v>293</v>
      </c>
      <c r="D4" s="481"/>
      <c r="E4" s="592" t="s">
        <v>314</v>
      </c>
      <c r="F4" s="593"/>
      <c r="G4" s="481"/>
      <c r="H4" s="372" t="s">
        <v>287</v>
      </c>
      <c r="I4" s="479"/>
      <c r="J4" s="492" t="s">
        <v>241</v>
      </c>
      <c r="K4" s="415" t="s">
        <v>286</v>
      </c>
      <c r="L4" s="373" t="s">
        <v>285</v>
      </c>
      <c r="M4" s="137"/>
    </row>
    <row r="5" spans="1:17" x14ac:dyDescent="0.2">
      <c r="A5" s="149"/>
      <c r="B5" s="491" t="str">
        <f>VLOOKUP(Currency,$O$5:$Q$9,2)&amp;P3&amp;VLOOKUP(Currency,$O$5:$Q$9,3)&amp;"ATM="&amp;VLOOKUP(Contributor,ContributorTable,2,FALSE)</f>
        <v>GB4Y3LATM=ICAP</v>
      </c>
      <c r="C5" s="490">
        <v>66.069999999999993</v>
      </c>
      <c r="D5" s="481"/>
      <c r="E5" s="365" t="s">
        <v>313</v>
      </c>
      <c r="F5" s="486">
        <f>C5/100*IF(ISNUMBER(Swap3M4Y),Swap3M4Y/100,Swap6M4Y/100)</f>
        <v>6.4996362500000003E-3</v>
      </c>
      <c r="G5" s="481"/>
      <c r="H5" s="489">
        <v>5.7561399999999999E-3</v>
      </c>
      <c r="I5" s="479"/>
      <c r="J5" s="488" t="str">
        <f>Currency&amp;"HW_Volatility_Quote"</f>
        <v>GBPHW_Volatility_Quote</v>
      </c>
      <c r="K5" s="487">
        <f t="array" ref="K5:K6">QuoteLive</f>
        <v>6.4996362500000003E-3</v>
      </c>
      <c r="L5" s="486" t="e">
        <f>_xll.qlSimpleQuoteSetValue(J5,K5,Trigger)</f>
        <v>#N/A</v>
      </c>
      <c r="M5" s="137"/>
      <c r="O5" s="485" t="s">
        <v>121</v>
      </c>
      <c r="P5" s="151" t="s">
        <v>312</v>
      </c>
      <c r="Q5" s="484" t="s">
        <v>116</v>
      </c>
    </row>
    <row r="6" spans="1:17" x14ac:dyDescent="0.2">
      <c r="A6" s="149"/>
      <c r="B6" s="478"/>
      <c r="C6" s="483"/>
      <c r="D6" s="481"/>
      <c r="E6" s="482" t="s">
        <v>311</v>
      </c>
      <c r="F6" s="476">
        <v>0.03</v>
      </c>
      <c r="G6" s="481"/>
      <c r="H6" s="480">
        <v>0.03</v>
      </c>
      <c r="I6" s="479"/>
      <c r="J6" s="478" t="str">
        <f>Currency&amp;"HW_MeanReversion_Quote"</f>
        <v>GBPHW_MeanReversion_Quote</v>
      </c>
      <c r="K6" s="477">
        <v>0.03</v>
      </c>
      <c r="L6" s="476" t="e">
        <f>_xll.qlSimpleQuoteSetValue(J6,K6,Trigger)</f>
        <v>#N/A</v>
      </c>
      <c r="M6" s="137"/>
      <c r="O6" s="439" t="s">
        <v>120</v>
      </c>
      <c r="P6" s="475" t="s">
        <v>310</v>
      </c>
      <c r="Q6" s="474" t="s">
        <v>116</v>
      </c>
    </row>
    <row r="7" spans="1:17" ht="12" thickBot="1" x14ac:dyDescent="0.25">
      <c r="A7" s="237"/>
      <c r="B7" s="135"/>
      <c r="C7" s="135"/>
      <c r="D7" s="135"/>
      <c r="E7" s="135"/>
      <c r="F7" s="135"/>
      <c r="G7" s="135"/>
      <c r="H7" s="135"/>
      <c r="I7" s="135"/>
      <c r="J7" s="135"/>
      <c r="K7" s="135"/>
      <c r="L7" s="135"/>
      <c r="M7" s="134"/>
      <c r="O7" s="439" t="s">
        <v>96</v>
      </c>
      <c r="P7" s="475" t="s">
        <v>309</v>
      </c>
      <c r="Q7" s="474" t="s">
        <v>114</v>
      </c>
    </row>
    <row r="8" spans="1:17" x14ac:dyDescent="0.2">
      <c r="O8" s="439" t="s">
        <v>117</v>
      </c>
      <c r="P8" s="475" t="s">
        <v>308</v>
      </c>
      <c r="Q8" s="474" t="s">
        <v>116</v>
      </c>
    </row>
    <row r="9" spans="1:17" ht="12" thickBot="1" x14ac:dyDescent="0.25">
      <c r="O9" s="437" t="s">
        <v>115</v>
      </c>
      <c r="P9" s="473" t="s">
        <v>307</v>
      </c>
      <c r="Q9" s="472" t="s">
        <v>114</v>
      </c>
    </row>
  </sheetData>
  <mergeCells count="1">
    <mergeCell ref="E4:F4"/>
  </mergeCells>
  <dataValidations count="1">
    <dataValidation type="list"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formula1>Contributors</formula1>
    </dataValidation>
  </dataValidations>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X16"/>
  <sheetViews>
    <sheetView workbookViewId="0"/>
  </sheetViews>
  <sheetFormatPr defaultRowHeight="12.75" x14ac:dyDescent="0.2"/>
  <cols>
    <col min="1" max="1" width="5" style="63" customWidth="1"/>
    <col min="2" max="2" width="2.28515625" style="63" customWidth="1"/>
    <col min="3" max="3" width="2.7109375" style="63" bestFit="1" customWidth="1"/>
    <col min="4" max="4" width="3.85546875" style="63" bestFit="1" customWidth="1"/>
    <col min="5" max="5" width="8.5703125" style="63" bestFit="1" customWidth="1"/>
    <col min="6" max="6" width="12.7109375" style="63" bestFit="1" customWidth="1"/>
    <col min="7" max="9" width="5.7109375" style="63" bestFit="1" customWidth="1"/>
    <col min="10" max="10" width="10" style="63" bestFit="1" customWidth="1"/>
    <col min="11" max="11" width="5.7109375" style="63" bestFit="1" customWidth="1"/>
    <col min="12" max="12" width="5" style="63" customWidth="1"/>
    <col min="13" max="13" width="5.7109375" style="63" bestFit="1" customWidth="1"/>
    <col min="14" max="14" width="5" style="63" customWidth="1"/>
    <col min="15" max="15" width="13.7109375" style="63" bestFit="1" customWidth="1"/>
    <col min="16" max="17" width="7.7109375" style="63" bestFit="1" customWidth="1"/>
    <col min="18" max="18" width="5" style="63" customWidth="1"/>
    <col min="19" max="19" width="5.140625" style="63" customWidth="1"/>
    <col min="20" max="23" width="9.140625" style="63"/>
    <col min="24" max="24" width="7" style="63" bestFit="1" customWidth="1"/>
    <col min="25" max="16384" width="9.140625" style="63"/>
  </cols>
  <sheetData>
    <row r="1" spans="1:24" ht="13.5" thickBot="1" x14ac:dyDescent="0.25">
      <c r="A1" s="417" t="s">
        <v>356</v>
      </c>
      <c r="B1" s="201"/>
      <c r="C1" s="201"/>
      <c r="D1" s="201"/>
      <c r="E1" s="201"/>
      <c r="F1" s="201"/>
      <c r="G1" s="201"/>
      <c r="H1" s="201"/>
      <c r="I1" s="201"/>
      <c r="J1" s="201"/>
      <c r="K1" s="201"/>
      <c r="L1" s="201"/>
      <c r="M1" s="201"/>
      <c r="N1" s="201"/>
      <c r="O1" s="201"/>
      <c r="P1" s="201"/>
      <c r="Q1" s="201"/>
      <c r="R1" s="198"/>
    </row>
    <row r="2" spans="1:24" ht="13.5" thickBot="1" x14ac:dyDescent="0.25">
      <c r="A2" s="380"/>
      <c r="B2" s="343"/>
      <c r="C2" s="343"/>
      <c r="D2" s="343"/>
      <c r="E2" s="343"/>
      <c r="F2" s="140" t="s">
        <v>276</v>
      </c>
      <c r="G2" s="343"/>
      <c r="H2" s="343"/>
      <c r="I2" s="343"/>
      <c r="J2" s="343"/>
      <c r="K2" s="133"/>
      <c r="L2" s="343"/>
      <c r="M2" s="343"/>
      <c r="N2" s="343"/>
      <c r="O2" s="502" t="s">
        <v>289</v>
      </c>
      <c r="P2" s="501" t="s">
        <v>131</v>
      </c>
      <c r="Q2" s="133"/>
      <c r="R2" s="33"/>
    </row>
    <row r="3" spans="1:24" x14ac:dyDescent="0.2">
      <c r="A3" s="118"/>
      <c r="B3" s="343"/>
      <c r="C3" s="133"/>
      <c r="D3" s="133"/>
      <c r="E3" s="133"/>
      <c r="F3" s="133"/>
      <c r="G3" s="133"/>
      <c r="H3" s="133"/>
      <c r="I3" s="133"/>
      <c r="J3" s="133"/>
      <c r="K3" s="133"/>
      <c r="L3" s="343"/>
      <c r="M3" s="343"/>
      <c r="N3" s="343"/>
      <c r="O3" s="133"/>
      <c r="P3" s="133"/>
      <c r="Q3" s="459">
        <f>_xll.ohTrigger(Q5:Q15)</f>
        <v>3</v>
      </c>
      <c r="R3" s="218"/>
    </row>
    <row r="4" spans="1:24" ht="22.5" x14ac:dyDescent="0.2">
      <c r="A4" s="118"/>
      <c r="B4" s="500"/>
      <c r="C4" s="196"/>
      <c r="D4" s="196"/>
      <c r="E4" s="196"/>
      <c r="F4" s="374" t="e">
        <f ca="1">_xll.RData(F5:F15,G4:J4,"RTFEED:IDN",ReutersRtMode,,G5)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94"/>
      <c r="C5" s="400">
        <v>2</v>
      </c>
      <c r="D5" s="400" t="s">
        <v>205</v>
      </c>
      <c r="E5" s="353" t="str">
        <f t="shared" ref="E5:E15" si="0">Currency&amp;$C5&amp;$D5&amp;$B5</f>
        <v>GBP2X1S</v>
      </c>
      <c r="F5" s="353" t="str">
        <f t="array" ref="F5:F15">Instruments&amp;"="&amp;VLOOKUP(Contributor,ContributorTable,2,FALSE)</f>
        <v>GBP2X1S=ICAP</v>
      </c>
      <c r="G5" s="401">
        <v>0.43874999999999997</v>
      </c>
      <c r="H5" s="401">
        <v>0.53874999999999995</v>
      </c>
      <c r="I5" s="401">
        <v>0</v>
      </c>
      <c r="J5" s="401">
        <v>0</v>
      </c>
      <c r="K5" s="498">
        <f>_xll.qlMidSafe($G5,$H5)</f>
        <v>0.48874999999999996</v>
      </c>
      <c r="L5" s="343"/>
      <c r="M5" s="497">
        <v>0.49</v>
      </c>
      <c r="N5" s="343"/>
      <c r="O5" s="394" t="str">
        <f t="shared" ref="O5:O15" si="1">$E5&amp;$P$2</f>
        <v>GBP2X1S_Quote</v>
      </c>
      <c r="P5" s="349">
        <f t="array" ref="P5:P15">QuoteLive</f>
        <v>0.48874999999999996</v>
      </c>
      <c r="Q5" s="348" t="e">
        <f>_xll.qlSimpleQuoteSetValue($O5,$P5/100,Trigger)</f>
        <v>#N/A</v>
      </c>
      <c r="R5" s="218"/>
      <c r="T5" s="494"/>
      <c r="X5" s="382">
        <f t="shared" ref="X5:X15" si="2">(H5-K5)/50</f>
        <v>9.999999999999998E-4</v>
      </c>
    </row>
    <row r="6" spans="1:24" x14ac:dyDescent="0.2">
      <c r="A6" s="118"/>
      <c r="B6" s="394"/>
      <c r="C6" s="400">
        <v>3</v>
      </c>
      <c r="D6" s="400" t="s">
        <v>205</v>
      </c>
      <c r="E6" s="353" t="str">
        <f t="shared" si="0"/>
        <v>GBP3X1S</v>
      </c>
      <c r="F6" s="353" t="str">
        <v>GBP3X1S=ICAP</v>
      </c>
      <c r="G6" s="401">
        <v>0.4375</v>
      </c>
      <c r="H6" s="401">
        <v>0.53749999999999998</v>
      </c>
      <c r="I6" s="401">
        <v>0</v>
      </c>
      <c r="J6" s="401">
        <v>0</v>
      </c>
      <c r="K6" s="498">
        <f>_xll.qlMidSafe($G6,$H6)</f>
        <v>0.48749999999999999</v>
      </c>
      <c r="L6" s="343"/>
      <c r="M6" s="497">
        <v>0.48499999999999999</v>
      </c>
      <c r="N6" s="343"/>
      <c r="O6" s="394" t="str">
        <f t="shared" si="1"/>
        <v>GBP3X1S_Quote</v>
      </c>
      <c r="P6" s="349">
        <v>0.48749999999999999</v>
      </c>
      <c r="Q6" s="348" t="e">
        <f>_xll.qlSimpleQuoteSetValue($O6,$P6/100,Trigger)</f>
        <v>#N/A</v>
      </c>
      <c r="R6" s="218"/>
      <c r="T6" s="494"/>
      <c r="X6" s="382">
        <f t="shared" si="2"/>
        <v>9.999999999999998E-4</v>
      </c>
    </row>
    <row r="7" spans="1:24" x14ac:dyDescent="0.2">
      <c r="A7" s="118"/>
      <c r="B7" s="394"/>
      <c r="C7" s="400">
        <v>4</v>
      </c>
      <c r="D7" s="400" t="s">
        <v>205</v>
      </c>
      <c r="E7" s="353" t="str">
        <f t="shared" si="0"/>
        <v>GBP4X1S</v>
      </c>
      <c r="F7" s="353" t="str">
        <v>GBP4X1S=ICAP</v>
      </c>
      <c r="G7" s="401">
        <v>0.43625000000000003</v>
      </c>
      <c r="H7" s="401">
        <v>0.53625</v>
      </c>
      <c r="I7" s="401">
        <v>0</v>
      </c>
      <c r="J7" s="401">
        <v>0</v>
      </c>
      <c r="K7" s="498">
        <f>_xll.qlMidSafe($G7,$H7)</f>
        <v>0.48625000000000002</v>
      </c>
      <c r="L7" s="343"/>
      <c r="M7" s="497">
        <v>0.48</v>
      </c>
      <c r="N7" s="343"/>
      <c r="O7" s="394" t="str">
        <f t="shared" si="1"/>
        <v>GBP4X1S_Quote</v>
      </c>
      <c r="P7" s="349">
        <v>0.48625000000000002</v>
      </c>
      <c r="Q7" s="348" t="e">
        <f>_xll.qlSimpleQuoteSetValue($O7,$P7/100,Trigger)</f>
        <v>#N/A</v>
      </c>
      <c r="R7" s="218"/>
      <c r="T7" s="494"/>
      <c r="X7" s="382">
        <f t="shared" si="2"/>
        <v>9.999999999999998E-4</v>
      </c>
    </row>
    <row r="8" spans="1:24" x14ac:dyDescent="0.2">
      <c r="A8" s="118"/>
      <c r="B8" s="394"/>
      <c r="C8" s="400">
        <v>5</v>
      </c>
      <c r="D8" s="400" t="s">
        <v>205</v>
      </c>
      <c r="E8" s="353" t="str">
        <f t="shared" si="0"/>
        <v>GBP5X1S</v>
      </c>
      <c r="F8" s="353" t="str">
        <v>GBP5X1S=ICAP</v>
      </c>
      <c r="G8" s="401">
        <v>0.435</v>
      </c>
      <c r="H8" s="401">
        <v>0.53500000000000003</v>
      </c>
      <c r="I8" s="401">
        <v>0</v>
      </c>
      <c r="J8" s="401">
        <v>0</v>
      </c>
      <c r="K8" s="498">
        <f>_xll.qlMidSafe($G8,$H8)</f>
        <v>0.48499999999999999</v>
      </c>
      <c r="L8" s="343"/>
      <c r="M8" s="497">
        <v>0.47499999999999998</v>
      </c>
      <c r="N8" s="343"/>
      <c r="O8" s="394" t="str">
        <f t="shared" si="1"/>
        <v>GBP5X1S_Quote</v>
      </c>
      <c r="P8" s="349">
        <v>0.48499999999999999</v>
      </c>
      <c r="Q8" s="348" t="e">
        <f>_xll.qlSimpleQuoteSetValue($O8,$P8/100,Trigger)</f>
        <v>#N/A</v>
      </c>
      <c r="R8" s="218"/>
      <c r="T8" s="494"/>
      <c r="X8" s="382">
        <f t="shared" si="2"/>
        <v>1.0000000000000009E-3</v>
      </c>
    </row>
    <row r="9" spans="1:24" x14ac:dyDescent="0.2">
      <c r="A9" s="118"/>
      <c r="B9" s="394"/>
      <c r="C9" s="400">
        <v>6</v>
      </c>
      <c r="D9" s="400" t="s">
        <v>205</v>
      </c>
      <c r="E9" s="353" t="str">
        <f t="shared" si="0"/>
        <v>GBP6X1S</v>
      </c>
      <c r="F9" s="353" t="str">
        <v>GBP6X1S=ICAP</v>
      </c>
      <c r="G9" s="401">
        <v>0.43375000000000002</v>
      </c>
      <c r="H9" s="401">
        <v>0.53374999999999995</v>
      </c>
      <c r="I9" s="401">
        <v>0</v>
      </c>
      <c r="J9" s="401">
        <v>0</v>
      </c>
      <c r="K9" s="498">
        <f>_xll.qlMidSafe($G9,$H9)</f>
        <v>0.48375000000000001</v>
      </c>
      <c r="L9" s="343"/>
      <c r="M9" s="497">
        <v>0.47</v>
      </c>
      <c r="N9" s="343"/>
      <c r="O9" s="394" t="str">
        <f t="shared" si="1"/>
        <v>GBP6X1S_Quote</v>
      </c>
      <c r="P9" s="349">
        <v>0.48375000000000001</v>
      </c>
      <c r="Q9" s="348" t="e">
        <f>_xll.qlSimpleQuoteSetValue($O9,$P9/100,Trigger)</f>
        <v>#N/A</v>
      </c>
      <c r="R9" s="218"/>
      <c r="T9" s="494"/>
      <c r="X9" s="382">
        <f t="shared" si="2"/>
        <v>9.9999999999999872E-4</v>
      </c>
    </row>
    <row r="10" spans="1:24" x14ac:dyDescent="0.2">
      <c r="A10" s="118"/>
      <c r="B10" s="394"/>
      <c r="C10" s="400">
        <v>7</v>
      </c>
      <c r="D10" s="400" t="s">
        <v>205</v>
      </c>
      <c r="E10" s="353" t="str">
        <f t="shared" si="0"/>
        <v>GBP7X1S</v>
      </c>
      <c r="F10" s="353" t="str">
        <v>GBP7X1S=ICAP</v>
      </c>
      <c r="G10" s="401">
        <v>0.4325</v>
      </c>
      <c r="H10" s="401">
        <v>0.53249999999999997</v>
      </c>
      <c r="I10" s="401">
        <v>0</v>
      </c>
      <c r="J10" s="401">
        <v>0</v>
      </c>
      <c r="K10" s="498">
        <f>_xll.qlMidSafe($G10,$H10)</f>
        <v>0.48249999999999998</v>
      </c>
      <c r="L10" s="343"/>
      <c r="M10" s="497">
        <v>0.46500000000000002</v>
      </c>
      <c r="N10" s="343"/>
      <c r="O10" s="394" t="str">
        <f t="shared" si="1"/>
        <v>GBP7X1S_Quote</v>
      </c>
      <c r="P10" s="349">
        <v>0.48249999999999998</v>
      </c>
      <c r="Q10" s="348" t="e">
        <f>_xll.qlSimpleQuoteSetValue($O10,$P10/100,Trigger)</f>
        <v>#N/A</v>
      </c>
      <c r="R10" s="218"/>
      <c r="T10" s="494"/>
      <c r="X10" s="382">
        <f t="shared" si="2"/>
        <v>9.999999999999998E-4</v>
      </c>
    </row>
    <row r="11" spans="1:24" x14ac:dyDescent="0.2">
      <c r="A11" s="118"/>
      <c r="B11" s="394"/>
      <c r="C11" s="400">
        <v>8</v>
      </c>
      <c r="D11" s="400" t="s">
        <v>205</v>
      </c>
      <c r="E11" s="353" t="str">
        <f t="shared" si="0"/>
        <v>GBP8X1S</v>
      </c>
      <c r="F11" s="353" t="str">
        <v>GBP8X1S=ICAP</v>
      </c>
      <c r="G11" s="401">
        <v>0.43125000000000002</v>
      </c>
      <c r="H11" s="401">
        <v>0.53125</v>
      </c>
      <c r="I11" s="401">
        <v>0</v>
      </c>
      <c r="J11" s="401">
        <v>0</v>
      </c>
      <c r="K11" s="498">
        <f>_xll.qlMidSafe($G11,$H11)</f>
        <v>0.48125000000000001</v>
      </c>
      <c r="L11" s="343"/>
      <c r="M11" s="497">
        <v>0.46500000000000002</v>
      </c>
      <c r="N11" s="343"/>
      <c r="O11" s="394" t="str">
        <f t="shared" si="1"/>
        <v>GBP8X1S_Quote</v>
      </c>
      <c r="P11" s="349">
        <v>0.48125000000000001</v>
      </c>
      <c r="Q11" s="348" t="e">
        <f>_xll.qlSimpleQuoteSetValue($O11,$P11/100,Trigger)</f>
        <v>#N/A</v>
      </c>
      <c r="R11" s="218"/>
      <c r="T11" s="494"/>
      <c r="X11" s="382">
        <f t="shared" si="2"/>
        <v>9.999999999999998E-4</v>
      </c>
    </row>
    <row r="12" spans="1:24" x14ac:dyDescent="0.2">
      <c r="A12" s="118"/>
      <c r="B12" s="394"/>
      <c r="C12" s="400">
        <v>9</v>
      </c>
      <c r="D12" s="400" t="s">
        <v>205</v>
      </c>
      <c r="E12" s="353" t="str">
        <f t="shared" si="0"/>
        <v>GBP9X1S</v>
      </c>
      <c r="F12" s="353" t="str">
        <v>GBP9X1S=ICAP</v>
      </c>
      <c r="G12" s="401">
        <v>0.43125000000000002</v>
      </c>
      <c r="H12" s="401">
        <v>0.53125</v>
      </c>
      <c r="I12" s="401">
        <v>0</v>
      </c>
      <c r="J12" s="401">
        <v>0</v>
      </c>
      <c r="K12" s="498">
        <f>_xll.qlMidSafe($G12,$H12)</f>
        <v>0.48125000000000001</v>
      </c>
      <c r="L12" s="343"/>
      <c r="M12" s="497">
        <v>0.46</v>
      </c>
      <c r="N12" s="343"/>
      <c r="O12" s="394" t="str">
        <f t="shared" si="1"/>
        <v>GBP9X1S_Quote</v>
      </c>
      <c r="P12" s="349">
        <v>0.48125000000000001</v>
      </c>
      <c r="Q12" s="348" t="e">
        <f>_xll.qlSimpleQuoteSetValue($O12,$P12/100,Trigger)</f>
        <v>#N/A</v>
      </c>
      <c r="R12" s="218"/>
      <c r="T12" s="494"/>
      <c r="X12" s="382">
        <f t="shared" si="2"/>
        <v>9.999999999999998E-4</v>
      </c>
    </row>
    <row r="13" spans="1:24" x14ac:dyDescent="0.2">
      <c r="A13" s="118"/>
      <c r="B13" s="394"/>
      <c r="C13" s="400">
        <v>10</v>
      </c>
      <c r="D13" s="400" t="s">
        <v>205</v>
      </c>
      <c r="E13" s="353" t="str">
        <f t="shared" si="0"/>
        <v>GBP10X1S</v>
      </c>
      <c r="F13" s="353" t="str">
        <v>GBP10X1S=ICAP</v>
      </c>
      <c r="G13" s="401">
        <v>0.43</v>
      </c>
      <c r="H13" s="401">
        <v>0.53</v>
      </c>
      <c r="I13" s="401">
        <v>0</v>
      </c>
      <c r="J13" s="401">
        <v>0</v>
      </c>
      <c r="K13" s="498">
        <f>_xll.qlMidSafe($G13,$H13)</f>
        <v>0.48</v>
      </c>
      <c r="L13" s="343"/>
      <c r="M13" s="497">
        <v>0.46</v>
      </c>
      <c r="N13" s="343"/>
      <c r="O13" s="394" t="str">
        <f t="shared" si="1"/>
        <v>GBP10X1S_Quote</v>
      </c>
      <c r="P13" s="349">
        <v>0.48</v>
      </c>
      <c r="Q13" s="348" t="e">
        <f>_xll.qlSimpleQuoteSetValue($O13,$P13/100,Trigger)</f>
        <v>#N/A</v>
      </c>
      <c r="R13" s="218"/>
      <c r="T13" s="494"/>
      <c r="X13" s="382">
        <f t="shared" si="2"/>
        <v>1.0000000000000009E-3</v>
      </c>
    </row>
    <row r="14" spans="1:24" x14ac:dyDescent="0.2">
      <c r="A14" s="118"/>
      <c r="B14" s="394"/>
      <c r="C14" s="400">
        <v>11</v>
      </c>
      <c r="D14" s="400" t="s">
        <v>205</v>
      </c>
      <c r="E14" s="353" t="str">
        <f t="shared" si="0"/>
        <v>GBP11X1S</v>
      </c>
      <c r="F14" s="353" t="str">
        <v>GBP11X1S=ICAP</v>
      </c>
      <c r="G14" s="401">
        <v>0.43</v>
      </c>
      <c r="H14" s="401">
        <v>0.53</v>
      </c>
      <c r="I14" s="401">
        <v>0</v>
      </c>
      <c r="J14" s="401">
        <v>0</v>
      </c>
      <c r="K14" s="498">
        <f>_xll.qlMidSafe($G14,$H14)</f>
        <v>0.48</v>
      </c>
      <c r="L14" s="343"/>
      <c r="M14" s="497">
        <v>0.46</v>
      </c>
      <c r="N14" s="343"/>
      <c r="O14" s="394" t="str">
        <f t="shared" si="1"/>
        <v>GBP11X1S_Quote</v>
      </c>
      <c r="P14" s="349">
        <v>0.48</v>
      </c>
      <c r="Q14" s="348" t="e">
        <f>_xll.qlSimpleQuoteSetValue($O14,$P14/100,Trigger)</f>
        <v>#N/A</v>
      </c>
      <c r="R14" s="218"/>
      <c r="T14" s="494"/>
      <c r="X14" s="382">
        <f t="shared" si="2"/>
        <v>1.0000000000000009E-3</v>
      </c>
    </row>
    <row r="15" spans="1:24" x14ac:dyDescent="0.2">
      <c r="A15" s="118"/>
      <c r="B15" s="407"/>
      <c r="C15" s="396">
        <v>12</v>
      </c>
      <c r="D15" s="396" t="s">
        <v>205</v>
      </c>
      <c r="E15" s="346" t="str">
        <f t="shared" si="0"/>
        <v>GBP12X1S</v>
      </c>
      <c r="F15" s="346" t="str">
        <v>GBP12X1S=ICAP</v>
      </c>
      <c r="G15" s="397">
        <v>0.43125000000000002</v>
      </c>
      <c r="H15" s="397">
        <v>0.53125</v>
      </c>
      <c r="I15" s="397">
        <v>0</v>
      </c>
      <c r="J15" s="397">
        <v>0</v>
      </c>
      <c r="K15" s="496">
        <f>_xll.qlMidSafe($G15,$H15)</f>
        <v>0.48125000000000001</v>
      </c>
      <c r="L15" s="343"/>
      <c r="M15" s="495">
        <v>0.46</v>
      </c>
      <c r="N15" s="343"/>
      <c r="O15" s="407" t="str">
        <f t="shared" si="1"/>
        <v>GBP12X1S_Quote</v>
      </c>
      <c r="P15" s="341">
        <v>0.48125000000000001</v>
      </c>
      <c r="Q15" s="340" t="e">
        <f>_xll.qlSimpleQuoteSetValue($O15,$P15/100,Trigger)</f>
        <v>#N/A</v>
      </c>
      <c r="R15" s="218"/>
      <c r="T15" s="494"/>
      <c r="X15" s="382">
        <f t="shared" si="2"/>
        <v>9.999999999999998E-4</v>
      </c>
    </row>
    <row r="16" spans="1:24" ht="13.5" thickBot="1" x14ac:dyDescent="0.25">
      <c r="A16" s="32"/>
      <c r="B16" s="31"/>
      <c r="C16" s="31"/>
      <c r="D16" s="31"/>
      <c r="E16" s="31"/>
      <c r="F16" s="31"/>
      <c r="G16" s="31"/>
      <c r="H16" s="31"/>
      <c r="I16" s="31"/>
      <c r="J16" s="31"/>
      <c r="K16" s="31"/>
      <c r="L16" s="31"/>
      <c r="M16" s="31"/>
      <c r="N16" s="31"/>
      <c r="O16" s="31"/>
      <c r="P16" s="31"/>
      <c r="Q16" s="31"/>
      <c r="R16" s="384"/>
    </row>
  </sheetData>
  <conditionalFormatting sqref="Q5:Q15">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X12"/>
  <sheetViews>
    <sheetView workbookViewId="0"/>
  </sheetViews>
  <sheetFormatPr defaultRowHeight="12.75" x14ac:dyDescent="0.2"/>
  <cols>
    <col min="1" max="1" width="5" style="63" customWidth="1"/>
    <col min="2" max="2" width="3.85546875" style="63" bestFit="1" customWidth="1"/>
    <col min="3" max="3" width="2.85546875" style="63" bestFit="1" customWidth="1"/>
    <col min="4" max="4" width="2.7109375" style="63" bestFit="1" customWidth="1"/>
    <col min="5" max="5" width="7.5703125" style="63" bestFit="1" customWidth="1"/>
    <col min="6" max="6" width="11.7109375" style="63" bestFit="1" customWidth="1"/>
    <col min="7" max="9" width="5.7109375" style="63" bestFit="1" customWidth="1"/>
    <col min="10" max="10" width="10" style="63" bestFit="1" customWidth="1"/>
    <col min="11" max="11" width="5.7109375" style="63" bestFit="1" customWidth="1"/>
    <col min="12" max="12" width="5" style="63" customWidth="1"/>
    <col min="13" max="13" width="5.7109375" style="63" bestFit="1" customWidth="1"/>
    <col min="14" max="14" width="5" style="63" customWidth="1"/>
    <col min="15" max="15" width="12.5703125" style="63" bestFit="1" customWidth="1"/>
    <col min="16" max="17" width="7.7109375" style="63" bestFit="1" customWidth="1"/>
    <col min="18" max="18" width="5" style="63" customWidth="1"/>
    <col min="19" max="19" width="5.140625" style="63" customWidth="1"/>
    <col min="20" max="23" width="9.140625" style="63"/>
    <col min="24" max="24" width="7" style="63" bestFit="1" customWidth="1"/>
    <col min="25" max="16384" width="9.140625" style="63"/>
  </cols>
  <sheetData>
    <row r="1" spans="1:24" ht="13.5" thickBot="1" x14ac:dyDescent="0.25">
      <c r="A1" s="417" t="s">
        <v>356</v>
      </c>
      <c r="B1" s="201"/>
      <c r="C1" s="201"/>
      <c r="D1" s="201"/>
      <c r="E1" s="201"/>
      <c r="F1" s="201"/>
      <c r="G1" s="201"/>
      <c r="H1" s="201"/>
      <c r="I1" s="201"/>
      <c r="J1" s="201"/>
      <c r="K1" s="201"/>
      <c r="L1" s="201"/>
      <c r="M1" s="201"/>
      <c r="N1" s="201"/>
      <c r="O1" s="201"/>
      <c r="P1" s="201"/>
      <c r="Q1" s="201"/>
      <c r="R1" s="198"/>
    </row>
    <row r="2" spans="1:24" ht="13.5" thickBot="1" x14ac:dyDescent="0.25">
      <c r="A2" s="380"/>
      <c r="B2" s="133"/>
      <c r="C2" s="343"/>
      <c r="D2" s="343"/>
      <c r="E2" s="343"/>
      <c r="F2" s="140" t="s">
        <v>276</v>
      </c>
      <c r="G2" s="343"/>
      <c r="H2" s="343"/>
      <c r="I2" s="343"/>
      <c r="J2" s="343"/>
      <c r="K2" s="133"/>
      <c r="L2" s="343"/>
      <c r="M2" s="343"/>
      <c r="N2" s="343"/>
      <c r="O2" s="502" t="s">
        <v>289</v>
      </c>
      <c r="P2" s="501" t="s">
        <v>131</v>
      </c>
      <c r="Q2" s="133"/>
      <c r="R2" s="33"/>
    </row>
    <row r="3" spans="1:24" x14ac:dyDescent="0.2">
      <c r="A3" s="118"/>
      <c r="B3" s="343"/>
      <c r="C3" s="133"/>
      <c r="D3" s="133"/>
      <c r="E3" s="133"/>
      <c r="F3" s="133"/>
      <c r="G3" s="133"/>
      <c r="H3" s="133"/>
      <c r="I3" s="133"/>
      <c r="J3" s="133"/>
      <c r="K3" s="133"/>
      <c r="L3" s="343"/>
      <c r="M3" s="343"/>
      <c r="N3" s="343"/>
      <c r="O3" s="133"/>
      <c r="P3" s="133"/>
      <c r="Q3" s="459">
        <f>_xll.ohTrigger(Q5:Q11)</f>
        <v>3</v>
      </c>
      <c r="R3" s="218"/>
    </row>
    <row r="4" spans="1:24" ht="22.5" x14ac:dyDescent="0.2">
      <c r="A4" s="118"/>
      <c r="B4" s="500"/>
      <c r="C4" s="196"/>
      <c r="D4" s="196"/>
      <c r="E4" s="196"/>
      <c r="F4" s="374" t="e">
        <f ca="1">_xll.RData(F5:F11,G4:J4,"RTFEED:IDN",ReutersRtMode,,G5)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94"/>
      <c r="C5" s="400" t="s">
        <v>206</v>
      </c>
      <c r="D5" s="400">
        <v>12</v>
      </c>
      <c r="E5" s="353" t="str">
        <f t="shared" ref="E5:E11" si="0">Currency&amp;$C5&amp;$D5&amp;$B5</f>
        <v>GBP1S12</v>
      </c>
      <c r="F5" s="353" t="str">
        <f t="array" ref="F5:F11">Instruments&amp;"="&amp;VLOOKUP(Contributor,ContributorTable,2,FALSE)</f>
        <v>GBP1S12=ICAP</v>
      </c>
      <c r="G5" s="401">
        <v>0.52500000000000002</v>
      </c>
      <c r="H5" s="401">
        <v>0.54500000000000004</v>
      </c>
      <c r="I5" s="401">
        <v>0</v>
      </c>
      <c r="J5" s="401">
        <v>0</v>
      </c>
      <c r="K5" s="498">
        <f>_xll.qlMidSafe($G5,$H5)</f>
        <v>0.53500000000000003</v>
      </c>
      <c r="L5" s="343"/>
      <c r="M5" s="497">
        <v>0.51</v>
      </c>
      <c r="N5" s="343"/>
      <c r="O5" s="394" t="str">
        <f t="shared" ref="O5:O11" si="1">$E5&amp;$P$2</f>
        <v>GBP1S12_Quote</v>
      </c>
      <c r="P5" s="349">
        <f t="array" ref="P5:P11">QuoteLive</f>
        <v>0.53500000000000003</v>
      </c>
      <c r="Q5" s="348" t="e">
        <f>_xll.qlSimpleQuoteSetValue($O5,$P5/100,Trigger)</f>
        <v>#N/A</v>
      </c>
      <c r="R5" s="218"/>
      <c r="X5" s="382">
        <f t="shared" ref="X5:X11" si="2">(H5-K5)/50</f>
        <v>2.0000000000000017E-4</v>
      </c>
    </row>
    <row r="6" spans="1:24" x14ac:dyDescent="0.2">
      <c r="A6" s="118"/>
      <c r="B6" s="394"/>
      <c r="C6" s="400" t="s">
        <v>207</v>
      </c>
      <c r="D6" s="400">
        <v>12</v>
      </c>
      <c r="E6" s="353" t="str">
        <f t="shared" si="0"/>
        <v>GBP2S12</v>
      </c>
      <c r="F6" s="353" t="str">
        <v>GBP2S12=ICAP</v>
      </c>
      <c r="G6" s="401">
        <v>0.54500000000000004</v>
      </c>
      <c r="H6" s="401">
        <v>0.56499999999999995</v>
      </c>
      <c r="I6" s="401">
        <v>0</v>
      </c>
      <c r="J6" s="401">
        <v>0</v>
      </c>
      <c r="K6" s="498">
        <f>_xll.qlMidSafe($G6,$H6)</f>
        <v>0.55499999999999994</v>
      </c>
      <c r="L6" s="343"/>
      <c r="M6" s="497">
        <v>0.51</v>
      </c>
      <c r="N6" s="343"/>
      <c r="O6" s="394" t="str">
        <f t="shared" si="1"/>
        <v>GBP2S12_Quote</v>
      </c>
      <c r="P6" s="349">
        <v>0.55499999999999994</v>
      </c>
      <c r="Q6" s="348" t="e">
        <f>_xll.qlSimpleQuoteSetValue($O6,$P6/100,Trigger)</f>
        <v>#N/A</v>
      </c>
      <c r="R6" s="218"/>
      <c r="X6" s="382">
        <f t="shared" si="2"/>
        <v>2.0000000000000017E-4</v>
      </c>
    </row>
    <row r="7" spans="1:24" x14ac:dyDescent="0.2">
      <c r="A7" s="118"/>
      <c r="B7" s="394"/>
      <c r="C7" s="400" t="s">
        <v>209</v>
      </c>
      <c r="D7" s="400">
        <v>12</v>
      </c>
      <c r="E7" s="353" t="str">
        <f t="shared" si="0"/>
        <v>GBP3S12</v>
      </c>
      <c r="F7" s="353" t="str">
        <v>GBP3S12=ICAP</v>
      </c>
      <c r="G7" s="401">
        <v>0.56999999999999995</v>
      </c>
      <c r="H7" s="401">
        <v>0.59</v>
      </c>
      <c r="I7" s="401">
        <v>0</v>
      </c>
      <c r="J7" s="401">
        <v>0</v>
      </c>
      <c r="K7" s="498">
        <f>_xll.qlMidSafe($G7,$H7)</f>
        <v>0.57999999999999996</v>
      </c>
      <c r="L7" s="343"/>
      <c r="M7" s="497">
        <v>0.52</v>
      </c>
      <c r="N7" s="343"/>
      <c r="O7" s="394" t="str">
        <f t="shared" si="1"/>
        <v>GBP3S12_Quote</v>
      </c>
      <c r="P7" s="349">
        <v>0.57999999999999996</v>
      </c>
      <c r="Q7" s="348" t="e">
        <f>_xll.qlSimpleQuoteSetValue($O7,$P7/100,Trigger)</f>
        <v>#N/A</v>
      </c>
      <c r="R7" s="218"/>
      <c r="X7" s="382">
        <f t="shared" si="2"/>
        <v>2.0000000000000017E-4</v>
      </c>
    </row>
    <row r="8" spans="1:24" x14ac:dyDescent="0.2">
      <c r="A8" s="118"/>
      <c r="B8" s="394"/>
      <c r="C8" s="400" t="s">
        <v>208</v>
      </c>
      <c r="D8" s="400">
        <v>12</v>
      </c>
      <c r="E8" s="353" t="str">
        <f t="shared" si="0"/>
        <v>GBP4S12</v>
      </c>
      <c r="F8" s="353" t="str">
        <v>GBP4S12=ICAP</v>
      </c>
      <c r="G8" s="401">
        <v>0.61</v>
      </c>
      <c r="H8" s="401">
        <v>0.63</v>
      </c>
      <c r="I8" s="401">
        <v>0</v>
      </c>
      <c r="J8" s="401">
        <v>0</v>
      </c>
      <c r="K8" s="498">
        <f>_xll.qlMidSafe($G8,$H8)</f>
        <v>0.62</v>
      </c>
      <c r="L8" s="343"/>
      <c r="M8" s="497">
        <v>0.54</v>
      </c>
      <c r="N8" s="343"/>
      <c r="O8" s="394" t="str">
        <f t="shared" si="1"/>
        <v>GBP4S12_Quote</v>
      </c>
      <c r="P8" s="349">
        <v>0.62</v>
      </c>
      <c r="Q8" s="348" t="e">
        <f>_xll.qlSimpleQuoteSetValue($O8,$P8/100,Trigger)</f>
        <v>#N/A</v>
      </c>
      <c r="R8" s="218"/>
      <c r="X8" s="382">
        <f t="shared" si="2"/>
        <v>2.0000000000000017E-4</v>
      </c>
    </row>
    <row r="9" spans="1:24" x14ac:dyDescent="0.2">
      <c r="A9" s="118"/>
      <c r="B9" s="394"/>
      <c r="C9" s="400" t="s">
        <v>206</v>
      </c>
      <c r="D9" s="400">
        <v>24</v>
      </c>
      <c r="E9" s="353" t="str">
        <f t="shared" si="0"/>
        <v>GBP1S24</v>
      </c>
      <c r="F9" s="353" t="str">
        <v>GBP1S24=ICAP</v>
      </c>
      <c r="G9" s="401">
        <v>0.59</v>
      </c>
      <c r="H9" s="401">
        <v>0.61</v>
      </c>
      <c r="I9" s="401">
        <v>0</v>
      </c>
      <c r="J9" s="401">
        <v>0</v>
      </c>
      <c r="K9" s="498">
        <f>_xll.qlMidSafe($G9,$H9)</f>
        <v>0.6</v>
      </c>
      <c r="L9" s="343"/>
      <c r="M9" s="497">
        <v>0.53500000000000003</v>
      </c>
      <c r="N9" s="343"/>
      <c r="O9" s="394" t="str">
        <f t="shared" si="1"/>
        <v>GBP1S24_Quote</v>
      </c>
      <c r="P9" s="349">
        <v>0.6</v>
      </c>
      <c r="Q9" s="348" t="e">
        <f>_xll.qlSimpleQuoteSetValue($O9,$P9/100,Trigger)</f>
        <v>#N/A</v>
      </c>
      <c r="R9" s="218"/>
      <c r="X9" s="382">
        <f t="shared" si="2"/>
        <v>2.0000000000000017E-4</v>
      </c>
    </row>
    <row r="10" spans="1:24" x14ac:dyDescent="0.2">
      <c r="A10" s="118"/>
      <c r="B10" s="394"/>
      <c r="C10" s="400" t="s">
        <v>207</v>
      </c>
      <c r="D10" s="400">
        <v>24</v>
      </c>
      <c r="E10" s="353" t="str">
        <f t="shared" si="0"/>
        <v>GBP2S24</v>
      </c>
      <c r="F10" s="353" t="str">
        <v>GBP2S24=ICAP</v>
      </c>
      <c r="G10" s="401">
        <v>0.63</v>
      </c>
      <c r="H10" s="401">
        <v>0.65</v>
      </c>
      <c r="I10" s="401">
        <v>0</v>
      </c>
      <c r="J10" s="401">
        <v>0</v>
      </c>
      <c r="K10" s="498">
        <f>_xll.qlMidSafe($G10,$H10)</f>
        <v>0.64</v>
      </c>
      <c r="L10" s="343"/>
      <c r="M10" s="497">
        <v>0.55500000000000005</v>
      </c>
      <c r="N10" s="343"/>
      <c r="O10" s="394" t="str">
        <f t="shared" si="1"/>
        <v>GBP2S24_Quote</v>
      </c>
      <c r="P10" s="349">
        <v>0.64</v>
      </c>
      <c r="Q10" s="348" t="e">
        <f>_xll.qlSimpleQuoteSetValue($O10,$P10/100,Trigger)</f>
        <v>#N/A</v>
      </c>
      <c r="R10" s="218"/>
      <c r="X10" s="382">
        <f t="shared" si="2"/>
        <v>2.0000000000000017E-4</v>
      </c>
    </row>
    <row r="11" spans="1:24" x14ac:dyDescent="0.2">
      <c r="A11" s="118"/>
      <c r="B11" s="407"/>
      <c r="C11" s="396" t="s">
        <v>206</v>
      </c>
      <c r="D11" s="396">
        <v>36</v>
      </c>
      <c r="E11" s="346" t="str">
        <f t="shared" si="0"/>
        <v>GBP1S36</v>
      </c>
      <c r="F11" s="346" t="str">
        <v>GBP1S36=ICAP</v>
      </c>
      <c r="G11" s="397" t="s">
        <v>233</v>
      </c>
      <c r="H11" s="397" t="s">
        <v>233</v>
      </c>
      <c r="I11" s="397" t="s">
        <v>233</v>
      </c>
      <c r="J11" s="397" t="s">
        <v>233</v>
      </c>
      <c r="K11" s="496" t="e">
        <f>_xll.qlMidSafe($G11,$H11)</f>
        <v>#NUM!</v>
      </c>
      <c r="L11" s="343"/>
      <c r="M11" s="495" t="e">
        <v>#NUM!</v>
      </c>
      <c r="N11" s="343"/>
      <c r="O11" s="407" t="str">
        <f t="shared" si="1"/>
        <v>GBP1S36_Quote</v>
      </c>
      <c r="P11" s="341" t="e">
        <v>#NUM!</v>
      </c>
      <c r="Q11" s="340" t="e">
        <f>_xll.qlSimpleQuoteSetValue($O11,$P11/100,Trigger)</f>
        <v>#NUM!</v>
      </c>
      <c r="R11" s="218"/>
      <c r="X11" s="382" t="e">
        <f t="shared" si="2"/>
        <v>#VALUE!</v>
      </c>
    </row>
    <row r="12" spans="1:24" ht="13.5" thickBot="1" x14ac:dyDescent="0.25">
      <c r="A12" s="32"/>
      <c r="B12" s="31"/>
      <c r="C12" s="31"/>
      <c r="D12" s="31"/>
      <c r="E12" s="31"/>
      <c r="F12" s="31"/>
      <c r="G12" s="31"/>
      <c r="H12" s="31"/>
      <c r="I12" s="31"/>
      <c r="J12" s="31"/>
      <c r="K12" s="31"/>
      <c r="L12" s="31"/>
      <c r="M12" s="31"/>
      <c r="N12" s="31"/>
      <c r="O12" s="31"/>
      <c r="P12" s="31"/>
      <c r="Q12" s="31"/>
      <c r="R12" s="384"/>
    </row>
  </sheetData>
  <conditionalFormatting sqref="Q5:Q11">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X43"/>
  <sheetViews>
    <sheetView workbookViewId="0"/>
  </sheetViews>
  <sheetFormatPr defaultRowHeight="11.25" x14ac:dyDescent="0.2"/>
  <cols>
    <col min="1" max="1" width="5" style="64" customWidth="1"/>
    <col min="2" max="2" width="3.85546875" style="64" bestFit="1" customWidth="1"/>
    <col min="3" max="3" width="3.28515625" style="64" bestFit="1" customWidth="1"/>
    <col min="4" max="4" width="2.7109375" style="64" bestFit="1" customWidth="1"/>
    <col min="5" max="5" width="10.85546875" style="64" bestFit="1" customWidth="1"/>
    <col min="6" max="6" width="15.140625" style="64" bestFit="1" customWidth="1"/>
    <col min="7" max="9" width="5.7109375" style="64" bestFit="1" customWidth="1"/>
    <col min="10" max="10" width="10" style="64" bestFit="1" customWidth="1"/>
    <col min="11" max="11" width="5.7109375" style="64" bestFit="1" customWidth="1"/>
    <col min="12" max="12" width="5" style="64" customWidth="1"/>
    <col min="13" max="13" width="5.7109375" style="64" bestFit="1" customWidth="1"/>
    <col min="14" max="14" width="5" style="64" customWidth="1"/>
    <col min="15" max="15" width="16" style="64" bestFit="1" customWidth="1"/>
    <col min="16" max="17" width="7.7109375" style="64" bestFit="1" customWidth="1"/>
    <col min="18" max="18" width="5" style="64" customWidth="1"/>
    <col min="19" max="19" width="5.140625" style="64" customWidth="1"/>
    <col min="20" max="20" width="4" style="64" bestFit="1" customWidth="1"/>
    <col min="21" max="21" width="3.28515625" style="64" bestFit="1" customWidth="1"/>
    <col min="22" max="22" width="2.7109375" style="64" bestFit="1" customWidth="1"/>
    <col min="23" max="23" width="9.140625" style="64"/>
    <col min="24" max="24" width="7.140625" style="64" bestFit="1" customWidth="1"/>
    <col min="25" max="16384" width="9.140625" style="64"/>
  </cols>
  <sheetData>
    <row r="1" spans="1:24" ht="12" thickBot="1" x14ac:dyDescent="0.25">
      <c r="A1" s="417" t="s">
        <v>356</v>
      </c>
      <c r="B1" s="201"/>
      <c r="C1" s="201"/>
      <c r="D1" s="201"/>
      <c r="E1" s="201"/>
      <c r="F1" s="201"/>
      <c r="G1" s="201"/>
      <c r="H1" s="201"/>
      <c r="I1" s="201"/>
      <c r="J1" s="201"/>
      <c r="K1" s="201"/>
      <c r="L1" s="201"/>
      <c r="M1" s="201"/>
      <c r="N1" s="201"/>
      <c r="O1" s="201"/>
      <c r="P1" s="201"/>
      <c r="Q1" s="201"/>
      <c r="R1" s="198"/>
    </row>
    <row r="2" spans="1:24" ht="15" customHeight="1" thickBot="1" x14ac:dyDescent="0.25">
      <c r="A2" s="380"/>
      <c r="B2" s="133"/>
      <c r="C2" s="343"/>
      <c r="D2" s="343"/>
      <c r="E2" s="343"/>
      <c r="F2" s="140" t="s">
        <v>276</v>
      </c>
      <c r="G2" s="343"/>
      <c r="H2" s="343"/>
      <c r="I2" s="343"/>
      <c r="J2" s="343"/>
      <c r="K2" s="133"/>
      <c r="L2" s="343"/>
      <c r="M2" s="343"/>
      <c r="N2" s="343"/>
      <c r="O2" s="508" t="s">
        <v>289</v>
      </c>
      <c r="P2" s="507" t="s">
        <v>131</v>
      </c>
      <c r="Q2" s="133"/>
      <c r="R2" s="33"/>
    </row>
    <row r="3" spans="1:24" x14ac:dyDescent="0.2">
      <c r="A3" s="118"/>
      <c r="B3" s="343"/>
      <c r="C3" s="133"/>
      <c r="D3" s="133"/>
      <c r="E3" s="133"/>
      <c r="F3" s="133"/>
      <c r="G3" s="133"/>
      <c r="H3" s="133"/>
      <c r="I3" s="133"/>
      <c r="J3" s="133"/>
      <c r="K3" s="133"/>
      <c r="L3" s="343"/>
      <c r="M3" s="343"/>
      <c r="N3" s="343"/>
      <c r="O3" s="133"/>
      <c r="P3" s="133"/>
      <c r="Q3" s="375">
        <f>_xll.ohTrigger(Q5:Q42)</f>
        <v>3</v>
      </c>
      <c r="R3" s="218"/>
    </row>
    <row r="4" spans="1:24" ht="23.25" thickBot="1" x14ac:dyDescent="0.25">
      <c r="A4" s="118"/>
      <c r="B4" s="500"/>
      <c r="C4" s="196"/>
      <c r="D4" s="196"/>
      <c r="E4" s="196"/>
      <c r="F4" s="374" t="e">
        <f ca="1">_xll.RData(F5:F42,G4:J4,"RTFEED:IDN",ReutersRtMode,,G5)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54" t="s">
        <v>8</v>
      </c>
      <c r="C5" s="400" t="str">
        <f t="array" ref="C5:C42">VLOOKUP(Currency,Conventions,2)</f>
        <v>AM</v>
      </c>
      <c r="D5" s="400" t="str">
        <f t="array" ref="D5:D42">VLOOKUP(Currency,Conventions,3)</f>
        <v>3L</v>
      </c>
      <c r="E5" s="400" t="str">
        <f t="shared" ref="E5:E42" si="0">Currency&amp;$C5&amp;$D5&amp;$B5</f>
        <v>GBPAM3L6M</v>
      </c>
      <c r="F5" s="400" t="str">
        <f t="array" ref="F5:F42">Instruments&amp;"="&amp;VLOOKUP(Contributor,ContributorTable,2,FALSE)</f>
        <v>GBPAM3L6M=ICAP</v>
      </c>
      <c r="G5" s="401">
        <v>0.50124999999999997</v>
      </c>
      <c r="H5" s="401">
        <v>0.53125</v>
      </c>
      <c r="I5" s="401">
        <v>0</v>
      </c>
      <c r="J5" s="401">
        <v>0</v>
      </c>
      <c r="K5" s="352">
        <f>_xll.qlMidSafe($G5,$H5)</f>
        <v>0.51624999999999999</v>
      </c>
      <c r="L5" s="343"/>
      <c r="M5" s="351">
        <v>0.51500000000000001</v>
      </c>
      <c r="N5" s="343"/>
      <c r="O5" s="394" t="str">
        <f t="shared" ref="O5:O42" si="1">$E5&amp;$P$2</f>
        <v>GBPAM3L6M_Quote</v>
      </c>
      <c r="P5" s="349">
        <f t="array" ref="P5:P42">QuoteLive</f>
        <v>0.51624999999999999</v>
      </c>
      <c r="Q5" s="348" t="e">
        <f>_xll.qlSimpleQuoteSetValue($O5,$P5/100,Trigger)</f>
        <v>#NUM!</v>
      </c>
      <c r="R5" s="218"/>
      <c r="T5" s="506" t="s">
        <v>121</v>
      </c>
      <c r="U5" s="85" t="s">
        <v>212</v>
      </c>
      <c r="V5" s="84" t="s">
        <v>114</v>
      </c>
      <c r="X5" s="382">
        <f t="shared" ref="X5:X42" si="2">(H5-K5)/50</f>
        <v>3.0000000000000024E-4</v>
      </c>
    </row>
    <row r="6" spans="1:24" x14ac:dyDescent="0.2">
      <c r="A6" s="118"/>
      <c r="B6" s="354" t="s">
        <v>1</v>
      </c>
      <c r="C6" s="400" t="str">
        <v>AM</v>
      </c>
      <c r="D6" s="400" t="str">
        <v>3L</v>
      </c>
      <c r="E6" s="400" t="str">
        <f t="shared" si="0"/>
        <v>GBPAM3L1Y</v>
      </c>
      <c r="F6" s="400" t="str">
        <v>GBPAM3L1Y=ICAP</v>
      </c>
      <c r="G6" s="401">
        <v>0.51500000000000001</v>
      </c>
      <c r="H6" s="401">
        <v>0.54500000000000004</v>
      </c>
      <c r="I6" s="401">
        <v>0</v>
      </c>
      <c r="J6" s="401">
        <v>0</v>
      </c>
      <c r="K6" s="352">
        <f>_xll.qlMidSafe($G6,$H6)</f>
        <v>0.53</v>
      </c>
      <c r="L6" s="343"/>
      <c r="M6" s="351">
        <v>0.51</v>
      </c>
      <c r="N6" s="343"/>
      <c r="O6" s="394" t="str">
        <f t="shared" si="1"/>
        <v>GBPAM3L1Y_Quote</v>
      </c>
      <c r="P6" s="349">
        <v>0.53</v>
      </c>
      <c r="Q6" s="348" t="e">
        <f>_xll.qlSimpleQuoteSetValue($O6,$P6/100,Trigger)</f>
        <v>#N/A</v>
      </c>
      <c r="R6" s="218"/>
      <c r="T6" s="207" t="s">
        <v>120</v>
      </c>
      <c r="U6" s="82" t="s">
        <v>212</v>
      </c>
      <c r="V6" s="81" t="s">
        <v>126</v>
      </c>
      <c r="X6" s="382">
        <f t="shared" si="2"/>
        <v>3.0000000000000024E-4</v>
      </c>
    </row>
    <row r="7" spans="1:24" x14ac:dyDescent="0.2">
      <c r="A7" s="118"/>
      <c r="B7" s="354" t="s">
        <v>124</v>
      </c>
      <c r="C7" s="400" t="str">
        <v>AM</v>
      </c>
      <c r="D7" s="400" t="str">
        <v>3L</v>
      </c>
      <c r="E7" s="400" t="str">
        <f t="shared" si="0"/>
        <v>GBPAM3L15M</v>
      </c>
      <c r="F7" s="400" t="str">
        <v>GBPAM3L15M=ICAP</v>
      </c>
      <c r="G7" s="401">
        <v>0.52375000000000005</v>
      </c>
      <c r="H7" s="401">
        <v>0.55374999999999996</v>
      </c>
      <c r="I7" s="401">
        <v>0</v>
      </c>
      <c r="J7" s="401">
        <v>0</v>
      </c>
      <c r="K7" s="352">
        <f>_xll.qlMidSafe($G7,$H7)</f>
        <v>0.53875000000000006</v>
      </c>
      <c r="L7" s="343"/>
      <c r="M7" s="351">
        <v>0.51249999999999996</v>
      </c>
      <c r="N7" s="343"/>
      <c r="O7" s="394" t="str">
        <f t="shared" si="1"/>
        <v>GBPAM3L15M_Quote</v>
      </c>
      <c r="P7" s="349">
        <v>0.53875000000000006</v>
      </c>
      <c r="Q7" s="348" t="e">
        <f>_xll.qlSimpleQuoteSetValue($O7,$P7/100,Trigger)</f>
        <v>#N/A</v>
      </c>
      <c r="R7" s="218"/>
      <c r="T7" s="207" t="s">
        <v>96</v>
      </c>
      <c r="U7" s="82" t="s">
        <v>210</v>
      </c>
      <c r="V7" s="81" t="s">
        <v>114</v>
      </c>
      <c r="X7" s="382">
        <f t="shared" si="2"/>
        <v>2.9999999999999802E-4</v>
      </c>
    </row>
    <row r="8" spans="1:24" x14ac:dyDescent="0.2">
      <c r="A8" s="118"/>
      <c r="B8" s="354" t="s">
        <v>123</v>
      </c>
      <c r="C8" s="400" t="str">
        <v>AM</v>
      </c>
      <c r="D8" s="400" t="str">
        <v>3L</v>
      </c>
      <c r="E8" s="400" t="str">
        <f t="shared" si="0"/>
        <v>GBPAM3L18M</v>
      </c>
      <c r="F8" s="400" t="str">
        <v>GBPAM3L18M=ICAP</v>
      </c>
      <c r="G8" s="401">
        <v>0.53625</v>
      </c>
      <c r="H8" s="401">
        <v>0.56625000000000003</v>
      </c>
      <c r="I8" s="401">
        <v>0</v>
      </c>
      <c r="J8" s="401">
        <v>0</v>
      </c>
      <c r="K8" s="352">
        <f>_xll.qlMidSafe($G8,$H8)</f>
        <v>0.55125000000000002</v>
      </c>
      <c r="L8" s="343"/>
      <c r="M8" s="351">
        <v>0.51749999999999996</v>
      </c>
      <c r="N8" s="343"/>
      <c r="O8" s="394" t="str">
        <f t="shared" si="1"/>
        <v>GBPAM3L18M_Quote</v>
      </c>
      <c r="P8" s="349">
        <v>0.55125000000000002</v>
      </c>
      <c r="Q8" s="348" t="e">
        <f>_xll.qlSimpleQuoteSetValue($O8,$P8/100,Trigger)</f>
        <v>#N/A</v>
      </c>
      <c r="R8" s="218"/>
      <c r="T8" s="207" t="s">
        <v>230</v>
      </c>
      <c r="U8" s="82" t="s">
        <v>316</v>
      </c>
      <c r="V8" s="81" t="s">
        <v>315</v>
      </c>
      <c r="X8" s="382">
        <f t="shared" si="2"/>
        <v>3.0000000000000024E-4</v>
      </c>
    </row>
    <row r="9" spans="1:24" x14ac:dyDescent="0.2">
      <c r="A9" s="118"/>
      <c r="B9" s="354" t="s">
        <v>122</v>
      </c>
      <c r="C9" s="400" t="str">
        <v>AM</v>
      </c>
      <c r="D9" s="400" t="str">
        <v>3L</v>
      </c>
      <c r="E9" s="400" t="str">
        <f t="shared" si="0"/>
        <v>GBPAM3L21M</v>
      </c>
      <c r="F9" s="400" t="str">
        <v>GBPAM3L21M=ICAP</v>
      </c>
      <c r="G9" s="401" t="s">
        <v>233</v>
      </c>
      <c r="H9" s="401" t="s">
        <v>233</v>
      </c>
      <c r="I9" s="401" t="s">
        <v>233</v>
      </c>
      <c r="J9" s="401" t="s">
        <v>233</v>
      </c>
      <c r="K9" s="352" t="e">
        <f>_xll.qlMidSafe($G9,$H9)</f>
        <v>#NUM!</v>
      </c>
      <c r="L9" s="343"/>
      <c r="M9" s="351" t="e">
        <v>#NUM!</v>
      </c>
      <c r="N9" s="343"/>
      <c r="O9" s="394" t="str">
        <f t="shared" si="1"/>
        <v>GBPAM3L21M_Quote</v>
      </c>
      <c r="P9" s="349" t="e">
        <v>#NUM!</v>
      </c>
      <c r="Q9" s="348" t="e">
        <f>_xll.qlSimpleQuoteSetValue($O9,$P9/100,Trigger)</f>
        <v>#NUM!</v>
      </c>
      <c r="R9" s="218"/>
      <c r="T9" s="207" t="s">
        <v>117</v>
      </c>
      <c r="U9" s="82" t="s">
        <v>211</v>
      </c>
      <c r="V9" s="81" t="s">
        <v>114</v>
      </c>
      <c r="X9" s="382" t="e">
        <f t="shared" si="2"/>
        <v>#VALUE!</v>
      </c>
    </row>
    <row r="10" spans="1:24" ht="12" thickBot="1" x14ac:dyDescent="0.25">
      <c r="A10" s="118"/>
      <c r="B10" s="354" t="s">
        <v>85</v>
      </c>
      <c r="C10" s="400" t="str">
        <v>AM</v>
      </c>
      <c r="D10" s="400" t="str">
        <v>3L</v>
      </c>
      <c r="E10" s="400" t="str">
        <f t="shared" si="0"/>
        <v>GBPAM3L2Y</v>
      </c>
      <c r="F10" s="400" t="str">
        <v>GBPAM3L2Y=ICAP</v>
      </c>
      <c r="G10" s="401" t="s">
        <v>233</v>
      </c>
      <c r="H10" s="401" t="s">
        <v>233</v>
      </c>
      <c r="I10" s="401" t="s">
        <v>233</v>
      </c>
      <c r="J10" s="401" t="s">
        <v>233</v>
      </c>
      <c r="K10" s="352" t="e">
        <f>_xll.qlMidSafe($G10,$H10)</f>
        <v>#NUM!</v>
      </c>
      <c r="L10" s="343"/>
      <c r="M10" s="351" t="e">
        <v>#NUM!</v>
      </c>
      <c r="N10" s="343"/>
      <c r="O10" s="394" t="str">
        <f t="shared" si="1"/>
        <v>GBPAM3L2Y_Quote</v>
      </c>
      <c r="P10" s="349" t="e">
        <v>#NUM!</v>
      </c>
      <c r="Q10" s="348" t="e">
        <f>_xll.qlSimpleQuoteSetValue($O10,$P10/100,Trigger)</f>
        <v>#NUM!</v>
      </c>
      <c r="R10" s="218"/>
      <c r="T10" s="206" t="s">
        <v>115</v>
      </c>
      <c r="U10" s="79" t="s">
        <v>210</v>
      </c>
      <c r="V10" s="78" t="s">
        <v>114</v>
      </c>
      <c r="X10" s="382" t="e">
        <f t="shared" si="2"/>
        <v>#VALUE!</v>
      </c>
    </row>
    <row r="11" spans="1:24" x14ac:dyDescent="0.2">
      <c r="A11" s="118"/>
      <c r="B11" s="354" t="s">
        <v>84</v>
      </c>
      <c r="C11" s="504" t="str">
        <v>AM</v>
      </c>
      <c r="D11" s="504" t="str">
        <v>3L</v>
      </c>
      <c r="E11" s="400" t="str">
        <f t="shared" si="0"/>
        <v>GBPAM3L3Y</v>
      </c>
      <c r="F11" s="400" t="str">
        <v>GBPAM3L3Y=ICAP</v>
      </c>
      <c r="G11" s="401" t="s">
        <v>233</v>
      </c>
      <c r="H11" s="401" t="s">
        <v>233</v>
      </c>
      <c r="I11" s="401" t="s">
        <v>233</v>
      </c>
      <c r="J11" s="401" t="s">
        <v>233</v>
      </c>
      <c r="K11" s="352" t="e">
        <f>_xll.qlMidSafe($G11,$H11)</f>
        <v>#NUM!</v>
      </c>
      <c r="L11" s="343"/>
      <c r="M11" s="351" t="e">
        <v>#NUM!</v>
      </c>
      <c r="N11" s="343"/>
      <c r="O11" s="394" t="str">
        <f t="shared" si="1"/>
        <v>GBPAM3L3Y_Quote</v>
      </c>
      <c r="P11" s="349" t="e">
        <v>#NUM!</v>
      </c>
      <c r="Q11" s="348" t="e">
        <f>_xll.qlSimpleQuoteSetValue($O11,$P11/100,Trigger)</f>
        <v>#NUM!</v>
      </c>
      <c r="R11" s="218"/>
      <c r="X11" s="382" t="e">
        <f t="shared" si="2"/>
        <v>#VALUE!</v>
      </c>
    </row>
    <row r="12" spans="1:24" x14ac:dyDescent="0.2">
      <c r="A12" s="118"/>
      <c r="B12" s="354" t="s">
        <v>83</v>
      </c>
      <c r="C12" s="504" t="str">
        <v>AM</v>
      </c>
      <c r="D12" s="504" t="str">
        <v>3L</v>
      </c>
      <c r="E12" s="400" t="str">
        <f t="shared" si="0"/>
        <v>GBPAM3L4Y</v>
      </c>
      <c r="F12" s="400" t="str">
        <v>GBPAM3L4Y=ICAP</v>
      </c>
      <c r="G12" s="401" t="s">
        <v>233</v>
      </c>
      <c r="H12" s="401" t="s">
        <v>233</v>
      </c>
      <c r="I12" s="401" t="s">
        <v>233</v>
      </c>
      <c r="J12" s="401" t="s">
        <v>233</v>
      </c>
      <c r="K12" s="352" t="e">
        <f>_xll.qlMidSafe($G12,$H12)</f>
        <v>#NUM!</v>
      </c>
      <c r="L12" s="343"/>
      <c r="M12" s="351" t="e">
        <v>#NUM!</v>
      </c>
      <c r="N12" s="343"/>
      <c r="O12" s="394" t="str">
        <f t="shared" si="1"/>
        <v>GBPAM3L4Y_Quote</v>
      </c>
      <c r="P12" s="349" t="e">
        <v>#NUM!</v>
      </c>
      <c r="Q12" s="348" t="e">
        <f>_xll.qlSimpleQuoteSetValue($O12,$P12/100,Trigger)</f>
        <v>#NUM!</v>
      </c>
      <c r="R12" s="218"/>
      <c r="X12" s="382" t="e">
        <f t="shared" si="2"/>
        <v>#VALUE!</v>
      </c>
    </row>
    <row r="13" spans="1:24" x14ac:dyDescent="0.2">
      <c r="A13" s="118"/>
      <c r="B13" s="354" t="s">
        <v>82</v>
      </c>
      <c r="C13" s="504" t="str">
        <v>AM</v>
      </c>
      <c r="D13" s="504" t="str">
        <v>3L</v>
      </c>
      <c r="E13" s="400" t="str">
        <f t="shared" si="0"/>
        <v>GBPAM3L5Y</v>
      </c>
      <c r="F13" s="400" t="str">
        <v>GBPAM3L5Y=ICAP</v>
      </c>
      <c r="G13" s="401" t="s">
        <v>233</v>
      </c>
      <c r="H13" s="401" t="s">
        <v>233</v>
      </c>
      <c r="I13" s="401" t="s">
        <v>233</v>
      </c>
      <c r="J13" s="401" t="s">
        <v>233</v>
      </c>
      <c r="K13" s="352" t="e">
        <f>_xll.qlMidSafe($G13,$H13)</f>
        <v>#NUM!</v>
      </c>
      <c r="L13" s="343"/>
      <c r="M13" s="351" t="e">
        <v>#NUM!</v>
      </c>
      <c r="N13" s="343"/>
      <c r="O13" s="394" t="str">
        <f t="shared" si="1"/>
        <v>GBPAM3L5Y_Quote</v>
      </c>
      <c r="P13" s="349" t="e">
        <v>#NUM!</v>
      </c>
      <c r="Q13" s="348" t="e">
        <f>_xll.qlSimpleQuoteSetValue($O13,$P13/100,Trigger)</f>
        <v>#NUM!</v>
      </c>
      <c r="R13" s="218"/>
      <c r="X13" s="382" t="e">
        <f t="shared" si="2"/>
        <v>#VALUE!</v>
      </c>
    </row>
    <row r="14" spans="1:24" x14ac:dyDescent="0.2">
      <c r="A14" s="118"/>
      <c r="B14" s="354" t="s">
        <v>81</v>
      </c>
      <c r="C14" s="504" t="str">
        <v>AM</v>
      </c>
      <c r="D14" s="504" t="str">
        <v>3L</v>
      </c>
      <c r="E14" s="400" t="str">
        <f t="shared" si="0"/>
        <v>GBPAM3L6Y</v>
      </c>
      <c r="F14" s="400" t="str">
        <v>GBPAM3L6Y=ICAP</v>
      </c>
      <c r="G14" s="401" t="s">
        <v>233</v>
      </c>
      <c r="H14" s="401" t="s">
        <v>233</v>
      </c>
      <c r="I14" s="401" t="s">
        <v>233</v>
      </c>
      <c r="J14" s="401" t="s">
        <v>233</v>
      </c>
      <c r="K14" s="352" t="e">
        <f>_xll.qlMidSafe($G14,$H14)</f>
        <v>#NUM!</v>
      </c>
      <c r="L14" s="343"/>
      <c r="M14" s="351" t="e">
        <v>#NUM!</v>
      </c>
      <c r="N14" s="343"/>
      <c r="O14" s="394" t="str">
        <f t="shared" si="1"/>
        <v>GBPAM3L6Y_Quote</v>
      </c>
      <c r="P14" s="349" t="e">
        <v>#NUM!</v>
      </c>
      <c r="Q14" s="348" t="e">
        <f>_xll.qlSimpleQuoteSetValue($O14,$P14/100,Trigger)</f>
        <v>#NUM!</v>
      </c>
      <c r="R14" s="218"/>
      <c r="X14" s="382" t="e">
        <f t="shared" si="2"/>
        <v>#VALUE!</v>
      </c>
    </row>
    <row r="15" spans="1:24" x14ac:dyDescent="0.2">
      <c r="A15" s="118"/>
      <c r="B15" s="354" t="s">
        <v>80</v>
      </c>
      <c r="C15" s="504" t="str">
        <v>AM</v>
      </c>
      <c r="D15" s="504" t="str">
        <v>3L</v>
      </c>
      <c r="E15" s="400" t="str">
        <f t="shared" si="0"/>
        <v>GBPAM3L7Y</v>
      </c>
      <c r="F15" s="400" t="str">
        <v>GBPAM3L7Y=ICAP</v>
      </c>
      <c r="G15" s="401" t="s">
        <v>233</v>
      </c>
      <c r="H15" s="401" t="s">
        <v>233</v>
      </c>
      <c r="I15" s="401" t="s">
        <v>233</v>
      </c>
      <c r="J15" s="401" t="s">
        <v>233</v>
      </c>
      <c r="K15" s="352" t="e">
        <f>_xll.qlMidSafe($G15,$H15)</f>
        <v>#NUM!</v>
      </c>
      <c r="L15" s="343"/>
      <c r="M15" s="351" t="e">
        <v>#NUM!</v>
      </c>
      <c r="N15" s="343"/>
      <c r="O15" s="394" t="str">
        <f t="shared" si="1"/>
        <v>GBPAM3L7Y_Quote</v>
      </c>
      <c r="P15" s="349" t="e">
        <v>#NUM!</v>
      </c>
      <c r="Q15" s="348" t="e">
        <f>_xll.qlSimpleQuoteSetValue($O15,$P15/100,Trigger)</f>
        <v>#NUM!</v>
      </c>
      <c r="R15" s="218"/>
      <c r="X15" s="382" t="e">
        <f t="shared" si="2"/>
        <v>#VALUE!</v>
      </c>
    </row>
    <row r="16" spans="1:24" x14ac:dyDescent="0.2">
      <c r="A16" s="118"/>
      <c r="B16" s="354" t="s">
        <v>79</v>
      </c>
      <c r="C16" s="504" t="str">
        <v>AM</v>
      </c>
      <c r="D16" s="504" t="str">
        <v>3L</v>
      </c>
      <c r="E16" s="400" t="str">
        <f t="shared" si="0"/>
        <v>GBPAM3L8Y</v>
      </c>
      <c r="F16" s="400" t="str">
        <v>GBPAM3L8Y=ICAP</v>
      </c>
      <c r="G16" s="401" t="s">
        <v>233</v>
      </c>
      <c r="H16" s="401" t="s">
        <v>233</v>
      </c>
      <c r="I16" s="401" t="s">
        <v>233</v>
      </c>
      <c r="J16" s="401" t="s">
        <v>233</v>
      </c>
      <c r="K16" s="352" t="e">
        <f>_xll.qlMidSafe($G16,$H16)</f>
        <v>#NUM!</v>
      </c>
      <c r="L16" s="343"/>
      <c r="M16" s="351" t="e">
        <v>#NUM!</v>
      </c>
      <c r="N16" s="343"/>
      <c r="O16" s="394" t="str">
        <f t="shared" si="1"/>
        <v>GBPAM3L8Y_Quote</v>
      </c>
      <c r="P16" s="349" t="e">
        <v>#NUM!</v>
      </c>
      <c r="Q16" s="348" t="e">
        <f>_xll.qlSimpleQuoteSetValue($O16,$P16/100,Trigger)</f>
        <v>#NUM!</v>
      </c>
      <c r="R16" s="218"/>
      <c r="X16" s="382" t="e">
        <f t="shared" si="2"/>
        <v>#VALUE!</v>
      </c>
    </row>
    <row r="17" spans="1:24" x14ac:dyDescent="0.2">
      <c r="A17" s="118"/>
      <c r="B17" s="354" t="s">
        <v>78</v>
      </c>
      <c r="C17" s="504" t="str">
        <v>AM</v>
      </c>
      <c r="D17" s="504" t="str">
        <v>3L</v>
      </c>
      <c r="E17" s="400" t="str">
        <f t="shared" si="0"/>
        <v>GBPAM3L9Y</v>
      </c>
      <c r="F17" s="400" t="str">
        <v>GBPAM3L9Y=ICAP</v>
      </c>
      <c r="G17" s="401" t="s">
        <v>233</v>
      </c>
      <c r="H17" s="401" t="s">
        <v>233</v>
      </c>
      <c r="I17" s="401" t="s">
        <v>233</v>
      </c>
      <c r="J17" s="401" t="s">
        <v>233</v>
      </c>
      <c r="K17" s="352" t="e">
        <f>_xll.qlMidSafe($G17,$H17)</f>
        <v>#NUM!</v>
      </c>
      <c r="L17" s="343"/>
      <c r="M17" s="351" t="e">
        <v>#NUM!</v>
      </c>
      <c r="N17" s="343"/>
      <c r="O17" s="394" t="str">
        <f t="shared" si="1"/>
        <v>GBPAM3L9Y_Quote</v>
      </c>
      <c r="P17" s="349" t="e">
        <v>#NUM!</v>
      </c>
      <c r="Q17" s="348" t="e">
        <f>_xll.qlSimpleQuoteSetValue($O17,$P17/100,Trigger)</f>
        <v>#NUM!</v>
      </c>
      <c r="R17" s="218"/>
      <c r="X17" s="382" t="e">
        <f t="shared" si="2"/>
        <v>#VALUE!</v>
      </c>
    </row>
    <row r="18" spans="1:24" x14ac:dyDescent="0.2">
      <c r="A18" s="118"/>
      <c r="B18" s="354" t="s">
        <v>77</v>
      </c>
      <c r="C18" s="504" t="str">
        <v>AM</v>
      </c>
      <c r="D18" s="504" t="str">
        <v>3L</v>
      </c>
      <c r="E18" s="400" t="str">
        <f t="shared" si="0"/>
        <v>GBPAM3L10Y</v>
      </c>
      <c r="F18" s="400" t="str">
        <v>GBPAM3L10Y=ICAP</v>
      </c>
      <c r="G18" s="401" t="s">
        <v>233</v>
      </c>
      <c r="H18" s="401" t="s">
        <v>233</v>
      </c>
      <c r="I18" s="401" t="s">
        <v>233</v>
      </c>
      <c r="J18" s="401" t="s">
        <v>233</v>
      </c>
      <c r="K18" s="352" t="e">
        <f>_xll.qlMidSafe($G18,$H18)</f>
        <v>#NUM!</v>
      </c>
      <c r="L18" s="343"/>
      <c r="M18" s="351" t="e">
        <v>#NUM!</v>
      </c>
      <c r="N18" s="343"/>
      <c r="O18" s="394" t="str">
        <f t="shared" si="1"/>
        <v>GBPAM3L10Y_Quote</v>
      </c>
      <c r="P18" s="349" t="e">
        <v>#NUM!</v>
      </c>
      <c r="Q18" s="348" t="e">
        <f>_xll.qlSimpleQuoteSetValue($O18,$P18/100,Trigger)</f>
        <v>#NUM!</v>
      </c>
      <c r="R18" s="218"/>
      <c r="X18" s="382" t="e">
        <f t="shared" si="2"/>
        <v>#VALUE!</v>
      </c>
    </row>
    <row r="19" spans="1:24" x14ac:dyDescent="0.2">
      <c r="A19" s="118"/>
      <c r="B19" s="354" t="s">
        <v>76</v>
      </c>
      <c r="C19" s="504" t="str">
        <v>AM</v>
      </c>
      <c r="D19" s="504" t="str">
        <v>3L</v>
      </c>
      <c r="E19" s="400" t="str">
        <f t="shared" si="0"/>
        <v>GBPAM3L11Y</v>
      </c>
      <c r="F19" s="400" t="str">
        <v>GBPAM3L11Y=ICAP</v>
      </c>
      <c r="G19" s="401" t="s">
        <v>233</v>
      </c>
      <c r="H19" s="401" t="s">
        <v>233</v>
      </c>
      <c r="I19" s="401" t="s">
        <v>233</v>
      </c>
      <c r="J19" s="401" t="s">
        <v>233</v>
      </c>
      <c r="K19" s="352" t="e">
        <f>_xll.qlMidSafe($G19,$H19)</f>
        <v>#NUM!</v>
      </c>
      <c r="L19" s="343"/>
      <c r="M19" s="351" t="e">
        <v>#NUM!</v>
      </c>
      <c r="N19" s="343"/>
      <c r="O19" s="394" t="str">
        <f t="shared" si="1"/>
        <v>GBPAM3L11Y_Quote</v>
      </c>
      <c r="P19" s="349" t="e">
        <v>#NUM!</v>
      </c>
      <c r="Q19" s="348" t="e">
        <f>_xll.qlSimpleQuoteSetValue($O19,$P19/100,Trigger)</f>
        <v>#NUM!</v>
      </c>
      <c r="R19" s="218"/>
      <c r="X19" s="382" t="e">
        <f t="shared" si="2"/>
        <v>#VALUE!</v>
      </c>
    </row>
    <row r="20" spans="1:24" x14ac:dyDescent="0.2">
      <c r="A20" s="118"/>
      <c r="B20" s="354" t="s">
        <v>75</v>
      </c>
      <c r="C20" s="504" t="str">
        <v>AM</v>
      </c>
      <c r="D20" s="504" t="str">
        <v>3L</v>
      </c>
      <c r="E20" s="400" t="str">
        <f t="shared" si="0"/>
        <v>GBPAM3L12Y</v>
      </c>
      <c r="F20" s="400" t="str">
        <v>GBPAM3L12Y=ICAP</v>
      </c>
      <c r="G20" s="401" t="s">
        <v>233</v>
      </c>
      <c r="H20" s="401" t="s">
        <v>233</v>
      </c>
      <c r="I20" s="401" t="s">
        <v>233</v>
      </c>
      <c r="J20" s="401" t="s">
        <v>233</v>
      </c>
      <c r="K20" s="352" t="e">
        <f>_xll.qlMidSafe($G20,$H20)</f>
        <v>#NUM!</v>
      </c>
      <c r="L20" s="343"/>
      <c r="M20" s="351" t="e">
        <v>#NUM!</v>
      </c>
      <c r="N20" s="343"/>
      <c r="O20" s="394" t="str">
        <f t="shared" si="1"/>
        <v>GBPAM3L12Y_Quote</v>
      </c>
      <c r="P20" s="349" t="e">
        <v>#NUM!</v>
      </c>
      <c r="Q20" s="348" t="e">
        <f>_xll.qlSimpleQuoteSetValue($O20,$P20/100,Trigger)</f>
        <v>#NUM!</v>
      </c>
      <c r="R20" s="218"/>
      <c r="X20" s="382" t="e">
        <f t="shared" si="2"/>
        <v>#VALUE!</v>
      </c>
    </row>
    <row r="21" spans="1:24" x14ac:dyDescent="0.2">
      <c r="A21" s="118"/>
      <c r="B21" s="354" t="s">
        <v>74</v>
      </c>
      <c r="C21" s="504" t="str">
        <v>AM</v>
      </c>
      <c r="D21" s="504" t="str">
        <v>3L</v>
      </c>
      <c r="E21" s="400" t="str">
        <f t="shared" si="0"/>
        <v>GBPAM3L13Y</v>
      </c>
      <c r="F21" s="400" t="str">
        <v>GBPAM3L13Y=ICAP</v>
      </c>
      <c r="G21" s="401" t="s">
        <v>233</v>
      </c>
      <c r="H21" s="401" t="s">
        <v>233</v>
      </c>
      <c r="I21" s="401" t="s">
        <v>233</v>
      </c>
      <c r="J21" s="401" t="s">
        <v>233</v>
      </c>
      <c r="K21" s="352" t="e">
        <f>_xll.qlMidSafe($G21,$H21)</f>
        <v>#NUM!</v>
      </c>
      <c r="L21" s="343"/>
      <c r="M21" s="351" t="e">
        <v>#NUM!</v>
      </c>
      <c r="N21" s="343"/>
      <c r="O21" s="394" t="str">
        <f t="shared" si="1"/>
        <v>GBPAM3L13Y_Quote</v>
      </c>
      <c r="P21" s="349" t="e">
        <v>#NUM!</v>
      </c>
      <c r="Q21" s="348" t="e">
        <f>_xll.qlSimpleQuoteSetValue($O21,$P21/100,Trigger)</f>
        <v>#NUM!</v>
      </c>
      <c r="R21" s="218"/>
      <c r="X21" s="382" t="e">
        <f t="shared" si="2"/>
        <v>#VALUE!</v>
      </c>
    </row>
    <row r="22" spans="1:24" x14ac:dyDescent="0.2">
      <c r="A22" s="118"/>
      <c r="B22" s="354" t="s">
        <v>73</v>
      </c>
      <c r="C22" s="504" t="str">
        <v>AM</v>
      </c>
      <c r="D22" s="504" t="str">
        <v>3L</v>
      </c>
      <c r="E22" s="400" t="str">
        <f t="shared" si="0"/>
        <v>GBPAM3L14Y</v>
      </c>
      <c r="F22" s="400" t="str">
        <v>GBPAM3L14Y=ICAP</v>
      </c>
      <c r="G22" s="401" t="s">
        <v>233</v>
      </c>
      <c r="H22" s="401" t="s">
        <v>233</v>
      </c>
      <c r="I22" s="401" t="s">
        <v>233</v>
      </c>
      <c r="J22" s="401" t="s">
        <v>233</v>
      </c>
      <c r="K22" s="352" t="e">
        <f>_xll.qlMidSafe($G22,$H22)</f>
        <v>#NUM!</v>
      </c>
      <c r="L22" s="343"/>
      <c r="M22" s="351" t="e">
        <v>#NUM!</v>
      </c>
      <c r="N22" s="343"/>
      <c r="O22" s="394" t="str">
        <f t="shared" si="1"/>
        <v>GBPAM3L14Y_Quote</v>
      </c>
      <c r="P22" s="349" t="e">
        <v>#NUM!</v>
      </c>
      <c r="Q22" s="348" t="e">
        <f>_xll.qlSimpleQuoteSetValue($O22,$P22/100,Trigger)</f>
        <v>#NUM!</v>
      </c>
      <c r="R22" s="218"/>
      <c r="X22" s="382" t="e">
        <f t="shared" si="2"/>
        <v>#VALUE!</v>
      </c>
    </row>
    <row r="23" spans="1:24" x14ac:dyDescent="0.2">
      <c r="A23" s="118"/>
      <c r="B23" s="354" t="s">
        <v>72</v>
      </c>
      <c r="C23" s="504" t="str">
        <v>AM</v>
      </c>
      <c r="D23" s="504" t="str">
        <v>3L</v>
      </c>
      <c r="E23" s="400" t="str">
        <f t="shared" si="0"/>
        <v>GBPAM3L15Y</v>
      </c>
      <c r="F23" s="400" t="str">
        <v>GBPAM3L15Y=ICAP</v>
      </c>
      <c r="G23" s="401" t="s">
        <v>233</v>
      </c>
      <c r="H23" s="401" t="s">
        <v>233</v>
      </c>
      <c r="I23" s="401" t="s">
        <v>233</v>
      </c>
      <c r="J23" s="401" t="s">
        <v>233</v>
      </c>
      <c r="K23" s="352" t="e">
        <f>_xll.qlMidSafe($G23,$H23)</f>
        <v>#NUM!</v>
      </c>
      <c r="L23" s="343"/>
      <c r="M23" s="351" t="e">
        <v>#NUM!</v>
      </c>
      <c r="N23" s="343"/>
      <c r="O23" s="394" t="str">
        <f t="shared" si="1"/>
        <v>GBPAM3L15Y_Quote</v>
      </c>
      <c r="P23" s="349" t="e">
        <v>#NUM!</v>
      </c>
      <c r="Q23" s="348" t="e">
        <f>_xll.qlSimpleQuoteSetValue($O23,$P23/100,Trigger)</f>
        <v>#NUM!</v>
      </c>
      <c r="R23" s="218"/>
      <c r="X23" s="382" t="e">
        <f t="shared" si="2"/>
        <v>#VALUE!</v>
      </c>
    </row>
    <row r="24" spans="1:24" x14ac:dyDescent="0.2">
      <c r="A24" s="118"/>
      <c r="B24" s="354" t="s">
        <v>71</v>
      </c>
      <c r="C24" s="504" t="str">
        <v>AM</v>
      </c>
      <c r="D24" s="504" t="str">
        <v>3L</v>
      </c>
      <c r="E24" s="400" t="str">
        <f t="shared" si="0"/>
        <v>GBPAM3L16Y</v>
      </c>
      <c r="F24" s="400" t="str">
        <v>GBPAM3L16Y=ICAP</v>
      </c>
      <c r="G24" s="401" t="s">
        <v>233</v>
      </c>
      <c r="H24" s="401" t="s">
        <v>233</v>
      </c>
      <c r="I24" s="401" t="s">
        <v>233</v>
      </c>
      <c r="J24" s="401" t="s">
        <v>233</v>
      </c>
      <c r="K24" s="352" t="e">
        <f>_xll.qlMidSafe($G24,$H24)</f>
        <v>#NUM!</v>
      </c>
      <c r="L24" s="343"/>
      <c r="M24" s="351" t="e">
        <v>#NUM!</v>
      </c>
      <c r="N24" s="343"/>
      <c r="O24" s="394" t="str">
        <f t="shared" si="1"/>
        <v>GBPAM3L16Y_Quote</v>
      </c>
      <c r="P24" s="349" t="e">
        <v>#NUM!</v>
      </c>
      <c r="Q24" s="348" t="e">
        <f>_xll.qlSimpleQuoteSetValue($O24,$P24/100,Trigger)</f>
        <v>#NUM!</v>
      </c>
      <c r="R24" s="218"/>
      <c r="X24" s="382" t="e">
        <f t="shared" si="2"/>
        <v>#VALUE!</v>
      </c>
    </row>
    <row r="25" spans="1:24" x14ac:dyDescent="0.2">
      <c r="A25" s="118"/>
      <c r="B25" s="354" t="s">
        <v>70</v>
      </c>
      <c r="C25" s="504" t="str">
        <v>AM</v>
      </c>
      <c r="D25" s="504" t="str">
        <v>3L</v>
      </c>
      <c r="E25" s="400" t="str">
        <f t="shared" si="0"/>
        <v>GBPAM3L17Y</v>
      </c>
      <c r="F25" s="400" t="str">
        <v>GBPAM3L17Y=ICAP</v>
      </c>
      <c r="G25" s="401" t="s">
        <v>233</v>
      </c>
      <c r="H25" s="401" t="s">
        <v>233</v>
      </c>
      <c r="I25" s="401" t="s">
        <v>233</v>
      </c>
      <c r="J25" s="401" t="s">
        <v>233</v>
      </c>
      <c r="K25" s="352" t="e">
        <f>_xll.qlMidSafe($G25,$H25)</f>
        <v>#NUM!</v>
      </c>
      <c r="L25" s="343"/>
      <c r="M25" s="351" t="e">
        <v>#NUM!</v>
      </c>
      <c r="N25" s="343"/>
      <c r="O25" s="394" t="str">
        <f t="shared" si="1"/>
        <v>GBPAM3L17Y_Quote</v>
      </c>
      <c r="P25" s="349" t="e">
        <v>#NUM!</v>
      </c>
      <c r="Q25" s="348" t="e">
        <f>_xll.qlSimpleQuoteSetValue($O25,$P25/100,Trigger)</f>
        <v>#NUM!</v>
      </c>
      <c r="R25" s="218"/>
      <c r="X25" s="382" t="e">
        <f t="shared" si="2"/>
        <v>#VALUE!</v>
      </c>
    </row>
    <row r="26" spans="1:24" x14ac:dyDescent="0.2">
      <c r="A26" s="118"/>
      <c r="B26" s="354" t="s">
        <v>69</v>
      </c>
      <c r="C26" s="504" t="str">
        <v>AM</v>
      </c>
      <c r="D26" s="504" t="str">
        <v>3L</v>
      </c>
      <c r="E26" s="400" t="str">
        <f t="shared" si="0"/>
        <v>GBPAM3L18Y</v>
      </c>
      <c r="F26" s="400" t="str">
        <v>GBPAM3L18Y=ICAP</v>
      </c>
      <c r="G26" s="401" t="s">
        <v>233</v>
      </c>
      <c r="H26" s="401" t="s">
        <v>233</v>
      </c>
      <c r="I26" s="401" t="s">
        <v>233</v>
      </c>
      <c r="J26" s="401" t="s">
        <v>233</v>
      </c>
      <c r="K26" s="352" t="e">
        <f>_xll.qlMidSafe($G26,$H26)</f>
        <v>#NUM!</v>
      </c>
      <c r="L26" s="343"/>
      <c r="M26" s="351" t="e">
        <v>#NUM!</v>
      </c>
      <c r="N26" s="343"/>
      <c r="O26" s="394" t="str">
        <f t="shared" si="1"/>
        <v>GBPAM3L18Y_Quote</v>
      </c>
      <c r="P26" s="349" t="e">
        <v>#NUM!</v>
      </c>
      <c r="Q26" s="348" t="e">
        <f>_xll.qlSimpleQuoteSetValue($O26,$P26/100,Trigger)</f>
        <v>#NUM!</v>
      </c>
      <c r="R26" s="218"/>
      <c r="X26" s="382" t="e">
        <f t="shared" si="2"/>
        <v>#VALUE!</v>
      </c>
    </row>
    <row r="27" spans="1:24" x14ac:dyDescent="0.2">
      <c r="A27" s="118"/>
      <c r="B27" s="354" t="s">
        <v>68</v>
      </c>
      <c r="C27" s="504" t="str">
        <v>AM</v>
      </c>
      <c r="D27" s="504" t="str">
        <v>3L</v>
      </c>
      <c r="E27" s="400" t="str">
        <f t="shared" si="0"/>
        <v>GBPAM3L19Y</v>
      </c>
      <c r="F27" s="400" t="str">
        <v>GBPAM3L19Y=ICAP</v>
      </c>
      <c r="G27" s="401" t="s">
        <v>233</v>
      </c>
      <c r="H27" s="401" t="s">
        <v>233</v>
      </c>
      <c r="I27" s="401" t="s">
        <v>233</v>
      </c>
      <c r="J27" s="401" t="s">
        <v>233</v>
      </c>
      <c r="K27" s="352" t="e">
        <f>_xll.qlMidSafe($G27,$H27)</f>
        <v>#NUM!</v>
      </c>
      <c r="L27" s="343"/>
      <c r="M27" s="351" t="e">
        <v>#NUM!</v>
      </c>
      <c r="N27" s="343"/>
      <c r="O27" s="394" t="str">
        <f t="shared" si="1"/>
        <v>GBPAM3L19Y_Quote</v>
      </c>
      <c r="P27" s="349" t="e">
        <v>#NUM!</v>
      </c>
      <c r="Q27" s="348" t="e">
        <f>_xll.qlSimpleQuoteSetValue($O27,$P27/100,Trigger)</f>
        <v>#NUM!</v>
      </c>
      <c r="R27" s="218"/>
      <c r="X27" s="382" t="e">
        <f t="shared" si="2"/>
        <v>#VALUE!</v>
      </c>
    </row>
    <row r="28" spans="1:24" x14ac:dyDescent="0.2">
      <c r="A28" s="118"/>
      <c r="B28" s="354" t="s">
        <v>67</v>
      </c>
      <c r="C28" s="504" t="str">
        <v>AM</v>
      </c>
      <c r="D28" s="504" t="str">
        <v>3L</v>
      </c>
      <c r="E28" s="400" t="str">
        <f t="shared" si="0"/>
        <v>GBPAM3L20Y</v>
      </c>
      <c r="F28" s="400" t="str">
        <v>GBPAM3L20Y=ICAP</v>
      </c>
      <c r="G28" s="401" t="s">
        <v>233</v>
      </c>
      <c r="H28" s="401" t="s">
        <v>233</v>
      </c>
      <c r="I28" s="401" t="s">
        <v>233</v>
      </c>
      <c r="J28" s="401" t="s">
        <v>233</v>
      </c>
      <c r="K28" s="352" t="e">
        <f>_xll.qlMidSafe($G28,$H28)</f>
        <v>#NUM!</v>
      </c>
      <c r="L28" s="343"/>
      <c r="M28" s="351" t="e">
        <v>#NUM!</v>
      </c>
      <c r="N28" s="343"/>
      <c r="O28" s="394" t="str">
        <f t="shared" si="1"/>
        <v>GBPAM3L20Y_Quote</v>
      </c>
      <c r="P28" s="349" t="e">
        <v>#NUM!</v>
      </c>
      <c r="Q28" s="348" t="e">
        <f>_xll.qlSimpleQuoteSetValue($O28,$P28/100,Trigger)</f>
        <v>#NUM!</v>
      </c>
      <c r="R28" s="218"/>
      <c r="X28" s="382" t="e">
        <f t="shared" si="2"/>
        <v>#VALUE!</v>
      </c>
    </row>
    <row r="29" spans="1:24" x14ac:dyDescent="0.2">
      <c r="A29" s="118"/>
      <c r="B29" s="354" t="s">
        <v>66</v>
      </c>
      <c r="C29" s="505" t="str">
        <v>AM</v>
      </c>
      <c r="D29" s="505" t="str">
        <v>3L</v>
      </c>
      <c r="E29" s="400" t="str">
        <f t="shared" si="0"/>
        <v>GBPAM3L21Y</v>
      </c>
      <c r="F29" s="400" t="str">
        <v>GBPAM3L21Y=ICAP</v>
      </c>
      <c r="G29" s="401" t="s">
        <v>233</v>
      </c>
      <c r="H29" s="401" t="s">
        <v>233</v>
      </c>
      <c r="I29" s="401" t="s">
        <v>233</v>
      </c>
      <c r="J29" s="401" t="s">
        <v>233</v>
      </c>
      <c r="K29" s="352" t="e">
        <f>_xll.qlMidSafe($G29,$H29)</f>
        <v>#NUM!</v>
      </c>
      <c r="L29" s="343"/>
      <c r="M29" s="351" t="e">
        <v>#NUM!</v>
      </c>
      <c r="N29" s="343"/>
      <c r="O29" s="394" t="str">
        <f t="shared" si="1"/>
        <v>GBPAM3L21Y_Quote</v>
      </c>
      <c r="P29" s="349" t="e">
        <v>#NUM!</v>
      </c>
      <c r="Q29" s="348" t="e">
        <f>_xll.qlSimpleQuoteSetValue($O29,$P29/100,Trigger)</f>
        <v>#NUM!</v>
      </c>
      <c r="R29" s="218"/>
      <c r="X29" s="382" t="e">
        <f t="shared" si="2"/>
        <v>#VALUE!</v>
      </c>
    </row>
    <row r="30" spans="1:24" x14ac:dyDescent="0.2">
      <c r="A30" s="118"/>
      <c r="B30" s="354" t="s">
        <v>65</v>
      </c>
      <c r="C30" s="504" t="str">
        <v>AM</v>
      </c>
      <c r="D30" s="504" t="str">
        <v>3L</v>
      </c>
      <c r="E30" s="400" t="str">
        <f t="shared" si="0"/>
        <v>GBPAM3L22Y</v>
      </c>
      <c r="F30" s="400" t="str">
        <v>GBPAM3L22Y=ICAP</v>
      </c>
      <c r="G30" s="401" t="s">
        <v>233</v>
      </c>
      <c r="H30" s="401" t="s">
        <v>233</v>
      </c>
      <c r="I30" s="401" t="s">
        <v>233</v>
      </c>
      <c r="J30" s="401" t="s">
        <v>233</v>
      </c>
      <c r="K30" s="352" t="e">
        <f>_xll.qlMidSafe($G30,$H30)</f>
        <v>#NUM!</v>
      </c>
      <c r="L30" s="343"/>
      <c r="M30" s="351" t="e">
        <v>#NUM!</v>
      </c>
      <c r="N30" s="343"/>
      <c r="O30" s="394" t="str">
        <f t="shared" si="1"/>
        <v>GBPAM3L22Y_Quote</v>
      </c>
      <c r="P30" s="349" t="e">
        <v>#NUM!</v>
      </c>
      <c r="Q30" s="348" t="e">
        <f>_xll.qlSimpleQuoteSetValue($O30,$P30/100,Trigger)</f>
        <v>#NUM!</v>
      </c>
      <c r="R30" s="218"/>
      <c r="X30" s="382" t="e">
        <f t="shared" si="2"/>
        <v>#VALUE!</v>
      </c>
    </row>
    <row r="31" spans="1:24" x14ac:dyDescent="0.2">
      <c r="A31" s="118"/>
      <c r="B31" s="354" t="s">
        <v>64</v>
      </c>
      <c r="C31" s="504" t="str">
        <v>AM</v>
      </c>
      <c r="D31" s="504" t="str">
        <v>3L</v>
      </c>
      <c r="E31" s="400" t="str">
        <f t="shared" si="0"/>
        <v>GBPAM3L23Y</v>
      </c>
      <c r="F31" s="400" t="str">
        <v>GBPAM3L23Y=ICAP</v>
      </c>
      <c r="G31" s="401" t="s">
        <v>233</v>
      </c>
      <c r="H31" s="401" t="s">
        <v>233</v>
      </c>
      <c r="I31" s="401" t="s">
        <v>233</v>
      </c>
      <c r="J31" s="401" t="s">
        <v>233</v>
      </c>
      <c r="K31" s="352" t="e">
        <f>_xll.qlMidSafe($G31,$H31)</f>
        <v>#NUM!</v>
      </c>
      <c r="L31" s="343"/>
      <c r="M31" s="351" t="e">
        <v>#NUM!</v>
      </c>
      <c r="N31" s="343"/>
      <c r="O31" s="394" t="str">
        <f t="shared" si="1"/>
        <v>GBPAM3L23Y_Quote</v>
      </c>
      <c r="P31" s="349" t="e">
        <v>#NUM!</v>
      </c>
      <c r="Q31" s="348" t="e">
        <f>_xll.qlSimpleQuoteSetValue($O31,$P31/100,Trigger)</f>
        <v>#NUM!</v>
      </c>
      <c r="R31" s="218"/>
      <c r="X31" s="382" t="e">
        <f t="shared" si="2"/>
        <v>#VALUE!</v>
      </c>
    </row>
    <row r="32" spans="1:24" x14ac:dyDescent="0.2">
      <c r="A32" s="118"/>
      <c r="B32" s="354" t="s">
        <v>63</v>
      </c>
      <c r="C32" s="504" t="str">
        <v>AM</v>
      </c>
      <c r="D32" s="504" t="str">
        <v>3L</v>
      </c>
      <c r="E32" s="400" t="str">
        <f t="shared" si="0"/>
        <v>GBPAM3L24Y</v>
      </c>
      <c r="F32" s="400" t="str">
        <v>GBPAM3L24Y=ICAP</v>
      </c>
      <c r="G32" s="401" t="s">
        <v>233</v>
      </c>
      <c r="H32" s="401" t="s">
        <v>233</v>
      </c>
      <c r="I32" s="401" t="s">
        <v>233</v>
      </c>
      <c r="J32" s="401" t="s">
        <v>233</v>
      </c>
      <c r="K32" s="352" t="e">
        <f>_xll.qlMidSafe($G32,$H32)</f>
        <v>#NUM!</v>
      </c>
      <c r="L32" s="343"/>
      <c r="M32" s="351" t="e">
        <v>#NUM!</v>
      </c>
      <c r="N32" s="343"/>
      <c r="O32" s="394" t="str">
        <f t="shared" si="1"/>
        <v>GBPAM3L24Y_Quote</v>
      </c>
      <c r="P32" s="349" t="e">
        <v>#NUM!</v>
      </c>
      <c r="Q32" s="348" t="e">
        <f>_xll.qlSimpleQuoteSetValue($O32,$P32/100,Trigger)</f>
        <v>#NUM!</v>
      </c>
      <c r="R32" s="218"/>
      <c r="X32" s="382" t="e">
        <f t="shared" si="2"/>
        <v>#VALUE!</v>
      </c>
    </row>
    <row r="33" spans="1:24" x14ac:dyDescent="0.2">
      <c r="A33" s="118"/>
      <c r="B33" s="354" t="s">
        <v>62</v>
      </c>
      <c r="C33" s="504" t="str">
        <v>AM</v>
      </c>
      <c r="D33" s="504" t="str">
        <v>3L</v>
      </c>
      <c r="E33" s="400" t="str">
        <f t="shared" si="0"/>
        <v>GBPAM3L25Y</v>
      </c>
      <c r="F33" s="400" t="str">
        <v>GBPAM3L25Y=ICAP</v>
      </c>
      <c r="G33" s="401" t="s">
        <v>233</v>
      </c>
      <c r="H33" s="401" t="s">
        <v>233</v>
      </c>
      <c r="I33" s="401" t="s">
        <v>233</v>
      </c>
      <c r="J33" s="401" t="s">
        <v>233</v>
      </c>
      <c r="K33" s="352" t="e">
        <f>_xll.qlMidSafe($G33,$H33)</f>
        <v>#NUM!</v>
      </c>
      <c r="L33" s="343"/>
      <c r="M33" s="351" t="e">
        <v>#NUM!</v>
      </c>
      <c r="N33" s="343"/>
      <c r="O33" s="394" t="str">
        <f t="shared" si="1"/>
        <v>GBPAM3L25Y_Quote</v>
      </c>
      <c r="P33" s="349" t="e">
        <v>#NUM!</v>
      </c>
      <c r="Q33" s="348" t="e">
        <f>_xll.qlSimpleQuoteSetValue($O33,$P33/100,Trigger)</f>
        <v>#NUM!</v>
      </c>
      <c r="R33" s="218"/>
      <c r="X33" s="382" t="e">
        <f t="shared" si="2"/>
        <v>#VALUE!</v>
      </c>
    </row>
    <row r="34" spans="1:24" x14ac:dyDescent="0.2">
      <c r="A34" s="118"/>
      <c r="B34" s="354" t="s">
        <v>61</v>
      </c>
      <c r="C34" s="504" t="str">
        <v>AM</v>
      </c>
      <c r="D34" s="504" t="str">
        <v>3L</v>
      </c>
      <c r="E34" s="400" t="str">
        <f t="shared" si="0"/>
        <v>GBPAM3L26Y</v>
      </c>
      <c r="F34" s="400" t="str">
        <v>GBPAM3L26Y=ICAP</v>
      </c>
      <c r="G34" s="401" t="s">
        <v>233</v>
      </c>
      <c r="H34" s="401" t="s">
        <v>233</v>
      </c>
      <c r="I34" s="401" t="s">
        <v>233</v>
      </c>
      <c r="J34" s="401" t="s">
        <v>233</v>
      </c>
      <c r="K34" s="352" t="e">
        <f>_xll.qlMidSafe($G34,$H34)</f>
        <v>#NUM!</v>
      </c>
      <c r="L34" s="343"/>
      <c r="M34" s="351" t="e">
        <v>#NUM!</v>
      </c>
      <c r="N34" s="343"/>
      <c r="O34" s="394" t="str">
        <f t="shared" si="1"/>
        <v>GBPAM3L26Y_Quote</v>
      </c>
      <c r="P34" s="349" t="e">
        <v>#NUM!</v>
      </c>
      <c r="Q34" s="348" t="e">
        <f>_xll.qlSimpleQuoteSetValue($O34,$P34/100,Trigger)</f>
        <v>#NUM!</v>
      </c>
      <c r="R34" s="218"/>
      <c r="X34" s="382" t="e">
        <f t="shared" si="2"/>
        <v>#VALUE!</v>
      </c>
    </row>
    <row r="35" spans="1:24" x14ac:dyDescent="0.2">
      <c r="A35" s="118"/>
      <c r="B35" s="354" t="s">
        <v>60</v>
      </c>
      <c r="C35" s="504" t="str">
        <v>AM</v>
      </c>
      <c r="D35" s="504" t="str">
        <v>3L</v>
      </c>
      <c r="E35" s="400" t="str">
        <f t="shared" si="0"/>
        <v>GBPAM3L27Y</v>
      </c>
      <c r="F35" s="400" t="str">
        <v>GBPAM3L27Y=ICAP</v>
      </c>
      <c r="G35" s="401" t="s">
        <v>233</v>
      </c>
      <c r="H35" s="401" t="s">
        <v>233</v>
      </c>
      <c r="I35" s="401" t="s">
        <v>233</v>
      </c>
      <c r="J35" s="401" t="s">
        <v>233</v>
      </c>
      <c r="K35" s="352" t="e">
        <f>_xll.qlMidSafe($G35,$H35)</f>
        <v>#NUM!</v>
      </c>
      <c r="L35" s="343"/>
      <c r="M35" s="351" t="e">
        <v>#NUM!</v>
      </c>
      <c r="N35" s="343"/>
      <c r="O35" s="394" t="str">
        <f t="shared" si="1"/>
        <v>GBPAM3L27Y_Quote</v>
      </c>
      <c r="P35" s="349" t="e">
        <v>#NUM!</v>
      </c>
      <c r="Q35" s="348" t="e">
        <f>_xll.qlSimpleQuoteSetValue($O35,$P35/100,Trigger)</f>
        <v>#NUM!</v>
      </c>
      <c r="R35" s="218"/>
      <c r="X35" s="382" t="e">
        <f t="shared" si="2"/>
        <v>#VALUE!</v>
      </c>
    </row>
    <row r="36" spans="1:24" x14ac:dyDescent="0.2">
      <c r="A36" s="118"/>
      <c r="B36" s="354" t="s">
        <v>59</v>
      </c>
      <c r="C36" s="504" t="str">
        <v>AM</v>
      </c>
      <c r="D36" s="504" t="str">
        <v>3L</v>
      </c>
      <c r="E36" s="400" t="str">
        <f t="shared" si="0"/>
        <v>GBPAM3L28Y</v>
      </c>
      <c r="F36" s="400" t="str">
        <v>GBPAM3L28Y=ICAP</v>
      </c>
      <c r="G36" s="401" t="s">
        <v>233</v>
      </c>
      <c r="H36" s="401" t="s">
        <v>233</v>
      </c>
      <c r="I36" s="401" t="s">
        <v>233</v>
      </c>
      <c r="J36" s="401" t="s">
        <v>233</v>
      </c>
      <c r="K36" s="352" t="e">
        <f>_xll.qlMidSafe($G36,$H36)</f>
        <v>#NUM!</v>
      </c>
      <c r="L36" s="343"/>
      <c r="M36" s="351" t="e">
        <v>#NUM!</v>
      </c>
      <c r="N36" s="343"/>
      <c r="O36" s="394" t="str">
        <f t="shared" si="1"/>
        <v>GBPAM3L28Y_Quote</v>
      </c>
      <c r="P36" s="349" t="e">
        <v>#NUM!</v>
      </c>
      <c r="Q36" s="348" t="e">
        <f>_xll.qlSimpleQuoteSetValue($O36,$P36/100,Trigger)</f>
        <v>#NUM!</v>
      </c>
      <c r="R36" s="218"/>
      <c r="X36" s="382" t="e">
        <f t="shared" si="2"/>
        <v>#VALUE!</v>
      </c>
    </row>
    <row r="37" spans="1:24" x14ac:dyDescent="0.2">
      <c r="A37" s="118"/>
      <c r="B37" s="354" t="s">
        <v>58</v>
      </c>
      <c r="C37" s="504" t="str">
        <v>AM</v>
      </c>
      <c r="D37" s="504" t="str">
        <v>3L</v>
      </c>
      <c r="E37" s="400" t="str">
        <f t="shared" si="0"/>
        <v>GBPAM3L29Y</v>
      </c>
      <c r="F37" s="400" t="str">
        <v>GBPAM3L29Y=ICAP</v>
      </c>
      <c r="G37" s="401" t="s">
        <v>233</v>
      </c>
      <c r="H37" s="401" t="s">
        <v>233</v>
      </c>
      <c r="I37" s="401" t="s">
        <v>233</v>
      </c>
      <c r="J37" s="401" t="s">
        <v>233</v>
      </c>
      <c r="K37" s="352" t="e">
        <f>_xll.qlMidSafe($G37,$H37)</f>
        <v>#NUM!</v>
      </c>
      <c r="L37" s="343"/>
      <c r="M37" s="351" t="e">
        <v>#NUM!</v>
      </c>
      <c r="N37" s="343"/>
      <c r="O37" s="394" t="str">
        <f t="shared" si="1"/>
        <v>GBPAM3L29Y_Quote</v>
      </c>
      <c r="P37" s="349" t="e">
        <v>#NUM!</v>
      </c>
      <c r="Q37" s="348" t="e">
        <f>_xll.qlSimpleQuoteSetValue($O37,$P37/100,Trigger)</f>
        <v>#NUM!</v>
      </c>
      <c r="R37" s="218"/>
      <c r="X37" s="382" t="e">
        <f t="shared" si="2"/>
        <v>#VALUE!</v>
      </c>
    </row>
    <row r="38" spans="1:24" x14ac:dyDescent="0.2">
      <c r="A38" s="118"/>
      <c r="B38" s="354" t="s">
        <v>57</v>
      </c>
      <c r="C38" s="504" t="str">
        <v>AM</v>
      </c>
      <c r="D38" s="504" t="str">
        <v>3L</v>
      </c>
      <c r="E38" s="400" t="str">
        <f t="shared" si="0"/>
        <v>GBPAM3L30Y</v>
      </c>
      <c r="F38" s="400" t="str">
        <v>GBPAM3L30Y=ICAP</v>
      </c>
      <c r="G38" s="401" t="s">
        <v>233</v>
      </c>
      <c r="H38" s="401" t="s">
        <v>233</v>
      </c>
      <c r="I38" s="401" t="s">
        <v>233</v>
      </c>
      <c r="J38" s="401" t="s">
        <v>233</v>
      </c>
      <c r="K38" s="352" t="e">
        <f>_xll.qlMidSafe($G38,$H38)</f>
        <v>#NUM!</v>
      </c>
      <c r="L38" s="343"/>
      <c r="M38" s="351" t="e">
        <v>#NUM!</v>
      </c>
      <c r="N38" s="343"/>
      <c r="O38" s="394" t="str">
        <f t="shared" si="1"/>
        <v>GBPAM3L30Y_Quote</v>
      </c>
      <c r="P38" s="349" t="e">
        <v>#NUM!</v>
      </c>
      <c r="Q38" s="348" t="e">
        <f>_xll.qlSimpleQuoteSetValue($O38,$P38/100,Trigger)</f>
        <v>#NUM!</v>
      </c>
      <c r="R38" s="218"/>
      <c r="X38" s="382" t="e">
        <f t="shared" si="2"/>
        <v>#VALUE!</v>
      </c>
    </row>
    <row r="39" spans="1:24" x14ac:dyDescent="0.2">
      <c r="A39" s="118"/>
      <c r="B39" s="354" t="s">
        <v>52</v>
      </c>
      <c r="C39" s="504" t="str">
        <v>AM</v>
      </c>
      <c r="D39" s="504" t="str">
        <v>3L</v>
      </c>
      <c r="E39" s="400" t="str">
        <f t="shared" si="0"/>
        <v>GBPAM3L35Y</v>
      </c>
      <c r="F39" s="400" t="str">
        <v>GBPAM3L35Y=ICAP</v>
      </c>
      <c r="G39" s="401" t="s">
        <v>233</v>
      </c>
      <c r="H39" s="401" t="s">
        <v>233</v>
      </c>
      <c r="I39" s="401" t="s">
        <v>233</v>
      </c>
      <c r="J39" s="401" t="s">
        <v>233</v>
      </c>
      <c r="K39" s="352" t="e">
        <f>_xll.qlMidSafe($G39,$H39)</f>
        <v>#NUM!</v>
      </c>
      <c r="L39" s="343"/>
      <c r="M39" s="351" t="e">
        <v>#NUM!</v>
      </c>
      <c r="N39" s="343"/>
      <c r="O39" s="394" t="str">
        <f t="shared" si="1"/>
        <v>GBPAM3L35Y_Quote</v>
      </c>
      <c r="P39" s="349" t="e">
        <v>#NUM!</v>
      </c>
      <c r="Q39" s="348" t="e">
        <f>_xll.qlSimpleQuoteSetValue($O39,$P39/100,Trigger)</f>
        <v>#NUM!</v>
      </c>
      <c r="R39" s="218"/>
      <c r="X39" s="382" t="e">
        <f t="shared" si="2"/>
        <v>#VALUE!</v>
      </c>
    </row>
    <row r="40" spans="1:24" x14ac:dyDescent="0.2">
      <c r="A40" s="118"/>
      <c r="B40" s="354" t="s">
        <v>47</v>
      </c>
      <c r="C40" s="504" t="str">
        <v>AM</v>
      </c>
      <c r="D40" s="504" t="str">
        <v>3L</v>
      </c>
      <c r="E40" s="400" t="str">
        <f t="shared" si="0"/>
        <v>GBPAM3L40Y</v>
      </c>
      <c r="F40" s="400" t="str">
        <v>GBPAM3L40Y=ICAP</v>
      </c>
      <c r="G40" s="401" t="s">
        <v>233</v>
      </c>
      <c r="H40" s="401" t="s">
        <v>233</v>
      </c>
      <c r="I40" s="401" t="s">
        <v>233</v>
      </c>
      <c r="J40" s="401" t="s">
        <v>233</v>
      </c>
      <c r="K40" s="352" t="e">
        <f>_xll.qlMidSafe($G40,$H40)</f>
        <v>#NUM!</v>
      </c>
      <c r="L40" s="343"/>
      <c r="M40" s="351" t="e">
        <v>#NUM!</v>
      </c>
      <c r="N40" s="343"/>
      <c r="O40" s="394" t="str">
        <f t="shared" si="1"/>
        <v>GBPAM3L40Y_Quote</v>
      </c>
      <c r="P40" s="349" t="e">
        <v>#NUM!</v>
      </c>
      <c r="Q40" s="348" t="e">
        <f>_xll.qlSimpleQuoteSetValue($O40,$P40/100,Trigger)</f>
        <v>#NUM!</v>
      </c>
      <c r="R40" s="218"/>
      <c r="X40" s="382" t="e">
        <f t="shared" si="2"/>
        <v>#VALUE!</v>
      </c>
    </row>
    <row r="41" spans="1:24" x14ac:dyDescent="0.2">
      <c r="A41" s="118"/>
      <c r="B41" s="354" t="s">
        <v>37</v>
      </c>
      <c r="C41" s="504" t="str">
        <v>AM</v>
      </c>
      <c r="D41" s="504" t="str">
        <v>3L</v>
      </c>
      <c r="E41" s="400" t="str">
        <f t="shared" si="0"/>
        <v>GBPAM3L50Y</v>
      </c>
      <c r="F41" s="400" t="str">
        <v>GBPAM3L50Y=ICAP</v>
      </c>
      <c r="G41" s="401" t="s">
        <v>233</v>
      </c>
      <c r="H41" s="401" t="s">
        <v>233</v>
      </c>
      <c r="I41" s="401" t="s">
        <v>233</v>
      </c>
      <c r="J41" s="401" t="s">
        <v>233</v>
      </c>
      <c r="K41" s="352" t="e">
        <f>_xll.qlMidSafe($G41,$H41)</f>
        <v>#NUM!</v>
      </c>
      <c r="L41" s="343"/>
      <c r="M41" s="351" t="e">
        <v>#NUM!</v>
      </c>
      <c r="N41" s="343"/>
      <c r="O41" s="394" t="str">
        <f t="shared" si="1"/>
        <v>GBPAM3L50Y_Quote</v>
      </c>
      <c r="P41" s="349" t="e">
        <v>#NUM!</v>
      </c>
      <c r="Q41" s="348" t="e">
        <f>_xll.qlSimpleQuoteSetValue($O41,$P41/100,Trigger)</f>
        <v>#NUM!</v>
      </c>
      <c r="R41" s="218"/>
      <c r="X41" s="382" t="e">
        <f t="shared" si="2"/>
        <v>#VALUE!</v>
      </c>
    </row>
    <row r="42" spans="1:24" x14ac:dyDescent="0.2">
      <c r="A42" s="118"/>
      <c r="B42" s="347" t="s">
        <v>27</v>
      </c>
      <c r="C42" s="503" t="str">
        <v>AM</v>
      </c>
      <c r="D42" s="503" t="str">
        <v>3L</v>
      </c>
      <c r="E42" s="396" t="str">
        <f t="shared" si="0"/>
        <v>GBPAM3L60Y</v>
      </c>
      <c r="F42" s="396" t="str">
        <v>GBPAM3L60Y=ICAP</v>
      </c>
      <c r="G42" s="397" t="s">
        <v>233</v>
      </c>
      <c r="H42" s="397" t="s">
        <v>233</v>
      </c>
      <c r="I42" s="397" t="s">
        <v>233</v>
      </c>
      <c r="J42" s="397" t="s">
        <v>233</v>
      </c>
      <c r="K42" s="345" t="e">
        <f>_xll.qlMidSafe($G42,$H42)</f>
        <v>#NUM!</v>
      </c>
      <c r="L42" s="343"/>
      <c r="M42" s="344" t="e">
        <v>#NUM!</v>
      </c>
      <c r="N42" s="343"/>
      <c r="O42" s="407" t="str">
        <f t="shared" si="1"/>
        <v>GBPAM3L60Y_Quote</v>
      </c>
      <c r="P42" s="341" t="e">
        <v>#NUM!</v>
      </c>
      <c r="Q42" s="340" t="e">
        <f>_xll.qlSimpleQuoteSetValue($O42,$P42/100,Trigger)</f>
        <v>#NUM!</v>
      </c>
      <c r="R42" s="218"/>
      <c r="X42" s="382" t="e">
        <f t="shared" si="2"/>
        <v>#VALUE!</v>
      </c>
    </row>
    <row r="43" spans="1:24" ht="12" thickBot="1" x14ac:dyDescent="0.25">
      <c r="A43" s="212"/>
      <c r="B43" s="211"/>
      <c r="C43" s="31"/>
      <c r="D43" s="31"/>
      <c r="E43" s="31"/>
      <c r="F43" s="31"/>
      <c r="G43" s="31"/>
      <c r="H43" s="31"/>
      <c r="I43" s="31"/>
      <c r="J43" s="31"/>
      <c r="K43" s="31"/>
      <c r="L43" s="211"/>
      <c r="M43" s="211"/>
      <c r="N43" s="211"/>
      <c r="O43" s="211"/>
      <c r="P43" s="211"/>
      <c r="Q43" s="211"/>
      <c r="R43" s="384"/>
    </row>
  </sheetData>
  <conditionalFormatting sqref="Q5:Q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X43"/>
  <sheetViews>
    <sheetView workbookViewId="0"/>
  </sheetViews>
  <sheetFormatPr defaultRowHeight="11.25" x14ac:dyDescent="0.2"/>
  <cols>
    <col min="1" max="1" width="2.85546875" style="64" customWidth="1"/>
    <col min="2" max="2" width="3.85546875" style="64" bestFit="1" customWidth="1"/>
    <col min="3" max="3" width="3.140625" style="64" bestFit="1" customWidth="1"/>
    <col min="4" max="4" width="2.7109375" style="64" bestFit="1" customWidth="1"/>
    <col min="5" max="5" width="10.5703125" style="64" bestFit="1" customWidth="1"/>
    <col min="6" max="6" width="14.85546875" style="64" bestFit="1" customWidth="1"/>
    <col min="7" max="8" width="7.42578125" style="64" customWidth="1"/>
    <col min="9" max="9" width="5.7109375" style="64" bestFit="1" customWidth="1"/>
    <col min="10" max="10" width="10" style="64" bestFit="1" customWidth="1"/>
    <col min="11" max="11" width="5.7109375" style="64" bestFit="1" customWidth="1"/>
    <col min="12" max="12" width="5" style="64" customWidth="1"/>
    <col min="13" max="13" width="5.7109375" style="64" bestFit="1" customWidth="1"/>
    <col min="14" max="14" width="5" style="64" customWidth="1"/>
    <col min="15" max="15" width="16" style="64" bestFit="1" customWidth="1"/>
    <col min="16" max="17" width="7.7109375" style="64" bestFit="1" customWidth="1"/>
    <col min="18" max="18" width="5" style="64" customWidth="1"/>
    <col min="19" max="19" width="5.140625" style="64" customWidth="1"/>
    <col min="20" max="20" width="4" style="64" bestFit="1" customWidth="1"/>
    <col min="21" max="21" width="3.28515625" style="64" bestFit="1" customWidth="1"/>
    <col min="22" max="22" width="2.7109375" style="64" bestFit="1" customWidth="1"/>
    <col min="23" max="23" width="9.140625" style="64"/>
    <col min="24" max="24" width="7.140625" style="64" bestFit="1" customWidth="1"/>
    <col min="25" max="16384" width="9.140625" style="64"/>
  </cols>
  <sheetData>
    <row r="1" spans="1:24" ht="12" thickBot="1" x14ac:dyDescent="0.25">
      <c r="A1" s="417" t="s">
        <v>356</v>
      </c>
      <c r="B1" s="201"/>
      <c r="C1" s="201"/>
      <c r="D1" s="201"/>
      <c r="E1" s="201"/>
      <c r="F1" s="201"/>
      <c r="G1" s="201"/>
      <c r="H1" s="201"/>
      <c r="I1" s="201"/>
      <c r="J1" s="201"/>
      <c r="K1" s="201"/>
      <c r="L1" s="201"/>
      <c r="M1" s="201"/>
      <c r="N1" s="201"/>
      <c r="O1" s="201"/>
      <c r="P1" s="201"/>
      <c r="Q1" s="201"/>
      <c r="R1" s="198"/>
    </row>
    <row r="2" spans="1:24" ht="12" thickBot="1" x14ac:dyDescent="0.25">
      <c r="A2" s="380"/>
      <c r="B2" s="133"/>
      <c r="C2" s="379"/>
      <c r="D2" s="379"/>
      <c r="E2" s="379"/>
      <c r="F2" s="140" t="s">
        <v>276</v>
      </c>
      <c r="G2" s="343"/>
      <c r="H2" s="343"/>
      <c r="I2" s="343"/>
      <c r="J2" s="343"/>
      <c r="K2" s="133"/>
      <c r="L2" s="343"/>
      <c r="M2" s="343"/>
      <c r="N2" s="343"/>
      <c r="O2" s="508" t="s">
        <v>289</v>
      </c>
      <c r="P2" s="507" t="s">
        <v>131</v>
      </c>
      <c r="Q2" s="133"/>
      <c r="R2" s="33"/>
    </row>
    <row r="3" spans="1:24" x14ac:dyDescent="0.2">
      <c r="A3" s="118"/>
      <c r="B3" s="343"/>
      <c r="C3" s="133"/>
      <c r="D3" s="133"/>
      <c r="E3" s="133"/>
      <c r="F3" s="133"/>
      <c r="G3" s="133"/>
      <c r="H3" s="133"/>
      <c r="I3" s="133"/>
      <c r="J3" s="133"/>
      <c r="K3" s="133"/>
      <c r="L3" s="343"/>
      <c r="M3" s="343"/>
      <c r="N3" s="343"/>
      <c r="O3" s="133"/>
      <c r="P3" s="133"/>
      <c r="Q3" s="459">
        <f>_xll.ohTrigger(Q5:Q42)</f>
        <v>3</v>
      </c>
      <c r="R3" s="218"/>
    </row>
    <row r="4" spans="1:24" ht="23.25" thickBot="1" x14ac:dyDescent="0.25">
      <c r="A4" s="118"/>
      <c r="B4" s="510"/>
      <c r="C4" s="196"/>
      <c r="D4" s="196"/>
      <c r="E4" s="196"/>
      <c r="F4" s="374" t="e">
        <f ca="1">_xll.RData(F5:F42,G4:J4,"RTFEED:IDN",ReutersRtMode,,G5)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54" t="s">
        <v>8</v>
      </c>
      <c r="C5" s="400" t="str">
        <f t="array" ref="C5:C42">VLOOKUP(Currency,Conventions,2)</f>
        <v>SB</v>
      </c>
      <c r="D5" s="400" t="str">
        <f t="array" ref="D5:D42">VLOOKUP(Currency,Conventions,3)</f>
        <v>6L</v>
      </c>
      <c r="E5" s="353" t="str">
        <f t="shared" ref="E5:E42" si="0">Currency&amp;$C5&amp;$D5&amp;$B5</f>
        <v>GBPSB6L6M</v>
      </c>
      <c r="F5" s="353" t="str">
        <f t="array" ref="F5:F42">Instruments&amp;"="&amp;VLOOKUP(Contributor,ContributorTable,2,FALSE)</f>
        <v>GBPSB6L6M=ICAP</v>
      </c>
      <c r="G5" s="401" t="s">
        <v>233</v>
      </c>
      <c r="H5" s="401" t="s">
        <v>233</v>
      </c>
      <c r="I5" s="401" t="s">
        <v>233</v>
      </c>
      <c r="J5" s="401" t="s">
        <v>233</v>
      </c>
      <c r="K5" s="498" t="e">
        <f>_xll.qlMidSafe($G5,$H5)</f>
        <v>#NUM!</v>
      </c>
      <c r="L5" s="343"/>
      <c r="M5" s="351" t="e">
        <v>#NUM!</v>
      </c>
      <c r="N5" s="343"/>
      <c r="O5" s="394" t="str">
        <f t="shared" ref="O5:O42" si="1">$E5&amp;$P$2</f>
        <v>GBPSB6L6M_Quote</v>
      </c>
      <c r="P5" s="349" t="e">
        <f t="array" ref="P5:P42">QuoteLive</f>
        <v>#NUM!</v>
      </c>
      <c r="Q5" s="348" t="e">
        <f>_xll.qlSimpleQuoteSetValue($O5,$P5/100,Trigger)</f>
        <v>#NUM!</v>
      </c>
      <c r="R5" s="218"/>
      <c r="T5" s="506" t="s">
        <v>121</v>
      </c>
      <c r="U5" s="85" t="s">
        <v>212</v>
      </c>
      <c r="V5" s="84" t="s">
        <v>116</v>
      </c>
      <c r="X5" s="382" t="e">
        <f t="shared" ref="X5:X42" si="2">(H5-K5)/50</f>
        <v>#VALUE!</v>
      </c>
    </row>
    <row r="6" spans="1:24" x14ac:dyDescent="0.2">
      <c r="A6" s="118"/>
      <c r="B6" s="354" t="s">
        <v>1</v>
      </c>
      <c r="C6" s="400" t="str">
        <v>SB</v>
      </c>
      <c r="D6" s="400" t="str">
        <v>6L</v>
      </c>
      <c r="E6" s="353" t="str">
        <f t="shared" si="0"/>
        <v>GBPSB6L1Y</v>
      </c>
      <c r="F6" s="353" t="str">
        <v>GBPSB6L1Y=ICAP</v>
      </c>
      <c r="G6" s="401" t="s">
        <v>233</v>
      </c>
      <c r="H6" s="401" t="s">
        <v>233</v>
      </c>
      <c r="I6" s="401" t="s">
        <v>233</v>
      </c>
      <c r="J6" s="401" t="s">
        <v>233</v>
      </c>
      <c r="K6" s="498" t="e">
        <f>_xll.qlMidSafe($G6,$H6)</f>
        <v>#NUM!</v>
      </c>
      <c r="L6" s="343"/>
      <c r="M6" s="351" t="e">
        <v>#NUM!</v>
      </c>
      <c r="N6" s="343"/>
      <c r="O6" s="394" t="str">
        <f t="shared" si="1"/>
        <v>GBPSB6L1Y_Quote</v>
      </c>
      <c r="P6" s="349" t="e">
        <v>#NUM!</v>
      </c>
      <c r="Q6" s="348" t="e">
        <f>_xll.qlSimpleQuoteSetValue($O6,$P6/100,Trigger)</f>
        <v>#NUM!</v>
      </c>
      <c r="R6" s="218"/>
      <c r="T6" s="207" t="s">
        <v>120</v>
      </c>
      <c r="U6" s="82" t="s">
        <v>212</v>
      </c>
      <c r="V6" s="81" t="s">
        <v>118</v>
      </c>
      <c r="X6" s="382" t="e">
        <f t="shared" si="2"/>
        <v>#VALUE!</v>
      </c>
    </row>
    <row r="7" spans="1:24" x14ac:dyDescent="0.2">
      <c r="A7" s="118"/>
      <c r="B7" s="354" t="s">
        <v>124</v>
      </c>
      <c r="C7" s="400" t="str">
        <v>SB</v>
      </c>
      <c r="D7" s="400" t="str">
        <v>6L</v>
      </c>
      <c r="E7" s="353" t="str">
        <f t="shared" si="0"/>
        <v>GBPSB6L15M</v>
      </c>
      <c r="F7" s="353" t="str">
        <v>GBPSB6L15M=ICAP</v>
      </c>
      <c r="G7" s="401" t="s">
        <v>233</v>
      </c>
      <c r="H7" s="401" t="s">
        <v>233</v>
      </c>
      <c r="I7" s="401" t="s">
        <v>233</v>
      </c>
      <c r="J7" s="401" t="s">
        <v>233</v>
      </c>
      <c r="K7" s="498" t="e">
        <f>_xll.qlMidEquivalent($G7,$H7,$I7,$J7)</f>
        <v>#NUM!</v>
      </c>
      <c r="L7" s="343"/>
      <c r="M7" s="351" t="e">
        <v>#NUM!</v>
      </c>
      <c r="N7" s="343"/>
      <c r="O7" s="394" t="str">
        <f t="shared" si="1"/>
        <v>GBPSB6L15M_Quote</v>
      </c>
      <c r="P7" s="349" t="e">
        <v>#NUM!</v>
      </c>
      <c r="Q7" s="348" t="e">
        <f>_xll.qlSimpleQuoteSetValue($O7,$P7/100,Trigger)</f>
        <v>#NUM!</v>
      </c>
      <c r="R7" s="218"/>
      <c r="T7" s="207" t="s">
        <v>96</v>
      </c>
      <c r="U7" s="82" t="s">
        <v>211</v>
      </c>
      <c r="V7" s="81" t="s">
        <v>116</v>
      </c>
      <c r="W7" s="509"/>
      <c r="X7" s="382" t="e">
        <f t="shared" si="2"/>
        <v>#VALUE!</v>
      </c>
    </row>
    <row r="8" spans="1:24" x14ac:dyDescent="0.2">
      <c r="A8" s="118"/>
      <c r="B8" s="354" t="s">
        <v>123</v>
      </c>
      <c r="C8" s="400" t="str">
        <v>SB</v>
      </c>
      <c r="D8" s="400" t="str">
        <v>6L</v>
      </c>
      <c r="E8" s="353" t="str">
        <f t="shared" si="0"/>
        <v>GBPSB6L18M</v>
      </c>
      <c r="F8" s="353" t="str">
        <v>GBPSB6L18M=ICAP</v>
      </c>
      <c r="G8" s="401">
        <v>0.65625</v>
      </c>
      <c r="H8" s="401">
        <v>0.69625000000000004</v>
      </c>
      <c r="I8" s="401">
        <v>0</v>
      </c>
      <c r="J8" s="401">
        <v>0</v>
      </c>
      <c r="K8" s="498">
        <f>_xll.qlMidEquivalent($G8,$H8,$I8,$J8)</f>
        <v>0.67625000000000002</v>
      </c>
      <c r="L8" s="343"/>
      <c r="M8" s="351">
        <v>0.65249999999999997</v>
      </c>
      <c r="N8" s="343"/>
      <c r="O8" s="394" t="str">
        <f t="shared" si="1"/>
        <v>GBPSB6L18M_Quote</v>
      </c>
      <c r="P8" s="349">
        <v>0.67625000000000002</v>
      </c>
      <c r="Q8" s="348" t="e">
        <f>_xll.qlSimpleQuoteSetValue($O8,$P8/100,Trigger)</f>
        <v>#N/A</v>
      </c>
      <c r="R8" s="218"/>
      <c r="T8" s="207" t="s">
        <v>117</v>
      </c>
      <c r="U8" s="82" t="s">
        <v>211</v>
      </c>
      <c r="V8" s="81" t="s">
        <v>116</v>
      </c>
      <c r="W8" s="509"/>
      <c r="X8" s="382">
        <f t="shared" si="2"/>
        <v>4.0000000000000034E-4</v>
      </c>
    </row>
    <row r="9" spans="1:24" ht="12" thickBot="1" x14ac:dyDescent="0.25">
      <c r="A9" s="118"/>
      <c r="B9" s="354" t="s">
        <v>122</v>
      </c>
      <c r="C9" s="400" t="str">
        <v>SB</v>
      </c>
      <c r="D9" s="400" t="str">
        <v>6L</v>
      </c>
      <c r="E9" s="353" t="str">
        <f t="shared" si="0"/>
        <v>GBPSB6L21M</v>
      </c>
      <c r="F9" s="353" t="str">
        <v>GBPSB6L21M=ICAP</v>
      </c>
      <c r="G9" s="401" t="s">
        <v>233</v>
      </c>
      <c r="H9" s="401" t="s">
        <v>233</v>
      </c>
      <c r="I9" s="401" t="s">
        <v>233</v>
      </c>
      <c r="J9" s="401" t="s">
        <v>233</v>
      </c>
      <c r="K9" s="498" t="e">
        <f>_xll.qlMidEquivalent($G9,$H9,$I9,$J9)</f>
        <v>#NUM!</v>
      </c>
      <c r="L9" s="343"/>
      <c r="M9" s="351" t="e">
        <v>#NUM!</v>
      </c>
      <c r="N9" s="343"/>
      <c r="O9" s="394" t="str">
        <f t="shared" si="1"/>
        <v>GBPSB6L21M_Quote</v>
      </c>
      <c r="P9" s="349" t="e">
        <v>#NUM!</v>
      </c>
      <c r="Q9" s="348" t="e">
        <f>_xll.qlSimpleQuoteSetValue($O9,$P9/100,Trigger)</f>
        <v>#NUM!</v>
      </c>
      <c r="R9" s="218"/>
      <c r="T9" s="206" t="s">
        <v>115</v>
      </c>
      <c r="U9" s="79" t="s">
        <v>210</v>
      </c>
      <c r="V9" s="78" t="s">
        <v>116</v>
      </c>
      <c r="X9" s="382" t="e">
        <f t="shared" si="2"/>
        <v>#VALUE!</v>
      </c>
    </row>
    <row r="10" spans="1:24" x14ac:dyDescent="0.2">
      <c r="A10" s="118"/>
      <c r="B10" s="354" t="s">
        <v>85</v>
      </c>
      <c r="C10" s="400" t="str">
        <v>SB</v>
      </c>
      <c r="D10" s="400" t="str">
        <v>6L</v>
      </c>
      <c r="E10" s="353" t="str">
        <f t="shared" si="0"/>
        <v>GBPSB6L2Y</v>
      </c>
      <c r="F10" s="353" t="str">
        <v>GBPSB6L2Y=ICAP</v>
      </c>
      <c r="G10" s="401">
        <v>0.6925</v>
      </c>
      <c r="H10" s="401">
        <v>0.73250000000000004</v>
      </c>
      <c r="I10" s="401">
        <v>0</v>
      </c>
      <c r="J10" s="401">
        <v>0</v>
      </c>
      <c r="K10" s="498">
        <f>_xll.qlMidEquivalent($G10,$H10,$I10,$J10)</f>
        <v>0.71250000000000002</v>
      </c>
      <c r="L10" s="343"/>
      <c r="M10" s="351">
        <v>0.66749999999999998</v>
      </c>
      <c r="N10" s="343"/>
      <c r="O10" s="394" t="str">
        <f t="shared" si="1"/>
        <v>GBPSB6L2Y_Quote</v>
      </c>
      <c r="P10" s="349">
        <v>0.71250000000000002</v>
      </c>
      <c r="Q10" s="348" t="e">
        <f>_xll.qlSimpleQuoteSetValue($O10,$P10/100,Trigger)</f>
        <v>#N/A</v>
      </c>
      <c r="R10" s="218"/>
      <c r="X10" s="382">
        <f t="shared" si="2"/>
        <v>4.0000000000000034E-4</v>
      </c>
    </row>
    <row r="11" spans="1:24" x14ac:dyDescent="0.2">
      <c r="A11" s="118"/>
      <c r="B11" s="354" t="s">
        <v>84</v>
      </c>
      <c r="C11" s="400" t="str">
        <v>SB</v>
      </c>
      <c r="D11" s="400" t="str">
        <v>6L</v>
      </c>
      <c r="E11" s="353" t="str">
        <f t="shared" si="0"/>
        <v>GBPSB6L3Y</v>
      </c>
      <c r="F11" s="353" t="str">
        <v>GBPSB6L3Y=ICAP</v>
      </c>
      <c r="G11" s="401">
        <v>0.80125000000000002</v>
      </c>
      <c r="H11" s="401">
        <v>0.84125000000000005</v>
      </c>
      <c r="I11" s="401">
        <v>0</v>
      </c>
      <c r="J11" s="401">
        <v>0</v>
      </c>
      <c r="K11" s="498">
        <f>_xll.qlMidEquivalent($G11,$H11,$I11,$J11)</f>
        <v>0.82125000000000004</v>
      </c>
      <c r="L11" s="343"/>
      <c r="M11" s="351">
        <v>0.73250000000000004</v>
      </c>
      <c r="N11" s="343"/>
      <c r="O11" s="394" t="str">
        <f t="shared" si="1"/>
        <v>GBPSB6L3Y_Quote</v>
      </c>
      <c r="P11" s="349">
        <v>0.82125000000000004</v>
      </c>
      <c r="Q11" s="348" t="e">
        <f>_xll.qlSimpleQuoteSetValue($O11,$P11/100,Trigger)</f>
        <v>#N/A</v>
      </c>
      <c r="R11" s="218"/>
      <c r="X11" s="382">
        <f t="shared" si="2"/>
        <v>4.0000000000000034E-4</v>
      </c>
    </row>
    <row r="12" spans="1:24" x14ac:dyDescent="0.2">
      <c r="A12" s="118"/>
      <c r="B12" s="354" t="s">
        <v>83</v>
      </c>
      <c r="C12" s="400" t="str">
        <v>SB</v>
      </c>
      <c r="D12" s="400" t="str">
        <v>6L</v>
      </c>
      <c r="E12" s="353" t="str">
        <f t="shared" si="0"/>
        <v>GBPSB6L4Y</v>
      </c>
      <c r="F12" s="353" t="str">
        <v>GBPSB6L4Y=ICAP</v>
      </c>
      <c r="G12" s="401">
        <v>0.95874999999999999</v>
      </c>
      <c r="H12" s="401">
        <v>1.00875</v>
      </c>
      <c r="I12" s="401">
        <v>0</v>
      </c>
      <c r="J12" s="401">
        <v>0</v>
      </c>
      <c r="K12" s="498">
        <f>_xll.qlMidEquivalent($G12,$H12,$I12,$J12)</f>
        <v>0.98375000000000001</v>
      </c>
      <c r="L12" s="343"/>
      <c r="M12" s="351">
        <v>0.84499999999999997</v>
      </c>
      <c r="N12" s="343"/>
      <c r="O12" s="394" t="str">
        <f t="shared" si="1"/>
        <v>GBPSB6L4Y_Quote</v>
      </c>
      <c r="P12" s="349">
        <v>0.98375000000000001</v>
      </c>
      <c r="Q12" s="348" t="e">
        <f>_xll.qlSimpleQuoteSetValue($O12,$P12/100,Trigger)</f>
        <v>#N/A</v>
      </c>
      <c r="R12" s="218"/>
      <c r="X12" s="382">
        <f t="shared" si="2"/>
        <v>5.0000000000000044E-4</v>
      </c>
    </row>
    <row r="13" spans="1:24" x14ac:dyDescent="0.2">
      <c r="A13" s="118"/>
      <c r="B13" s="354" t="s">
        <v>82</v>
      </c>
      <c r="C13" s="400" t="str">
        <v>SB</v>
      </c>
      <c r="D13" s="400" t="str">
        <v>6L</v>
      </c>
      <c r="E13" s="353" t="str">
        <f t="shared" si="0"/>
        <v>GBPSB6L5Y</v>
      </c>
      <c r="F13" s="353" t="str">
        <v>GBPSB6L5Y=ICAP</v>
      </c>
      <c r="G13" s="401">
        <v>1.1525000000000001</v>
      </c>
      <c r="H13" s="401">
        <v>1.2024999999999999</v>
      </c>
      <c r="I13" s="401">
        <v>0</v>
      </c>
      <c r="J13" s="401">
        <v>0</v>
      </c>
      <c r="K13" s="498">
        <f>_xll.qlMidEquivalent($G13,$H13,$I13,$J13)</f>
        <v>1.1775</v>
      </c>
      <c r="L13" s="343"/>
      <c r="M13" s="351">
        <v>0.995</v>
      </c>
      <c r="N13" s="343"/>
      <c r="O13" s="394" t="str">
        <f t="shared" si="1"/>
        <v>GBPSB6L5Y_Quote</v>
      </c>
      <c r="P13" s="349">
        <v>1.1775</v>
      </c>
      <c r="Q13" s="348" t="e">
        <f>_xll.qlSimpleQuoteSetValue($O13,$P13/100,Trigger)</f>
        <v>#N/A</v>
      </c>
      <c r="R13" s="218"/>
      <c r="X13" s="382">
        <f t="shared" si="2"/>
        <v>4.9999999999999828E-4</v>
      </c>
    </row>
    <row r="14" spans="1:24" x14ac:dyDescent="0.2">
      <c r="A14" s="118"/>
      <c r="B14" s="354" t="s">
        <v>81</v>
      </c>
      <c r="C14" s="400" t="str">
        <v>SB</v>
      </c>
      <c r="D14" s="400" t="str">
        <v>6L</v>
      </c>
      <c r="E14" s="353" t="str">
        <f t="shared" si="0"/>
        <v>GBPSB6L6Y</v>
      </c>
      <c r="F14" s="353" t="str">
        <v>GBPSB6L6Y=ICAP</v>
      </c>
      <c r="G14" s="401">
        <v>1.35375</v>
      </c>
      <c r="H14" s="401">
        <v>1.4037500000000001</v>
      </c>
      <c r="I14" s="401">
        <v>0</v>
      </c>
      <c r="J14" s="401">
        <v>0</v>
      </c>
      <c r="K14" s="498">
        <f>_xll.qlMidEquivalent($G14,$H14,$I14,$J14)</f>
        <v>1.3787500000000001</v>
      </c>
      <c r="L14" s="343"/>
      <c r="M14" s="351">
        <v>1.165</v>
      </c>
      <c r="N14" s="343"/>
      <c r="O14" s="394" t="str">
        <f t="shared" si="1"/>
        <v>GBPSB6L6Y_Quote</v>
      </c>
      <c r="P14" s="349">
        <v>1.3787500000000001</v>
      </c>
      <c r="Q14" s="348" t="e">
        <f>_xll.qlSimpleQuoteSetValue($O14,$P14/100,Trigger)</f>
        <v>#N/A</v>
      </c>
      <c r="R14" s="218"/>
      <c r="X14" s="382">
        <f t="shared" si="2"/>
        <v>4.9999999999999828E-4</v>
      </c>
    </row>
    <row r="15" spans="1:24" x14ac:dyDescent="0.2">
      <c r="A15" s="118"/>
      <c r="B15" s="354" t="s">
        <v>80</v>
      </c>
      <c r="C15" s="400" t="str">
        <v>SB</v>
      </c>
      <c r="D15" s="400" t="str">
        <v>6L</v>
      </c>
      <c r="E15" s="353" t="str">
        <f t="shared" si="0"/>
        <v>GBPSB6L7Y</v>
      </c>
      <c r="F15" s="353" t="str">
        <v>GBPSB6L7Y=ICAP</v>
      </c>
      <c r="G15" s="401">
        <v>1.5587500000000001</v>
      </c>
      <c r="H15" s="401">
        <v>1.6087499999999999</v>
      </c>
      <c r="I15" s="401">
        <v>0</v>
      </c>
      <c r="J15" s="401">
        <v>0</v>
      </c>
      <c r="K15" s="498">
        <f>_xll.qlMidEquivalent($G15,$H15,$I15,$J15)</f>
        <v>1.58375</v>
      </c>
      <c r="L15" s="343"/>
      <c r="M15" s="351">
        <v>1.3474999999999999</v>
      </c>
      <c r="N15" s="343"/>
      <c r="O15" s="394" t="str">
        <f t="shared" si="1"/>
        <v>GBPSB6L7Y_Quote</v>
      </c>
      <c r="P15" s="349">
        <v>1.58375</v>
      </c>
      <c r="Q15" s="348" t="e">
        <f>_xll.qlSimpleQuoteSetValue($O15,$P15/100,Trigger)</f>
        <v>#N/A</v>
      </c>
      <c r="R15" s="218"/>
      <c r="X15" s="382">
        <f t="shared" si="2"/>
        <v>4.9999999999999828E-4</v>
      </c>
    </row>
    <row r="16" spans="1:24" x14ac:dyDescent="0.2">
      <c r="A16" s="118"/>
      <c r="B16" s="354" t="s">
        <v>79</v>
      </c>
      <c r="C16" s="400" t="str">
        <v>SB</v>
      </c>
      <c r="D16" s="400" t="str">
        <v>6L</v>
      </c>
      <c r="E16" s="353" t="str">
        <f t="shared" si="0"/>
        <v>GBPSB6L8Y</v>
      </c>
      <c r="F16" s="353" t="str">
        <v>GBPSB6L8Y=ICAP</v>
      </c>
      <c r="G16" s="401">
        <v>1.7575000000000001</v>
      </c>
      <c r="H16" s="401">
        <v>1.8075000000000001</v>
      </c>
      <c r="I16" s="401">
        <v>0</v>
      </c>
      <c r="J16" s="401">
        <v>0</v>
      </c>
      <c r="K16" s="498">
        <f>_xll.qlMidEquivalent($G16,$H16,$I16,$J16)</f>
        <v>1.7825000000000002</v>
      </c>
      <c r="L16" s="343"/>
      <c r="M16" s="351">
        <v>1.53</v>
      </c>
      <c r="N16" s="343"/>
      <c r="O16" s="394" t="str">
        <f t="shared" si="1"/>
        <v>GBPSB6L8Y_Quote</v>
      </c>
      <c r="P16" s="349">
        <v>1.7825000000000002</v>
      </c>
      <c r="Q16" s="348" t="e">
        <f>_xll.qlSimpleQuoteSetValue($O16,$P16/100,Trigger)</f>
        <v>#N/A</v>
      </c>
      <c r="R16" s="218"/>
      <c r="X16" s="382">
        <f t="shared" si="2"/>
        <v>4.9999999999999828E-4</v>
      </c>
    </row>
    <row r="17" spans="1:24" x14ac:dyDescent="0.2">
      <c r="A17" s="118"/>
      <c r="B17" s="354" t="s">
        <v>78</v>
      </c>
      <c r="C17" s="400" t="str">
        <v>SB</v>
      </c>
      <c r="D17" s="400" t="str">
        <v>6L</v>
      </c>
      <c r="E17" s="353" t="str">
        <f t="shared" si="0"/>
        <v>GBPSB6L9Y</v>
      </c>
      <c r="F17" s="353" t="str">
        <v>GBPSB6L9Y=ICAP</v>
      </c>
      <c r="G17" s="401">
        <v>1.9424999999999999</v>
      </c>
      <c r="H17" s="401">
        <v>1.9924999999999999</v>
      </c>
      <c r="I17" s="401">
        <v>0</v>
      </c>
      <c r="J17" s="401">
        <v>0</v>
      </c>
      <c r="K17" s="498">
        <f>_xll.qlMidEquivalent($G17,$H17,$I17,$J17)</f>
        <v>1.9674999999999998</v>
      </c>
      <c r="L17" s="343"/>
      <c r="M17" s="351">
        <v>1.7075</v>
      </c>
      <c r="N17" s="343"/>
      <c r="O17" s="394" t="str">
        <f t="shared" si="1"/>
        <v>GBPSB6L9Y_Quote</v>
      </c>
      <c r="P17" s="349">
        <v>1.9674999999999998</v>
      </c>
      <c r="Q17" s="348" t="e">
        <f>_xll.qlSimpleQuoteSetValue($O17,$P17/100,Trigger)</f>
        <v>#N/A</v>
      </c>
      <c r="R17" s="218"/>
      <c r="X17" s="382">
        <f t="shared" si="2"/>
        <v>5.0000000000000261E-4</v>
      </c>
    </row>
    <row r="18" spans="1:24" x14ac:dyDescent="0.2">
      <c r="A18" s="118"/>
      <c r="B18" s="354" t="s">
        <v>77</v>
      </c>
      <c r="C18" s="400" t="str">
        <v>SB</v>
      </c>
      <c r="D18" s="400" t="str">
        <v>6L</v>
      </c>
      <c r="E18" s="353" t="str">
        <f t="shared" si="0"/>
        <v>GBPSB6L10Y</v>
      </c>
      <c r="F18" s="353" t="str">
        <v>GBPSB6L10Y=ICAP</v>
      </c>
      <c r="G18" s="401">
        <v>2.1074999999999999</v>
      </c>
      <c r="H18" s="401">
        <v>2.1575000000000002</v>
      </c>
      <c r="I18" s="401">
        <v>0</v>
      </c>
      <c r="J18" s="401">
        <v>0</v>
      </c>
      <c r="K18" s="498">
        <f>_xll.qlMidEquivalent($G18,$H18,$I18,$J18)</f>
        <v>2.1325000000000003</v>
      </c>
      <c r="L18" s="343"/>
      <c r="M18" s="351">
        <v>1.8725000000000001</v>
      </c>
      <c r="N18" s="343"/>
      <c r="O18" s="394" t="str">
        <f t="shared" si="1"/>
        <v>GBPSB6L10Y_Quote</v>
      </c>
      <c r="P18" s="349">
        <v>2.1325000000000003</v>
      </c>
      <c r="Q18" s="348" t="e">
        <f>_xll.qlSimpleQuoteSetValue($O18,$P18/100,Trigger)</f>
        <v>#N/A</v>
      </c>
      <c r="R18" s="218"/>
      <c r="X18" s="382">
        <f t="shared" si="2"/>
        <v>4.9999999999999828E-4</v>
      </c>
    </row>
    <row r="19" spans="1:24" x14ac:dyDescent="0.2">
      <c r="A19" s="118"/>
      <c r="B19" s="354" t="s">
        <v>76</v>
      </c>
      <c r="C19" s="400" t="str">
        <v>SB</v>
      </c>
      <c r="D19" s="400" t="str">
        <v>6L</v>
      </c>
      <c r="E19" s="353" t="str">
        <f t="shared" si="0"/>
        <v>GBPSB6L11Y</v>
      </c>
      <c r="F19" s="353" t="str">
        <v>GBPSB6L11Y=ICAP</v>
      </c>
      <c r="G19" s="401">
        <v>2.2400000000000002</v>
      </c>
      <c r="H19" s="401">
        <v>2.31</v>
      </c>
      <c r="I19" s="401">
        <v>0</v>
      </c>
      <c r="J19" s="401">
        <v>0</v>
      </c>
      <c r="K19" s="498">
        <f>_xll.qlMidEquivalent($G19,$H19,$I19,$J19)</f>
        <v>2.2750000000000004</v>
      </c>
      <c r="L19" s="343"/>
      <c r="M19" s="351" t="e">
        <v>#NUM!</v>
      </c>
      <c r="N19" s="343"/>
      <c r="O19" s="394" t="str">
        <f t="shared" si="1"/>
        <v>GBPSB6L11Y_Quote</v>
      </c>
      <c r="P19" s="349">
        <v>2.2750000000000004</v>
      </c>
      <c r="Q19" s="348" t="e">
        <f>_xll.qlSimpleQuoteSetValue($O19,$P19/100,Trigger)</f>
        <v>#N/A</v>
      </c>
      <c r="R19" s="218"/>
      <c r="X19" s="382">
        <f t="shared" si="2"/>
        <v>6.9999999999999392E-4</v>
      </c>
    </row>
    <row r="20" spans="1:24" x14ac:dyDescent="0.2">
      <c r="A20" s="118"/>
      <c r="B20" s="354" t="s">
        <v>75</v>
      </c>
      <c r="C20" s="400" t="str">
        <v>SB</v>
      </c>
      <c r="D20" s="400" t="str">
        <v>6L</v>
      </c>
      <c r="E20" s="353" t="str">
        <f t="shared" si="0"/>
        <v>GBPSB6L12Y</v>
      </c>
      <c r="F20" s="353" t="str">
        <v>GBPSB6L12Y=ICAP</v>
      </c>
      <c r="G20" s="401">
        <v>2.36375</v>
      </c>
      <c r="H20" s="401">
        <v>2.4337499999999999</v>
      </c>
      <c r="I20" s="401">
        <v>0</v>
      </c>
      <c r="J20" s="401">
        <v>0</v>
      </c>
      <c r="K20" s="498">
        <f>_xll.qlMidEquivalent($G20,$H20,$I20,$J20)</f>
        <v>2.3987499999999997</v>
      </c>
      <c r="L20" s="343"/>
      <c r="M20" s="351">
        <v>2.1425000000000001</v>
      </c>
      <c r="N20" s="343"/>
      <c r="O20" s="394" t="str">
        <f t="shared" si="1"/>
        <v>GBPSB6L12Y_Quote</v>
      </c>
      <c r="P20" s="349">
        <v>2.3987499999999997</v>
      </c>
      <c r="Q20" s="348" t="e">
        <f>_xll.qlSimpleQuoteSetValue($O20,$P20/100,Trigger)</f>
        <v>#N/A</v>
      </c>
      <c r="R20" s="218"/>
      <c r="X20" s="382">
        <f t="shared" si="2"/>
        <v>7.0000000000000281E-4</v>
      </c>
    </row>
    <row r="21" spans="1:24" x14ac:dyDescent="0.2">
      <c r="A21" s="118"/>
      <c r="B21" s="354" t="s">
        <v>74</v>
      </c>
      <c r="C21" s="400" t="str">
        <v>SB</v>
      </c>
      <c r="D21" s="400" t="str">
        <v>6L</v>
      </c>
      <c r="E21" s="353" t="str">
        <f t="shared" si="0"/>
        <v>GBPSB6L13Y</v>
      </c>
      <c r="F21" s="353" t="str">
        <v>GBPSB6L13Y=ICAP</v>
      </c>
      <c r="G21" s="401" t="s">
        <v>233</v>
      </c>
      <c r="H21" s="401" t="s">
        <v>233</v>
      </c>
      <c r="I21" s="401" t="s">
        <v>233</v>
      </c>
      <c r="J21" s="401" t="s">
        <v>233</v>
      </c>
      <c r="K21" s="498" t="e">
        <f>_xll.qlMidEquivalent($G21,$H21,$I21,$J21)</f>
        <v>#NUM!</v>
      </c>
      <c r="L21" s="343"/>
      <c r="M21" s="351" t="e">
        <v>#NUM!</v>
      </c>
      <c r="N21" s="343"/>
      <c r="O21" s="394" t="str">
        <f t="shared" si="1"/>
        <v>GBPSB6L13Y_Quote</v>
      </c>
      <c r="P21" s="349" t="e">
        <v>#NUM!</v>
      </c>
      <c r="Q21" s="348" t="e">
        <f>_xll.qlSimpleQuoteSetValue($O21,$P21/100,Trigger)</f>
        <v>#NUM!</v>
      </c>
      <c r="R21" s="218"/>
      <c r="X21" s="382" t="e">
        <f t="shared" si="2"/>
        <v>#VALUE!</v>
      </c>
    </row>
    <row r="22" spans="1:24" x14ac:dyDescent="0.2">
      <c r="A22" s="118"/>
      <c r="B22" s="354" t="s">
        <v>73</v>
      </c>
      <c r="C22" s="400" t="str">
        <v>SB</v>
      </c>
      <c r="D22" s="400" t="str">
        <v>6L</v>
      </c>
      <c r="E22" s="353" t="str">
        <f t="shared" si="0"/>
        <v>GBPSB6L14Y</v>
      </c>
      <c r="F22" s="353" t="str">
        <v>GBPSB6L14Y=ICAP</v>
      </c>
      <c r="G22" s="401" t="s">
        <v>233</v>
      </c>
      <c r="H22" s="401" t="s">
        <v>233</v>
      </c>
      <c r="I22" s="401" t="s">
        <v>233</v>
      </c>
      <c r="J22" s="401" t="s">
        <v>233</v>
      </c>
      <c r="K22" s="498" t="e">
        <f>_xll.qlMidEquivalent($G22,$H22,$I22,$J22)</f>
        <v>#NUM!</v>
      </c>
      <c r="L22" s="343"/>
      <c r="M22" s="351" t="e">
        <v>#NUM!</v>
      </c>
      <c r="N22" s="343"/>
      <c r="O22" s="394" t="str">
        <f t="shared" si="1"/>
        <v>GBPSB6L14Y_Quote</v>
      </c>
      <c r="P22" s="349" t="e">
        <v>#NUM!</v>
      </c>
      <c r="Q22" s="348" t="e">
        <f>_xll.qlSimpleQuoteSetValue($O22,$P22/100,Trigger)</f>
        <v>#NUM!</v>
      </c>
      <c r="R22" s="218"/>
      <c r="X22" s="382" t="e">
        <f t="shared" si="2"/>
        <v>#VALUE!</v>
      </c>
    </row>
    <row r="23" spans="1:24" x14ac:dyDescent="0.2">
      <c r="A23" s="118"/>
      <c r="B23" s="354" t="s">
        <v>72</v>
      </c>
      <c r="C23" s="400" t="str">
        <v>SB</v>
      </c>
      <c r="D23" s="400" t="str">
        <v>6L</v>
      </c>
      <c r="E23" s="353" t="str">
        <f t="shared" si="0"/>
        <v>GBPSB6L15Y</v>
      </c>
      <c r="F23" s="353" t="str">
        <v>GBPSB6L15Y=ICAP</v>
      </c>
      <c r="G23" s="401">
        <v>2.63375</v>
      </c>
      <c r="H23" s="401">
        <v>2.7237499999999999</v>
      </c>
      <c r="I23" s="401">
        <v>0</v>
      </c>
      <c r="J23" s="401">
        <v>0</v>
      </c>
      <c r="K23" s="498">
        <f>_xll.qlMidEquivalent($G23,$H23,$I23,$J23)</f>
        <v>2.67875</v>
      </c>
      <c r="L23" s="343"/>
      <c r="M23" s="351">
        <v>2.4325000000000001</v>
      </c>
      <c r="N23" s="343"/>
      <c r="O23" s="394" t="str">
        <f t="shared" si="1"/>
        <v>GBPSB6L15Y_Quote</v>
      </c>
      <c r="P23" s="349">
        <v>2.67875</v>
      </c>
      <c r="Q23" s="348" t="e">
        <f>_xll.qlSimpleQuoteSetValue($O23,$P23/100,Trigger)</f>
        <v>#N/A</v>
      </c>
      <c r="R23" s="218"/>
      <c r="X23" s="382">
        <f t="shared" si="2"/>
        <v>8.9999999999999857E-4</v>
      </c>
    </row>
    <row r="24" spans="1:24" x14ac:dyDescent="0.2">
      <c r="A24" s="118"/>
      <c r="B24" s="354" t="s">
        <v>71</v>
      </c>
      <c r="C24" s="400" t="str">
        <v>SB</v>
      </c>
      <c r="D24" s="400" t="str">
        <v>6L</v>
      </c>
      <c r="E24" s="353" t="str">
        <f t="shared" si="0"/>
        <v>GBPSB6L16Y</v>
      </c>
      <c r="F24" s="353" t="str">
        <v>GBPSB6L16Y=ICAP</v>
      </c>
      <c r="G24" s="401" t="s">
        <v>233</v>
      </c>
      <c r="H24" s="401" t="s">
        <v>233</v>
      </c>
      <c r="I24" s="401" t="s">
        <v>233</v>
      </c>
      <c r="J24" s="401" t="s">
        <v>233</v>
      </c>
      <c r="K24" s="498" t="e">
        <f>_xll.qlMidEquivalent($G24,$H24,$I24,$J24)</f>
        <v>#NUM!</v>
      </c>
      <c r="L24" s="343"/>
      <c r="M24" s="351" t="e">
        <v>#NUM!</v>
      </c>
      <c r="N24" s="343"/>
      <c r="O24" s="394" t="str">
        <f t="shared" si="1"/>
        <v>GBPSB6L16Y_Quote</v>
      </c>
      <c r="P24" s="349" t="e">
        <v>#NUM!</v>
      </c>
      <c r="Q24" s="348" t="e">
        <f>_xll.qlSimpleQuoteSetValue($O24,$P24/100,Trigger)</f>
        <v>#NUM!</v>
      </c>
      <c r="R24" s="218"/>
      <c r="X24" s="382" t="e">
        <f t="shared" si="2"/>
        <v>#VALUE!</v>
      </c>
    </row>
    <row r="25" spans="1:24" x14ac:dyDescent="0.2">
      <c r="A25" s="118"/>
      <c r="B25" s="354" t="s">
        <v>70</v>
      </c>
      <c r="C25" s="400" t="str">
        <v>SB</v>
      </c>
      <c r="D25" s="400" t="str">
        <v>6L</v>
      </c>
      <c r="E25" s="353" t="str">
        <f t="shared" si="0"/>
        <v>GBPSB6L17Y</v>
      </c>
      <c r="F25" s="353" t="str">
        <v>GBPSB6L17Y=ICAP</v>
      </c>
      <c r="G25" s="401" t="s">
        <v>233</v>
      </c>
      <c r="H25" s="401" t="s">
        <v>233</v>
      </c>
      <c r="I25" s="401" t="s">
        <v>233</v>
      </c>
      <c r="J25" s="401" t="s">
        <v>233</v>
      </c>
      <c r="K25" s="498" t="e">
        <f>_xll.qlMidEquivalent($G25,$H25,$I25,$J25)</f>
        <v>#NUM!</v>
      </c>
      <c r="L25" s="343"/>
      <c r="M25" s="351" t="e">
        <v>#NUM!</v>
      </c>
      <c r="N25" s="343"/>
      <c r="O25" s="394" t="str">
        <f t="shared" si="1"/>
        <v>GBPSB6L17Y_Quote</v>
      </c>
      <c r="P25" s="349" t="e">
        <v>#NUM!</v>
      </c>
      <c r="Q25" s="348" t="e">
        <f>_xll.qlSimpleQuoteSetValue($O25,$P25/100,Trigger)</f>
        <v>#NUM!</v>
      </c>
      <c r="R25" s="218"/>
      <c r="X25" s="382" t="e">
        <f t="shared" si="2"/>
        <v>#VALUE!</v>
      </c>
    </row>
    <row r="26" spans="1:24" x14ac:dyDescent="0.2">
      <c r="A26" s="118"/>
      <c r="B26" s="354" t="s">
        <v>69</v>
      </c>
      <c r="C26" s="400" t="str">
        <v>SB</v>
      </c>
      <c r="D26" s="400" t="str">
        <v>6L</v>
      </c>
      <c r="E26" s="353" t="str">
        <f t="shared" si="0"/>
        <v>GBPSB6L18Y</v>
      </c>
      <c r="F26" s="353" t="str">
        <v>GBPSB6L18Y=ICAP</v>
      </c>
      <c r="G26" s="401" t="s">
        <v>233</v>
      </c>
      <c r="H26" s="401" t="s">
        <v>233</v>
      </c>
      <c r="I26" s="401" t="s">
        <v>233</v>
      </c>
      <c r="J26" s="401" t="s">
        <v>233</v>
      </c>
      <c r="K26" s="498" t="e">
        <f>_xll.qlMidEquivalent($G26,$H26,$I26,$J26)</f>
        <v>#NUM!</v>
      </c>
      <c r="L26" s="343"/>
      <c r="M26" s="351" t="e">
        <v>#NUM!</v>
      </c>
      <c r="N26" s="343"/>
      <c r="O26" s="394" t="str">
        <f t="shared" si="1"/>
        <v>GBPSB6L18Y_Quote</v>
      </c>
      <c r="P26" s="349" t="e">
        <v>#NUM!</v>
      </c>
      <c r="Q26" s="348" t="e">
        <f>_xll.qlSimpleQuoteSetValue($O26,$P26/100,Trigger)</f>
        <v>#NUM!</v>
      </c>
      <c r="R26" s="218"/>
      <c r="X26" s="382" t="e">
        <f t="shared" si="2"/>
        <v>#VALUE!</v>
      </c>
    </row>
    <row r="27" spans="1:24" x14ac:dyDescent="0.2">
      <c r="A27" s="118"/>
      <c r="B27" s="354" t="s">
        <v>68</v>
      </c>
      <c r="C27" s="400" t="str">
        <v>SB</v>
      </c>
      <c r="D27" s="400" t="str">
        <v>6L</v>
      </c>
      <c r="E27" s="353" t="str">
        <f t="shared" si="0"/>
        <v>GBPSB6L19Y</v>
      </c>
      <c r="F27" s="353" t="str">
        <v>GBPSB6L19Y=ICAP</v>
      </c>
      <c r="G27" s="401" t="s">
        <v>233</v>
      </c>
      <c r="H27" s="401" t="s">
        <v>233</v>
      </c>
      <c r="I27" s="401" t="s">
        <v>233</v>
      </c>
      <c r="J27" s="401" t="s">
        <v>233</v>
      </c>
      <c r="K27" s="498" t="e">
        <f>_xll.qlMidEquivalent($G27,$H27,$I27,$J27)</f>
        <v>#NUM!</v>
      </c>
      <c r="L27" s="343"/>
      <c r="M27" s="351" t="e">
        <v>#NUM!</v>
      </c>
      <c r="N27" s="343"/>
      <c r="O27" s="394" t="str">
        <f t="shared" si="1"/>
        <v>GBPSB6L19Y_Quote</v>
      </c>
      <c r="P27" s="349" t="e">
        <v>#NUM!</v>
      </c>
      <c r="Q27" s="348" t="e">
        <f>_xll.qlSimpleQuoteSetValue($O27,$P27/100,Trigger)</f>
        <v>#NUM!</v>
      </c>
      <c r="R27" s="218"/>
      <c r="X27" s="382" t="e">
        <f t="shared" si="2"/>
        <v>#VALUE!</v>
      </c>
    </row>
    <row r="28" spans="1:24" x14ac:dyDescent="0.2">
      <c r="A28" s="118"/>
      <c r="B28" s="354" t="s">
        <v>67</v>
      </c>
      <c r="C28" s="400" t="str">
        <v>SB</v>
      </c>
      <c r="D28" s="400" t="str">
        <v>6L</v>
      </c>
      <c r="E28" s="353" t="str">
        <f t="shared" si="0"/>
        <v>GBPSB6L20Y</v>
      </c>
      <c r="F28" s="353" t="str">
        <v>GBPSB6L20Y=ICAP</v>
      </c>
      <c r="G28" s="401">
        <v>2.9037500000000001</v>
      </c>
      <c r="H28" s="401">
        <v>3.0337499999999999</v>
      </c>
      <c r="I28" s="401">
        <v>0</v>
      </c>
      <c r="J28" s="401">
        <v>0</v>
      </c>
      <c r="K28" s="498">
        <f>_xll.qlMidEquivalent($G28,$H28,$I28,$J28)</f>
        <v>2.96875</v>
      </c>
      <c r="L28" s="343"/>
      <c r="M28" s="351">
        <v>2.73</v>
      </c>
      <c r="N28" s="343"/>
      <c r="O28" s="394" t="str">
        <f t="shared" si="1"/>
        <v>GBPSB6L20Y_Quote</v>
      </c>
      <c r="P28" s="349">
        <v>2.96875</v>
      </c>
      <c r="Q28" s="348" t="e">
        <f>_xll.qlSimpleQuoteSetValue($O28,$P28/100,Trigger)</f>
        <v>#N/A</v>
      </c>
      <c r="R28" s="218"/>
      <c r="X28" s="382">
        <f t="shared" si="2"/>
        <v>1.2999999999999989E-3</v>
      </c>
    </row>
    <row r="29" spans="1:24" x14ac:dyDescent="0.2">
      <c r="A29" s="118"/>
      <c r="B29" s="354" t="s">
        <v>66</v>
      </c>
      <c r="C29" s="400" t="str">
        <v>SB</v>
      </c>
      <c r="D29" s="400" t="str">
        <v>6L</v>
      </c>
      <c r="E29" s="353" t="str">
        <f t="shared" si="0"/>
        <v>GBPSB6L21Y</v>
      </c>
      <c r="F29" s="353" t="str">
        <v>GBPSB6L21Y=ICAP</v>
      </c>
      <c r="G29" s="401" t="s">
        <v>233</v>
      </c>
      <c r="H29" s="401" t="s">
        <v>233</v>
      </c>
      <c r="I29" s="401" t="s">
        <v>233</v>
      </c>
      <c r="J29" s="401" t="s">
        <v>233</v>
      </c>
      <c r="K29" s="498" t="e">
        <f>_xll.qlMidEquivalent($G29,$H29,$I29,$J29)</f>
        <v>#NUM!</v>
      </c>
      <c r="L29" s="343"/>
      <c r="M29" s="351" t="e">
        <v>#NUM!</v>
      </c>
      <c r="N29" s="343"/>
      <c r="O29" s="394" t="str">
        <f t="shared" si="1"/>
        <v>GBPSB6L21Y_Quote</v>
      </c>
      <c r="P29" s="349" t="e">
        <v>#NUM!</v>
      </c>
      <c r="Q29" s="348" t="e">
        <f>_xll.qlSimpleQuoteSetValue($O29,$P29/100,Trigger)</f>
        <v>#NUM!</v>
      </c>
      <c r="R29" s="218"/>
      <c r="X29" s="382" t="e">
        <f t="shared" si="2"/>
        <v>#VALUE!</v>
      </c>
    </row>
    <row r="30" spans="1:24" x14ac:dyDescent="0.2">
      <c r="A30" s="118"/>
      <c r="B30" s="354" t="s">
        <v>65</v>
      </c>
      <c r="C30" s="400" t="str">
        <v>SB</v>
      </c>
      <c r="D30" s="400" t="str">
        <v>6L</v>
      </c>
      <c r="E30" s="353" t="str">
        <f t="shared" si="0"/>
        <v>GBPSB6L22Y</v>
      </c>
      <c r="F30" s="353" t="str">
        <v>GBPSB6L22Y=ICAP</v>
      </c>
      <c r="G30" s="401" t="s">
        <v>233</v>
      </c>
      <c r="H30" s="401" t="s">
        <v>233</v>
      </c>
      <c r="I30" s="401" t="s">
        <v>233</v>
      </c>
      <c r="J30" s="401" t="s">
        <v>233</v>
      </c>
      <c r="K30" s="498" t="e">
        <f>_xll.qlMidEquivalent($G30,$H30,$I30,$J30)</f>
        <v>#NUM!</v>
      </c>
      <c r="L30" s="343"/>
      <c r="M30" s="351" t="e">
        <v>#NUM!</v>
      </c>
      <c r="N30" s="343"/>
      <c r="O30" s="394" t="str">
        <f t="shared" si="1"/>
        <v>GBPSB6L22Y_Quote</v>
      </c>
      <c r="P30" s="349" t="e">
        <v>#NUM!</v>
      </c>
      <c r="Q30" s="348" t="e">
        <f>_xll.qlSimpleQuoteSetValue($O30,$P30/100,Trigger)</f>
        <v>#NUM!</v>
      </c>
      <c r="R30" s="218"/>
      <c r="X30" s="382" t="e">
        <f t="shared" si="2"/>
        <v>#VALUE!</v>
      </c>
    </row>
    <row r="31" spans="1:24" x14ac:dyDescent="0.2">
      <c r="A31" s="118"/>
      <c r="B31" s="354" t="s">
        <v>64</v>
      </c>
      <c r="C31" s="400" t="str">
        <v>SB</v>
      </c>
      <c r="D31" s="400" t="str">
        <v>6L</v>
      </c>
      <c r="E31" s="353" t="str">
        <f t="shared" si="0"/>
        <v>GBPSB6L23Y</v>
      </c>
      <c r="F31" s="353" t="str">
        <v>GBPSB6L23Y=ICAP</v>
      </c>
      <c r="G31" s="401" t="s">
        <v>233</v>
      </c>
      <c r="H31" s="401" t="s">
        <v>233</v>
      </c>
      <c r="I31" s="401" t="s">
        <v>233</v>
      </c>
      <c r="J31" s="401" t="s">
        <v>233</v>
      </c>
      <c r="K31" s="498" t="e">
        <f>_xll.qlMidEquivalent($G31,$H31,$I31,$J31)</f>
        <v>#NUM!</v>
      </c>
      <c r="L31" s="343"/>
      <c r="M31" s="351" t="e">
        <v>#NUM!</v>
      </c>
      <c r="N31" s="343"/>
      <c r="O31" s="394" t="str">
        <f t="shared" si="1"/>
        <v>GBPSB6L23Y_Quote</v>
      </c>
      <c r="P31" s="349" t="e">
        <v>#NUM!</v>
      </c>
      <c r="Q31" s="348" t="e">
        <f>_xll.qlSimpleQuoteSetValue($O31,$P31/100,Trigger)</f>
        <v>#NUM!</v>
      </c>
      <c r="R31" s="218"/>
      <c r="X31" s="382" t="e">
        <f t="shared" si="2"/>
        <v>#VALUE!</v>
      </c>
    </row>
    <row r="32" spans="1:24" x14ac:dyDescent="0.2">
      <c r="A32" s="118"/>
      <c r="B32" s="354" t="s">
        <v>63</v>
      </c>
      <c r="C32" s="400" t="str">
        <v>SB</v>
      </c>
      <c r="D32" s="400" t="str">
        <v>6L</v>
      </c>
      <c r="E32" s="353" t="str">
        <f t="shared" si="0"/>
        <v>GBPSB6L24Y</v>
      </c>
      <c r="F32" s="353" t="str">
        <v>GBPSB6L24Y=ICAP</v>
      </c>
      <c r="G32" s="401" t="s">
        <v>233</v>
      </c>
      <c r="H32" s="401" t="s">
        <v>233</v>
      </c>
      <c r="I32" s="401" t="s">
        <v>233</v>
      </c>
      <c r="J32" s="401" t="s">
        <v>233</v>
      </c>
      <c r="K32" s="498" t="e">
        <f>_xll.qlMidEquivalent($G32,$H32,$I32,$J32)</f>
        <v>#NUM!</v>
      </c>
      <c r="L32" s="343"/>
      <c r="M32" s="351" t="e">
        <v>#NUM!</v>
      </c>
      <c r="N32" s="343"/>
      <c r="O32" s="394" t="str">
        <f t="shared" si="1"/>
        <v>GBPSB6L24Y_Quote</v>
      </c>
      <c r="P32" s="349" t="e">
        <v>#NUM!</v>
      </c>
      <c r="Q32" s="348" t="e">
        <f>_xll.qlSimpleQuoteSetValue($O32,$P32/100,Trigger)</f>
        <v>#NUM!</v>
      </c>
      <c r="R32" s="218"/>
      <c r="X32" s="382" t="e">
        <f t="shared" si="2"/>
        <v>#VALUE!</v>
      </c>
    </row>
    <row r="33" spans="1:24" x14ac:dyDescent="0.2">
      <c r="A33" s="118"/>
      <c r="B33" s="354" t="s">
        <v>62</v>
      </c>
      <c r="C33" s="400" t="str">
        <v>SB</v>
      </c>
      <c r="D33" s="400" t="str">
        <v>6L</v>
      </c>
      <c r="E33" s="353" t="str">
        <f t="shared" si="0"/>
        <v>GBPSB6L25Y</v>
      </c>
      <c r="F33" s="353" t="str">
        <v>GBPSB6L25Y=ICAP</v>
      </c>
      <c r="G33" s="401">
        <v>3.0525000000000002</v>
      </c>
      <c r="H33" s="401">
        <v>3.1825000000000001</v>
      </c>
      <c r="I33" s="401">
        <v>0</v>
      </c>
      <c r="J33" s="401">
        <v>0</v>
      </c>
      <c r="K33" s="498">
        <f>_xll.qlMidEquivalent($G33,$H33,$I33,$J33)</f>
        <v>3.1175000000000002</v>
      </c>
      <c r="L33" s="343"/>
      <c r="M33" s="351">
        <v>2.8875000000000002</v>
      </c>
      <c r="N33" s="343"/>
      <c r="O33" s="394" t="str">
        <f t="shared" si="1"/>
        <v>GBPSB6L25Y_Quote</v>
      </c>
      <c r="P33" s="349">
        <v>3.1175000000000002</v>
      </c>
      <c r="Q33" s="348" t="e">
        <f>_xll.qlSimpleQuoteSetValue($O33,$P33/100,Trigger)</f>
        <v>#N/A</v>
      </c>
      <c r="R33" s="218"/>
      <c r="X33" s="382">
        <f t="shared" si="2"/>
        <v>1.2999999999999989E-3</v>
      </c>
    </row>
    <row r="34" spans="1:24" x14ac:dyDescent="0.2">
      <c r="A34" s="118"/>
      <c r="B34" s="354" t="s">
        <v>61</v>
      </c>
      <c r="C34" s="400" t="str">
        <v>SB</v>
      </c>
      <c r="D34" s="400" t="str">
        <v>6L</v>
      </c>
      <c r="E34" s="353" t="str">
        <f t="shared" si="0"/>
        <v>GBPSB6L26Y</v>
      </c>
      <c r="F34" s="353" t="str">
        <v>GBPSB6L26Y=ICAP</v>
      </c>
      <c r="G34" s="401" t="s">
        <v>233</v>
      </c>
      <c r="H34" s="401" t="s">
        <v>233</v>
      </c>
      <c r="I34" s="401" t="s">
        <v>233</v>
      </c>
      <c r="J34" s="401" t="s">
        <v>233</v>
      </c>
      <c r="K34" s="498" t="e">
        <f>_xll.qlMidEquivalent($G34,$H34,$I34,$J34)</f>
        <v>#NUM!</v>
      </c>
      <c r="L34" s="343"/>
      <c r="M34" s="351" t="e">
        <v>#NUM!</v>
      </c>
      <c r="N34" s="343"/>
      <c r="O34" s="394" t="str">
        <f t="shared" si="1"/>
        <v>GBPSB6L26Y_Quote</v>
      </c>
      <c r="P34" s="349" t="e">
        <v>#NUM!</v>
      </c>
      <c r="Q34" s="348" t="e">
        <f>_xll.qlSimpleQuoteSetValue($O34,$P34/100,Trigger)</f>
        <v>#NUM!</v>
      </c>
      <c r="R34" s="218"/>
      <c r="X34" s="382" t="e">
        <f t="shared" si="2"/>
        <v>#VALUE!</v>
      </c>
    </row>
    <row r="35" spans="1:24" x14ac:dyDescent="0.2">
      <c r="A35" s="118"/>
      <c r="B35" s="354" t="s">
        <v>60</v>
      </c>
      <c r="C35" s="400" t="str">
        <v>SB</v>
      </c>
      <c r="D35" s="400" t="str">
        <v>6L</v>
      </c>
      <c r="E35" s="353" t="str">
        <f t="shared" si="0"/>
        <v>GBPSB6L27Y</v>
      </c>
      <c r="F35" s="353" t="str">
        <v>GBPSB6L27Y=ICAP</v>
      </c>
      <c r="G35" s="401" t="s">
        <v>233</v>
      </c>
      <c r="H35" s="401" t="s">
        <v>233</v>
      </c>
      <c r="I35" s="401" t="s">
        <v>233</v>
      </c>
      <c r="J35" s="401" t="s">
        <v>233</v>
      </c>
      <c r="K35" s="498" t="e">
        <f>_xll.qlMidEquivalent($G35,$H35,$I35,$J35)</f>
        <v>#NUM!</v>
      </c>
      <c r="L35" s="343"/>
      <c r="M35" s="351" t="e">
        <v>#NUM!</v>
      </c>
      <c r="N35" s="343"/>
      <c r="O35" s="394" t="str">
        <f t="shared" si="1"/>
        <v>GBPSB6L27Y_Quote</v>
      </c>
      <c r="P35" s="349" t="e">
        <v>#NUM!</v>
      </c>
      <c r="Q35" s="348" t="e">
        <f>_xll.qlSimpleQuoteSetValue($O35,$P35/100,Trigger)</f>
        <v>#NUM!</v>
      </c>
      <c r="R35" s="218"/>
      <c r="X35" s="382" t="e">
        <f t="shared" si="2"/>
        <v>#VALUE!</v>
      </c>
    </row>
    <row r="36" spans="1:24" x14ac:dyDescent="0.2">
      <c r="A36" s="118"/>
      <c r="B36" s="354" t="s">
        <v>59</v>
      </c>
      <c r="C36" s="400" t="str">
        <v>SB</v>
      </c>
      <c r="D36" s="400" t="str">
        <v>6L</v>
      </c>
      <c r="E36" s="353" t="str">
        <f t="shared" si="0"/>
        <v>GBPSB6L28Y</v>
      </c>
      <c r="F36" s="353" t="str">
        <v>GBPSB6L28Y=ICAP</v>
      </c>
      <c r="G36" s="401" t="s">
        <v>233</v>
      </c>
      <c r="H36" s="401" t="s">
        <v>233</v>
      </c>
      <c r="I36" s="401" t="s">
        <v>233</v>
      </c>
      <c r="J36" s="401" t="s">
        <v>233</v>
      </c>
      <c r="K36" s="498" t="e">
        <f>_xll.qlMidEquivalent($G36,$H36,$I36,$J36)</f>
        <v>#NUM!</v>
      </c>
      <c r="L36" s="343"/>
      <c r="M36" s="351" t="e">
        <v>#NUM!</v>
      </c>
      <c r="N36" s="343"/>
      <c r="O36" s="394" t="str">
        <f t="shared" si="1"/>
        <v>GBPSB6L28Y_Quote</v>
      </c>
      <c r="P36" s="349" t="e">
        <v>#NUM!</v>
      </c>
      <c r="Q36" s="348" t="e">
        <f>_xll.qlSimpleQuoteSetValue($O36,$P36/100,Trigger)</f>
        <v>#NUM!</v>
      </c>
      <c r="R36" s="218"/>
      <c r="X36" s="382" t="e">
        <f t="shared" si="2"/>
        <v>#VALUE!</v>
      </c>
    </row>
    <row r="37" spans="1:24" x14ac:dyDescent="0.2">
      <c r="A37" s="118"/>
      <c r="B37" s="354" t="s">
        <v>58</v>
      </c>
      <c r="C37" s="400" t="str">
        <v>SB</v>
      </c>
      <c r="D37" s="400" t="str">
        <v>6L</v>
      </c>
      <c r="E37" s="353" t="str">
        <f t="shared" si="0"/>
        <v>GBPSB6L29Y</v>
      </c>
      <c r="F37" s="353" t="str">
        <v>GBPSB6L29Y=ICAP</v>
      </c>
      <c r="G37" s="401" t="s">
        <v>233</v>
      </c>
      <c r="H37" s="401" t="s">
        <v>233</v>
      </c>
      <c r="I37" s="401" t="s">
        <v>233</v>
      </c>
      <c r="J37" s="401" t="s">
        <v>233</v>
      </c>
      <c r="K37" s="498" t="e">
        <f>_xll.qlMidEquivalent($G37,$H37,$I37,$J37)</f>
        <v>#NUM!</v>
      </c>
      <c r="L37" s="343"/>
      <c r="M37" s="351" t="e">
        <v>#NUM!</v>
      </c>
      <c r="N37" s="343"/>
      <c r="O37" s="394" t="str">
        <f t="shared" si="1"/>
        <v>GBPSB6L29Y_Quote</v>
      </c>
      <c r="P37" s="349" t="e">
        <v>#NUM!</v>
      </c>
      <c r="Q37" s="348" t="e">
        <f>_xll.qlSimpleQuoteSetValue($O37,$P37/100,Trigger)</f>
        <v>#NUM!</v>
      </c>
      <c r="R37" s="218"/>
      <c r="X37" s="382" t="e">
        <f t="shared" si="2"/>
        <v>#VALUE!</v>
      </c>
    </row>
    <row r="38" spans="1:24" x14ac:dyDescent="0.2">
      <c r="A38" s="118"/>
      <c r="B38" s="354" t="s">
        <v>57</v>
      </c>
      <c r="C38" s="400" t="str">
        <v>SB</v>
      </c>
      <c r="D38" s="400" t="str">
        <v>6L</v>
      </c>
      <c r="E38" s="353" t="str">
        <f t="shared" si="0"/>
        <v>GBPSB6L30Y</v>
      </c>
      <c r="F38" s="353" t="str">
        <v>GBPSB6L30Y=ICAP</v>
      </c>
      <c r="G38" s="401">
        <v>3.125</v>
      </c>
      <c r="H38" s="401">
        <v>3.2549999999999999</v>
      </c>
      <c r="I38" s="401">
        <v>0</v>
      </c>
      <c r="J38" s="401">
        <v>0</v>
      </c>
      <c r="K38" s="498">
        <f>_xll.qlMidEquivalent($G38,$H38,$I38,$J38)</f>
        <v>3.19</v>
      </c>
      <c r="L38" s="343"/>
      <c r="M38" s="351">
        <v>2.9575</v>
      </c>
      <c r="N38" s="343"/>
      <c r="O38" s="394" t="str">
        <f t="shared" si="1"/>
        <v>GBPSB6L30Y_Quote</v>
      </c>
      <c r="P38" s="349">
        <v>3.19</v>
      </c>
      <c r="Q38" s="348" t="e">
        <f>_xll.qlSimpleQuoteSetValue($O38,$P38/100,Trigger)</f>
        <v>#N/A</v>
      </c>
      <c r="R38" s="218"/>
      <c r="X38" s="382">
        <f t="shared" si="2"/>
        <v>1.2999999999999989E-3</v>
      </c>
    </row>
    <row r="39" spans="1:24" x14ac:dyDescent="0.2">
      <c r="A39" s="118"/>
      <c r="B39" s="354" t="s">
        <v>52</v>
      </c>
      <c r="C39" s="400" t="str">
        <v>SB</v>
      </c>
      <c r="D39" s="400" t="str">
        <v>6L</v>
      </c>
      <c r="E39" s="353" t="str">
        <f t="shared" si="0"/>
        <v>GBPSB6L35Y</v>
      </c>
      <c r="F39" s="353" t="str">
        <v>GBPSB6L35Y=ICAP</v>
      </c>
      <c r="G39" s="401" t="s">
        <v>233</v>
      </c>
      <c r="H39" s="401" t="s">
        <v>233</v>
      </c>
      <c r="I39" s="401" t="s">
        <v>233</v>
      </c>
      <c r="J39" s="401" t="s">
        <v>233</v>
      </c>
      <c r="K39" s="498" t="e">
        <f>_xll.qlMidEquivalent($G39,$H39,$I39,$J39)</f>
        <v>#NUM!</v>
      </c>
      <c r="L39" s="343"/>
      <c r="M39" s="351" t="e">
        <v>#NUM!</v>
      </c>
      <c r="N39" s="343"/>
      <c r="O39" s="394" t="str">
        <f t="shared" si="1"/>
        <v>GBPSB6L35Y_Quote</v>
      </c>
      <c r="P39" s="349" t="e">
        <v>#NUM!</v>
      </c>
      <c r="Q39" s="348" t="e">
        <f>_xll.qlSimpleQuoteSetValue($O39,$P39/100,Trigger)</f>
        <v>#NUM!</v>
      </c>
      <c r="R39" s="218"/>
      <c r="X39" s="382" t="e">
        <f t="shared" si="2"/>
        <v>#VALUE!</v>
      </c>
    </row>
    <row r="40" spans="1:24" x14ac:dyDescent="0.2">
      <c r="A40" s="118"/>
      <c r="B40" s="354" t="s">
        <v>47</v>
      </c>
      <c r="C40" s="400" t="str">
        <v>SB</v>
      </c>
      <c r="D40" s="400" t="str">
        <v>6L</v>
      </c>
      <c r="E40" s="353" t="str">
        <f t="shared" si="0"/>
        <v>GBPSB6L40Y</v>
      </c>
      <c r="F40" s="353" t="str">
        <v>GBPSB6L40Y=ICAP</v>
      </c>
      <c r="G40" s="401">
        <v>3.1812499999999999</v>
      </c>
      <c r="H40" s="401">
        <v>3.3512499999999998</v>
      </c>
      <c r="I40" s="401">
        <v>0</v>
      </c>
      <c r="J40" s="401">
        <v>0</v>
      </c>
      <c r="K40" s="498">
        <f>_xll.qlMidEquivalent($G40,$H40,$I40,$J40)</f>
        <v>3.2662499999999999</v>
      </c>
      <c r="L40" s="343"/>
      <c r="M40" s="351">
        <v>3.0375000000000001</v>
      </c>
      <c r="N40" s="343"/>
      <c r="O40" s="394" t="str">
        <f t="shared" si="1"/>
        <v>GBPSB6L40Y_Quote</v>
      </c>
      <c r="P40" s="349">
        <v>3.2662499999999999</v>
      </c>
      <c r="Q40" s="348" t="e">
        <f>_xll.qlSimpleQuoteSetValue($O40,$P40/100,Trigger)</f>
        <v>#N/A</v>
      </c>
      <c r="R40" s="218"/>
      <c r="X40" s="382">
        <f t="shared" si="2"/>
        <v>1.6999999999999993E-3</v>
      </c>
    </row>
    <row r="41" spans="1:24" x14ac:dyDescent="0.2">
      <c r="A41" s="118"/>
      <c r="B41" s="354" t="s">
        <v>37</v>
      </c>
      <c r="C41" s="400" t="str">
        <v>SB</v>
      </c>
      <c r="D41" s="400" t="str">
        <v>6L</v>
      </c>
      <c r="E41" s="353" t="str">
        <f t="shared" si="0"/>
        <v>GBPSB6L50Y</v>
      </c>
      <c r="F41" s="353" t="str">
        <v>GBPSB6L50Y=ICAP</v>
      </c>
      <c r="G41" s="401">
        <v>3.19625</v>
      </c>
      <c r="H41" s="401">
        <v>3.36625</v>
      </c>
      <c r="I41" s="401">
        <v>0</v>
      </c>
      <c r="J41" s="401">
        <v>0</v>
      </c>
      <c r="K41" s="498">
        <f>_xll.qlMidEquivalent($G41,$H41,$I41,$J41)</f>
        <v>3.28125</v>
      </c>
      <c r="L41" s="343"/>
      <c r="M41" s="351">
        <v>3.0550000000000002</v>
      </c>
      <c r="N41" s="343"/>
      <c r="O41" s="394" t="str">
        <f t="shared" si="1"/>
        <v>GBPSB6L50Y_Quote</v>
      </c>
      <c r="P41" s="349">
        <v>3.28125</v>
      </c>
      <c r="Q41" s="348" t="e">
        <f>_xll.qlSimpleQuoteSetValue($O41,$P41/100,Trigger)</f>
        <v>#N/A</v>
      </c>
      <c r="R41" s="218"/>
      <c r="X41" s="382">
        <f t="shared" si="2"/>
        <v>1.6999999999999993E-3</v>
      </c>
    </row>
    <row r="42" spans="1:24" x14ac:dyDescent="0.2">
      <c r="A42" s="118"/>
      <c r="B42" s="347" t="s">
        <v>27</v>
      </c>
      <c r="C42" s="396" t="str">
        <v>SB</v>
      </c>
      <c r="D42" s="396" t="str">
        <v>6L</v>
      </c>
      <c r="E42" s="346" t="str">
        <f t="shared" si="0"/>
        <v>GBPSB6L60Y</v>
      </c>
      <c r="F42" s="346" t="str">
        <v>GBPSB6L60Y=ICAP</v>
      </c>
      <c r="G42" s="397">
        <v>3.2162500000000001</v>
      </c>
      <c r="H42" s="397">
        <v>3.38625</v>
      </c>
      <c r="I42" s="397">
        <v>0</v>
      </c>
      <c r="J42" s="397">
        <v>0</v>
      </c>
      <c r="K42" s="496">
        <f>_xll.qlMidEquivalent($G42,$H42,$I42,$J42)</f>
        <v>3.30125</v>
      </c>
      <c r="L42" s="343"/>
      <c r="M42" s="344">
        <v>3.08</v>
      </c>
      <c r="N42" s="343"/>
      <c r="O42" s="407" t="str">
        <f t="shared" si="1"/>
        <v>GBPSB6L60Y_Quote</v>
      </c>
      <c r="P42" s="341">
        <v>3.30125</v>
      </c>
      <c r="Q42" s="340" t="e">
        <f>_xll.qlSimpleQuoteSetValue($O42,$P42/100,Trigger)</f>
        <v>#N/A</v>
      </c>
      <c r="R42" s="218"/>
      <c r="X42" s="382">
        <f t="shared" si="2"/>
        <v>1.6999999999999993E-3</v>
      </c>
    </row>
    <row r="43" spans="1:24" ht="12" thickBot="1" x14ac:dyDescent="0.25">
      <c r="A43" s="32"/>
      <c r="B43" s="31"/>
      <c r="C43" s="31"/>
      <c r="D43" s="31"/>
      <c r="E43" s="31"/>
      <c r="F43" s="31"/>
      <c r="G43" s="31"/>
      <c r="H43" s="31"/>
      <c r="I43" s="31"/>
      <c r="J43" s="31"/>
      <c r="K43" s="31"/>
      <c r="L43" s="31"/>
      <c r="M43" s="31"/>
      <c r="N43" s="31"/>
      <c r="O43" s="31"/>
      <c r="P43" s="31"/>
      <c r="Q43" s="31"/>
      <c r="R43" s="384"/>
    </row>
  </sheetData>
  <conditionalFormatting sqref="Q5:Q42">
    <cfRule type="cellIs" dxfId="13" priority="1" stopIfTrue="1" operator="greaterThan">
      <formula>0</formula>
    </cfRule>
    <cfRule type="cellIs" dxfId="1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V65"/>
  <sheetViews>
    <sheetView workbookViewId="0"/>
  </sheetViews>
  <sheetFormatPr defaultRowHeight="11.25" x14ac:dyDescent="0.2"/>
  <cols>
    <col min="1" max="1" width="5" style="64" customWidth="1"/>
    <col min="2" max="2" width="3.85546875" style="64" bestFit="1" customWidth="1"/>
    <col min="3" max="4" width="2.7109375" style="64" bestFit="1" customWidth="1"/>
    <col min="5" max="5" width="10.28515625" style="64" bestFit="1" customWidth="1"/>
    <col min="6" max="6" width="14.5703125" style="64" bestFit="1" customWidth="1"/>
    <col min="7" max="7" width="4.85546875" style="64" bestFit="1" customWidth="1"/>
    <col min="8" max="8" width="4.140625" style="64" bestFit="1" customWidth="1"/>
    <col min="9" max="9" width="9" style="64" bestFit="1" customWidth="1"/>
    <col min="10" max="10" width="5.7109375" style="64" bestFit="1" customWidth="1"/>
    <col min="11" max="11" width="7.140625" style="64" bestFit="1" customWidth="1"/>
    <col min="12" max="12" width="4" style="64" customWidth="1"/>
    <col min="13" max="13" width="5.28515625" style="64" bestFit="1" customWidth="1"/>
    <col min="14" max="14" width="4.140625" style="64" customWidth="1"/>
    <col min="15" max="15" width="15.425781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16384" width="9.140625" style="64"/>
  </cols>
  <sheetData>
    <row r="1" spans="1:22" x14ac:dyDescent="0.2">
      <c r="A1" s="417" t="s">
        <v>356</v>
      </c>
      <c r="B1" s="201"/>
      <c r="C1" s="201"/>
      <c r="D1" s="201"/>
      <c r="E1" s="201"/>
      <c r="F1" s="201"/>
      <c r="G1" s="201"/>
      <c r="H1" s="201"/>
      <c r="I1" s="201"/>
      <c r="J1" s="201"/>
      <c r="K1" s="201"/>
      <c r="L1" s="201"/>
      <c r="M1" s="201"/>
      <c r="N1" s="201"/>
      <c r="O1" s="201"/>
      <c r="P1" s="201"/>
      <c r="Q1" s="201"/>
      <c r="R1" s="198"/>
    </row>
    <row r="2" spans="1:22" x14ac:dyDescent="0.2">
      <c r="A2" s="380"/>
      <c r="B2" s="343"/>
      <c r="C2" s="343"/>
      <c r="D2" s="343"/>
      <c r="E2" s="343"/>
      <c r="F2" s="140" t="s">
        <v>276</v>
      </c>
      <c r="G2" s="343"/>
      <c r="H2" s="343"/>
      <c r="I2" s="343"/>
      <c r="J2" s="343"/>
      <c r="K2" s="133"/>
      <c r="L2" s="343"/>
      <c r="M2" s="343"/>
      <c r="N2" s="343"/>
      <c r="O2" s="523" t="s">
        <v>289</v>
      </c>
      <c r="P2" s="140" t="s">
        <v>131</v>
      </c>
      <c r="Q2" s="133"/>
      <c r="R2" s="33"/>
    </row>
    <row r="3" spans="1:22" x14ac:dyDescent="0.2">
      <c r="A3" s="118"/>
      <c r="B3" s="343"/>
      <c r="C3" s="133"/>
      <c r="D3" s="133"/>
      <c r="E3" s="133"/>
      <c r="F3" s="133" t="str">
        <f>_xll.qlInterpolation(,InterpolationType,_xll.ohFilter(A5:A42,J5:J42),_xll.ohFilter(I5:I42,J5:J42))</f>
        <v>obj_004b0#0001</v>
      </c>
      <c r="G3" s="133"/>
      <c r="H3" s="133"/>
      <c r="I3" s="133"/>
      <c r="J3" s="133"/>
      <c r="K3" s="133"/>
      <c r="L3" s="343"/>
      <c r="M3" s="343"/>
      <c r="N3" s="343"/>
      <c r="O3" s="133"/>
      <c r="P3" s="133"/>
      <c r="Q3" s="375">
        <f>_xll.ohTrigger(Q5:Q42)</f>
        <v>3</v>
      </c>
      <c r="R3" s="218"/>
    </row>
    <row r="4" spans="1:22" ht="23.25" thickBot="1" x14ac:dyDescent="0.25">
      <c r="A4" s="118"/>
      <c r="B4" s="500"/>
      <c r="C4" s="196"/>
      <c r="D4" s="196"/>
      <c r="E4" s="196"/>
      <c r="F4" s="374" t="e">
        <f ca="1">_xll.RData(F5:F42,G4:H4,"RTFEED:IDN",ReutersRtMode,,G5)</f>
        <v>#NAME?</v>
      </c>
      <c r="G4" s="415" t="s">
        <v>293</v>
      </c>
      <c r="H4" s="415" t="s">
        <v>265</v>
      </c>
      <c r="I4" s="415" t="s">
        <v>318</v>
      </c>
      <c r="J4" s="415"/>
      <c r="K4" s="369" t="s">
        <v>317</v>
      </c>
      <c r="L4" s="343"/>
      <c r="M4" s="372" t="s">
        <v>287</v>
      </c>
      <c r="N4" s="343"/>
      <c r="O4" s="371" t="s">
        <v>241</v>
      </c>
      <c r="P4" s="499" t="s">
        <v>286</v>
      </c>
      <c r="Q4" s="91" t="s">
        <v>285</v>
      </c>
      <c r="R4" s="218"/>
    </row>
    <row r="5" spans="1:22" x14ac:dyDescent="0.2">
      <c r="A5" s="522">
        <v>0.5</v>
      </c>
      <c r="B5" s="399" t="s">
        <v>8</v>
      </c>
      <c r="C5" s="402" t="str">
        <f t="array" ref="C5:C42">VLOOKUP(Currency,Conventions,2)</f>
        <v>1L</v>
      </c>
      <c r="D5" s="402" t="str">
        <f t="array" ref="D5:D42">VLOOKUP(Currency,Conventions,3)</f>
        <v>6L</v>
      </c>
      <c r="E5" s="400" t="str">
        <f t="shared" ref="E5:E42" si="0">Currency&amp;$C5&amp;$D5&amp;$B5</f>
        <v>GBP1L6L6M</v>
      </c>
      <c r="F5" s="353" t="str">
        <f t="array" ref="F5:F42">Instruments&amp;"="&amp;VLOOKUP(Contributor,ContributorTable,2,FALSE)</f>
        <v>GBP1L6L6M=ICAP</v>
      </c>
      <c r="G5" s="520" t="s">
        <v>233</v>
      </c>
      <c r="H5" s="520" t="s">
        <v>233</v>
      </c>
      <c r="I5" s="520" t="e">
        <f>_xll.qlMidEquivalent(G5,H5)</f>
        <v>#NUM!</v>
      </c>
      <c r="J5" s="349" t="b">
        <f t="shared" ref="J5:J42" si="1">IF(ISNUMBER(I5),TRUE,FALSE)</f>
        <v>0</v>
      </c>
      <c r="K5" s="521" t="e">
        <f t="array" ref="K5:K38">_xll.qlInterpolationInterpolate(F3,A5:A42)</f>
        <v>#NUM!</v>
      </c>
      <c r="L5" s="343"/>
      <c r="M5" s="518" t="e">
        <v>#NUM!</v>
      </c>
      <c r="N5" s="343"/>
      <c r="O5" s="394" t="str">
        <f t="shared" ref="O5:O42" si="2">$E5&amp;$P$2</f>
        <v>GBP1L6L6M_Quote</v>
      </c>
      <c r="P5" s="517" t="e">
        <f t="array" ref="P5:P42">QuoteLive</f>
        <v>#NUM!</v>
      </c>
      <c r="Q5" s="348" t="e">
        <f>_xll.qlSimpleQuoteSetValue($O5,$P5/10000,Trigger)</f>
        <v>#NUM!</v>
      </c>
      <c r="R5" s="218"/>
      <c r="T5" s="86" t="s">
        <v>121</v>
      </c>
      <c r="U5" s="85" t="s">
        <v>113</v>
      </c>
      <c r="V5" s="84" t="s">
        <v>116</v>
      </c>
    </row>
    <row r="6" spans="1:22" x14ac:dyDescent="0.2">
      <c r="A6" s="522">
        <v>1</v>
      </c>
      <c r="B6" s="399" t="s">
        <v>1</v>
      </c>
      <c r="C6" s="402" t="str">
        <v>1L</v>
      </c>
      <c r="D6" s="402" t="str">
        <v>6L</v>
      </c>
      <c r="E6" s="400" t="str">
        <f t="shared" si="0"/>
        <v>GBP1L6L1Y</v>
      </c>
      <c r="F6" s="353" t="str">
        <v>GBP1L6L1Y=ICAP</v>
      </c>
      <c r="G6" s="520">
        <v>15.5</v>
      </c>
      <c r="H6" s="520">
        <v>19.5</v>
      </c>
      <c r="I6" s="520">
        <f>_xll.qlMidEquivalent(G6,H6)</f>
        <v>17.5</v>
      </c>
      <c r="J6" s="349" t="b">
        <f t="shared" si="1"/>
        <v>1</v>
      </c>
      <c r="K6" s="521">
        <v>17.5</v>
      </c>
      <c r="L6" s="343"/>
      <c r="M6" s="518">
        <v>19.25</v>
      </c>
      <c r="N6" s="343"/>
      <c r="O6" s="394" t="str">
        <f t="shared" si="2"/>
        <v>GBP1L6L1Y_Quote</v>
      </c>
      <c r="P6" s="517">
        <v>17.5</v>
      </c>
      <c r="Q6" s="348" t="e">
        <f>_xll.qlSimpleQuoteSetValue($O6,$P6/10000,Trigger)</f>
        <v>#N/A</v>
      </c>
      <c r="R6" s="218"/>
      <c r="T6" s="83" t="s">
        <v>120</v>
      </c>
      <c r="U6" s="82" t="s">
        <v>119</v>
      </c>
      <c r="V6" s="81" t="s">
        <v>118</v>
      </c>
    </row>
    <row r="7" spans="1:22" x14ac:dyDescent="0.2">
      <c r="A7" s="522">
        <v>1.25</v>
      </c>
      <c r="B7" s="399" t="s">
        <v>124</v>
      </c>
      <c r="C7" s="402" t="str">
        <v>1L</v>
      </c>
      <c r="D7" s="402" t="str">
        <v>6L</v>
      </c>
      <c r="E7" s="400" t="str">
        <f t="shared" si="0"/>
        <v>GBP1L6L15M</v>
      </c>
      <c r="F7" s="353" t="str">
        <v>GBP1L6L15M=ICAP</v>
      </c>
      <c r="G7" s="520" t="s">
        <v>233</v>
      </c>
      <c r="H7" s="520" t="s">
        <v>233</v>
      </c>
      <c r="I7" s="520" t="e">
        <f>_xll.qlMidEquivalent(G7,H7)</f>
        <v>#NUM!</v>
      </c>
      <c r="J7" s="349" t="b">
        <f t="shared" si="1"/>
        <v>0</v>
      </c>
      <c r="K7" s="521">
        <v>18.108387336351491</v>
      </c>
      <c r="L7" s="343"/>
      <c r="M7" s="518">
        <v>19.333728096048311</v>
      </c>
      <c r="N7" s="343"/>
      <c r="O7" s="394" t="str">
        <f t="shared" si="2"/>
        <v>GBP1L6L15M_Quote</v>
      </c>
      <c r="P7" s="517">
        <v>18.108387336351491</v>
      </c>
      <c r="Q7" s="348" t="e">
        <f>_xll.qlSimpleQuoteSetValue($O7,$P7/10000,Trigger)</f>
        <v>#N/A</v>
      </c>
      <c r="R7" s="218"/>
      <c r="T7" s="83" t="s">
        <v>96</v>
      </c>
      <c r="U7" s="82" t="s">
        <v>113</v>
      </c>
      <c r="V7" s="81" t="s">
        <v>116</v>
      </c>
    </row>
    <row r="8" spans="1:22" x14ac:dyDescent="0.2">
      <c r="A8" s="522">
        <v>1.5</v>
      </c>
      <c r="B8" s="399" t="s">
        <v>123</v>
      </c>
      <c r="C8" s="402" t="str">
        <v>1L</v>
      </c>
      <c r="D8" s="402" t="str">
        <v>6L</v>
      </c>
      <c r="E8" s="400" t="str">
        <f t="shared" si="0"/>
        <v>GBP1L6L18M</v>
      </c>
      <c r="F8" s="353" t="str">
        <v>GBP1L6L18M=ICAP</v>
      </c>
      <c r="G8" s="520" t="s">
        <v>233</v>
      </c>
      <c r="H8" s="520" t="s">
        <v>233</v>
      </c>
      <c r="I8" s="520" t="e">
        <f>_xll.qlMidEquivalent(G8,H8)</f>
        <v>#NUM!</v>
      </c>
      <c r="J8" s="349" t="b">
        <f t="shared" si="1"/>
        <v>0</v>
      </c>
      <c r="K8" s="521">
        <v>18.673419738162387</v>
      </c>
      <c r="L8" s="343"/>
      <c r="M8" s="518">
        <v>19.414702752042945</v>
      </c>
      <c r="N8" s="343"/>
      <c r="O8" s="394" t="str">
        <f t="shared" si="2"/>
        <v>GBP1L6L18M_Quote</v>
      </c>
      <c r="P8" s="517">
        <v>18.673419738162387</v>
      </c>
      <c r="Q8" s="348" t="e">
        <f>_xll.qlSimpleQuoteSetValue($O8,$P8/10000,Trigger)</f>
        <v>#N/A</v>
      </c>
      <c r="R8" s="218"/>
      <c r="T8" s="83" t="s">
        <v>117</v>
      </c>
      <c r="U8" s="82" t="s">
        <v>113</v>
      </c>
      <c r="V8" s="81" t="s">
        <v>116</v>
      </c>
    </row>
    <row r="9" spans="1:22" ht="12" thickBot="1" x14ac:dyDescent="0.25">
      <c r="A9" s="522">
        <v>1.75</v>
      </c>
      <c r="B9" s="399" t="s">
        <v>122</v>
      </c>
      <c r="C9" s="402" t="str">
        <v>1L</v>
      </c>
      <c r="D9" s="402" t="str">
        <v>6L</v>
      </c>
      <c r="E9" s="400" t="str">
        <f t="shared" si="0"/>
        <v>GBP1L6L21M</v>
      </c>
      <c r="F9" s="353" t="str">
        <v>GBP1L6L21M=ICAP</v>
      </c>
      <c r="G9" s="520" t="s">
        <v>233</v>
      </c>
      <c r="H9" s="520" t="s">
        <v>233</v>
      </c>
      <c r="I9" s="520" t="e">
        <f>_xll.qlMidEquivalent(G9,H9)</f>
        <v>#NUM!</v>
      </c>
      <c r="J9" s="349" t="b">
        <f t="shared" si="1"/>
        <v>0</v>
      </c>
      <c r="K9" s="521">
        <v>19.15174227089209</v>
      </c>
      <c r="L9" s="343"/>
      <c r="M9" s="518">
        <v>19.475826032016105</v>
      </c>
      <c r="N9" s="343"/>
      <c r="O9" s="394" t="str">
        <f t="shared" si="2"/>
        <v>GBP1L6L21M_Quote</v>
      </c>
      <c r="P9" s="517">
        <v>19.15174227089209</v>
      </c>
      <c r="Q9" s="348" t="e">
        <f>_xll.qlSimpleQuoteSetValue($O9,$P9/10000,Trigger)</f>
        <v>#N/A</v>
      </c>
      <c r="R9" s="218"/>
      <c r="T9" s="80" t="s">
        <v>115</v>
      </c>
      <c r="U9" s="79" t="s">
        <v>114</v>
      </c>
      <c r="V9" s="78" t="s">
        <v>113</v>
      </c>
    </row>
    <row r="10" spans="1:22" x14ac:dyDescent="0.2">
      <c r="A10" s="118">
        <v>2</v>
      </c>
      <c r="B10" s="399" t="s">
        <v>85</v>
      </c>
      <c r="C10" s="402" t="str">
        <v>1L</v>
      </c>
      <c r="D10" s="402" t="str">
        <v>6L</v>
      </c>
      <c r="E10" s="400" t="str">
        <f t="shared" si="0"/>
        <v>GBP1L6L2Y</v>
      </c>
      <c r="F10" s="353" t="str">
        <v>GBP1L6L2Y=ICAP</v>
      </c>
      <c r="G10" s="520">
        <v>17.5</v>
      </c>
      <c r="H10" s="520">
        <v>21.5</v>
      </c>
      <c r="I10" s="520">
        <f>_xll.qlMidEquivalent(G10,H10)</f>
        <v>19.5</v>
      </c>
      <c r="J10" s="349" t="b">
        <f t="shared" si="1"/>
        <v>1</v>
      </c>
      <c r="K10" s="521">
        <v>19.5</v>
      </c>
      <c r="L10" s="343"/>
      <c r="M10" s="518">
        <v>19.5</v>
      </c>
      <c r="N10" s="343"/>
      <c r="O10" s="394" t="str">
        <f t="shared" si="2"/>
        <v>GBP1L6L2Y_Quote</v>
      </c>
      <c r="P10" s="517">
        <v>19.5</v>
      </c>
      <c r="Q10" s="348" t="e">
        <f>_xll.qlSimpleQuoteSetValue($O10,$P10/10000,Trigger)</f>
        <v>#N/A</v>
      </c>
      <c r="R10" s="218"/>
    </row>
    <row r="11" spans="1:22" x14ac:dyDescent="0.2">
      <c r="A11" s="118">
        <v>3</v>
      </c>
      <c r="B11" s="399" t="s">
        <v>84</v>
      </c>
      <c r="C11" s="402" t="str">
        <v>1L</v>
      </c>
      <c r="D11" s="402" t="str">
        <v>6L</v>
      </c>
      <c r="E11" s="400" t="str">
        <f t="shared" si="0"/>
        <v>GBP1L6L3Y</v>
      </c>
      <c r="F11" s="353" t="str">
        <v>GBP1L6L3Y=ICAP</v>
      </c>
      <c r="G11" s="520">
        <v>17.875</v>
      </c>
      <c r="H11" s="520">
        <v>21.875</v>
      </c>
      <c r="I11" s="520">
        <f>_xll.qlMidEquivalent(G11,H11)</f>
        <v>19.875</v>
      </c>
      <c r="J11" s="349" t="b">
        <f t="shared" si="1"/>
        <v>1</v>
      </c>
      <c r="K11" s="521">
        <v>19.875</v>
      </c>
      <c r="L11" s="343"/>
      <c r="M11" s="518">
        <v>19.5</v>
      </c>
      <c r="N11" s="343"/>
      <c r="O11" s="394" t="str">
        <f t="shared" si="2"/>
        <v>GBP1L6L3Y_Quote</v>
      </c>
      <c r="P11" s="517">
        <v>19.875</v>
      </c>
      <c r="Q11" s="348" t="e">
        <f>_xll.qlSimpleQuoteSetValue($O11,$P11/10000,Trigger)</f>
        <v>#N/A</v>
      </c>
      <c r="R11" s="218"/>
    </row>
    <row r="12" spans="1:22" x14ac:dyDescent="0.2">
      <c r="A12" s="118">
        <v>4</v>
      </c>
      <c r="B12" s="399" t="s">
        <v>83</v>
      </c>
      <c r="C12" s="402" t="str">
        <v>1L</v>
      </c>
      <c r="D12" s="402" t="str">
        <v>6L</v>
      </c>
      <c r="E12" s="400" t="str">
        <f t="shared" si="0"/>
        <v>GBP1L6L4Y</v>
      </c>
      <c r="F12" s="353" t="str">
        <v>GBP1L6L4Y=ICAP</v>
      </c>
      <c r="G12" s="520">
        <v>18.5</v>
      </c>
      <c r="H12" s="520">
        <v>22.5</v>
      </c>
      <c r="I12" s="520">
        <f>_xll.qlMidEquivalent(G12,H12)</f>
        <v>20.5</v>
      </c>
      <c r="J12" s="349" t="b">
        <f t="shared" si="1"/>
        <v>1</v>
      </c>
      <c r="K12" s="521">
        <v>20.5</v>
      </c>
      <c r="L12" s="343"/>
      <c r="M12" s="518">
        <v>19.5</v>
      </c>
      <c r="N12" s="343"/>
      <c r="O12" s="394" t="str">
        <f t="shared" si="2"/>
        <v>GBP1L6L4Y_Quote</v>
      </c>
      <c r="P12" s="517">
        <v>20.5</v>
      </c>
      <c r="Q12" s="348" t="e">
        <f>_xll.qlSimpleQuoteSetValue($O12,$P12/10000,Trigger)</f>
        <v>#N/A</v>
      </c>
      <c r="R12" s="218"/>
    </row>
    <row r="13" spans="1:22" x14ac:dyDescent="0.2">
      <c r="A13" s="118">
        <v>5</v>
      </c>
      <c r="B13" s="399" t="s">
        <v>82</v>
      </c>
      <c r="C13" s="402" t="str">
        <v>1L</v>
      </c>
      <c r="D13" s="402" t="str">
        <v>6L</v>
      </c>
      <c r="E13" s="400" t="str">
        <f t="shared" si="0"/>
        <v>GBP1L6L5Y</v>
      </c>
      <c r="F13" s="353" t="str">
        <v>GBP1L6L5Y=ICAP</v>
      </c>
      <c r="G13" s="520">
        <v>18.625</v>
      </c>
      <c r="H13" s="520">
        <v>22.625</v>
      </c>
      <c r="I13" s="520">
        <f>_xll.qlMidEquivalent(G13,H13)</f>
        <v>20.625</v>
      </c>
      <c r="J13" s="349" t="b">
        <f t="shared" si="1"/>
        <v>1</v>
      </c>
      <c r="K13" s="521">
        <v>20.625</v>
      </c>
      <c r="L13" s="343"/>
      <c r="M13" s="518">
        <v>19.5</v>
      </c>
      <c r="N13" s="343"/>
      <c r="O13" s="394" t="str">
        <f t="shared" si="2"/>
        <v>GBP1L6L5Y_Quote</v>
      </c>
      <c r="P13" s="517">
        <v>20.625</v>
      </c>
      <c r="Q13" s="348" t="e">
        <f>_xll.qlSimpleQuoteSetValue($O13,$P13/10000,Trigger)</f>
        <v>#N/A</v>
      </c>
      <c r="R13" s="218"/>
    </row>
    <row r="14" spans="1:22" x14ac:dyDescent="0.2">
      <c r="A14" s="118">
        <v>6</v>
      </c>
      <c r="B14" s="399" t="s">
        <v>81</v>
      </c>
      <c r="C14" s="402" t="str">
        <v>1L</v>
      </c>
      <c r="D14" s="402" t="str">
        <v>6L</v>
      </c>
      <c r="E14" s="400" t="str">
        <f t="shared" si="0"/>
        <v>GBP1L6L6Y</v>
      </c>
      <c r="F14" s="353" t="str">
        <v>GBP1L6L6Y=ICAP</v>
      </c>
      <c r="G14" s="520">
        <v>18.625</v>
      </c>
      <c r="H14" s="520">
        <v>22.625</v>
      </c>
      <c r="I14" s="520">
        <f>_xll.qlMidEquivalent(G14,H14)</f>
        <v>20.625</v>
      </c>
      <c r="J14" s="349" t="b">
        <f t="shared" si="1"/>
        <v>1</v>
      </c>
      <c r="K14" s="521">
        <v>20.625</v>
      </c>
      <c r="L14" s="343"/>
      <c r="M14" s="518">
        <v>19.5</v>
      </c>
      <c r="N14" s="343"/>
      <c r="O14" s="394" t="str">
        <f t="shared" si="2"/>
        <v>GBP1L6L6Y_Quote</v>
      </c>
      <c r="P14" s="517">
        <v>20.625</v>
      </c>
      <c r="Q14" s="348" t="e">
        <f>_xll.qlSimpleQuoteSetValue($O14,$P14/10000,Trigger)</f>
        <v>#N/A</v>
      </c>
      <c r="R14" s="218"/>
    </row>
    <row r="15" spans="1:22" x14ac:dyDescent="0.2">
      <c r="A15" s="118">
        <v>7</v>
      </c>
      <c r="B15" s="399" t="s">
        <v>80</v>
      </c>
      <c r="C15" s="402" t="str">
        <v>1L</v>
      </c>
      <c r="D15" s="402" t="str">
        <v>6L</v>
      </c>
      <c r="E15" s="400" t="str">
        <f t="shared" si="0"/>
        <v>GBP1L6L7Y</v>
      </c>
      <c r="F15" s="353" t="str">
        <v>GBP1L6L7Y=ICAP</v>
      </c>
      <c r="G15" s="520">
        <v>18.5</v>
      </c>
      <c r="H15" s="520">
        <v>22.5</v>
      </c>
      <c r="I15" s="520">
        <f>_xll.qlMidEquivalent(G15,H15)</f>
        <v>20.5</v>
      </c>
      <c r="J15" s="349" t="b">
        <f t="shared" si="1"/>
        <v>1</v>
      </c>
      <c r="K15" s="521">
        <v>20.5</v>
      </c>
      <c r="L15" s="343"/>
      <c r="M15" s="518">
        <v>19</v>
      </c>
      <c r="N15" s="343"/>
      <c r="O15" s="394" t="str">
        <f t="shared" si="2"/>
        <v>GBP1L6L7Y_Quote</v>
      </c>
      <c r="P15" s="517">
        <v>20.5</v>
      </c>
      <c r="Q15" s="348" t="e">
        <f>_xll.qlSimpleQuoteSetValue($O15,$P15/10000,Trigger)</f>
        <v>#N/A</v>
      </c>
      <c r="R15" s="218"/>
    </row>
    <row r="16" spans="1:22" x14ac:dyDescent="0.2">
      <c r="A16" s="118">
        <v>8</v>
      </c>
      <c r="B16" s="399" t="s">
        <v>79</v>
      </c>
      <c r="C16" s="402" t="str">
        <v>1L</v>
      </c>
      <c r="D16" s="402" t="str">
        <v>6L</v>
      </c>
      <c r="E16" s="400" t="str">
        <f t="shared" si="0"/>
        <v>GBP1L6L8Y</v>
      </c>
      <c r="F16" s="353" t="str">
        <v>GBP1L6L8Y=ICAP</v>
      </c>
      <c r="G16" s="520">
        <v>18.25</v>
      </c>
      <c r="H16" s="520">
        <v>22.25</v>
      </c>
      <c r="I16" s="520">
        <f>_xll.qlMidEquivalent(G16,H16)</f>
        <v>20.25</v>
      </c>
      <c r="J16" s="349" t="b">
        <f t="shared" si="1"/>
        <v>1</v>
      </c>
      <c r="K16" s="521">
        <v>20.25</v>
      </c>
      <c r="L16" s="343"/>
      <c r="M16" s="518">
        <v>18.5</v>
      </c>
      <c r="N16" s="343"/>
      <c r="O16" s="394" t="str">
        <f t="shared" si="2"/>
        <v>GBP1L6L8Y_Quote</v>
      </c>
      <c r="P16" s="517">
        <v>20.25</v>
      </c>
      <c r="Q16" s="348" t="e">
        <f>_xll.qlSimpleQuoteSetValue($O16,$P16/10000,Trigger)</f>
        <v>#N/A</v>
      </c>
      <c r="R16" s="218"/>
    </row>
    <row r="17" spans="1:18" x14ac:dyDescent="0.2">
      <c r="A17" s="118">
        <v>9</v>
      </c>
      <c r="B17" s="399" t="s">
        <v>78</v>
      </c>
      <c r="C17" s="402" t="str">
        <v>1L</v>
      </c>
      <c r="D17" s="402" t="str">
        <v>6L</v>
      </c>
      <c r="E17" s="400" t="str">
        <f t="shared" si="0"/>
        <v>GBP1L6L9Y</v>
      </c>
      <c r="F17" s="353" t="str">
        <v>GBP1L6L9Y=ICAP</v>
      </c>
      <c r="G17" s="520">
        <v>18.125</v>
      </c>
      <c r="H17" s="520">
        <v>22.125</v>
      </c>
      <c r="I17" s="520">
        <f>_xll.qlMidEquivalent(G17,H17)</f>
        <v>20.125</v>
      </c>
      <c r="J17" s="349" t="b">
        <f t="shared" si="1"/>
        <v>1</v>
      </c>
      <c r="K17" s="521">
        <v>20.125</v>
      </c>
      <c r="L17" s="343"/>
      <c r="M17" s="518">
        <v>18.5</v>
      </c>
      <c r="N17" s="343"/>
      <c r="O17" s="394" t="str">
        <f t="shared" si="2"/>
        <v>GBP1L6L9Y_Quote</v>
      </c>
      <c r="P17" s="517">
        <v>20.125</v>
      </c>
      <c r="Q17" s="348" t="e">
        <f>_xll.qlSimpleQuoteSetValue($O17,$P17/10000,Trigger)</f>
        <v>#N/A</v>
      </c>
      <c r="R17" s="218"/>
    </row>
    <row r="18" spans="1:18" x14ac:dyDescent="0.2">
      <c r="A18" s="118">
        <v>10</v>
      </c>
      <c r="B18" s="399" t="s">
        <v>77</v>
      </c>
      <c r="C18" s="402" t="str">
        <v>1L</v>
      </c>
      <c r="D18" s="402" t="str">
        <v>6L</v>
      </c>
      <c r="E18" s="400" t="str">
        <f t="shared" si="0"/>
        <v>GBP1L6L10Y</v>
      </c>
      <c r="F18" s="353" t="str">
        <v>GBP1L6L10Y=ICAP</v>
      </c>
      <c r="G18" s="520">
        <v>17.875</v>
      </c>
      <c r="H18" s="520">
        <v>21.875</v>
      </c>
      <c r="I18" s="520">
        <f>_xll.qlMidEquivalent(G18,H18)</f>
        <v>19.875</v>
      </c>
      <c r="J18" s="349" t="b">
        <f t="shared" si="1"/>
        <v>1</v>
      </c>
      <c r="K18" s="521">
        <v>19.875</v>
      </c>
      <c r="L18" s="343"/>
      <c r="M18" s="518">
        <v>18.25</v>
      </c>
      <c r="N18" s="343"/>
      <c r="O18" s="394" t="str">
        <f t="shared" si="2"/>
        <v>GBP1L6L10Y_Quote</v>
      </c>
      <c r="P18" s="517">
        <v>19.875</v>
      </c>
      <c r="Q18" s="348" t="e">
        <f>_xll.qlSimpleQuoteSetValue($O18,$P18/10000,Trigger)</f>
        <v>#N/A</v>
      </c>
      <c r="R18" s="218"/>
    </row>
    <row r="19" spans="1:18" x14ac:dyDescent="0.2">
      <c r="A19" s="118">
        <v>11</v>
      </c>
      <c r="B19" s="399" t="s">
        <v>76</v>
      </c>
      <c r="C19" s="402" t="str">
        <v>1L</v>
      </c>
      <c r="D19" s="402" t="str">
        <v>6L</v>
      </c>
      <c r="E19" s="400" t="str">
        <f t="shared" si="0"/>
        <v>GBP1L6L11Y</v>
      </c>
      <c r="F19" s="353" t="str">
        <v>GBP1L6L11Y=ICAP</v>
      </c>
      <c r="G19" s="520" t="s">
        <v>233</v>
      </c>
      <c r="H19" s="520" t="s">
        <v>233</v>
      </c>
      <c r="I19" s="520" t="e">
        <f>_xll.qlMidEquivalent(G19,H19)</f>
        <v>#NUM!</v>
      </c>
      <c r="J19" s="349" t="b">
        <f t="shared" si="1"/>
        <v>0</v>
      </c>
      <c r="K19" s="521">
        <v>19.512800440333137</v>
      </c>
      <c r="L19" s="343"/>
      <c r="M19" s="518">
        <v>17.967731218694958</v>
      </c>
      <c r="N19" s="343"/>
      <c r="O19" s="394" t="str">
        <f t="shared" si="2"/>
        <v>GBP1L6L11Y_Quote</v>
      </c>
      <c r="P19" s="517">
        <v>19.512800440333137</v>
      </c>
      <c r="Q19" s="348" t="e">
        <f>_xll.qlSimpleQuoteSetValue($O19,$P19/10000,Trigger)</f>
        <v>#N/A</v>
      </c>
      <c r="R19" s="218"/>
    </row>
    <row r="20" spans="1:18" x14ac:dyDescent="0.2">
      <c r="A20" s="118">
        <v>12</v>
      </c>
      <c r="B20" s="399" t="s">
        <v>75</v>
      </c>
      <c r="C20" s="402" t="str">
        <v>1L</v>
      </c>
      <c r="D20" s="402" t="str">
        <v>6L</v>
      </c>
      <c r="E20" s="400" t="str">
        <f t="shared" si="0"/>
        <v>GBP1L6L12Y</v>
      </c>
      <c r="F20" s="353" t="str">
        <v>GBP1L6L12Y=ICAP</v>
      </c>
      <c r="G20" s="520">
        <v>17.125</v>
      </c>
      <c r="H20" s="520">
        <v>21.125</v>
      </c>
      <c r="I20" s="520">
        <f>_xll.qlMidEquivalent(G20,H20)</f>
        <v>19.125</v>
      </c>
      <c r="J20" s="349" t="b">
        <f t="shared" si="1"/>
        <v>1</v>
      </c>
      <c r="K20" s="521">
        <v>19.125</v>
      </c>
      <c r="L20" s="343"/>
      <c r="M20" s="518">
        <v>17.75</v>
      </c>
      <c r="N20" s="343"/>
      <c r="O20" s="394" t="str">
        <f t="shared" si="2"/>
        <v>GBP1L6L12Y_Quote</v>
      </c>
      <c r="P20" s="517">
        <v>19.125</v>
      </c>
      <c r="Q20" s="348" t="e">
        <f>_xll.qlSimpleQuoteSetValue($O20,$P20/10000,Trigger)</f>
        <v>#N/A</v>
      </c>
      <c r="R20" s="218"/>
    </row>
    <row r="21" spans="1:18" x14ac:dyDescent="0.2">
      <c r="A21" s="118">
        <v>13</v>
      </c>
      <c r="B21" s="399" t="s">
        <v>74</v>
      </c>
      <c r="C21" s="402" t="str">
        <v>1L</v>
      </c>
      <c r="D21" s="402" t="str">
        <v>6L</v>
      </c>
      <c r="E21" s="400" t="str">
        <f t="shared" si="0"/>
        <v>GBP1L6L13Y</v>
      </c>
      <c r="F21" s="353" t="str">
        <v>GBP1L6L13Y=ICAP</v>
      </c>
      <c r="G21" s="520" t="s">
        <v>233</v>
      </c>
      <c r="H21" s="520" t="s">
        <v>233</v>
      </c>
      <c r="I21" s="520" t="e">
        <f>_xll.qlMidEquivalent(G21,H21)</f>
        <v>#NUM!</v>
      </c>
      <c r="J21" s="349" t="b">
        <f t="shared" si="1"/>
        <v>0</v>
      </c>
      <c r="K21" s="521">
        <v>18.771783256869682</v>
      </c>
      <c r="L21" s="343"/>
      <c r="M21" s="518">
        <v>17.570794384566103</v>
      </c>
      <c r="N21" s="343"/>
      <c r="O21" s="394" t="str">
        <f t="shared" si="2"/>
        <v>GBP1L6L13Y_Quote</v>
      </c>
      <c r="P21" s="517">
        <v>18.771783256869682</v>
      </c>
      <c r="Q21" s="348" t="e">
        <f>_xll.qlSimpleQuoteSetValue($O21,$P21/10000,Trigger)</f>
        <v>#N/A</v>
      </c>
      <c r="R21" s="218"/>
    </row>
    <row r="22" spans="1:18" x14ac:dyDescent="0.2">
      <c r="A22" s="118">
        <v>14</v>
      </c>
      <c r="B22" s="399" t="s">
        <v>73</v>
      </c>
      <c r="C22" s="402" t="str">
        <v>1L</v>
      </c>
      <c r="D22" s="402" t="str">
        <v>6L</v>
      </c>
      <c r="E22" s="400" t="str">
        <f t="shared" si="0"/>
        <v>GBP1L6L14Y</v>
      </c>
      <c r="F22" s="353" t="str">
        <v>GBP1L6L14Y=ICAP</v>
      </c>
      <c r="G22" s="520" t="s">
        <v>233</v>
      </c>
      <c r="H22" s="520" t="s">
        <v>233</v>
      </c>
      <c r="I22" s="520" t="e">
        <f>_xll.qlMidEquivalent(G22,H22)</f>
        <v>#NUM!</v>
      </c>
      <c r="J22" s="349" t="b">
        <f t="shared" si="1"/>
        <v>0</v>
      </c>
      <c r="K22" s="521">
        <v>18.446313806765662</v>
      </c>
      <c r="L22" s="343"/>
      <c r="M22" s="518">
        <v>17.410240736318265</v>
      </c>
      <c r="N22" s="343"/>
      <c r="O22" s="394" t="str">
        <f t="shared" si="2"/>
        <v>GBP1L6L14Y_Quote</v>
      </c>
      <c r="P22" s="517">
        <v>18.446313806765662</v>
      </c>
      <c r="Q22" s="348" t="e">
        <f>_xll.qlSimpleQuoteSetValue($O22,$P22/10000,Trigger)</f>
        <v>#N/A</v>
      </c>
      <c r="R22" s="218"/>
    </row>
    <row r="23" spans="1:18" x14ac:dyDescent="0.2">
      <c r="A23" s="118">
        <v>15</v>
      </c>
      <c r="B23" s="399" t="s">
        <v>72</v>
      </c>
      <c r="C23" s="402" t="str">
        <v>1L</v>
      </c>
      <c r="D23" s="402" t="str">
        <v>6L</v>
      </c>
      <c r="E23" s="400" t="str">
        <f t="shared" si="0"/>
        <v>GBP1L6L15Y</v>
      </c>
      <c r="F23" s="353" t="str">
        <v>GBP1L6L15Y=ICAP</v>
      </c>
      <c r="G23" s="520">
        <v>16.125</v>
      </c>
      <c r="H23" s="520">
        <v>20.125</v>
      </c>
      <c r="I23" s="520">
        <f>_xll.qlMidEquivalent(G23,H23)</f>
        <v>18.125</v>
      </c>
      <c r="J23" s="349" t="b">
        <f t="shared" si="1"/>
        <v>1</v>
      </c>
      <c r="K23" s="521">
        <v>18.125</v>
      </c>
      <c r="L23" s="343"/>
      <c r="M23" s="518">
        <v>17.25</v>
      </c>
      <c r="N23" s="343"/>
      <c r="O23" s="394" t="str">
        <f t="shared" si="2"/>
        <v>GBP1L6L15Y_Quote</v>
      </c>
      <c r="P23" s="517">
        <v>18.125</v>
      </c>
      <c r="Q23" s="348" t="e">
        <f>_xll.qlSimpleQuoteSetValue($O23,$P23/10000,Trigger)</f>
        <v>#N/A</v>
      </c>
      <c r="R23" s="218"/>
    </row>
    <row r="24" spans="1:18" x14ac:dyDescent="0.2">
      <c r="A24" s="118">
        <v>16</v>
      </c>
      <c r="B24" s="399" t="s">
        <v>71</v>
      </c>
      <c r="C24" s="402" t="str">
        <v>1L</v>
      </c>
      <c r="D24" s="402" t="str">
        <v>6L</v>
      </c>
      <c r="E24" s="400" t="str">
        <f t="shared" si="0"/>
        <v>GBP1L6L16Y</v>
      </c>
      <c r="F24" s="353" t="str">
        <v>GBP1L6L16Y=ICAP</v>
      </c>
      <c r="G24" s="520" t="s">
        <v>233</v>
      </c>
      <c r="H24" s="520" t="s">
        <v>233</v>
      </c>
      <c r="I24" s="520" t="e">
        <f>_xll.qlMidEquivalent(G24,H24)</f>
        <v>#NUM!</v>
      </c>
      <c r="J24" s="349" t="b">
        <f t="shared" si="1"/>
        <v>0</v>
      </c>
      <c r="K24" s="521">
        <v>17.789209723867408</v>
      </c>
      <c r="L24" s="343"/>
      <c r="M24" s="518">
        <v>17.07524013584781</v>
      </c>
      <c r="N24" s="343"/>
      <c r="O24" s="394" t="str">
        <f t="shared" si="2"/>
        <v>GBP1L6L16Y_Quote</v>
      </c>
      <c r="P24" s="517">
        <v>17.789209723867408</v>
      </c>
      <c r="Q24" s="348" t="e">
        <f>_xll.qlSimpleQuoteSetValue($O24,$P24/10000,Trigger)</f>
        <v>#N/A</v>
      </c>
      <c r="R24" s="218"/>
    </row>
    <row r="25" spans="1:18" x14ac:dyDescent="0.2">
      <c r="A25" s="118">
        <v>17</v>
      </c>
      <c r="B25" s="399" t="s">
        <v>70</v>
      </c>
      <c r="C25" s="402" t="str">
        <v>1L</v>
      </c>
      <c r="D25" s="402" t="str">
        <v>6L</v>
      </c>
      <c r="E25" s="400" t="str">
        <f t="shared" si="0"/>
        <v>GBP1L6L17Y</v>
      </c>
      <c r="F25" s="353" t="str">
        <v>GBP1L6L17Y=ICAP</v>
      </c>
      <c r="G25" s="520" t="s">
        <v>233</v>
      </c>
      <c r="H25" s="520" t="s">
        <v>233</v>
      </c>
      <c r="I25" s="520" t="e">
        <f>_xll.qlMidEquivalent(G25,H25)</f>
        <v>#NUM!</v>
      </c>
      <c r="J25" s="349" t="b">
        <f t="shared" si="1"/>
        <v>0</v>
      </c>
      <c r="K25" s="521">
        <v>17.440149013593178</v>
      </c>
      <c r="L25" s="343"/>
      <c r="M25" s="518">
        <v>16.885157166070208</v>
      </c>
      <c r="N25" s="343"/>
      <c r="O25" s="394" t="str">
        <f t="shared" si="2"/>
        <v>GBP1L6L17Y_Quote</v>
      </c>
      <c r="P25" s="517">
        <v>17.440149013593178</v>
      </c>
      <c r="Q25" s="348" t="e">
        <f>_xll.qlSimpleQuoteSetValue($O25,$P25/10000,Trigger)</f>
        <v>#N/A</v>
      </c>
      <c r="R25" s="218"/>
    </row>
    <row r="26" spans="1:18" x14ac:dyDescent="0.2">
      <c r="A26" s="118">
        <v>18</v>
      </c>
      <c r="B26" s="399" t="s">
        <v>69</v>
      </c>
      <c r="C26" s="402" t="str">
        <v>1L</v>
      </c>
      <c r="D26" s="402" t="str">
        <v>6L</v>
      </c>
      <c r="E26" s="400" t="str">
        <f t="shared" si="0"/>
        <v>GBP1L6L18Y</v>
      </c>
      <c r="F26" s="353" t="str">
        <v>GBP1L6L18Y=ICAP</v>
      </c>
      <c r="G26" s="520" t="s">
        <v>233</v>
      </c>
      <c r="H26" s="520" t="s">
        <v>233</v>
      </c>
      <c r="I26" s="520" t="e">
        <f>_xll.qlMidEquivalent(G26,H26)</f>
        <v>#NUM!</v>
      </c>
      <c r="J26" s="349" t="b">
        <f t="shared" si="1"/>
        <v>0</v>
      </c>
      <c r="K26" s="521">
        <v>17.083983441385243</v>
      </c>
      <c r="L26" s="343"/>
      <c r="M26" s="518">
        <v>16.682454128368697</v>
      </c>
      <c r="N26" s="343"/>
      <c r="O26" s="394" t="str">
        <f t="shared" si="2"/>
        <v>GBP1L6L18Y_Quote</v>
      </c>
      <c r="P26" s="517">
        <v>17.083983441385243</v>
      </c>
      <c r="Q26" s="348" t="e">
        <f>_xll.qlSimpleQuoteSetValue($O26,$P26/10000,Trigger)</f>
        <v>#N/A</v>
      </c>
      <c r="R26" s="218"/>
    </row>
    <row r="27" spans="1:18" x14ac:dyDescent="0.2">
      <c r="A27" s="118">
        <v>19</v>
      </c>
      <c r="B27" s="399" t="s">
        <v>68</v>
      </c>
      <c r="C27" s="402" t="str">
        <v>1L</v>
      </c>
      <c r="D27" s="402" t="str">
        <v>6L</v>
      </c>
      <c r="E27" s="400" t="str">
        <f t="shared" si="0"/>
        <v>GBP1L6L19Y</v>
      </c>
      <c r="F27" s="353" t="str">
        <v>GBP1L6L19Y=ICAP</v>
      </c>
      <c r="G27" s="520" t="s">
        <v>233</v>
      </c>
      <c r="H27" s="520" t="s">
        <v>233</v>
      </c>
      <c r="I27" s="520" t="e">
        <f>_xll.qlMidEquivalent(G27,H27)</f>
        <v>#NUM!</v>
      </c>
      <c r="J27" s="349" t="b">
        <f t="shared" si="1"/>
        <v>0</v>
      </c>
      <c r="K27" s="521">
        <v>16.72687857945154</v>
      </c>
      <c r="L27" s="343"/>
      <c r="M27" s="518">
        <v>16.469834060444793</v>
      </c>
      <c r="N27" s="343"/>
      <c r="O27" s="394" t="str">
        <f t="shared" si="2"/>
        <v>GBP1L6L19Y_Quote</v>
      </c>
      <c r="P27" s="517">
        <v>16.72687857945154</v>
      </c>
      <c r="Q27" s="348" t="e">
        <f>_xll.qlSimpleQuoteSetValue($O27,$P27/10000,Trigger)</f>
        <v>#N/A</v>
      </c>
      <c r="R27" s="218"/>
    </row>
    <row r="28" spans="1:18" x14ac:dyDescent="0.2">
      <c r="A28" s="118">
        <v>20</v>
      </c>
      <c r="B28" s="399" t="s">
        <v>67</v>
      </c>
      <c r="C28" s="402" t="str">
        <v>1L</v>
      </c>
      <c r="D28" s="402" t="str">
        <v>6L</v>
      </c>
      <c r="E28" s="400" t="str">
        <f t="shared" si="0"/>
        <v>GBP1L6L20Y</v>
      </c>
      <c r="F28" s="353" t="str">
        <v>GBP1L6L20Y=ICAP</v>
      </c>
      <c r="G28" s="520">
        <v>14.375</v>
      </c>
      <c r="H28" s="520">
        <v>18.375</v>
      </c>
      <c r="I28" s="520">
        <f>_xll.qlMidEquivalent(G28,H28)</f>
        <v>16.375</v>
      </c>
      <c r="J28" s="349" t="b">
        <f t="shared" si="1"/>
        <v>1</v>
      </c>
      <c r="K28" s="521">
        <v>16.375</v>
      </c>
      <c r="L28" s="343"/>
      <c r="M28" s="518">
        <v>16.25</v>
      </c>
      <c r="N28" s="343"/>
      <c r="O28" s="394" t="str">
        <f t="shared" si="2"/>
        <v>GBP1L6L20Y_Quote</v>
      </c>
      <c r="P28" s="517">
        <v>16.375</v>
      </c>
      <c r="Q28" s="348" t="e">
        <f>_xll.qlSimpleQuoteSetValue($O28,$P28/10000,Trigger)</f>
        <v>#N/A</v>
      </c>
      <c r="R28" s="218"/>
    </row>
    <row r="29" spans="1:18" x14ac:dyDescent="0.2">
      <c r="A29" s="118">
        <v>21</v>
      </c>
      <c r="B29" s="399" t="s">
        <v>66</v>
      </c>
      <c r="C29" s="402" t="str">
        <v>1L</v>
      </c>
      <c r="D29" s="402" t="str">
        <v>6L</v>
      </c>
      <c r="E29" s="400" t="str">
        <f t="shared" si="0"/>
        <v>GBP1L6L21Y</v>
      </c>
      <c r="F29" s="353" t="str">
        <v>GBP1L6L21Y=ICAP</v>
      </c>
      <c r="G29" s="520" t="s">
        <v>233</v>
      </c>
      <c r="H29" s="520" t="s">
        <v>233</v>
      </c>
      <c r="I29" s="520" t="e">
        <f>_xll.qlMidEquivalent(G29,H29)</f>
        <v>#NUM!</v>
      </c>
      <c r="J29" s="349" t="b">
        <f t="shared" si="1"/>
        <v>0</v>
      </c>
      <c r="K29" s="521">
        <v>16.03423490430054</v>
      </c>
      <c r="L29" s="343"/>
      <c r="M29" s="518">
        <v>16.026557175699704</v>
      </c>
      <c r="N29" s="343"/>
      <c r="O29" s="394" t="str">
        <f t="shared" si="2"/>
        <v>GBP1L6L21Y_Quote</v>
      </c>
      <c r="P29" s="517">
        <v>16.03423490430054</v>
      </c>
      <c r="Q29" s="348" t="e">
        <f>_xll.qlSimpleQuoteSetValue($O29,$P29/10000,Trigger)</f>
        <v>#N/A</v>
      </c>
      <c r="R29" s="218"/>
    </row>
    <row r="30" spans="1:18" x14ac:dyDescent="0.2">
      <c r="A30" s="118">
        <v>22</v>
      </c>
      <c r="B30" s="399" t="s">
        <v>65</v>
      </c>
      <c r="C30" s="402" t="str">
        <v>1L</v>
      </c>
      <c r="D30" s="402" t="str">
        <v>6L</v>
      </c>
      <c r="E30" s="400" t="str">
        <f t="shared" si="0"/>
        <v>GBP1L6L22Y</v>
      </c>
      <c r="F30" s="353" t="str">
        <v>GBP1L6L22Y=ICAP</v>
      </c>
      <c r="G30" s="520" t="s">
        <v>233</v>
      </c>
      <c r="H30" s="520" t="s">
        <v>233</v>
      </c>
      <c r="I30" s="520" t="e">
        <f>_xll.qlMidEquivalent(G30,H30)</f>
        <v>#NUM!</v>
      </c>
      <c r="J30" s="349" t="b">
        <f t="shared" si="1"/>
        <v>0</v>
      </c>
      <c r="K30" s="521">
        <v>15.709357009870995</v>
      </c>
      <c r="L30" s="343"/>
      <c r="M30" s="518">
        <v>15.806719580064794</v>
      </c>
      <c r="N30" s="343"/>
      <c r="O30" s="394" t="str">
        <f t="shared" si="2"/>
        <v>GBP1L6L22Y_Quote</v>
      </c>
      <c r="P30" s="517">
        <v>15.709357009870995</v>
      </c>
      <c r="Q30" s="348" t="e">
        <f>_xll.qlSimpleQuoteSetValue($O30,$P30/10000,Trigger)</f>
        <v>#N/A</v>
      </c>
      <c r="R30" s="218"/>
    </row>
    <row r="31" spans="1:18" x14ac:dyDescent="0.2">
      <c r="A31" s="118">
        <v>23</v>
      </c>
      <c r="B31" s="399" t="s">
        <v>64</v>
      </c>
      <c r="C31" s="402" t="str">
        <v>1L</v>
      </c>
      <c r="D31" s="402" t="str">
        <v>6L</v>
      </c>
      <c r="E31" s="400" t="str">
        <f t="shared" si="0"/>
        <v>GBP1L6L23Y</v>
      </c>
      <c r="F31" s="353" t="str">
        <v>GBP1L6L23Y=ICAP</v>
      </c>
      <c r="G31" s="520" t="s">
        <v>233</v>
      </c>
      <c r="H31" s="520" t="s">
        <v>233</v>
      </c>
      <c r="I31" s="520" t="e">
        <f>_xll.qlMidEquivalent(G31,H31)</f>
        <v>#NUM!</v>
      </c>
      <c r="J31" s="349" t="b">
        <f t="shared" si="1"/>
        <v>0</v>
      </c>
      <c r="K31" s="521">
        <v>15.404861663291181</v>
      </c>
      <c r="L31" s="343"/>
      <c r="M31" s="518">
        <v>15.59860339658003</v>
      </c>
      <c r="N31" s="343"/>
      <c r="O31" s="394" t="str">
        <f t="shared" si="2"/>
        <v>GBP1L6L23Y_Quote</v>
      </c>
      <c r="P31" s="517">
        <v>15.404861663291181</v>
      </c>
      <c r="Q31" s="348" t="e">
        <f>_xll.qlSimpleQuoteSetValue($O31,$P31/10000,Trigger)</f>
        <v>#N/A</v>
      </c>
      <c r="R31" s="218"/>
    </row>
    <row r="32" spans="1:18" x14ac:dyDescent="0.2">
      <c r="A32" s="118">
        <v>24</v>
      </c>
      <c r="B32" s="399" t="s">
        <v>63</v>
      </c>
      <c r="C32" s="402" t="str">
        <v>1L</v>
      </c>
      <c r="D32" s="402" t="str">
        <v>6L</v>
      </c>
      <c r="E32" s="400" t="str">
        <f t="shared" si="0"/>
        <v>GBP1L6L24Y</v>
      </c>
      <c r="F32" s="353" t="str">
        <v>GBP1L6L24Y=ICAP</v>
      </c>
      <c r="G32" s="520" t="s">
        <v>233</v>
      </c>
      <c r="H32" s="520" t="s">
        <v>233</v>
      </c>
      <c r="I32" s="520" t="e">
        <f>_xll.qlMidEquivalent(G32,H32)</f>
        <v>#NUM!</v>
      </c>
      <c r="J32" s="349" t="b">
        <f t="shared" si="1"/>
        <v>0</v>
      </c>
      <c r="K32" s="521">
        <v>15.12524421114091</v>
      </c>
      <c r="L32" s="343"/>
      <c r="M32" s="518">
        <v>15.410324808730177</v>
      </c>
      <c r="N32" s="343"/>
      <c r="O32" s="394" t="str">
        <f t="shared" si="2"/>
        <v>GBP1L6L24Y_Quote</v>
      </c>
      <c r="P32" s="517">
        <v>15.12524421114091</v>
      </c>
      <c r="Q32" s="348" t="e">
        <f>_xll.qlSimpleQuoteSetValue($O32,$P32/10000,Trigger)</f>
        <v>#N/A</v>
      </c>
      <c r="R32" s="218"/>
    </row>
    <row r="33" spans="1:18" x14ac:dyDescent="0.2">
      <c r="A33" s="118">
        <v>25</v>
      </c>
      <c r="B33" s="399" t="s">
        <v>62</v>
      </c>
      <c r="C33" s="402" t="str">
        <v>1L</v>
      </c>
      <c r="D33" s="402" t="str">
        <v>6L</v>
      </c>
      <c r="E33" s="400" t="str">
        <f t="shared" si="0"/>
        <v>GBP1L6L25Y</v>
      </c>
      <c r="F33" s="353" t="str">
        <v>GBP1L6L25Y=ICAP</v>
      </c>
      <c r="G33" s="520">
        <v>12.875</v>
      </c>
      <c r="H33" s="520">
        <v>16.875</v>
      </c>
      <c r="I33" s="520">
        <f>_xll.qlMidEquivalent(G33,H33)</f>
        <v>14.875</v>
      </c>
      <c r="J33" s="349" t="b">
        <f t="shared" si="1"/>
        <v>1</v>
      </c>
      <c r="K33" s="521">
        <v>14.875</v>
      </c>
      <c r="L33" s="343"/>
      <c r="M33" s="518">
        <v>15.25</v>
      </c>
      <c r="N33" s="343"/>
      <c r="O33" s="394" t="str">
        <f t="shared" si="2"/>
        <v>GBP1L6L25Y_Quote</v>
      </c>
      <c r="P33" s="517">
        <v>14.875</v>
      </c>
      <c r="Q33" s="348" t="e">
        <f>_xll.qlSimpleQuoteSetValue($O33,$P33/10000,Trigger)</f>
        <v>#N/A</v>
      </c>
      <c r="R33" s="218"/>
    </row>
    <row r="34" spans="1:18" x14ac:dyDescent="0.2">
      <c r="A34" s="118">
        <v>26</v>
      </c>
      <c r="B34" s="399" t="s">
        <v>61</v>
      </c>
      <c r="C34" s="402" t="str">
        <v>1L</v>
      </c>
      <c r="D34" s="402" t="str">
        <v>6L</v>
      </c>
      <c r="E34" s="400" t="str">
        <f t="shared" si="0"/>
        <v>GBP1L6L26Y</v>
      </c>
      <c r="F34" s="353" t="str">
        <v>GBP1L6L26Y=ICAP</v>
      </c>
      <c r="G34" s="520" t="s">
        <v>233</v>
      </c>
      <c r="H34" s="520" t="s">
        <v>233</v>
      </c>
      <c r="I34" s="520" t="e">
        <f>_xll.qlMidEquivalent(G34,H34)</f>
        <v>#NUM!</v>
      </c>
      <c r="J34" s="349" t="b">
        <f t="shared" si="1"/>
        <v>0</v>
      </c>
      <c r="K34" s="521">
        <v>14.656850658930431</v>
      </c>
      <c r="L34" s="343"/>
      <c r="M34" s="518">
        <v>15.122531161353372</v>
      </c>
      <c r="N34" s="343"/>
      <c r="O34" s="394" t="str">
        <f t="shared" si="2"/>
        <v>GBP1L6L26Y_Quote</v>
      </c>
      <c r="P34" s="517">
        <v>14.656850658930431</v>
      </c>
      <c r="Q34" s="348" t="e">
        <f>_xll.qlSimpleQuoteSetValue($O34,$P34/10000,Trigger)</f>
        <v>#N/A</v>
      </c>
      <c r="R34" s="218"/>
    </row>
    <row r="35" spans="1:18" x14ac:dyDescent="0.2">
      <c r="A35" s="118">
        <v>27</v>
      </c>
      <c r="B35" s="399" t="s">
        <v>60</v>
      </c>
      <c r="C35" s="402" t="str">
        <v>1L</v>
      </c>
      <c r="D35" s="402" t="str">
        <v>6L</v>
      </c>
      <c r="E35" s="400" t="str">
        <f t="shared" si="0"/>
        <v>GBP1L6L27Y</v>
      </c>
      <c r="F35" s="353" t="str">
        <v>GBP1L6L27Y=ICAP</v>
      </c>
      <c r="G35" s="520" t="s">
        <v>233</v>
      </c>
      <c r="H35" s="520" t="s">
        <v>233</v>
      </c>
      <c r="I35" s="520" t="e">
        <f>_xll.qlMidEquivalent(G35,H35)</f>
        <v>#NUM!</v>
      </c>
      <c r="J35" s="349" t="b">
        <f t="shared" si="1"/>
        <v>0</v>
      </c>
      <c r="K35" s="521">
        <v>14.46642294692284</v>
      </c>
      <c r="L35" s="343"/>
      <c r="M35" s="518">
        <v>15.019964513670621</v>
      </c>
      <c r="N35" s="343"/>
      <c r="O35" s="394" t="str">
        <f t="shared" si="2"/>
        <v>GBP1L6L27Y_Quote</v>
      </c>
      <c r="P35" s="517">
        <v>14.46642294692284</v>
      </c>
      <c r="Q35" s="348" t="e">
        <f>_xll.qlSimpleQuoteSetValue($O35,$P35/10000,Trigger)</f>
        <v>#N/A</v>
      </c>
      <c r="R35" s="218"/>
    </row>
    <row r="36" spans="1:18" x14ac:dyDescent="0.2">
      <c r="A36" s="118">
        <v>28</v>
      </c>
      <c r="B36" s="399" t="s">
        <v>59</v>
      </c>
      <c r="C36" s="402" t="str">
        <v>1L</v>
      </c>
      <c r="D36" s="402" t="str">
        <v>6L</v>
      </c>
      <c r="E36" s="400" t="str">
        <f t="shared" si="0"/>
        <v>GBP1L6L28Y</v>
      </c>
      <c r="F36" s="353" t="str">
        <v>GBP1L6L28Y=ICAP</v>
      </c>
      <c r="G36" s="520" t="s">
        <v>233</v>
      </c>
      <c r="H36" s="520" t="s">
        <v>233</v>
      </c>
      <c r="I36" s="520" t="e">
        <f>_xll.qlMidEquivalent(G36,H36)</f>
        <v>#NUM!</v>
      </c>
      <c r="J36" s="349" t="b">
        <f t="shared" si="1"/>
        <v>0</v>
      </c>
      <c r="K36" s="521">
        <v>14.297569905450036</v>
      </c>
      <c r="L36" s="343"/>
      <c r="M36" s="518">
        <v>14.931132285311183</v>
      </c>
      <c r="N36" s="343"/>
      <c r="O36" s="394" t="str">
        <f t="shared" si="2"/>
        <v>GBP1L6L28Y_Quote</v>
      </c>
      <c r="P36" s="517">
        <v>14.297569905450036</v>
      </c>
      <c r="Q36" s="348" t="e">
        <f>_xll.qlSimpleQuoteSetValue($O36,$P36/10000,Trigger)</f>
        <v>#N/A</v>
      </c>
      <c r="R36" s="218"/>
    </row>
    <row r="37" spans="1:18" x14ac:dyDescent="0.2">
      <c r="A37" s="118">
        <v>29</v>
      </c>
      <c r="B37" s="399" t="s">
        <v>58</v>
      </c>
      <c r="C37" s="402" t="str">
        <v>1L</v>
      </c>
      <c r="D37" s="402" t="str">
        <v>6L</v>
      </c>
      <c r="E37" s="400" t="str">
        <f t="shared" si="0"/>
        <v>GBP1L6L29Y</v>
      </c>
      <c r="F37" s="353" t="str">
        <v>GBP1L6L29Y=ICAP</v>
      </c>
      <c r="G37" s="520" t="s">
        <v>233</v>
      </c>
      <c r="H37" s="520" t="s">
        <v>233</v>
      </c>
      <c r="I37" s="520" t="e">
        <f>_xll.qlMidEquivalent(G37,H37)</f>
        <v>#NUM!</v>
      </c>
      <c r="J37" s="349" t="b">
        <f t="shared" si="1"/>
        <v>0</v>
      </c>
      <c r="K37" s="521">
        <v>14.14414457598482</v>
      </c>
      <c r="L37" s="343"/>
      <c r="M37" s="518">
        <v>14.844866704634496</v>
      </c>
      <c r="N37" s="343"/>
      <c r="O37" s="394" t="str">
        <f t="shared" si="2"/>
        <v>GBP1L6L29Y_Quote</v>
      </c>
      <c r="P37" s="517">
        <v>14.14414457598482</v>
      </c>
      <c r="Q37" s="348" t="e">
        <f>_xll.qlSimpleQuoteSetValue($O37,$P37/10000,Trigger)</f>
        <v>#N/A</v>
      </c>
      <c r="R37" s="218"/>
    </row>
    <row r="38" spans="1:18" x14ac:dyDescent="0.2">
      <c r="A38" s="118">
        <v>30</v>
      </c>
      <c r="B38" s="399" t="s">
        <v>57</v>
      </c>
      <c r="C38" s="402" t="str">
        <v>1L</v>
      </c>
      <c r="D38" s="402" t="str">
        <v>6L</v>
      </c>
      <c r="E38" s="400" t="str">
        <f t="shared" si="0"/>
        <v>GBP1L6L30Y</v>
      </c>
      <c r="F38" s="353" t="str">
        <v>GBP1L6L30Y=ICAP</v>
      </c>
      <c r="G38" s="520">
        <v>12</v>
      </c>
      <c r="H38" s="520">
        <v>16</v>
      </c>
      <c r="I38" s="520">
        <f>_xll.qlMidEquivalent(G38,H38)</f>
        <v>14</v>
      </c>
      <c r="J38" s="349" t="b">
        <f t="shared" si="1"/>
        <v>1</v>
      </c>
      <c r="K38" s="521">
        <v>14</v>
      </c>
      <c r="L38" s="343"/>
      <c r="M38" s="518">
        <v>14.75</v>
      </c>
      <c r="N38" s="343"/>
      <c r="O38" s="394" t="str">
        <f t="shared" si="2"/>
        <v>GBP1L6L30Y_Quote</v>
      </c>
      <c r="P38" s="517">
        <v>14</v>
      </c>
      <c r="Q38" s="348" t="e">
        <f>_xll.qlSimpleQuoteSetValue($O38,$P38/10000,Trigger)</f>
        <v>#N/A</v>
      </c>
      <c r="R38" s="218"/>
    </row>
    <row r="39" spans="1:18" x14ac:dyDescent="0.2">
      <c r="A39" s="118">
        <v>35</v>
      </c>
      <c r="B39" s="399" t="s">
        <v>52</v>
      </c>
      <c r="C39" s="402" t="str">
        <v>1L</v>
      </c>
      <c r="D39" s="402" t="str">
        <v>6L</v>
      </c>
      <c r="E39" s="400" t="str">
        <f t="shared" si="0"/>
        <v>GBP1L6L35Y</v>
      </c>
      <c r="F39" s="353" t="str">
        <v>GBP1L6L35Y=ICAP</v>
      </c>
      <c r="G39" s="520" t="s">
        <v>233</v>
      </c>
      <c r="H39" s="520" t="s">
        <v>233</v>
      </c>
      <c r="I39" s="520" t="e">
        <f>_xll.qlMidEquivalent(G39,H39)</f>
        <v>#NUM!</v>
      </c>
      <c r="J39" s="349" t="b">
        <f t="shared" si="1"/>
        <v>0</v>
      </c>
      <c r="K39" s="519">
        <f>K38</f>
        <v>14</v>
      </c>
      <c r="L39" s="343"/>
      <c r="M39" s="518">
        <v>14.75</v>
      </c>
      <c r="N39" s="343"/>
      <c r="O39" s="394" t="str">
        <f t="shared" si="2"/>
        <v>GBP1L6L35Y_Quote</v>
      </c>
      <c r="P39" s="517">
        <v>14</v>
      </c>
      <c r="Q39" s="348" t="e">
        <f>_xll.qlSimpleQuoteSetValue($O39,$P39/10000,Trigger)</f>
        <v>#N/A</v>
      </c>
      <c r="R39" s="218"/>
    </row>
    <row r="40" spans="1:18" x14ac:dyDescent="0.2">
      <c r="A40" s="118">
        <v>40</v>
      </c>
      <c r="B40" s="399" t="s">
        <v>47</v>
      </c>
      <c r="C40" s="402" t="str">
        <v>1L</v>
      </c>
      <c r="D40" s="402" t="str">
        <v>6L</v>
      </c>
      <c r="E40" s="400" t="str">
        <f t="shared" si="0"/>
        <v>GBP1L6L40Y</v>
      </c>
      <c r="F40" s="353" t="str">
        <v>GBP1L6L40Y=ICAP</v>
      </c>
      <c r="G40" s="520">
        <v>10.75</v>
      </c>
      <c r="H40" s="520">
        <v>14.75</v>
      </c>
      <c r="I40" s="520">
        <f>_xll.qlMidEquivalent(G40,H40)</f>
        <v>12.75</v>
      </c>
      <c r="J40" s="349" t="b">
        <f t="shared" si="1"/>
        <v>1</v>
      </c>
      <c r="K40" s="519">
        <f>K39</f>
        <v>14</v>
      </c>
      <c r="L40" s="343"/>
      <c r="M40" s="518">
        <v>14.75</v>
      </c>
      <c r="N40" s="343"/>
      <c r="O40" s="394" t="str">
        <f t="shared" si="2"/>
        <v>GBP1L6L40Y_Quote</v>
      </c>
      <c r="P40" s="517">
        <v>14</v>
      </c>
      <c r="Q40" s="348" t="e">
        <f>_xll.qlSimpleQuoteSetValue($O40,$P40/10000,Trigger)</f>
        <v>#N/A</v>
      </c>
      <c r="R40" s="218"/>
    </row>
    <row r="41" spans="1:18" x14ac:dyDescent="0.2">
      <c r="A41" s="118">
        <v>50</v>
      </c>
      <c r="B41" s="399" t="s">
        <v>37</v>
      </c>
      <c r="C41" s="402" t="str">
        <v>1L</v>
      </c>
      <c r="D41" s="402" t="str">
        <v>6L</v>
      </c>
      <c r="E41" s="400" t="str">
        <f t="shared" si="0"/>
        <v>GBP1L6L50Y</v>
      </c>
      <c r="F41" s="353" t="str">
        <v>GBP1L6L50Y=ICAP</v>
      </c>
      <c r="G41" s="520">
        <v>9.375</v>
      </c>
      <c r="H41" s="520">
        <v>14.375</v>
      </c>
      <c r="I41" s="520">
        <f>_xll.qlMidEquivalent(G41,H41)</f>
        <v>11.875</v>
      </c>
      <c r="J41" s="349" t="b">
        <f t="shared" si="1"/>
        <v>1</v>
      </c>
      <c r="K41" s="519">
        <f>K40</f>
        <v>14</v>
      </c>
      <c r="L41" s="343"/>
      <c r="M41" s="518">
        <v>14.75</v>
      </c>
      <c r="N41" s="343"/>
      <c r="O41" s="394" t="str">
        <f t="shared" si="2"/>
        <v>GBP1L6L50Y_Quote</v>
      </c>
      <c r="P41" s="517">
        <v>14</v>
      </c>
      <c r="Q41" s="348" t="e">
        <f>_xll.qlSimpleQuoteSetValue($O41,$P41/10000,Trigger)</f>
        <v>#N/A</v>
      </c>
      <c r="R41" s="218"/>
    </row>
    <row r="42" spans="1:18" x14ac:dyDescent="0.2">
      <c r="A42" s="118">
        <v>60</v>
      </c>
      <c r="B42" s="409" t="s">
        <v>27</v>
      </c>
      <c r="C42" s="398" t="str">
        <v>1L</v>
      </c>
      <c r="D42" s="398" t="str">
        <v>6L</v>
      </c>
      <c r="E42" s="396" t="str">
        <f t="shared" si="0"/>
        <v>GBP1L6L60Y</v>
      </c>
      <c r="F42" s="346" t="str">
        <v>GBP1L6L60Y=ICAP</v>
      </c>
      <c r="G42" s="516">
        <v>8.375</v>
      </c>
      <c r="H42" s="516">
        <v>14.375</v>
      </c>
      <c r="I42" s="516">
        <f>_xll.qlMidEquivalent(G42,H42)</f>
        <v>11.375</v>
      </c>
      <c r="J42" s="341" t="b">
        <f t="shared" si="1"/>
        <v>1</v>
      </c>
      <c r="K42" s="515">
        <f>K41</f>
        <v>14</v>
      </c>
      <c r="L42" s="343"/>
      <c r="M42" s="514">
        <v>14.75</v>
      </c>
      <c r="N42" s="343"/>
      <c r="O42" s="407" t="str">
        <f t="shared" si="2"/>
        <v>GBP1L6L60Y_Quote</v>
      </c>
      <c r="P42" s="513">
        <v>14</v>
      </c>
      <c r="Q42" s="340" t="e">
        <f>_xll.qlSimpleQuoteSetValue($O42,$P42/10000,Trigger)</f>
        <v>#N/A</v>
      </c>
      <c r="R42" s="218"/>
    </row>
    <row r="43" spans="1:18" ht="12" thickBot="1" x14ac:dyDescent="0.25">
      <c r="A43" s="32"/>
      <c r="B43" s="31"/>
      <c r="C43" s="31"/>
      <c r="D43" s="31"/>
      <c r="E43" s="31"/>
      <c r="F43" s="31"/>
      <c r="G43" s="31"/>
      <c r="H43" s="31"/>
      <c r="I43" s="31"/>
      <c r="J43" s="31"/>
      <c r="K43" s="31"/>
      <c r="L43" s="31"/>
      <c r="M43" s="31"/>
      <c r="N43" s="31"/>
      <c r="O43" s="31"/>
      <c r="P43" s="31"/>
      <c r="Q43" s="31"/>
      <c r="R43" s="384"/>
    </row>
    <row r="53" spans="6:6" x14ac:dyDescent="0.2">
      <c r="F53" s="512"/>
    </row>
    <row r="54" spans="6:6" x14ac:dyDescent="0.2">
      <c r="F54" s="512"/>
    </row>
    <row r="55" spans="6:6" x14ac:dyDescent="0.2">
      <c r="F55" s="512"/>
    </row>
    <row r="56" spans="6:6" x14ac:dyDescent="0.2">
      <c r="F56" s="512"/>
    </row>
    <row r="57" spans="6:6" x14ac:dyDescent="0.2">
      <c r="F57" s="512"/>
    </row>
    <row r="58" spans="6:6" x14ac:dyDescent="0.2">
      <c r="F58" s="512"/>
    </row>
    <row r="59" spans="6:6" x14ac:dyDescent="0.2">
      <c r="F59" s="512"/>
    </row>
    <row r="60" spans="6:6" x14ac:dyDescent="0.2">
      <c r="F60" s="512"/>
    </row>
    <row r="61" spans="6:6" x14ac:dyDescent="0.2">
      <c r="F61" s="512"/>
    </row>
    <row r="62" spans="6:6" x14ac:dyDescent="0.2">
      <c r="F62" s="511"/>
    </row>
    <row r="63" spans="6:6" x14ac:dyDescent="0.2">
      <c r="F63" s="511"/>
    </row>
    <row r="64" spans="6:6" x14ac:dyDescent="0.2">
      <c r="F64" s="511"/>
    </row>
    <row r="65" spans="6:6" x14ac:dyDescent="0.2">
      <c r="F65" s="511"/>
    </row>
  </sheetData>
  <conditionalFormatting sqref="Q5:Q42">
    <cfRule type="cellIs" dxfId="11" priority="1" stopIfTrue="1" operator="greaterThan">
      <formula>0</formula>
    </cfRule>
    <cfRule type="cellIs" dxfId="10"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5:F52 JB45:JB52 SX45:SX52 ACT45:ACT52 AMP45:AMP52 AWL45:AWL52 BGH45:BGH52 BQD45:BQD52 BZZ45:BZZ52 CJV45:CJV52 CTR45:CTR52 DDN45:DDN52 DNJ45:DNJ52 DXF45:DXF52 EHB45:EHB52 EQX45:EQX52 FAT45:FAT52 FKP45:FKP52 FUL45:FUL52 GEH45:GEH52 GOD45:GOD52 GXZ45:GXZ52 HHV45:HHV52 HRR45:HRR52 IBN45:IBN52 ILJ45:ILJ52 IVF45:IVF52 JFB45:JFB52 JOX45:JOX52 JYT45:JYT52 KIP45:KIP52 KSL45:KSL52 LCH45:LCH52 LMD45:LMD52 LVZ45:LVZ52 MFV45:MFV52 MPR45:MPR52 MZN45:MZN52 NJJ45:NJJ52 NTF45:NTF52 ODB45:ODB52 OMX45:OMX52 OWT45:OWT52 PGP45:PGP52 PQL45:PQL52 QAH45:QAH52 QKD45:QKD52 QTZ45:QTZ52 RDV45:RDV52 RNR45:RNR52 RXN45:RXN52 SHJ45:SHJ52 SRF45:SRF52 TBB45:TBB52 TKX45:TKX52 TUT45:TUT52 UEP45:UEP52 UOL45:UOL52 UYH45:UYH52 VID45:VID52 VRZ45:VRZ52 WBV45:WBV52 WLR45:WLR52 WVN45:WVN52 F65581:F65588 JB65581:JB65588 SX65581:SX65588 ACT65581:ACT65588 AMP65581:AMP65588 AWL65581:AWL65588 BGH65581:BGH65588 BQD65581:BQD65588 BZZ65581:BZZ65588 CJV65581:CJV65588 CTR65581:CTR65588 DDN65581:DDN65588 DNJ65581:DNJ65588 DXF65581:DXF65588 EHB65581:EHB65588 EQX65581:EQX65588 FAT65581:FAT65588 FKP65581:FKP65588 FUL65581:FUL65588 GEH65581:GEH65588 GOD65581:GOD65588 GXZ65581:GXZ65588 HHV65581:HHV65588 HRR65581:HRR65588 IBN65581:IBN65588 ILJ65581:ILJ65588 IVF65581:IVF65588 JFB65581:JFB65588 JOX65581:JOX65588 JYT65581:JYT65588 KIP65581:KIP65588 KSL65581:KSL65588 LCH65581:LCH65588 LMD65581:LMD65588 LVZ65581:LVZ65588 MFV65581:MFV65588 MPR65581:MPR65588 MZN65581:MZN65588 NJJ65581:NJJ65588 NTF65581:NTF65588 ODB65581:ODB65588 OMX65581:OMX65588 OWT65581:OWT65588 PGP65581:PGP65588 PQL65581:PQL65588 QAH65581:QAH65588 QKD65581:QKD65588 QTZ65581:QTZ65588 RDV65581:RDV65588 RNR65581:RNR65588 RXN65581:RXN65588 SHJ65581:SHJ65588 SRF65581:SRF65588 TBB65581:TBB65588 TKX65581:TKX65588 TUT65581:TUT65588 UEP65581:UEP65588 UOL65581:UOL65588 UYH65581:UYH65588 VID65581:VID65588 VRZ65581:VRZ65588 WBV65581:WBV65588 WLR65581:WLR65588 WVN65581:WVN65588 F131117:F131124 JB131117:JB131124 SX131117:SX131124 ACT131117:ACT131124 AMP131117:AMP131124 AWL131117:AWL131124 BGH131117:BGH131124 BQD131117:BQD131124 BZZ131117:BZZ131124 CJV131117:CJV131124 CTR131117:CTR131124 DDN131117:DDN131124 DNJ131117:DNJ131124 DXF131117:DXF131124 EHB131117:EHB131124 EQX131117:EQX131124 FAT131117:FAT131124 FKP131117:FKP131124 FUL131117:FUL131124 GEH131117:GEH131124 GOD131117:GOD131124 GXZ131117:GXZ131124 HHV131117:HHV131124 HRR131117:HRR131124 IBN131117:IBN131124 ILJ131117:ILJ131124 IVF131117:IVF131124 JFB131117:JFB131124 JOX131117:JOX131124 JYT131117:JYT131124 KIP131117:KIP131124 KSL131117:KSL131124 LCH131117:LCH131124 LMD131117:LMD131124 LVZ131117:LVZ131124 MFV131117:MFV131124 MPR131117:MPR131124 MZN131117:MZN131124 NJJ131117:NJJ131124 NTF131117:NTF131124 ODB131117:ODB131124 OMX131117:OMX131124 OWT131117:OWT131124 PGP131117:PGP131124 PQL131117:PQL131124 QAH131117:QAH131124 QKD131117:QKD131124 QTZ131117:QTZ131124 RDV131117:RDV131124 RNR131117:RNR131124 RXN131117:RXN131124 SHJ131117:SHJ131124 SRF131117:SRF131124 TBB131117:TBB131124 TKX131117:TKX131124 TUT131117:TUT131124 UEP131117:UEP131124 UOL131117:UOL131124 UYH131117:UYH131124 VID131117:VID131124 VRZ131117:VRZ131124 WBV131117:WBV131124 WLR131117:WLR131124 WVN131117:WVN131124 F196653:F196660 JB196653:JB196660 SX196653:SX196660 ACT196653:ACT196660 AMP196653:AMP196660 AWL196653:AWL196660 BGH196653:BGH196660 BQD196653:BQD196660 BZZ196653:BZZ196660 CJV196653:CJV196660 CTR196653:CTR196660 DDN196653:DDN196660 DNJ196653:DNJ196660 DXF196653:DXF196660 EHB196653:EHB196660 EQX196653:EQX196660 FAT196653:FAT196660 FKP196653:FKP196660 FUL196653:FUL196660 GEH196653:GEH196660 GOD196653:GOD196660 GXZ196653:GXZ196660 HHV196653:HHV196660 HRR196653:HRR196660 IBN196653:IBN196660 ILJ196653:ILJ196660 IVF196653:IVF196660 JFB196653:JFB196660 JOX196653:JOX196660 JYT196653:JYT196660 KIP196653:KIP196660 KSL196653:KSL196660 LCH196653:LCH196660 LMD196653:LMD196660 LVZ196653:LVZ196660 MFV196653:MFV196660 MPR196653:MPR196660 MZN196653:MZN196660 NJJ196653:NJJ196660 NTF196653:NTF196660 ODB196653:ODB196660 OMX196653:OMX196660 OWT196653:OWT196660 PGP196653:PGP196660 PQL196653:PQL196660 QAH196653:QAH196660 QKD196653:QKD196660 QTZ196653:QTZ196660 RDV196653:RDV196660 RNR196653:RNR196660 RXN196653:RXN196660 SHJ196653:SHJ196660 SRF196653:SRF196660 TBB196653:TBB196660 TKX196653:TKX196660 TUT196653:TUT196660 UEP196653:UEP196660 UOL196653:UOL196660 UYH196653:UYH196660 VID196653:VID196660 VRZ196653:VRZ196660 WBV196653:WBV196660 WLR196653:WLR196660 WVN196653:WVN196660 F262189:F262196 JB262189:JB262196 SX262189:SX262196 ACT262189:ACT262196 AMP262189:AMP262196 AWL262189:AWL262196 BGH262189:BGH262196 BQD262189:BQD262196 BZZ262189:BZZ262196 CJV262189:CJV262196 CTR262189:CTR262196 DDN262189:DDN262196 DNJ262189:DNJ262196 DXF262189:DXF262196 EHB262189:EHB262196 EQX262189:EQX262196 FAT262189:FAT262196 FKP262189:FKP262196 FUL262189:FUL262196 GEH262189:GEH262196 GOD262189:GOD262196 GXZ262189:GXZ262196 HHV262189:HHV262196 HRR262189:HRR262196 IBN262189:IBN262196 ILJ262189:ILJ262196 IVF262189:IVF262196 JFB262189:JFB262196 JOX262189:JOX262196 JYT262189:JYT262196 KIP262189:KIP262196 KSL262189:KSL262196 LCH262189:LCH262196 LMD262189:LMD262196 LVZ262189:LVZ262196 MFV262189:MFV262196 MPR262189:MPR262196 MZN262189:MZN262196 NJJ262189:NJJ262196 NTF262189:NTF262196 ODB262189:ODB262196 OMX262189:OMX262196 OWT262189:OWT262196 PGP262189:PGP262196 PQL262189:PQL262196 QAH262189:QAH262196 QKD262189:QKD262196 QTZ262189:QTZ262196 RDV262189:RDV262196 RNR262189:RNR262196 RXN262189:RXN262196 SHJ262189:SHJ262196 SRF262189:SRF262196 TBB262189:TBB262196 TKX262189:TKX262196 TUT262189:TUT262196 UEP262189:UEP262196 UOL262189:UOL262196 UYH262189:UYH262196 VID262189:VID262196 VRZ262189:VRZ262196 WBV262189:WBV262196 WLR262189:WLR262196 WVN262189:WVN262196 F327725:F327732 JB327725:JB327732 SX327725:SX327732 ACT327725:ACT327732 AMP327725:AMP327732 AWL327725:AWL327732 BGH327725:BGH327732 BQD327725:BQD327732 BZZ327725:BZZ327732 CJV327725:CJV327732 CTR327725:CTR327732 DDN327725:DDN327732 DNJ327725:DNJ327732 DXF327725:DXF327732 EHB327725:EHB327732 EQX327725:EQX327732 FAT327725:FAT327732 FKP327725:FKP327732 FUL327725:FUL327732 GEH327725:GEH327732 GOD327725:GOD327732 GXZ327725:GXZ327732 HHV327725:HHV327732 HRR327725:HRR327732 IBN327725:IBN327732 ILJ327725:ILJ327732 IVF327725:IVF327732 JFB327725:JFB327732 JOX327725:JOX327732 JYT327725:JYT327732 KIP327725:KIP327732 KSL327725:KSL327732 LCH327725:LCH327732 LMD327725:LMD327732 LVZ327725:LVZ327732 MFV327725:MFV327732 MPR327725:MPR327732 MZN327725:MZN327732 NJJ327725:NJJ327732 NTF327725:NTF327732 ODB327725:ODB327732 OMX327725:OMX327732 OWT327725:OWT327732 PGP327725:PGP327732 PQL327725:PQL327732 QAH327725:QAH327732 QKD327725:QKD327732 QTZ327725:QTZ327732 RDV327725:RDV327732 RNR327725:RNR327732 RXN327725:RXN327732 SHJ327725:SHJ327732 SRF327725:SRF327732 TBB327725:TBB327732 TKX327725:TKX327732 TUT327725:TUT327732 UEP327725:UEP327732 UOL327725:UOL327732 UYH327725:UYH327732 VID327725:VID327732 VRZ327725:VRZ327732 WBV327725:WBV327732 WLR327725:WLR327732 WVN327725:WVN327732 F393261:F393268 JB393261:JB393268 SX393261:SX393268 ACT393261:ACT393268 AMP393261:AMP393268 AWL393261:AWL393268 BGH393261:BGH393268 BQD393261:BQD393268 BZZ393261:BZZ393268 CJV393261:CJV393268 CTR393261:CTR393268 DDN393261:DDN393268 DNJ393261:DNJ393268 DXF393261:DXF393268 EHB393261:EHB393268 EQX393261:EQX393268 FAT393261:FAT393268 FKP393261:FKP393268 FUL393261:FUL393268 GEH393261:GEH393268 GOD393261:GOD393268 GXZ393261:GXZ393268 HHV393261:HHV393268 HRR393261:HRR393268 IBN393261:IBN393268 ILJ393261:ILJ393268 IVF393261:IVF393268 JFB393261:JFB393268 JOX393261:JOX393268 JYT393261:JYT393268 KIP393261:KIP393268 KSL393261:KSL393268 LCH393261:LCH393268 LMD393261:LMD393268 LVZ393261:LVZ393268 MFV393261:MFV393268 MPR393261:MPR393268 MZN393261:MZN393268 NJJ393261:NJJ393268 NTF393261:NTF393268 ODB393261:ODB393268 OMX393261:OMX393268 OWT393261:OWT393268 PGP393261:PGP393268 PQL393261:PQL393268 QAH393261:QAH393268 QKD393261:QKD393268 QTZ393261:QTZ393268 RDV393261:RDV393268 RNR393261:RNR393268 RXN393261:RXN393268 SHJ393261:SHJ393268 SRF393261:SRF393268 TBB393261:TBB393268 TKX393261:TKX393268 TUT393261:TUT393268 UEP393261:UEP393268 UOL393261:UOL393268 UYH393261:UYH393268 VID393261:VID393268 VRZ393261:VRZ393268 WBV393261:WBV393268 WLR393261:WLR393268 WVN393261:WVN393268 F458797:F458804 JB458797:JB458804 SX458797:SX458804 ACT458797:ACT458804 AMP458797:AMP458804 AWL458797:AWL458804 BGH458797:BGH458804 BQD458797:BQD458804 BZZ458797:BZZ458804 CJV458797:CJV458804 CTR458797:CTR458804 DDN458797:DDN458804 DNJ458797:DNJ458804 DXF458797:DXF458804 EHB458797:EHB458804 EQX458797:EQX458804 FAT458797:FAT458804 FKP458797:FKP458804 FUL458797:FUL458804 GEH458797:GEH458804 GOD458797:GOD458804 GXZ458797:GXZ458804 HHV458797:HHV458804 HRR458797:HRR458804 IBN458797:IBN458804 ILJ458797:ILJ458804 IVF458797:IVF458804 JFB458797:JFB458804 JOX458797:JOX458804 JYT458797:JYT458804 KIP458797:KIP458804 KSL458797:KSL458804 LCH458797:LCH458804 LMD458797:LMD458804 LVZ458797:LVZ458804 MFV458797:MFV458804 MPR458797:MPR458804 MZN458797:MZN458804 NJJ458797:NJJ458804 NTF458797:NTF458804 ODB458797:ODB458804 OMX458797:OMX458804 OWT458797:OWT458804 PGP458797:PGP458804 PQL458797:PQL458804 QAH458797:QAH458804 QKD458797:QKD458804 QTZ458797:QTZ458804 RDV458797:RDV458804 RNR458797:RNR458804 RXN458797:RXN458804 SHJ458797:SHJ458804 SRF458797:SRF458804 TBB458797:TBB458804 TKX458797:TKX458804 TUT458797:TUT458804 UEP458797:UEP458804 UOL458797:UOL458804 UYH458797:UYH458804 VID458797:VID458804 VRZ458797:VRZ458804 WBV458797:WBV458804 WLR458797:WLR458804 WVN458797:WVN458804 F524333:F524340 JB524333:JB524340 SX524333:SX524340 ACT524333:ACT524340 AMP524333:AMP524340 AWL524333:AWL524340 BGH524333:BGH524340 BQD524333:BQD524340 BZZ524333:BZZ524340 CJV524333:CJV524340 CTR524333:CTR524340 DDN524333:DDN524340 DNJ524333:DNJ524340 DXF524333:DXF524340 EHB524333:EHB524340 EQX524333:EQX524340 FAT524333:FAT524340 FKP524333:FKP524340 FUL524333:FUL524340 GEH524333:GEH524340 GOD524333:GOD524340 GXZ524333:GXZ524340 HHV524333:HHV524340 HRR524333:HRR524340 IBN524333:IBN524340 ILJ524333:ILJ524340 IVF524333:IVF524340 JFB524333:JFB524340 JOX524333:JOX524340 JYT524333:JYT524340 KIP524333:KIP524340 KSL524333:KSL524340 LCH524333:LCH524340 LMD524333:LMD524340 LVZ524333:LVZ524340 MFV524333:MFV524340 MPR524333:MPR524340 MZN524333:MZN524340 NJJ524333:NJJ524340 NTF524333:NTF524340 ODB524333:ODB524340 OMX524333:OMX524340 OWT524333:OWT524340 PGP524333:PGP524340 PQL524333:PQL524340 QAH524333:QAH524340 QKD524333:QKD524340 QTZ524333:QTZ524340 RDV524333:RDV524340 RNR524333:RNR524340 RXN524333:RXN524340 SHJ524333:SHJ524340 SRF524333:SRF524340 TBB524333:TBB524340 TKX524333:TKX524340 TUT524333:TUT524340 UEP524333:UEP524340 UOL524333:UOL524340 UYH524333:UYH524340 VID524333:VID524340 VRZ524333:VRZ524340 WBV524333:WBV524340 WLR524333:WLR524340 WVN524333:WVN524340 F589869:F589876 JB589869:JB589876 SX589869:SX589876 ACT589869:ACT589876 AMP589869:AMP589876 AWL589869:AWL589876 BGH589869:BGH589876 BQD589869:BQD589876 BZZ589869:BZZ589876 CJV589869:CJV589876 CTR589869:CTR589876 DDN589869:DDN589876 DNJ589869:DNJ589876 DXF589869:DXF589876 EHB589869:EHB589876 EQX589869:EQX589876 FAT589869:FAT589876 FKP589869:FKP589876 FUL589869:FUL589876 GEH589869:GEH589876 GOD589869:GOD589876 GXZ589869:GXZ589876 HHV589869:HHV589876 HRR589869:HRR589876 IBN589869:IBN589876 ILJ589869:ILJ589876 IVF589869:IVF589876 JFB589869:JFB589876 JOX589869:JOX589876 JYT589869:JYT589876 KIP589869:KIP589876 KSL589869:KSL589876 LCH589869:LCH589876 LMD589869:LMD589876 LVZ589869:LVZ589876 MFV589869:MFV589876 MPR589869:MPR589876 MZN589869:MZN589876 NJJ589869:NJJ589876 NTF589869:NTF589876 ODB589869:ODB589876 OMX589869:OMX589876 OWT589869:OWT589876 PGP589869:PGP589876 PQL589869:PQL589876 QAH589869:QAH589876 QKD589869:QKD589876 QTZ589869:QTZ589876 RDV589869:RDV589876 RNR589869:RNR589876 RXN589869:RXN589876 SHJ589869:SHJ589876 SRF589869:SRF589876 TBB589869:TBB589876 TKX589869:TKX589876 TUT589869:TUT589876 UEP589869:UEP589876 UOL589869:UOL589876 UYH589869:UYH589876 VID589869:VID589876 VRZ589869:VRZ589876 WBV589869:WBV589876 WLR589869:WLR589876 WVN589869:WVN589876 F655405:F655412 JB655405:JB655412 SX655405:SX655412 ACT655405:ACT655412 AMP655405:AMP655412 AWL655405:AWL655412 BGH655405:BGH655412 BQD655405:BQD655412 BZZ655405:BZZ655412 CJV655405:CJV655412 CTR655405:CTR655412 DDN655405:DDN655412 DNJ655405:DNJ655412 DXF655405:DXF655412 EHB655405:EHB655412 EQX655405:EQX655412 FAT655405:FAT655412 FKP655405:FKP655412 FUL655405:FUL655412 GEH655405:GEH655412 GOD655405:GOD655412 GXZ655405:GXZ655412 HHV655405:HHV655412 HRR655405:HRR655412 IBN655405:IBN655412 ILJ655405:ILJ655412 IVF655405:IVF655412 JFB655405:JFB655412 JOX655405:JOX655412 JYT655405:JYT655412 KIP655405:KIP655412 KSL655405:KSL655412 LCH655405:LCH655412 LMD655405:LMD655412 LVZ655405:LVZ655412 MFV655405:MFV655412 MPR655405:MPR655412 MZN655405:MZN655412 NJJ655405:NJJ655412 NTF655405:NTF655412 ODB655405:ODB655412 OMX655405:OMX655412 OWT655405:OWT655412 PGP655405:PGP655412 PQL655405:PQL655412 QAH655405:QAH655412 QKD655405:QKD655412 QTZ655405:QTZ655412 RDV655405:RDV655412 RNR655405:RNR655412 RXN655405:RXN655412 SHJ655405:SHJ655412 SRF655405:SRF655412 TBB655405:TBB655412 TKX655405:TKX655412 TUT655405:TUT655412 UEP655405:UEP655412 UOL655405:UOL655412 UYH655405:UYH655412 VID655405:VID655412 VRZ655405:VRZ655412 WBV655405:WBV655412 WLR655405:WLR655412 WVN655405:WVN655412 F720941:F720948 JB720941:JB720948 SX720941:SX720948 ACT720941:ACT720948 AMP720941:AMP720948 AWL720941:AWL720948 BGH720941:BGH720948 BQD720941:BQD720948 BZZ720941:BZZ720948 CJV720941:CJV720948 CTR720941:CTR720948 DDN720941:DDN720948 DNJ720941:DNJ720948 DXF720941:DXF720948 EHB720941:EHB720948 EQX720941:EQX720948 FAT720941:FAT720948 FKP720941:FKP720948 FUL720941:FUL720948 GEH720941:GEH720948 GOD720941:GOD720948 GXZ720941:GXZ720948 HHV720941:HHV720948 HRR720941:HRR720948 IBN720941:IBN720948 ILJ720941:ILJ720948 IVF720941:IVF720948 JFB720941:JFB720948 JOX720941:JOX720948 JYT720941:JYT720948 KIP720941:KIP720948 KSL720941:KSL720948 LCH720941:LCH720948 LMD720941:LMD720948 LVZ720941:LVZ720948 MFV720941:MFV720948 MPR720941:MPR720948 MZN720941:MZN720948 NJJ720941:NJJ720948 NTF720941:NTF720948 ODB720941:ODB720948 OMX720941:OMX720948 OWT720941:OWT720948 PGP720941:PGP720948 PQL720941:PQL720948 QAH720941:QAH720948 QKD720941:QKD720948 QTZ720941:QTZ720948 RDV720941:RDV720948 RNR720941:RNR720948 RXN720941:RXN720948 SHJ720941:SHJ720948 SRF720941:SRF720948 TBB720941:TBB720948 TKX720941:TKX720948 TUT720941:TUT720948 UEP720941:UEP720948 UOL720941:UOL720948 UYH720941:UYH720948 VID720941:VID720948 VRZ720941:VRZ720948 WBV720941:WBV720948 WLR720941:WLR720948 WVN720941:WVN720948 F786477:F786484 JB786477:JB786484 SX786477:SX786484 ACT786477:ACT786484 AMP786477:AMP786484 AWL786477:AWL786484 BGH786477:BGH786484 BQD786477:BQD786484 BZZ786477:BZZ786484 CJV786477:CJV786484 CTR786477:CTR786484 DDN786477:DDN786484 DNJ786477:DNJ786484 DXF786477:DXF786484 EHB786477:EHB786484 EQX786477:EQX786484 FAT786477:FAT786484 FKP786477:FKP786484 FUL786477:FUL786484 GEH786477:GEH786484 GOD786477:GOD786484 GXZ786477:GXZ786484 HHV786477:HHV786484 HRR786477:HRR786484 IBN786477:IBN786484 ILJ786477:ILJ786484 IVF786477:IVF786484 JFB786477:JFB786484 JOX786477:JOX786484 JYT786477:JYT786484 KIP786477:KIP786484 KSL786477:KSL786484 LCH786477:LCH786484 LMD786477:LMD786484 LVZ786477:LVZ786484 MFV786477:MFV786484 MPR786477:MPR786484 MZN786477:MZN786484 NJJ786477:NJJ786484 NTF786477:NTF786484 ODB786477:ODB786484 OMX786477:OMX786484 OWT786477:OWT786484 PGP786477:PGP786484 PQL786477:PQL786484 QAH786477:QAH786484 QKD786477:QKD786484 QTZ786477:QTZ786484 RDV786477:RDV786484 RNR786477:RNR786484 RXN786477:RXN786484 SHJ786477:SHJ786484 SRF786477:SRF786484 TBB786477:TBB786484 TKX786477:TKX786484 TUT786477:TUT786484 UEP786477:UEP786484 UOL786477:UOL786484 UYH786477:UYH786484 VID786477:VID786484 VRZ786477:VRZ786484 WBV786477:WBV786484 WLR786477:WLR786484 WVN786477:WVN786484 F852013:F852020 JB852013:JB852020 SX852013:SX852020 ACT852013:ACT852020 AMP852013:AMP852020 AWL852013:AWL852020 BGH852013:BGH852020 BQD852013:BQD852020 BZZ852013:BZZ852020 CJV852013:CJV852020 CTR852013:CTR852020 DDN852013:DDN852020 DNJ852013:DNJ852020 DXF852013:DXF852020 EHB852013:EHB852020 EQX852013:EQX852020 FAT852013:FAT852020 FKP852013:FKP852020 FUL852013:FUL852020 GEH852013:GEH852020 GOD852013:GOD852020 GXZ852013:GXZ852020 HHV852013:HHV852020 HRR852013:HRR852020 IBN852013:IBN852020 ILJ852013:ILJ852020 IVF852013:IVF852020 JFB852013:JFB852020 JOX852013:JOX852020 JYT852013:JYT852020 KIP852013:KIP852020 KSL852013:KSL852020 LCH852013:LCH852020 LMD852013:LMD852020 LVZ852013:LVZ852020 MFV852013:MFV852020 MPR852013:MPR852020 MZN852013:MZN852020 NJJ852013:NJJ852020 NTF852013:NTF852020 ODB852013:ODB852020 OMX852013:OMX852020 OWT852013:OWT852020 PGP852013:PGP852020 PQL852013:PQL852020 QAH852013:QAH852020 QKD852013:QKD852020 QTZ852013:QTZ852020 RDV852013:RDV852020 RNR852013:RNR852020 RXN852013:RXN852020 SHJ852013:SHJ852020 SRF852013:SRF852020 TBB852013:TBB852020 TKX852013:TKX852020 TUT852013:TUT852020 UEP852013:UEP852020 UOL852013:UOL852020 UYH852013:UYH852020 VID852013:VID852020 VRZ852013:VRZ852020 WBV852013:WBV852020 WLR852013:WLR852020 WVN852013:WVN852020 F917549:F917556 JB917549:JB917556 SX917549:SX917556 ACT917549:ACT917556 AMP917549:AMP917556 AWL917549:AWL917556 BGH917549:BGH917556 BQD917549:BQD917556 BZZ917549:BZZ917556 CJV917549:CJV917556 CTR917549:CTR917556 DDN917549:DDN917556 DNJ917549:DNJ917556 DXF917549:DXF917556 EHB917549:EHB917556 EQX917549:EQX917556 FAT917549:FAT917556 FKP917549:FKP917556 FUL917549:FUL917556 GEH917549:GEH917556 GOD917549:GOD917556 GXZ917549:GXZ917556 HHV917549:HHV917556 HRR917549:HRR917556 IBN917549:IBN917556 ILJ917549:ILJ917556 IVF917549:IVF917556 JFB917549:JFB917556 JOX917549:JOX917556 JYT917549:JYT917556 KIP917549:KIP917556 KSL917549:KSL917556 LCH917549:LCH917556 LMD917549:LMD917556 LVZ917549:LVZ917556 MFV917549:MFV917556 MPR917549:MPR917556 MZN917549:MZN917556 NJJ917549:NJJ917556 NTF917549:NTF917556 ODB917549:ODB917556 OMX917549:OMX917556 OWT917549:OWT917556 PGP917549:PGP917556 PQL917549:PQL917556 QAH917549:QAH917556 QKD917549:QKD917556 QTZ917549:QTZ917556 RDV917549:RDV917556 RNR917549:RNR917556 RXN917549:RXN917556 SHJ917549:SHJ917556 SRF917549:SRF917556 TBB917549:TBB917556 TKX917549:TKX917556 TUT917549:TUT917556 UEP917549:UEP917556 UOL917549:UOL917556 UYH917549:UYH917556 VID917549:VID917556 VRZ917549:VRZ917556 WBV917549:WBV917556 WLR917549:WLR917556 WVN917549:WVN917556 F983085:F983092 JB983085:JB983092 SX983085:SX983092 ACT983085:ACT983092 AMP983085:AMP983092 AWL983085:AWL983092 BGH983085:BGH983092 BQD983085:BQD983092 BZZ983085:BZZ983092 CJV983085:CJV983092 CTR983085:CTR983092 DDN983085:DDN983092 DNJ983085:DNJ983092 DXF983085:DXF983092 EHB983085:EHB983092 EQX983085:EQX983092 FAT983085:FAT983092 FKP983085:FKP983092 FUL983085:FUL983092 GEH983085:GEH983092 GOD983085:GOD983092 GXZ983085:GXZ983092 HHV983085:HHV983092 HRR983085:HRR983092 IBN983085:IBN983092 ILJ983085:ILJ983092 IVF983085:IVF983092 JFB983085:JFB983092 JOX983085:JOX983092 JYT983085:JYT983092 KIP983085:KIP983092 KSL983085:KSL983092 LCH983085:LCH983092 LMD983085:LMD983092 LVZ983085:LVZ983092 MFV983085:MFV983092 MPR983085:MPR983092 MZN983085:MZN983092 NJJ983085:NJJ983092 NTF983085:NTF983092 ODB983085:ODB983092 OMX983085:OMX983092 OWT983085:OWT983092 PGP983085:PGP983092 PQL983085:PQL983092 QAH983085:QAH983092 QKD983085:QKD983092 QTZ983085:QTZ983092 RDV983085:RDV983092 RNR983085:RNR983092 RXN983085:RXN983092 SHJ983085:SHJ983092 SRF983085:SRF983092 TBB983085:TBB983092 TKX983085:TKX983092 TUT983085:TUT983092 UEP983085:UEP983092 UOL983085:UOL983092 UYH983085:UYH983092 VID983085:VID983092 VRZ983085:VRZ983092 WBV983085:WBV983092 WLR983085:WLR983092 WVN983085:WVN983092">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X63"/>
  <sheetViews>
    <sheetView workbookViewId="0"/>
  </sheetViews>
  <sheetFormatPr defaultRowHeight="11.25" x14ac:dyDescent="0.2"/>
  <cols>
    <col min="1" max="1" width="4" style="64" bestFit="1" customWidth="1"/>
    <col min="2" max="2" width="3.85546875" style="64" bestFit="1" customWidth="1"/>
    <col min="3" max="4" width="2.7109375" style="64" bestFit="1" customWidth="1"/>
    <col min="5" max="5" width="10.28515625" style="64" bestFit="1" customWidth="1"/>
    <col min="6" max="6" width="14.5703125" style="64" bestFit="1" customWidth="1"/>
    <col min="7" max="8" width="5.28515625" style="64" customWidth="1"/>
    <col min="9" max="9" width="9" style="64" bestFit="1" customWidth="1"/>
    <col min="10" max="10" width="5.7109375" style="64" bestFit="1" customWidth="1"/>
    <col min="11" max="11" width="5.28515625" style="64" bestFit="1" customWidth="1"/>
    <col min="12" max="12" width="5" style="64" customWidth="1"/>
    <col min="13" max="13" width="5.28515625" style="64" bestFit="1" customWidth="1"/>
    <col min="14" max="14" width="5" style="64" customWidth="1"/>
    <col min="15" max="15" width="15.425781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23" width="3.85546875" style="64" bestFit="1" customWidth="1"/>
    <col min="24" max="24" width="7.7109375" style="64" bestFit="1" customWidth="1"/>
    <col min="25" max="16384" width="9.140625" style="64"/>
  </cols>
  <sheetData>
    <row r="1" spans="1:24" x14ac:dyDescent="0.2">
      <c r="A1" s="417" t="s">
        <v>356</v>
      </c>
      <c r="B1" s="201"/>
      <c r="C1" s="201"/>
      <c r="D1" s="201"/>
      <c r="E1" s="201"/>
      <c r="F1" s="201"/>
      <c r="G1" s="201"/>
      <c r="H1" s="201"/>
      <c r="I1" s="201"/>
      <c r="J1" s="201"/>
      <c r="K1" s="201"/>
      <c r="L1" s="201"/>
      <c r="M1" s="201"/>
      <c r="N1" s="201"/>
      <c r="O1" s="201"/>
      <c r="P1" s="201"/>
      <c r="Q1" s="201"/>
      <c r="R1" s="198"/>
    </row>
    <row r="2" spans="1:24" x14ac:dyDescent="0.2">
      <c r="A2" s="380"/>
      <c r="B2" s="133"/>
      <c r="C2" s="343"/>
      <c r="D2" s="343"/>
      <c r="E2" s="343"/>
      <c r="F2" s="140" t="s">
        <v>276</v>
      </c>
      <c r="G2" s="343"/>
      <c r="H2" s="343"/>
      <c r="I2" s="343"/>
      <c r="J2" s="343"/>
      <c r="K2" s="133"/>
      <c r="L2" s="343"/>
      <c r="M2" s="343"/>
      <c r="N2" s="343"/>
      <c r="O2" s="523" t="s">
        <v>289</v>
      </c>
      <c r="P2" s="140" t="s">
        <v>131</v>
      </c>
      <c r="Q2" s="133"/>
      <c r="R2" s="33"/>
    </row>
    <row r="3" spans="1:24" x14ac:dyDescent="0.2">
      <c r="A3" s="118"/>
      <c r="B3" s="343"/>
      <c r="C3" s="133"/>
      <c r="D3" s="133"/>
      <c r="E3" s="133"/>
      <c r="F3" s="133" t="str">
        <f>_xll.qlInterpolation(,InterpolationType,_xll.ohFilter(A5:A42,J5:J42),_xll.ohFilter(I5:I42,J5:J42))</f>
        <v>obj_004b1#0001</v>
      </c>
      <c r="G3" s="133"/>
      <c r="H3" s="133"/>
      <c r="I3" s="133"/>
      <c r="J3" s="133"/>
      <c r="K3" s="133"/>
      <c r="L3" s="343"/>
      <c r="M3" s="343"/>
      <c r="N3" s="343"/>
      <c r="O3" s="133"/>
      <c r="P3" s="133"/>
      <c r="Q3" s="375">
        <f>_xll.ohTrigger(Q5:Q42)</f>
        <v>3</v>
      </c>
      <c r="R3" s="218"/>
    </row>
    <row r="4" spans="1:24" ht="23.25" thickBot="1" x14ac:dyDescent="0.25">
      <c r="A4" s="118"/>
      <c r="B4" s="500"/>
      <c r="C4" s="196"/>
      <c r="D4" s="196"/>
      <c r="E4" s="196"/>
      <c r="F4" s="374" t="e">
        <f ca="1">_xll.RData(F5:F42,G4:H4,"RTFEED:IDN",ReutersRtMode,,G5)</f>
        <v>#NAME?</v>
      </c>
      <c r="G4" s="415" t="s">
        <v>293</v>
      </c>
      <c r="H4" s="415" t="s">
        <v>265</v>
      </c>
      <c r="I4" s="415" t="s">
        <v>318</v>
      </c>
      <c r="J4" s="415"/>
      <c r="K4" s="369" t="s">
        <v>317</v>
      </c>
      <c r="L4" s="343"/>
      <c r="M4" s="372" t="s">
        <v>287</v>
      </c>
      <c r="N4" s="343"/>
      <c r="O4" s="371" t="s">
        <v>241</v>
      </c>
      <c r="P4" s="499" t="s">
        <v>286</v>
      </c>
      <c r="Q4" s="91" t="s">
        <v>285</v>
      </c>
      <c r="R4" s="218"/>
      <c r="X4" s="412" t="s">
        <v>319</v>
      </c>
    </row>
    <row r="5" spans="1:24" x14ac:dyDescent="0.2">
      <c r="A5" s="522">
        <v>0.5</v>
      </c>
      <c r="B5" s="399" t="s">
        <v>8</v>
      </c>
      <c r="C5" s="402" t="str">
        <f t="array" ref="C5:C42">VLOOKUP(Currency,Conventions,2)</f>
        <v>3L</v>
      </c>
      <c r="D5" s="402" t="str">
        <f t="array" ref="D5:D42">VLOOKUP(Currency,Conventions,3)</f>
        <v>6L</v>
      </c>
      <c r="E5" s="400" t="str">
        <f t="shared" ref="E5:E42" si="0">Currency&amp;$C5&amp;$D5&amp;$B5</f>
        <v>GBP3L6L6M</v>
      </c>
      <c r="F5" s="353" t="str">
        <f t="array" ref="F5:F42">Instruments&amp;"="&amp;VLOOKUP(Contributor,ContributorTable,2,FALSE)</f>
        <v>GBP3L6L6M=ICAP</v>
      </c>
      <c r="G5" s="520" t="s">
        <v>233</v>
      </c>
      <c r="H5" s="520" t="s">
        <v>233</v>
      </c>
      <c r="I5" s="520" t="e">
        <f>_xll.qlMidEquivalent(G5,H5)</f>
        <v>#NUM!</v>
      </c>
      <c r="J5" s="349" t="b">
        <f t="shared" ref="J5:J42" si="1">IF(ISNUMBER(I5),TRUE,FALSE)</f>
        <v>0</v>
      </c>
      <c r="K5" s="521" t="e">
        <f t="array" ref="K5:K38">_xll.qlInterpolationInterpolate(F3,A5:A42)</f>
        <v>#NUM!</v>
      </c>
      <c r="L5" s="343"/>
      <c r="M5" s="518" t="e">
        <v>#NUM!</v>
      </c>
      <c r="N5" s="343"/>
      <c r="O5" s="394" t="str">
        <f t="shared" ref="O5:O42" si="2">$E5&amp;$P$2</f>
        <v>GBP3L6L6M_Quote</v>
      </c>
      <c r="P5" s="517" t="e">
        <f t="array" ref="P5:P42">QuoteLive</f>
        <v>#NUM!</v>
      </c>
      <c r="Q5" s="348" t="e">
        <f>_xll.qlSimpleQuoteSetValue($O5,$P5/10000,Trigger)</f>
        <v>#NUM!</v>
      </c>
      <c r="R5" s="218"/>
      <c r="T5" s="86" t="s">
        <v>121</v>
      </c>
      <c r="U5" s="85" t="s">
        <v>114</v>
      </c>
      <c r="V5" s="84" t="s">
        <v>116</v>
      </c>
      <c r="W5" s="64" t="str">
        <f t="shared" ref="W5:W42" si="3">B5</f>
        <v>6M</v>
      </c>
      <c r="X5" s="511" t="e">
        <f>(('Swap6M (2)'!P5-'Swap3M (2)'!P5)*100-P5)/10000</f>
        <v>#NUM!</v>
      </c>
    </row>
    <row r="6" spans="1:24" x14ac:dyDescent="0.2">
      <c r="A6" s="522">
        <v>1</v>
      </c>
      <c r="B6" s="399" t="s">
        <v>1</v>
      </c>
      <c r="C6" s="402" t="str">
        <v>3L</v>
      </c>
      <c r="D6" s="402" t="str">
        <v>6L</v>
      </c>
      <c r="E6" s="400" t="str">
        <f t="shared" si="0"/>
        <v>GBP3L6L1Y</v>
      </c>
      <c r="F6" s="353" t="str">
        <v>GBP3L6L1Y=ICAP</v>
      </c>
      <c r="G6" s="520">
        <v>10.125</v>
      </c>
      <c r="H6" s="520">
        <v>15.125</v>
      </c>
      <c r="I6" s="520">
        <f>_xll.qlMidEquivalent(G6,H6)</f>
        <v>12.625</v>
      </c>
      <c r="J6" s="349" t="b">
        <f t="shared" si="1"/>
        <v>1</v>
      </c>
      <c r="K6" s="521">
        <v>12.625</v>
      </c>
      <c r="L6" s="343"/>
      <c r="M6" s="518">
        <v>14.25</v>
      </c>
      <c r="N6" s="343"/>
      <c r="O6" s="394" t="str">
        <f t="shared" si="2"/>
        <v>GBP3L6L1Y_Quote</v>
      </c>
      <c r="P6" s="517">
        <v>12.625</v>
      </c>
      <c r="Q6" s="348" t="e">
        <f>_xll.qlSimpleQuoteSetValue($O6,$P6/10000,Trigger)</f>
        <v>#N/A</v>
      </c>
      <c r="R6" s="218"/>
      <c r="T6" s="83" t="s">
        <v>120</v>
      </c>
      <c r="U6" s="82" t="s">
        <v>126</v>
      </c>
      <c r="V6" s="81" t="s">
        <v>118</v>
      </c>
      <c r="W6" s="64" t="str">
        <f t="shared" si="3"/>
        <v>1Y</v>
      </c>
      <c r="X6" s="511" t="e">
        <f>(('Swap6M (2)'!P6-'Swap3M (2)'!P6)*100-P6)/10000</f>
        <v>#NUM!</v>
      </c>
    </row>
    <row r="7" spans="1:24" x14ac:dyDescent="0.2">
      <c r="A7" s="522">
        <v>1.25</v>
      </c>
      <c r="B7" s="399" t="s">
        <v>124</v>
      </c>
      <c r="C7" s="402" t="str">
        <v>3L</v>
      </c>
      <c r="D7" s="402" t="str">
        <v>6L</v>
      </c>
      <c r="E7" s="400" t="str">
        <f t="shared" si="0"/>
        <v>GBP3L6L15M</v>
      </c>
      <c r="F7" s="353" t="str">
        <v>GBP3L6L15M=ICAP</v>
      </c>
      <c r="G7" s="520" t="s">
        <v>233</v>
      </c>
      <c r="H7" s="520" t="s">
        <v>233</v>
      </c>
      <c r="I7" s="520" t="e">
        <f>_xll.qlMidEquivalent(G7,H7)</f>
        <v>#NUM!</v>
      </c>
      <c r="J7" s="349" t="b">
        <f t="shared" si="1"/>
        <v>0</v>
      </c>
      <c r="K7" s="521">
        <v>12.594340279296567</v>
      </c>
      <c r="L7" s="343"/>
      <c r="M7" s="518">
        <v>13.967554953708214</v>
      </c>
      <c r="N7" s="343"/>
      <c r="O7" s="394" t="str">
        <f t="shared" si="2"/>
        <v>GBP3L6L15M_Quote</v>
      </c>
      <c r="P7" s="517">
        <v>12.594340279296567</v>
      </c>
      <c r="Q7" s="348" t="e">
        <f>_xll.qlSimpleQuoteSetValue($O7,$P7/10000,Trigger)</f>
        <v>#N/A</v>
      </c>
      <c r="R7" s="218"/>
      <c r="T7" s="83" t="s">
        <v>96</v>
      </c>
      <c r="U7" s="82" t="s">
        <v>114</v>
      </c>
      <c r="V7" s="81" t="s">
        <v>116</v>
      </c>
      <c r="W7" s="64" t="str">
        <f t="shared" si="3"/>
        <v>15M</v>
      </c>
      <c r="X7" s="511" t="e">
        <f>(('Swap6M (2)'!P7-'Swap3M (2)'!P7)*100-P7)/10000</f>
        <v>#NUM!</v>
      </c>
    </row>
    <row r="8" spans="1:24" x14ac:dyDescent="0.2">
      <c r="A8" s="522">
        <v>1.5</v>
      </c>
      <c r="B8" s="399" t="s">
        <v>123</v>
      </c>
      <c r="C8" s="402" t="str">
        <v>3L</v>
      </c>
      <c r="D8" s="402" t="str">
        <v>6L</v>
      </c>
      <c r="E8" s="400" t="str">
        <f t="shared" si="0"/>
        <v>GBP3L6L18M</v>
      </c>
      <c r="F8" s="353" t="str">
        <v>GBP3L6L18M=ICAP</v>
      </c>
      <c r="G8" s="520" t="s">
        <v>233</v>
      </c>
      <c r="H8" s="520" t="s">
        <v>233</v>
      </c>
      <c r="I8" s="520" t="e">
        <f>_xll.qlMidEquivalent(G8,H8)</f>
        <v>#NUM!</v>
      </c>
      <c r="J8" s="349" t="b">
        <f t="shared" si="1"/>
        <v>0</v>
      </c>
      <c r="K8" s="521">
        <v>12.563444446874508</v>
      </c>
      <c r="L8" s="343"/>
      <c r="M8" s="518">
        <v>13.698087925933141</v>
      </c>
      <c r="N8" s="343"/>
      <c r="O8" s="394" t="str">
        <f t="shared" si="2"/>
        <v>GBP3L6L18M_Quote</v>
      </c>
      <c r="P8" s="517">
        <v>12.563444446874508</v>
      </c>
      <c r="Q8" s="348" t="e">
        <f>_xll.qlSimpleQuoteSetValue($O8,$P8/10000,Trigger)</f>
        <v>#N/A</v>
      </c>
      <c r="R8" s="218"/>
      <c r="T8" s="83" t="s">
        <v>117</v>
      </c>
      <c r="U8" s="82" t="s">
        <v>114</v>
      </c>
      <c r="V8" s="81" t="s">
        <v>116</v>
      </c>
      <c r="W8" s="64" t="str">
        <f t="shared" si="3"/>
        <v>18M</v>
      </c>
      <c r="X8" s="511">
        <f>(('Swap6M (2)'!P8-'Swap3M (2)'!P8)*100-P8)/10000</f>
        <v>-6.3444446874507678E-6</v>
      </c>
    </row>
    <row r="9" spans="1:24" ht="12" thickBot="1" x14ac:dyDescent="0.25">
      <c r="A9" s="522">
        <v>1.75</v>
      </c>
      <c r="B9" s="399" t="s">
        <v>122</v>
      </c>
      <c r="C9" s="402" t="str">
        <v>3L</v>
      </c>
      <c r="D9" s="402" t="str">
        <v>6L</v>
      </c>
      <c r="E9" s="400" t="str">
        <f t="shared" si="0"/>
        <v>GBP3L6L21M</v>
      </c>
      <c r="F9" s="353" t="str">
        <v>GBP3L6L21M=ICAP</v>
      </c>
      <c r="G9" s="520" t="s">
        <v>233</v>
      </c>
      <c r="H9" s="520" t="s">
        <v>233</v>
      </c>
      <c r="I9" s="520" t="e">
        <f>_xll.qlMidEquivalent(G9,H9)</f>
        <v>#NUM!</v>
      </c>
      <c r="J9" s="349" t="b">
        <f t="shared" si="1"/>
        <v>0</v>
      </c>
      <c r="K9" s="521">
        <v>12.532076391015194</v>
      </c>
      <c r="L9" s="343"/>
      <c r="M9" s="518">
        <v>13.454576935191499</v>
      </c>
      <c r="N9" s="343"/>
      <c r="O9" s="394" t="str">
        <f t="shared" si="2"/>
        <v>GBP3L6L21M_Quote</v>
      </c>
      <c r="P9" s="517">
        <v>12.532076391015194</v>
      </c>
      <c r="Q9" s="348" t="e">
        <f>_xll.qlSimpleQuoteSetValue($O9,$P9/10000,Trigger)</f>
        <v>#N/A</v>
      </c>
      <c r="R9" s="218"/>
      <c r="T9" s="80" t="s">
        <v>115</v>
      </c>
      <c r="U9" s="79" t="s">
        <v>116</v>
      </c>
      <c r="V9" s="78" t="s">
        <v>114</v>
      </c>
      <c r="W9" s="64" t="str">
        <f t="shared" si="3"/>
        <v>21M</v>
      </c>
      <c r="X9" s="511" t="e">
        <f>(('Swap6M (2)'!P9-'Swap3M (2)'!P9)*100-P9)/10000</f>
        <v>#NUM!</v>
      </c>
    </row>
    <row r="10" spans="1:24" x14ac:dyDescent="0.2">
      <c r="A10" s="118">
        <v>2</v>
      </c>
      <c r="B10" s="399" t="s">
        <v>85</v>
      </c>
      <c r="C10" s="402" t="str">
        <v>3L</v>
      </c>
      <c r="D10" s="402" t="str">
        <v>6L</v>
      </c>
      <c r="E10" s="400" t="str">
        <f t="shared" si="0"/>
        <v>GBP3L6L2Y</v>
      </c>
      <c r="F10" s="353" t="str">
        <v>GBP3L6L2Y=ICAP</v>
      </c>
      <c r="G10" s="520">
        <v>10.5</v>
      </c>
      <c r="H10" s="520">
        <v>14.5</v>
      </c>
      <c r="I10" s="520">
        <f>_xll.qlMidEquivalent(G10,H10)</f>
        <v>12.5</v>
      </c>
      <c r="J10" s="349" t="b">
        <f t="shared" si="1"/>
        <v>1</v>
      </c>
      <c r="K10" s="521">
        <v>12.5</v>
      </c>
      <c r="L10" s="343"/>
      <c r="M10" s="518">
        <v>13.25</v>
      </c>
      <c r="N10" s="343"/>
      <c r="O10" s="394" t="str">
        <f t="shared" si="2"/>
        <v>GBP3L6L2Y_Quote</v>
      </c>
      <c r="P10" s="517">
        <v>12.5</v>
      </c>
      <c r="Q10" s="348" t="e">
        <f>_xll.qlSimpleQuoteSetValue($O10,$P10/10000,Trigger)</f>
        <v>#N/A</v>
      </c>
      <c r="R10" s="218"/>
      <c r="W10" s="64" t="str">
        <f t="shared" si="3"/>
        <v>2Y</v>
      </c>
      <c r="X10" s="511" t="e">
        <f>(('Swap6M (2)'!P10-'Swap3M (2)'!P10)*100-P10)/10000</f>
        <v>#NUM!</v>
      </c>
    </row>
    <row r="11" spans="1:24" x14ac:dyDescent="0.2">
      <c r="A11" s="118">
        <v>3</v>
      </c>
      <c r="B11" s="399" t="s">
        <v>84</v>
      </c>
      <c r="C11" s="402" t="str">
        <v>3L</v>
      </c>
      <c r="D11" s="402" t="str">
        <v>6L</v>
      </c>
      <c r="E11" s="400" t="str">
        <f t="shared" si="0"/>
        <v>GBP3L6L3Y</v>
      </c>
      <c r="F11" s="353" t="str">
        <v>GBP3L6L3Y=ICAP</v>
      </c>
      <c r="G11" s="520">
        <v>10.375</v>
      </c>
      <c r="H11" s="520">
        <v>14.375</v>
      </c>
      <c r="I11" s="520">
        <f>_xll.qlMidEquivalent(G11,H11)</f>
        <v>12.375</v>
      </c>
      <c r="J11" s="349" t="b">
        <f t="shared" si="1"/>
        <v>1</v>
      </c>
      <c r="K11" s="521">
        <v>12.375</v>
      </c>
      <c r="L11" s="343"/>
      <c r="M11" s="518">
        <v>12.75</v>
      </c>
      <c r="N11" s="343"/>
      <c r="O11" s="394" t="str">
        <f t="shared" si="2"/>
        <v>GBP3L6L3Y_Quote</v>
      </c>
      <c r="P11" s="517">
        <v>12.375</v>
      </c>
      <c r="Q11" s="348" t="e">
        <f>_xll.qlSimpleQuoteSetValue($O11,$P11/10000,Trigger)</f>
        <v>#N/A</v>
      </c>
      <c r="R11" s="218"/>
      <c r="W11" s="64" t="str">
        <f t="shared" si="3"/>
        <v>3Y</v>
      </c>
      <c r="X11" s="511" t="e">
        <f>(('Swap6M (2)'!P11-'Swap3M (2)'!P11)*100-P11)/10000</f>
        <v>#NUM!</v>
      </c>
    </row>
    <row r="12" spans="1:24" x14ac:dyDescent="0.2">
      <c r="A12" s="118">
        <v>4</v>
      </c>
      <c r="B12" s="399" t="s">
        <v>83</v>
      </c>
      <c r="C12" s="402" t="str">
        <v>3L</v>
      </c>
      <c r="D12" s="402" t="str">
        <v>6L</v>
      </c>
      <c r="E12" s="400" t="str">
        <f t="shared" si="0"/>
        <v>GBP3L6L4Y</v>
      </c>
      <c r="F12" s="353" t="str">
        <v>GBP3L6L4Y=ICAP</v>
      </c>
      <c r="G12" s="520">
        <v>10.25</v>
      </c>
      <c r="H12" s="520">
        <v>14.25</v>
      </c>
      <c r="I12" s="520">
        <f>_xll.qlMidEquivalent(G12,H12)</f>
        <v>12.25</v>
      </c>
      <c r="J12" s="349" t="b">
        <f t="shared" si="1"/>
        <v>1</v>
      </c>
      <c r="K12" s="521">
        <v>12.25</v>
      </c>
      <c r="L12" s="343"/>
      <c r="M12" s="518">
        <v>12.25</v>
      </c>
      <c r="N12" s="343"/>
      <c r="O12" s="394" t="str">
        <f t="shared" si="2"/>
        <v>GBP3L6L4Y_Quote</v>
      </c>
      <c r="P12" s="517">
        <v>12.25</v>
      </c>
      <c r="Q12" s="348" t="e">
        <f>_xll.qlSimpleQuoteSetValue($O12,$P12/10000,Trigger)</f>
        <v>#N/A</v>
      </c>
      <c r="R12" s="218"/>
      <c r="W12" s="64" t="str">
        <f t="shared" si="3"/>
        <v>4Y</v>
      </c>
      <c r="X12" s="511" t="e">
        <f>(('Swap6M (2)'!P12-'Swap3M (2)'!P12)*100-P12)/10000</f>
        <v>#NUM!</v>
      </c>
    </row>
    <row r="13" spans="1:24" x14ac:dyDescent="0.2">
      <c r="A13" s="118">
        <v>5</v>
      </c>
      <c r="B13" s="399" t="s">
        <v>82</v>
      </c>
      <c r="C13" s="402" t="str">
        <v>3L</v>
      </c>
      <c r="D13" s="402" t="str">
        <v>6L</v>
      </c>
      <c r="E13" s="400" t="str">
        <f t="shared" si="0"/>
        <v>GBP3L6L5Y</v>
      </c>
      <c r="F13" s="353" t="str">
        <v>GBP3L6L5Y=ICAP</v>
      </c>
      <c r="G13" s="520">
        <v>10</v>
      </c>
      <c r="H13" s="520">
        <v>14</v>
      </c>
      <c r="I13" s="520">
        <f>_xll.qlMidEquivalent(G13,H13)</f>
        <v>12</v>
      </c>
      <c r="J13" s="349" t="b">
        <f t="shared" si="1"/>
        <v>1</v>
      </c>
      <c r="K13" s="521">
        <v>12</v>
      </c>
      <c r="L13" s="343"/>
      <c r="M13" s="518">
        <v>12</v>
      </c>
      <c r="N13" s="343"/>
      <c r="O13" s="394" t="str">
        <f t="shared" si="2"/>
        <v>GBP3L6L5Y_Quote</v>
      </c>
      <c r="P13" s="517">
        <v>12</v>
      </c>
      <c r="Q13" s="348" t="e">
        <f>_xll.qlSimpleQuoteSetValue($O13,$P13/10000,Trigger)</f>
        <v>#N/A</v>
      </c>
      <c r="R13" s="218"/>
      <c r="W13" s="64" t="str">
        <f t="shared" si="3"/>
        <v>5Y</v>
      </c>
      <c r="X13" s="511" t="e">
        <f>(('Swap6M (2)'!P13-'Swap3M (2)'!P13)*100-P13)/10000</f>
        <v>#NUM!</v>
      </c>
    </row>
    <row r="14" spans="1:24" x14ac:dyDescent="0.2">
      <c r="A14" s="118">
        <v>6</v>
      </c>
      <c r="B14" s="399" t="s">
        <v>81</v>
      </c>
      <c r="C14" s="402" t="str">
        <v>3L</v>
      </c>
      <c r="D14" s="402" t="str">
        <v>6L</v>
      </c>
      <c r="E14" s="400" t="str">
        <f t="shared" si="0"/>
        <v>GBP3L6L6Y</v>
      </c>
      <c r="F14" s="353" t="str">
        <v>GBP3L6L6Y=ICAP</v>
      </c>
      <c r="G14" s="520">
        <v>10.25</v>
      </c>
      <c r="H14" s="520">
        <v>13.25</v>
      </c>
      <c r="I14" s="520">
        <f>_xll.qlMidEquivalent(G14,H14)</f>
        <v>11.75</v>
      </c>
      <c r="J14" s="349" t="b">
        <f t="shared" si="1"/>
        <v>1</v>
      </c>
      <c r="K14" s="521">
        <v>11.75</v>
      </c>
      <c r="L14" s="343"/>
      <c r="M14" s="518">
        <v>11.75</v>
      </c>
      <c r="N14" s="343"/>
      <c r="O14" s="394" t="str">
        <f t="shared" si="2"/>
        <v>GBP3L6L6Y_Quote</v>
      </c>
      <c r="P14" s="517">
        <v>11.75</v>
      </c>
      <c r="Q14" s="348" t="e">
        <f>_xll.qlSimpleQuoteSetValue($O14,$P14/10000,Trigger)</f>
        <v>#N/A</v>
      </c>
      <c r="R14" s="218"/>
      <c r="W14" s="64" t="str">
        <f t="shared" si="3"/>
        <v>6Y</v>
      </c>
      <c r="X14" s="511" t="e">
        <f>(('Swap6M (2)'!P14-'Swap3M (2)'!P14)*100-P14)/10000</f>
        <v>#NUM!</v>
      </c>
    </row>
    <row r="15" spans="1:24" x14ac:dyDescent="0.2">
      <c r="A15" s="118">
        <v>7</v>
      </c>
      <c r="B15" s="399" t="s">
        <v>80</v>
      </c>
      <c r="C15" s="402" t="str">
        <v>3L</v>
      </c>
      <c r="D15" s="402" t="str">
        <v>6L</v>
      </c>
      <c r="E15" s="400" t="str">
        <f t="shared" si="0"/>
        <v>GBP3L6L7Y</v>
      </c>
      <c r="F15" s="353" t="str">
        <v>GBP3L6L7Y=ICAP</v>
      </c>
      <c r="G15" s="520">
        <v>9.875</v>
      </c>
      <c r="H15" s="520">
        <v>12.875</v>
      </c>
      <c r="I15" s="520">
        <f>_xll.qlMidEquivalent(G15,H15)</f>
        <v>11.375</v>
      </c>
      <c r="J15" s="349" t="b">
        <f t="shared" si="1"/>
        <v>1</v>
      </c>
      <c r="K15" s="521">
        <v>11.375</v>
      </c>
      <c r="L15" s="343"/>
      <c r="M15" s="518">
        <v>11.25</v>
      </c>
      <c r="N15" s="343"/>
      <c r="O15" s="394" t="str">
        <f t="shared" si="2"/>
        <v>GBP3L6L7Y_Quote</v>
      </c>
      <c r="P15" s="517">
        <v>11.375</v>
      </c>
      <c r="Q15" s="348" t="e">
        <f>_xll.qlSimpleQuoteSetValue($O15,$P15/10000,Trigger)</f>
        <v>#N/A</v>
      </c>
      <c r="R15" s="218"/>
      <c r="W15" s="64" t="str">
        <f t="shared" si="3"/>
        <v>7Y</v>
      </c>
      <c r="X15" s="511" t="e">
        <f>(('Swap6M (2)'!P15-'Swap3M (2)'!P15)*100-P15)/10000</f>
        <v>#NUM!</v>
      </c>
    </row>
    <row r="16" spans="1:24" x14ac:dyDescent="0.2">
      <c r="A16" s="118">
        <v>8</v>
      </c>
      <c r="B16" s="399" t="s">
        <v>79</v>
      </c>
      <c r="C16" s="402" t="str">
        <v>3L</v>
      </c>
      <c r="D16" s="402" t="str">
        <v>6L</v>
      </c>
      <c r="E16" s="400" t="str">
        <f t="shared" si="0"/>
        <v>GBP3L6L8Y</v>
      </c>
      <c r="F16" s="353" t="str">
        <v>GBP3L6L8Y=ICAP</v>
      </c>
      <c r="G16" s="520">
        <v>9.375</v>
      </c>
      <c r="H16" s="520">
        <v>12.375</v>
      </c>
      <c r="I16" s="520">
        <f>_xll.qlMidEquivalent(G16,H16)</f>
        <v>10.875</v>
      </c>
      <c r="J16" s="349" t="b">
        <f t="shared" si="1"/>
        <v>1</v>
      </c>
      <c r="K16" s="521">
        <v>10.875</v>
      </c>
      <c r="L16" s="343"/>
      <c r="M16" s="518">
        <v>10.75</v>
      </c>
      <c r="N16" s="343"/>
      <c r="O16" s="394" t="str">
        <f t="shared" si="2"/>
        <v>GBP3L6L8Y_Quote</v>
      </c>
      <c r="P16" s="517">
        <v>10.875</v>
      </c>
      <c r="Q16" s="348" t="e">
        <f>_xll.qlSimpleQuoteSetValue($O16,$P16/10000,Trigger)</f>
        <v>#N/A</v>
      </c>
      <c r="R16" s="218"/>
      <c r="W16" s="64" t="str">
        <f t="shared" si="3"/>
        <v>8Y</v>
      </c>
      <c r="X16" s="511" t="e">
        <f>(('Swap6M (2)'!P16-'Swap3M (2)'!P16)*100-P16)/10000</f>
        <v>#NUM!</v>
      </c>
    </row>
    <row r="17" spans="1:24" x14ac:dyDescent="0.2">
      <c r="A17" s="118">
        <v>9</v>
      </c>
      <c r="B17" s="399" t="s">
        <v>78</v>
      </c>
      <c r="C17" s="402" t="str">
        <v>3L</v>
      </c>
      <c r="D17" s="402" t="str">
        <v>6L</v>
      </c>
      <c r="E17" s="400" t="str">
        <f t="shared" si="0"/>
        <v>GBP3L6L9Y</v>
      </c>
      <c r="F17" s="353" t="str">
        <v>GBP3L6L9Y=ICAP</v>
      </c>
      <c r="G17" s="520">
        <v>9</v>
      </c>
      <c r="H17" s="520">
        <v>12</v>
      </c>
      <c r="I17" s="520">
        <f>_xll.qlMidEquivalent(G17,H17)</f>
        <v>10.5</v>
      </c>
      <c r="J17" s="349" t="b">
        <f t="shared" si="1"/>
        <v>1</v>
      </c>
      <c r="K17" s="521">
        <v>10.5</v>
      </c>
      <c r="L17" s="343"/>
      <c r="M17" s="518">
        <v>10.25</v>
      </c>
      <c r="N17" s="343"/>
      <c r="O17" s="394" t="str">
        <f t="shared" si="2"/>
        <v>GBP3L6L9Y_Quote</v>
      </c>
      <c r="P17" s="517">
        <v>10.5</v>
      </c>
      <c r="Q17" s="348" t="e">
        <f>_xll.qlSimpleQuoteSetValue($O17,$P17/10000,Trigger)</f>
        <v>#N/A</v>
      </c>
      <c r="R17" s="218"/>
      <c r="W17" s="64" t="str">
        <f t="shared" si="3"/>
        <v>9Y</v>
      </c>
      <c r="X17" s="511" t="e">
        <f>(('Swap6M (2)'!P17-'Swap3M (2)'!P17)*100-P17)/10000</f>
        <v>#NUM!</v>
      </c>
    </row>
    <row r="18" spans="1:24" x14ac:dyDescent="0.2">
      <c r="A18" s="118">
        <v>10</v>
      </c>
      <c r="B18" s="399" t="s">
        <v>77</v>
      </c>
      <c r="C18" s="402" t="str">
        <v>3L</v>
      </c>
      <c r="D18" s="402" t="str">
        <v>6L</v>
      </c>
      <c r="E18" s="400" t="str">
        <f t="shared" si="0"/>
        <v>GBP3L6L10Y</v>
      </c>
      <c r="F18" s="353" t="str">
        <v>GBP3L6L10Y=ICAP</v>
      </c>
      <c r="G18" s="520">
        <v>8.625</v>
      </c>
      <c r="H18" s="520">
        <v>11.625</v>
      </c>
      <c r="I18" s="520">
        <f>_xll.qlMidEquivalent(G18,H18)</f>
        <v>10.125</v>
      </c>
      <c r="J18" s="349" t="b">
        <f t="shared" si="1"/>
        <v>1</v>
      </c>
      <c r="K18" s="521">
        <v>10.125</v>
      </c>
      <c r="L18" s="343"/>
      <c r="M18" s="518">
        <v>10</v>
      </c>
      <c r="N18" s="343"/>
      <c r="O18" s="394" t="str">
        <f t="shared" si="2"/>
        <v>GBP3L6L10Y_Quote</v>
      </c>
      <c r="P18" s="517">
        <v>10.125</v>
      </c>
      <c r="Q18" s="348" t="e">
        <f>_xll.qlSimpleQuoteSetValue($O18,$P18/10000,Trigger)</f>
        <v>#N/A</v>
      </c>
      <c r="R18" s="218"/>
      <c r="W18" s="64" t="str">
        <f t="shared" si="3"/>
        <v>10Y</v>
      </c>
      <c r="X18" s="511" t="e">
        <f>(('Swap6M (2)'!P18-'Swap3M (2)'!P18)*100-P18)/10000</f>
        <v>#NUM!</v>
      </c>
    </row>
    <row r="19" spans="1:24" x14ac:dyDescent="0.2">
      <c r="A19" s="118">
        <v>11</v>
      </c>
      <c r="B19" s="399" t="s">
        <v>76</v>
      </c>
      <c r="C19" s="402" t="str">
        <v>3L</v>
      </c>
      <c r="D19" s="402" t="str">
        <v>6L</v>
      </c>
      <c r="E19" s="400" t="str">
        <f t="shared" si="0"/>
        <v>GBP3L6L11Y</v>
      </c>
      <c r="F19" s="353" t="str">
        <v>GBP3L6L11Y=ICAP</v>
      </c>
      <c r="G19" s="520" t="s">
        <v>233</v>
      </c>
      <c r="H19" s="520" t="s">
        <v>233</v>
      </c>
      <c r="I19" s="520" t="e">
        <f>_xll.qlMidEquivalent(G19,H19)</f>
        <v>#NUM!</v>
      </c>
      <c r="J19" s="349" t="b">
        <f t="shared" si="1"/>
        <v>0</v>
      </c>
      <c r="K19" s="521">
        <v>9.7895284739868771</v>
      </c>
      <c r="L19" s="343"/>
      <c r="M19" s="518">
        <v>9.754799001465372</v>
      </c>
      <c r="N19" s="343"/>
      <c r="O19" s="394" t="str">
        <f t="shared" si="2"/>
        <v>GBP3L6L11Y_Quote</v>
      </c>
      <c r="P19" s="517">
        <v>9.7895284739868771</v>
      </c>
      <c r="Q19" s="348" t="e">
        <f>_xll.qlSimpleQuoteSetValue($O19,$P19/10000,Trigger)</f>
        <v>#N/A</v>
      </c>
      <c r="R19" s="218"/>
      <c r="W19" s="64" t="str">
        <f t="shared" si="3"/>
        <v>11Y</v>
      </c>
      <c r="X19" s="511" t="e">
        <f>(('Swap6M (2)'!P19-'Swap3M (2)'!P19)*100-P19)/10000</f>
        <v>#NUM!</v>
      </c>
    </row>
    <row r="20" spans="1:24" x14ac:dyDescent="0.2">
      <c r="A20" s="118">
        <v>12</v>
      </c>
      <c r="B20" s="399" t="s">
        <v>75</v>
      </c>
      <c r="C20" s="402" t="str">
        <v>3L</v>
      </c>
      <c r="D20" s="402" t="str">
        <v>6L</v>
      </c>
      <c r="E20" s="400" t="str">
        <f t="shared" si="0"/>
        <v>GBP3L6L12Y</v>
      </c>
      <c r="F20" s="353" t="str">
        <v>GBP3L6L12Y=ICAP</v>
      </c>
      <c r="G20" s="520">
        <v>8</v>
      </c>
      <c r="H20" s="520">
        <v>11</v>
      </c>
      <c r="I20" s="520">
        <f>_xll.qlMidEquivalent(G20,H20)</f>
        <v>9.5</v>
      </c>
      <c r="J20" s="349" t="b">
        <f t="shared" si="1"/>
        <v>1</v>
      </c>
      <c r="K20" s="521">
        <v>9.5</v>
      </c>
      <c r="L20" s="343"/>
      <c r="M20" s="518">
        <v>9.5</v>
      </c>
      <c r="N20" s="343"/>
      <c r="O20" s="394" t="str">
        <f t="shared" si="2"/>
        <v>GBP3L6L12Y_Quote</v>
      </c>
      <c r="P20" s="517">
        <v>9.5</v>
      </c>
      <c r="Q20" s="348" t="e">
        <f>_xll.qlSimpleQuoteSetValue($O20,$P20/10000,Trigger)</f>
        <v>#N/A</v>
      </c>
      <c r="R20" s="218"/>
      <c r="W20" s="64" t="str">
        <f t="shared" si="3"/>
        <v>12Y</v>
      </c>
      <c r="X20" s="511" t="e">
        <f>(('Swap6M (2)'!P20-'Swap3M (2)'!P20)*100-P20)/10000</f>
        <v>#NUM!</v>
      </c>
    </row>
    <row r="21" spans="1:24" x14ac:dyDescent="0.2">
      <c r="A21" s="118">
        <v>13</v>
      </c>
      <c r="B21" s="399" t="s">
        <v>74</v>
      </c>
      <c r="C21" s="402" t="str">
        <v>3L</v>
      </c>
      <c r="D21" s="402" t="str">
        <v>6L</v>
      </c>
      <c r="E21" s="400" t="str">
        <f t="shared" si="0"/>
        <v>GBP3L6L13Y</v>
      </c>
      <c r="F21" s="353" t="str">
        <v>GBP3L6L13Y=ICAP</v>
      </c>
      <c r="G21" s="520" t="s">
        <v>233</v>
      </c>
      <c r="H21" s="520" t="s">
        <v>233</v>
      </c>
      <c r="I21" s="520" t="e">
        <f>_xll.qlMidEquivalent(G21,H21)</f>
        <v>#NUM!</v>
      </c>
      <c r="J21" s="349" t="b">
        <f t="shared" si="1"/>
        <v>0</v>
      </c>
      <c r="K21" s="521">
        <v>9.236442663780295</v>
      </c>
      <c r="L21" s="343"/>
      <c r="M21" s="518">
        <v>9.3040145468121018</v>
      </c>
      <c r="N21" s="343"/>
      <c r="O21" s="394" t="str">
        <f t="shared" si="2"/>
        <v>GBP3L6L13Y_Quote</v>
      </c>
      <c r="P21" s="517">
        <v>9.236442663780295</v>
      </c>
      <c r="Q21" s="348" t="e">
        <f>_xll.qlSimpleQuoteSetValue($O21,$P21/10000,Trigger)</f>
        <v>#N/A</v>
      </c>
      <c r="R21" s="218"/>
      <c r="W21" s="64" t="str">
        <f t="shared" si="3"/>
        <v>13Y</v>
      </c>
      <c r="X21" s="511" t="e">
        <f>(('Swap6M (2)'!P21-'Swap3M (2)'!P21)*100-P21)/10000</f>
        <v>#NUM!</v>
      </c>
    </row>
    <row r="22" spans="1:24" x14ac:dyDescent="0.2">
      <c r="A22" s="118">
        <v>14</v>
      </c>
      <c r="B22" s="399" t="s">
        <v>73</v>
      </c>
      <c r="C22" s="402" t="str">
        <v>3L</v>
      </c>
      <c r="D22" s="402" t="str">
        <v>6L</v>
      </c>
      <c r="E22" s="400" t="str">
        <f t="shared" si="0"/>
        <v>GBP3L6L14Y</v>
      </c>
      <c r="F22" s="353" t="str">
        <v>GBP3L6L14Y=ICAP</v>
      </c>
      <c r="G22" s="520" t="s">
        <v>233</v>
      </c>
      <c r="H22" s="520" t="s">
        <v>233</v>
      </c>
      <c r="I22" s="520" t="e">
        <f>_xll.qlMidEquivalent(G22,H22)</f>
        <v>#NUM!</v>
      </c>
      <c r="J22" s="349" t="b">
        <f t="shared" si="1"/>
        <v>0</v>
      </c>
      <c r="K22" s="521">
        <v>8.9889189633966637</v>
      </c>
      <c r="L22" s="343"/>
      <c r="M22" s="518">
        <v>9.1500470189683423</v>
      </c>
      <c r="N22" s="343"/>
      <c r="O22" s="394" t="str">
        <f t="shared" si="2"/>
        <v>GBP3L6L14Y_Quote</v>
      </c>
      <c r="P22" s="517">
        <v>8.9889189633966637</v>
      </c>
      <c r="Q22" s="348" t="e">
        <f>_xll.qlSimpleQuoteSetValue($O22,$P22/10000,Trigger)</f>
        <v>#N/A</v>
      </c>
      <c r="R22" s="218"/>
      <c r="W22" s="64" t="str">
        <f t="shared" si="3"/>
        <v>14Y</v>
      </c>
      <c r="X22" s="511" t="e">
        <f>(('Swap6M (2)'!P22-'Swap3M (2)'!P22)*100-P22)/10000</f>
        <v>#NUM!</v>
      </c>
    </row>
    <row r="23" spans="1:24" x14ac:dyDescent="0.2">
      <c r="A23" s="118">
        <v>15</v>
      </c>
      <c r="B23" s="399" t="s">
        <v>72</v>
      </c>
      <c r="C23" s="402" t="str">
        <v>3L</v>
      </c>
      <c r="D23" s="402" t="str">
        <v>6L</v>
      </c>
      <c r="E23" s="400" t="str">
        <f t="shared" si="0"/>
        <v>GBP3L6L15Y</v>
      </c>
      <c r="F23" s="353" t="str">
        <v>GBP3L6L15Y=ICAP</v>
      </c>
      <c r="G23" s="520">
        <v>7.25</v>
      </c>
      <c r="H23" s="520">
        <v>10.25</v>
      </c>
      <c r="I23" s="520">
        <f>_xll.qlMidEquivalent(G23,H23)</f>
        <v>8.75</v>
      </c>
      <c r="J23" s="349" t="b">
        <f t="shared" si="1"/>
        <v>1</v>
      </c>
      <c r="K23" s="521">
        <v>8.75</v>
      </c>
      <c r="L23" s="343"/>
      <c r="M23" s="518">
        <v>9</v>
      </c>
      <c r="N23" s="343"/>
      <c r="O23" s="394" t="str">
        <f t="shared" si="2"/>
        <v>GBP3L6L15Y_Quote</v>
      </c>
      <c r="P23" s="517">
        <v>8.75</v>
      </c>
      <c r="Q23" s="348" t="e">
        <f>_xll.qlSimpleQuoteSetValue($O23,$P23/10000,Trigger)</f>
        <v>#N/A</v>
      </c>
      <c r="R23" s="218"/>
      <c r="W23" s="64" t="str">
        <f t="shared" si="3"/>
        <v>15Y</v>
      </c>
      <c r="X23" s="511" t="e">
        <f>(('Swap6M (2)'!P23-'Swap3M (2)'!P23)*100-P23)/10000</f>
        <v>#NUM!</v>
      </c>
    </row>
    <row r="24" spans="1:24" x14ac:dyDescent="0.2">
      <c r="A24" s="118">
        <v>16</v>
      </c>
      <c r="B24" s="399" t="s">
        <v>71</v>
      </c>
      <c r="C24" s="402" t="str">
        <v>3L</v>
      </c>
      <c r="D24" s="402" t="str">
        <v>6L</v>
      </c>
      <c r="E24" s="400" t="str">
        <f t="shared" si="0"/>
        <v>GBP3L6L16Y</v>
      </c>
      <c r="F24" s="353" t="str">
        <v>GBP3L6L16Y=ICAP</v>
      </c>
      <c r="G24" s="520" t="s">
        <v>233</v>
      </c>
      <c r="H24" s="520" t="s">
        <v>233</v>
      </c>
      <c r="I24" s="520" t="e">
        <f>_xll.qlMidEquivalent(G24,H24)</f>
        <v>#NUM!</v>
      </c>
      <c r="J24" s="349" t="b">
        <f t="shared" si="1"/>
        <v>0</v>
      </c>
      <c r="K24" s="521">
        <v>8.5138611565163789</v>
      </c>
      <c r="L24" s="343"/>
      <c r="M24" s="518">
        <v>8.8239747697432787</v>
      </c>
      <c r="N24" s="343"/>
      <c r="O24" s="394" t="str">
        <f t="shared" si="2"/>
        <v>GBP3L6L16Y_Quote</v>
      </c>
      <c r="P24" s="517">
        <v>8.5138611565163789</v>
      </c>
      <c r="Q24" s="348" t="e">
        <f>_xll.qlSimpleQuoteSetValue($O24,$P24/10000,Trigger)</f>
        <v>#N/A</v>
      </c>
      <c r="R24" s="218"/>
      <c r="W24" s="64" t="str">
        <f t="shared" si="3"/>
        <v>16Y</v>
      </c>
      <c r="X24" s="511" t="e">
        <f>(('Swap6M (2)'!P24-'Swap3M (2)'!P24)*100-P24)/10000</f>
        <v>#NUM!</v>
      </c>
    </row>
    <row r="25" spans="1:24" x14ac:dyDescent="0.2">
      <c r="A25" s="118">
        <v>17</v>
      </c>
      <c r="B25" s="399" t="s">
        <v>70</v>
      </c>
      <c r="C25" s="402" t="str">
        <v>3L</v>
      </c>
      <c r="D25" s="402" t="str">
        <v>6L</v>
      </c>
      <c r="E25" s="400" t="str">
        <f t="shared" si="0"/>
        <v>GBP3L6L17Y</v>
      </c>
      <c r="F25" s="353" t="str">
        <v>GBP3L6L17Y=ICAP</v>
      </c>
      <c r="G25" s="520" t="s">
        <v>233</v>
      </c>
      <c r="H25" s="520" t="s">
        <v>233</v>
      </c>
      <c r="I25" s="520" t="e">
        <f>_xll.qlMidEquivalent(G25,H25)</f>
        <v>#NUM!</v>
      </c>
      <c r="J25" s="349" t="b">
        <f t="shared" si="1"/>
        <v>0</v>
      </c>
      <c r="K25" s="521">
        <v>8.2810949429725937</v>
      </c>
      <c r="L25" s="343"/>
      <c r="M25" s="518">
        <v>8.6248673932540854</v>
      </c>
      <c r="N25" s="343"/>
      <c r="O25" s="394" t="str">
        <f t="shared" si="2"/>
        <v>GBP3L6L17Y_Quote</v>
      </c>
      <c r="P25" s="517">
        <v>8.2810949429725937</v>
      </c>
      <c r="Q25" s="348" t="e">
        <f>_xll.qlSimpleQuoteSetValue($O25,$P25/10000,Trigger)</f>
        <v>#N/A</v>
      </c>
      <c r="R25" s="218"/>
      <c r="W25" s="64" t="str">
        <f t="shared" si="3"/>
        <v>17Y</v>
      </c>
      <c r="X25" s="511" t="e">
        <f>(('Swap6M (2)'!P25-'Swap3M (2)'!P25)*100-P25)/10000</f>
        <v>#NUM!</v>
      </c>
    </row>
    <row r="26" spans="1:24" x14ac:dyDescent="0.2">
      <c r="A26" s="118">
        <v>18</v>
      </c>
      <c r="B26" s="399" t="s">
        <v>69</v>
      </c>
      <c r="C26" s="402" t="str">
        <v>3L</v>
      </c>
      <c r="D26" s="402" t="str">
        <v>6L</v>
      </c>
      <c r="E26" s="400" t="str">
        <f t="shared" si="0"/>
        <v>GBP3L6L18Y</v>
      </c>
      <c r="F26" s="353" t="str">
        <v>GBP3L6L18Y=ICAP</v>
      </c>
      <c r="G26" s="520" t="s">
        <v>233</v>
      </c>
      <c r="H26" s="520" t="s">
        <v>233</v>
      </c>
      <c r="I26" s="520" t="e">
        <f>_xll.qlMidEquivalent(G26,H26)</f>
        <v>#NUM!</v>
      </c>
      <c r="J26" s="349" t="b">
        <f t="shared" si="1"/>
        <v>0</v>
      </c>
      <c r="K26" s="521">
        <v>8.0538981511706176</v>
      </c>
      <c r="L26" s="343"/>
      <c r="M26" s="518">
        <v>8.4137726318932522</v>
      </c>
      <c r="N26" s="343"/>
      <c r="O26" s="394" t="str">
        <f t="shared" si="2"/>
        <v>GBP3L6L18Y_Quote</v>
      </c>
      <c r="P26" s="517">
        <v>8.0538981511706176</v>
      </c>
      <c r="Q26" s="348" t="e">
        <f>_xll.qlSimpleQuoteSetValue($O26,$P26/10000,Trigger)</f>
        <v>#N/A</v>
      </c>
      <c r="R26" s="218"/>
      <c r="W26" s="64" t="str">
        <f t="shared" si="3"/>
        <v>18Y</v>
      </c>
      <c r="X26" s="511" t="e">
        <f>(('Swap6M (2)'!P26-'Swap3M (2)'!P26)*100-P26)/10000</f>
        <v>#NUM!</v>
      </c>
    </row>
    <row r="27" spans="1:24" x14ac:dyDescent="0.2">
      <c r="A27" s="118">
        <v>19</v>
      </c>
      <c r="B27" s="399" t="s">
        <v>68</v>
      </c>
      <c r="C27" s="402" t="str">
        <v>3L</v>
      </c>
      <c r="D27" s="402" t="str">
        <v>6L</v>
      </c>
      <c r="E27" s="400" t="str">
        <f t="shared" si="0"/>
        <v>GBP3L6L19Y</v>
      </c>
      <c r="F27" s="353" t="str">
        <v>GBP3L6L19Y=ICAP</v>
      </c>
      <c r="G27" s="520" t="s">
        <v>233</v>
      </c>
      <c r="H27" s="520" t="s">
        <v>233</v>
      </c>
      <c r="I27" s="520" t="e">
        <f>_xll.qlMidEquivalent(G27,H27)</f>
        <v>#NUM!</v>
      </c>
      <c r="J27" s="349" t="b">
        <f t="shared" si="1"/>
        <v>0</v>
      </c>
      <c r="K27" s="521">
        <v>7.8344675729124287</v>
      </c>
      <c r="L27" s="343"/>
      <c r="M27" s="518">
        <v>8.201785247021613</v>
      </c>
      <c r="N27" s="343"/>
      <c r="O27" s="394" t="str">
        <f t="shared" si="2"/>
        <v>GBP3L6L19Y_Quote</v>
      </c>
      <c r="P27" s="517">
        <v>7.8344675729124287</v>
      </c>
      <c r="Q27" s="348" t="e">
        <f>_xll.qlSimpleQuoteSetValue($O27,$P27/10000,Trigger)</f>
        <v>#N/A</v>
      </c>
      <c r="R27" s="218"/>
      <c r="W27" s="64" t="str">
        <f t="shared" si="3"/>
        <v>19Y</v>
      </c>
      <c r="X27" s="511" t="e">
        <f>(('Swap6M (2)'!P27-'Swap3M (2)'!P27)*100-P27)/10000</f>
        <v>#NUM!</v>
      </c>
    </row>
    <row r="28" spans="1:24" x14ac:dyDescent="0.2">
      <c r="A28" s="118">
        <v>20</v>
      </c>
      <c r="B28" s="399" t="s">
        <v>67</v>
      </c>
      <c r="C28" s="402" t="str">
        <v>3L</v>
      </c>
      <c r="D28" s="402" t="str">
        <v>6L</v>
      </c>
      <c r="E28" s="400" t="str">
        <f t="shared" si="0"/>
        <v>GBP3L6L20Y</v>
      </c>
      <c r="F28" s="353" t="str">
        <v>GBP3L6L20Y=ICAP</v>
      </c>
      <c r="G28" s="520">
        <v>6.125</v>
      </c>
      <c r="H28" s="520">
        <v>9.125</v>
      </c>
      <c r="I28" s="520">
        <f>_xll.qlMidEquivalent(G28,H28)</f>
        <v>7.625</v>
      </c>
      <c r="J28" s="349" t="b">
        <f t="shared" si="1"/>
        <v>1</v>
      </c>
      <c r="K28" s="521">
        <v>7.625</v>
      </c>
      <c r="L28" s="343"/>
      <c r="M28" s="518">
        <v>8</v>
      </c>
      <c r="N28" s="343"/>
      <c r="O28" s="394" t="str">
        <f t="shared" si="2"/>
        <v>GBP3L6L20Y_Quote</v>
      </c>
      <c r="P28" s="517">
        <v>7.625</v>
      </c>
      <c r="Q28" s="348" t="e">
        <f>_xll.qlSimpleQuoteSetValue($O28,$P28/10000,Trigger)</f>
        <v>#N/A</v>
      </c>
      <c r="R28" s="218"/>
      <c r="W28" s="64" t="str">
        <f t="shared" si="3"/>
        <v>20Y</v>
      </c>
      <c r="X28" s="511" t="e">
        <f>(('Swap6M (2)'!P28-'Swap3M (2)'!P28)*100-P28)/10000</f>
        <v>#NUM!</v>
      </c>
    </row>
    <row r="29" spans="1:24" x14ac:dyDescent="0.2">
      <c r="A29" s="118">
        <v>21</v>
      </c>
      <c r="B29" s="399" t="s">
        <v>66</v>
      </c>
      <c r="C29" s="402" t="str">
        <v>3L</v>
      </c>
      <c r="D29" s="402" t="str">
        <v>6L</v>
      </c>
      <c r="E29" s="400" t="str">
        <f t="shared" si="0"/>
        <v>GBP3L6L21Y</v>
      </c>
      <c r="F29" s="353" t="str">
        <v>GBP3L6L21Y=ICAP</v>
      </c>
      <c r="G29" s="520" t="s">
        <v>233</v>
      </c>
      <c r="H29" s="520" t="s">
        <v>233</v>
      </c>
      <c r="I29" s="520" t="e">
        <f>_xll.qlMidEquivalent(G29,H29)</f>
        <v>#NUM!</v>
      </c>
      <c r="J29" s="349" t="b">
        <f t="shared" si="1"/>
        <v>0</v>
      </c>
      <c r="K29" s="521">
        <v>7.4272602648057582</v>
      </c>
      <c r="L29" s="343"/>
      <c r="M29" s="518">
        <v>7.8172522723470728</v>
      </c>
      <c r="N29" s="343"/>
      <c r="O29" s="394" t="str">
        <f t="shared" si="2"/>
        <v>GBP3L6L21Y_Quote</v>
      </c>
      <c r="P29" s="517">
        <v>7.4272602648057582</v>
      </c>
      <c r="Q29" s="348" t="e">
        <f>_xll.qlSimpleQuoteSetValue($O29,$P29/10000,Trigger)</f>
        <v>#N/A</v>
      </c>
      <c r="R29" s="218"/>
      <c r="W29" s="64" t="str">
        <f t="shared" si="3"/>
        <v>21Y</v>
      </c>
      <c r="X29" s="511" t="e">
        <f>(('Swap6M (2)'!P29-'Swap3M (2)'!P29)*100-P29)/10000</f>
        <v>#NUM!</v>
      </c>
    </row>
    <row r="30" spans="1:24" x14ac:dyDescent="0.2">
      <c r="A30" s="118">
        <v>22</v>
      </c>
      <c r="B30" s="399" t="s">
        <v>65</v>
      </c>
      <c r="C30" s="402" t="str">
        <v>3L</v>
      </c>
      <c r="D30" s="402" t="str">
        <v>6L</v>
      </c>
      <c r="E30" s="400" t="str">
        <f t="shared" si="0"/>
        <v>GBP3L6L22Y</v>
      </c>
      <c r="F30" s="353" t="str">
        <v>GBP3L6L22Y=ICAP</v>
      </c>
      <c r="G30" s="520" t="s">
        <v>233</v>
      </c>
      <c r="H30" s="520" t="s">
        <v>233</v>
      </c>
      <c r="I30" s="520" t="e">
        <f>_xll.qlMidEquivalent(G30,H30)</f>
        <v>#NUM!</v>
      </c>
      <c r="J30" s="349" t="b">
        <f t="shared" si="1"/>
        <v>0</v>
      </c>
      <c r="K30" s="521">
        <v>7.2412853619839446</v>
      </c>
      <c r="L30" s="343"/>
      <c r="M30" s="518">
        <v>7.6533399262128068</v>
      </c>
      <c r="N30" s="343"/>
      <c r="O30" s="394" t="str">
        <f t="shared" si="2"/>
        <v>GBP3L6L22Y_Quote</v>
      </c>
      <c r="P30" s="517">
        <v>7.2412853619839446</v>
      </c>
      <c r="Q30" s="348" t="e">
        <f>_xll.qlSimpleQuoteSetValue($O30,$P30/10000,Trigger)</f>
        <v>#N/A</v>
      </c>
      <c r="R30" s="218"/>
      <c r="W30" s="64" t="str">
        <f t="shared" si="3"/>
        <v>22Y</v>
      </c>
      <c r="X30" s="511" t="e">
        <f>(('Swap6M (2)'!P30-'Swap3M (2)'!P30)*100-P30)/10000</f>
        <v>#NUM!</v>
      </c>
    </row>
    <row r="31" spans="1:24" x14ac:dyDescent="0.2">
      <c r="A31" s="118">
        <v>23</v>
      </c>
      <c r="B31" s="399" t="s">
        <v>64</v>
      </c>
      <c r="C31" s="402" t="str">
        <v>3L</v>
      </c>
      <c r="D31" s="402" t="str">
        <v>6L</v>
      </c>
      <c r="E31" s="400" t="str">
        <f t="shared" si="0"/>
        <v>GBP3L6L23Y</v>
      </c>
      <c r="F31" s="353" t="str">
        <v>GBP3L6L23Y=ICAP</v>
      </c>
      <c r="G31" s="520" t="s">
        <v>233</v>
      </c>
      <c r="H31" s="520" t="s">
        <v>233</v>
      </c>
      <c r="I31" s="520" t="e">
        <f>_xll.qlMidEquivalent(G31,H31)</f>
        <v>#NUM!</v>
      </c>
      <c r="J31" s="349" t="b">
        <f t="shared" si="1"/>
        <v>0</v>
      </c>
      <c r="K31" s="521">
        <v>7.0666803267592506</v>
      </c>
      <c r="L31" s="343"/>
      <c r="M31" s="518">
        <v>7.5058014439050051</v>
      </c>
      <c r="N31" s="343"/>
      <c r="O31" s="394" t="str">
        <f t="shared" si="2"/>
        <v>GBP3L6L23Y_Quote</v>
      </c>
      <c r="P31" s="517">
        <v>7.0666803267592506</v>
      </c>
      <c r="Q31" s="348" t="e">
        <f>_xll.qlSimpleQuoteSetValue($O31,$P31/10000,Trigger)</f>
        <v>#N/A</v>
      </c>
      <c r="R31" s="218"/>
      <c r="W31" s="64" t="str">
        <f t="shared" si="3"/>
        <v>23Y</v>
      </c>
      <c r="X31" s="511" t="e">
        <f>(('Swap6M (2)'!P31-'Swap3M (2)'!P31)*100-P31)/10000</f>
        <v>#NUM!</v>
      </c>
    </row>
    <row r="32" spans="1:24" x14ac:dyDescent="0.2">
      <c r="A32" s="118">
        <v>24</v>
      </c>
      <c r="B32" s="399" t="s">
        <v>63</v>
      </c>
      <c r="C32" s="402" t="str">
        <v>3L</v>
      </c>
      <c r="D32" s="402" t="str">
        <v>6L</v>
      </c>
      <c r="E32" s="400" t="str">
        <f t="shared" si="0"/>
        <v>GBP3L6L24Y</v>
      </c>
      <c r="F32" s="353" t="str">
        <v>GBP3L6L24Y=ICAP</v>
      </c>
      <c r="G32" s="520" t="s">
        <v>233</v>
      </c>
      <c r="H32" s="520" t="s">
        <v>233</v>
      </c>
      <c r="I32" s="520" t="e">
        <f>_xll.qlMidEquivalent(G32,H32)</f>
        <v>#NUM!</v>
      </c>
      <c r="J32" s="349" t="b">
        <f t="shared" si="1"/>
        <v>0</v>
      </c>
      <c r="K32" s="521">
        <v>6.9030501943563722</v>
      </c>
      <c r="L32" s="343"/>
      <c r="M32" s="518">
        <v>7.3721753077314682</v>
      </c>
      <c r="N32" s="343"/>
      <c r="O32" s="394" t="str">
        <f t="shared" si="2"/>
        <v>GBP3L6L24Y_Quote</v>
      </c>
      <c r="P32" s="517">
        <v>6.9030501943563722</v>
      </c>
      <c r="Q32" s="348" t="e">
        <f>_xll.qlSimpleQuoteSetValue($O32,$P32/10000,Trigger)</f>
        <v>#N/A</v>
      </c>
      <c r="R32" s="218"/>
      <c r="W32" s="64" t="str">
        <f t="shared" si="3"/>
        <v>24Y</v>
      </c>
      <c r="X32" s="511" t="e">
        <f>(('Swap6M (2)'!P32-'Swap3M (2)'!P32)*100-P32)/10000</f>
        <v>#NUM!</v>
      </c>
    </row>
    <row r="33" spans="1:24" x14ac:dyDescent="0.2">
      <c r="A33" s="118">
        <v>25</v>
      </c>
      <c r="B33" s="399" t="s">
        <v>62</v>
      </c>
      <c r="C33" s="402" t="str">
        <v>3L</v>
      </c>
      <c r="D33" s="402" t="str">
        <v>6L</v>
      </c>
      <c r="E33" s="400" t="str">
        <f t="shared" si="0"/>
        <v>GBP3L6L25Y</v>
      </c>
      <c r="F33" s="353" t="str">
        <v>GBP3L6L25Y=ICAP</v>
      </c>
      <c r="G33" s="520">
        <v>5.25</v>
      </c>
      <c r="H33" s="520">
        <v>8.25</v>
      </c>
      <c r="I33" s="520">
        <f>_xll.qlMidEquivalent(G33,H33)</f>
        <v>6.75</v>
      </c>
      <c r="J33" s="349" t="b">
        <f t="shared" si="1"/>
        <v>1</v>
      </c>
      <c r="K33" s="521">
        <v>6.75</v>
      </c>
      <c r="L33" s="343"/>
      <c r="M33" s="518">
        <v>7.25</v>
      </c>
      <c r="N33" s="343"/>
      <c r="O33" s="394" t="str">
        <f t="shared" si="2"/>
        <v>GBP3L6L25Y_Quote</v>
      </c>
      <c r="P33" s="517">
        <v>6.75</v>
      </c>
      <c r="Q33" s="348" t="e">
        <f>_xll.qlSimpleQuoteSetValue($O33,$P33/10000,Trigger)</f>
        <v>#N/A</v>
      </c>
      <c r="R33" s="218"/>
      <c r="W33" s="64" t="str">
        <f t="shared" si="3"/>
        <v>25Y</v>
      </c>
      <c r="X33" s="511" t="e">
        <f>(('Swap6M (2)'!P33-'Swap3M (2)'!P33)*100-P33)/10000</f>
        <v>#NUM!</v>
      </c>
    </row>
    <row r="34" spans="1:24" x14ac:dyDescent="0.2">
      <c r="A34" s="118">
        <v>26</v>
      </c>
      <c r="B34" s="399" t="s">
        <v>61</v>
      </c>
      <c r="C34" s="402" t="str">
        <v>3L</v>
      </c>
      <c r="D34" s="402" t="str">
        <v>6L</v>
      </c>
      <c r="E34" s="400" t="str">
        <f t="shared" si="0"/>
        <v>GBP3L6L26Y</v>
      </c>
      <c r="F34" s="353" t="str">
        <v>GBP3L6L26Y=ICAP</v>
      </c>
      <c r="G34" s="520" t="s">
        <v>233</v>
      </c>
      <c r="H34" s="520" t="s">
        <v>233</v>
      </c>
      <c r="I34" s="520" t="e">
        <f>_xll.qlMidEquivalent(G34,H34)</f>
        <v>#NUM!</v>
      </c>
      <c r="J34" s="349" t="b">
        <f t="shared" si="1"/>
        <v>0</v>
      </c>
      <c r="K34" s="521">
        <v>6.6070977842605885</v>
      </c>
      <c r="L34" s="343"/>
      <c r="M34" s="518">
        <v>7.1370161408684289</v>
      </c>
      <c r="N34" s="343"/>
      <c r="O34" s="394" t="str">
        <f t="shared" si="2"/>
        <v>GBP3L6L26Y_Quote</v>
      </c>
      <c r="P34" s="517">
        <v>6.6070977842605885</v>
      </c>
      <c r="Q34" s="348" t="e">
        <f>_xll.qlSimpleQuoteSetValue($O34,$P34/10000,Trigger)</f>
        <v>#N/A</v>
      </c>
      <c r="R34" s="218"/>
      <c r="W34" s="64" t="str">
        <f t="shared" si="3"/>
        <v>26Y</v>
      </c>
      <c r="X34" s="511" t="e">
        <f>(('Swap6M (2)'!P34-'Swap3M (2)'!P34)*100-P34)/10000</f>
        <v>#NUM!</v>
      </c>
    </row>
    <row r="35" spans="1:24" x14ac:dyDescent="0.2">
      <c r="A35" s="118">
        <v>27</v>
      </c>
      <c r="B35" s="399" t="s">
        <v>60</v>
      </c>
      <c r="C35" s="402" t="str">
        <v>3L</v>
      </c>
      <c r="D35" s="402" t="str">
        <v>6L</v>
      </c>
      <c r="E35" s="400" t="str">
        <f t="shared" si="0"/>
        <v>GBP3L6L27Y</v>
      </c>
      <c r="F35" s="353" t="str">
        <v>GBP3L6L27Y=ICAP</v>
      </c>
      <c r="G35" s="520" t="s">
        <v>233</v>
      </c>
      <c r="H35" s="520" t="s">
        <v>233</v>
      </c>
      <c r="I35" s="520" t="e">
        <f>_xll.qlMidEquivalent(G35,H35)</f>
        <v>#NUM!</v>
      </c>
      <c r="J35" s="349" t="b">
        <f t="shared" si="1"/>
        <v>0</v>
      </c>
      <c r="K35" s="521">
        <v>6.4737636090916304</v>
      </c>
      <c r="L35" s="343"/>
      <c r="M35" s="518">
        <v>7.0317729018946853</v>
      </c>
      <c r="N35" s="343"/>
      <c r="O35" s="394" t="str">
        <f t="shared" si="2"/>
        <v>GBP3L6L27Y_Quote</v>
      </c>
      <c r="P35" s="517">
        <v>6.4737636090916304</v>
      </c>
      <c r="Q35" s="348" t="e">
        <f>_xll.qlSimpleQuoteSetValue($O35,$P35/10000,Trigger)</f>
        <v>#N/A</v>
      </c>
      <c r="R35" s="218"/>
      <c r="W35" s="64" t="str">
        <f t="shared" si="3"/>
        <v>27Y</v>
      </c>
      <c r="X35" s="511" t="e">
        <f>(('Swap6M (2)'!P35-'Swap3M (2)'!P35)*100-P35)/10000</f>
        <v>#NUM!</v>
      </c>
    </row>
    <row r="36" spans="1:24" x14ac:dyDescent="0.2">
      <c r="A36" s="118">
        <v>28</v>
      </c>
      <c r="B36" s="399" t="s">
        <v>59</v>
      </c>
      <c r="C36" s="402" t="str">
        <v>3L</v>
      </c>
      <c r="D36" s="402" t="str">
        <v>6L</v>
      </c>
      <c r="E36" s="400" t="str">
        <f t="shared" si="0"/>
        <v>GBP3L6L28Y</v>
      </c>
      <c r="F36" s="353" t="str">
        <v>GBP3L6L28Y=ICAP</v>
      </c>
      <c r="G36" s="520" t="s">
        <v>233</v>
      </c>
      <c r="H36" s="520" t="s">
        <v>233</v>
      </c>
      <c r="I36" s="520" t="e">
        <f>_xll.qlMidEquivalent(G36,H36)</f>
        <v>#NUM!</v>
      </c>
      <c r="J36" s="349" t="b">
        <f t="shared" si="1"/>
        <v>0</v>
      </c>
      <c r="K36" s="521">
        <v>6.3493805417923781</v>
      </c>
      <c r="L36" s="343"/>
      <c r="M36" s="518">
        <v>6.9330215924867282</v>
      </c>
      <c r="N36" s="343"/>
      <c r="O36" s="394" t="str">
        <f t="shared" si="2"/>
        <v>GBP3L6L28Y_Quote</v>
      </c>
      <c r="P36" s="517">
        <v>6.3493805417923781</v>
      </c>
      <c r="Q36" s="348" t="e">
        <f>_xll.qlSimpleQuoteSetValue($O36,$P36/10000,Trigger)</f>
        <v>#N/A</v>
      </c>
      <c r="R36" s="218"/>
      <c r="W36" s="64" t="str">
        <f t="shared" si="3"/>
        <v>28Y</v>
      </c>
      <c r="X36" s="511" t="e">
        <f>(('Swap6M (2)'!P36-'Swap3M (2)'!P36)*100-P36)/10000</f>
        <v>#NUM!</v>
      </c>
    </row>
    <row r="37" spans="1:24" x14ac:dyDescent="0.2">
      <c r="A37" s="118">
        <v>29</v>
      </c>
      <c r="B37" s="399" t="s">
        <v>58</v>
      </c>
      <c r="C37" s="402" t="str">
        <v>3L</v>
      </c>
      <c r="D37" s="402" t="str">
        <v>6L</v>
      </c>
      <c r="E37" s="400" t="str">
        <f t="shared" si="0"/>
        <v>GBP3L6L29Y</v>
      </c>
      <c r="F37" s="353" t="str">
        <v>GBP3L6L29Y=ICAP</v>
      </c>
      <c r="G37" s="520" t="s">
        <v>233</v>
      </c>
      <c r="H37" s="520" t="s">
        <v>233</v>
      </c>
      <c r="I37" s="520" t="e">
        <f>_xll.qlMidEquivalent(G37,H37)</f>
        <v>#NUM!</v>
      </c>
      <c r="J37" s="349" t="b">
        <f t="shared" si="1"/>
        <v>0</v>
      </c>
      <c r="K37" s="521">
        <v>6.2333316496620839</v>
      </c>
      <c r="L37" s="343"/>
      <c r="M37" s="518">
        <v>6.8395135220525134</v>
      </c>
      <c r="N37" s="343"/>
      <c r="O37" s="394" t="str">
        <f t="shared" si="2"/>
        <v>GBP3L6L29Y_Quote</v>
      </c>
      <c r="P37" s="517">
        <v>6.2333316496620839</v>
      </c>
      <c r="Q37" s="348" t="e">
        <f>_xll.qlSimpleQuoteSetValue($O37,$P37/10000,Trigger)</f>
        <v>#N/A</v>
      </c>
      <c r="R37" s="218"/>
      <c r="W37" s="64" t="str">
        <f t="shared" si="3"/>
        <v>29Y</v>
      </c>
      <c r="X37" s="511" t="e">
        <f>(('Swap6M (2)'!P37-'Swap3M (2)'!P37)*100-P37)/10000</f>
        <v>#NUM!</v>
      </c>
    </row>
    <row r="38" spans="1:24" x14ac:dyDescent="0.2">
      <c r="A38" s="118">
        <v>30</v>
      </c>
      <c r="B38" s="399" t="s">
        <v>57</v>
      </c>
      <c r="C38" s="402" t="str">
        <v>3L</v>
      </c>
      <c r="D38" s="402" t="str">
        <v>6L</v>
      </c>
      <c r="E38" s="400" t="str">
        <f t="shared" si="0"/>
        <v>GBP3L6L30Y</v>
      </c>
      <c r="F38" s="353" t="str">
        <v>GBP3L6L30Y=ICAP</v>
      </c>
      <c r="G38" s="520">
        <v>4.625</v>
      </c>
      <c r="H38" s="520">
        <v>7.625</v>
      </c>
      <c r="I38" s="520">
        <f>_xll.qlMidEquivalent(G38,H38)</f>
        <v>6.125</v>
      </c>
      <c r="J38" s="349" t="b">
        <f t="shared" si="1"/>
        <v>1</v>
      </c>
      <c r="K38" s="521">
        <v>6.125</v>
      </c>
      <c r="L38" s="343"/>
      <c r="M38" s="518">
        <v>6.75</v>
      </c>
      <c r="N38" s="343"/>
      <c r="O38" s="394" t="str">
        <f t="shared" si="2"/>
        <v>GBP3L6L30Y_Quote</v>
      </c>
      <c r="P38" s="517">
        <v>6.125</v>
      </c>
      <c r="Q38" s="348" t="e">
        <f>_xll.qlSimpleQuoteSetValue($O38,$P38/10000,Trigger)</f>
        <v>#N/A</v>
      </c>
      <c r="R38" s="218"/>
      <c r="W38" s="64" t="str">
        <f t="shared" si="3"/>
        <v>30Y</v>
      </c>
      <c r="X38" s="511" t="e">
        <f>(('Swap6M (2)'!P38-'Swap3M (2)'!P38)*100-P38)/10000</f>
        <v>#NUM!</v>
      </c>
    </row>
    <row r="39" spans="1:24" x14ac:dyDescent="0.2">
      <c r="A39" s="118">
        <v>35</v>
      </c>
      <c r="B39" s="399" t="s">
        <v>52</v>
      </c>
      <c r="C39" s="402" t="str">
        <v>3L</v>
      </c>
      <c r="D39" s="402" t="str">
        <v>6L</v>
      </c>
      <c r="E39" s="400" t="str">
        <f t="shared" si="0"/>
        <v>GBP3L6L35Y</v>
      </c>
      <c r="F39" s="353" t="str">
        <v>GBP3L6L35Y=ICAP</v>
      </c>
      <c r="G39" s="520" t="s">
        <v>233</v>
      </c>
      <c r="H39" s="520" t="s">
        <v>233</v>
      </c>
      <c r="I39" s="520" t="e">
        <f>_xll.qlMidEquivalent(G39,H39)</f>
        <v>#NUM!</v>
      </c>
      <c r="J39" s="349" t="b">
        <f t="shared" si="1"/>
        <v>0</v>
      </c>
      <c r="K39" s="519">
        <f>K38</f>
        <v>6.125</v>
      </c>
      <c r="L39" s="343"/>
      <c r="M39" s="518">
        <v>6.75</v>
      </c>
      <c r="N39" s="343"/>
      <c r="O39" s="394" t="str">
        <f t="shared" si="2"/>
        <v>GBP3L6L35Y_Quote</v>
      </c>
      <c r="P39" s="517">
        <v>6.125</v>
      </c>
      <c r="Q39" s="348" t="e">
        <f>_xll.qlSimpleQuoteSetValue($O39,$P39/10000,Trigger)</f>
        <v>#N/A</v>
      </c>
      <c r="R39" s="218"/>
      <c r="W39" s="64" t="str">
        <f t="shared" si="3"/>
        <v>35Y</v>
      </c>
      <c r="X39" s="511" t="e">
        <f>(('Swap6M (2)'!P39-'Swap3M (2)'!P39)*100-P39)/10000</f>
        <v>#NUM!</v>
      </c>
    </row>
    <row r="40" spans="1:24" x14ac:dyDescent="0.2">
      <c r="A40" s="118">
        <v>40</v>
      </c>
      <c r="B40" s="399" t="s">
        <v>47</v>
      </c>
      <c r="C40" s="402" t="str">
        <v>3L</v>
      </c>
      <c r="D40" s="402" t="str">
        <v>6L</v>
      </c>
      <c r="E40" s="400" t="str">
        <f t="shared" si="0"/>
        <v>GBP3L6L40Y</v>
      </c>
      <c r="F40" s="353" t="str">
        <v>GBP3L6L40Y=ICAP</v>
      </c>
      <c r="G40" s="520">
        <v>3.875</v>
      </c>
      <c r="H40" s="520">
        <v>6.875</v>
      </c>
      <c r="I40" s="520">
        <f>_xll.qlMidEquivalent(G40,H40)</f>
        <v>5.375</v>
      </c>
      <c r="J40" s="349" t="b">
        <f t="shared" si="1"/>
        <v>1</v>
      </c>
      <c r="K40" s="519">
        <f>K39</f>
        <v>6.125</v>
      </c>
      <c r="L40" s="343"/>
      <c r="M40" s="518">
        <v>6.75</v>
      </c>
      <c r="N40" s="343"/>
      <c r="O40" s="394" t="str">
        <f t="shared" si="2"/>
        <v>GBP3L6L40Y_Quote</v>
      </c>
      <c r="P40" s="517">
        <v>6.125</v>
      </c>
      <c r="Q40" s="348" t="e">
        <f>_xll.qlSimpleQuoteSetValue($O40,$P40/10000,Trigger)</f>
        <v>#N/A</v>
      </c>
      <c r="R40" s="218"/>
      <c r="W40" s="64" t="str">
        <f t="shared" si="3"/>
        <v>40Y</v>
      </c>
      <c r="X40" s="511" t="e">
        <f>(('Swap6M (2)'!P40-'Swap3M (2)'!P40)*100-P40)/10000</f>
        <v>#NUM!</v>
      </c>
    </row>
    <row r="41" spans="1:24" x14ac:dyDescent="0.2">
      <c r="A41" s="118">
        <v>50</v>
      </c>
      <c r="B41" s="399" t="s">
        <v>37</v>
      </c>
      <c r="C41" s="402" t="str">
        <v>3L</v>
      </c>
      <c r="D41" s="402" t="str">
        <v>6L</v>
      </c>
      <c r="E41" s="400" t="str">
        <f t="shared" si="0"/>
        <v>GBP3L6L50Y</v>
      </c>
      <c r="F41" s="353" t="str">
        <v>GBP3L6L50Y=ICAP</v>
      </c>
      <c r="G41" s="520">
        <v>3</v>
      </c>
      <c r="H41" s="520">
        <v>7</v>
      </c>
      <c r="I41" s="520">
        <f>_xll.qlMidEquivalent(G41,H41)</f>
        <v>5</v>
      </c>
      <c r="J41" s="349" t="b">
        <f t="shared" si="1"/>
        <v>1</v>
      </c>
      <c r="K41" s="519">
        <f>K40</f>
        <v>6.125</v>
      </c>
      <c r="L41" s="343"/>
      <c r="M41" s="518">
        <v>6.75</v>
      </c>
      <c r="N41" s="343"/>
      <c r="O41" s="394" t="str">
        <f t="shared" si="2"/>
        <v>GBP3L6L50Y_Quote</v>
      </c>
      <c r="P41" s="517">
        <v>6.125</v>
      </c>
      <c r="Q41" s="348" t="e">
        <f>_xll.qlSimpleQuoteSetValue($O41,$P41/10000,Trigger)</f>
        <v>#N/A</v>
      </c>
      <c r="R41" s="218"/>
      <c r="W41" s="64" t="str">
        <f t="shared" si="3"/>
        <v>50Y</v>
      </c>
      <c r="X41" s="511" t="e">
        <f>(('Swap6M (2)'!P41-'Swap3M (2)'!P41)*100-P41)/10000</f>
        <v>#NUM!</v>
      </c>
    </row>
    <row r="42" spans="1:24" x14ac:dyDescent="0.2">
      <c r="A42" s="118">
        <v>60</v>
      </c>
      <c r="B42" s="409" t="s">
        <v>27</v>
      </c>
      <c r="C42" s="398" t="str">
        <v>3L</v>
      </c>
      <c r="D42" s="398" t="str">
        <v>6L</v>
      </c>
      <c r="E42" s="396" t="str">
        <f t="shared" si="0"/>
        <v>GBP3L6L60Y</v>
      </c>
      <c r="F42" s="346" t="str">
        <v>GBP3L6L60Y=ICAP</v>
      </c>
      <c r="G42" s="516">
        <v>2.25</v>
      </c>
      <c r="H42" s="516">
        <v>7.25</v>
      </c>
      <c r="I42" s="516">
        <f>_xll.qlMidEquivalent(G42,H42)</f>
        <v>4.75</v>
      </c>
      <c r="J42" s="341" t="b">
        <f t="shared" si="1"/>
        <v>1</v>
      </c>
      <c r="K42" s="515">
        <f>K41</f>
        <v>6.125</v>
      </c>
      <c r="L42" s="343"/>
      <c r="M42" s="514">
        <v>6.75</v>
      </c>
      <c r="N42" s="343"/>
      <c r="O42" s="407" t="str">
        <f t="shared" si="2"/>
        <v>GBP3L6L60Y_Quote</v>
      </c>
      <c r="P42" s="513">
        <v>6.125</v>
      </c>
      <c r="Q42" s="340" t="e">
        <f>_xll.qlSimpleQuoteSetValue($O42,$P42/10000,Trigger)</f>
        <v>#N/A</v>
      </c>
      <c r="R42" s="218"/>
      <c r="W42" s="64" t="str">
        <f t="shared" si="3"/>
        <v>60Y</v>
      </c>
      <c r="X42" s="511" t="e">
        <f>(('Swap6M (2)'!P42-'Swap3M (2)'!P42)*100-P42)/10000</f>
        <v>#NUM!</v>
      </c>
    </row>
    <row r="43" spans="1:24" ht="12" thickBot="1" x14ac:dyDescent="0.25">
      <c r="A43" s="32"/>
      <c r="B43" s="31"/>
      <c r="C43" s="31"/>
      <c r="D43" s="31"/>
      <c r="E43" s="31"/>
      <c r="F43" s="31"/>
      <c r="G43" s="31"/>
      <c r="H43" s="31"/>
      <c r="I43" s="31"/>
      <c r="J43" s="31"/>
      <c r="K43" s="31"/>
      <c r="L43" s="31"/>
      <c r="M43" s="31"/>
      <c r="N43" s="31"/>
      <c r="O43" s="31"/>
      <c r="P43" s="31"/>
      <c r="Q43" s="31"/>
      <c r="R43" s="384"/>
    </row>
    <row r="47" spans="1:24" x14ac:dyDescent="0.2">
      <c r="F47" s="512"/>
    </row>
    <row r="48" spans="1:24" x14ac:dyDescent="0.2">
      <c r="F48" s="512"/>
    </row>
    <row r="49" spans="6:6" x14ac:dyDescent="0.2">
      <c r="F49" s="512"/>
    </row>
    <row r="50" spans="6:6" x14ac:dyDescent="0.2">
      <c r="F50" s="512"/>
    </row>
    <row r="51" spans="6:6" x14ac:dyDescent="0.2">
      <c r="F51" s="512"/>
    </row>
    <row r="52" spans="6:6" x14ac:dyDescent="0.2">
      <c r="F52" s="512"/>
    </row>
    <row r="53" spans="6:6" x14ac:dyDescent="0.2">
      <c r="F53" s="512"/>
    </row>
    <row r="54" spans="6:6" x14ac:dyDescent="0.2">
      <c r="F54" s="512"/>
    </row>
    <row r="55" spans="6:6" x14ac:dyDescent="0.2">
      <c r="F55" s="512"/>
    </row>
    <row r="56" spans="6:6" x14ac:dyDescent="0.2">
      <c r="F56" s="512"/>
    </row>
    <row r="57" spans="6:6" x14ac:dyDescent="0.2">
      <c r="F57" s="512"/>
    </row>
    <row r="58" spans="6:6" x14ac:dyDescent="0.2">
      <c r="F58" s="512"/>
    </row>
    <row r="59" spans="6:6" x14ac:dyDescent="0.2">
      <c r="F59" s="512"/>
    </row>
    <row r="60" spans="6:6" x14ac:dyDescent="0.2">
      <c r="F60" s="511"/>
    </row>
    <row r="61" spans="6:6" x14ac:dyDescent="0.2">
      <c r="F61" s="511"/>
    </row>
    <row r="62" spans="6:6" x14ac:dyDescent="0.2">
      <c r="F62" s="511"/>
    </row>
    <row r="63" spans="6:6" x14ac:dyDescent="0.2">
      <c r="F63" s="511"/>
    </row>
  </sheetData>
  <conditionalFormatting sqref="Q5:Q42">
    <cfRule type="cellIs" dxfId="9" priority="1" stopIfTrue="1" operator="greaterThan">
      <formula>0</formula>
    </cfRule>
    <cfRule type="cellIs" dxfId="8"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X63"/>
  <sheetViews>
    <sheetView workbookViewId="0"/>
  </sheetViews>
  <sheetFormatPr defaultRowHeight="11.25" x14ac:dyDescent="0.2"/>
  <cols>
    <col min="1" max="1" width="5" style="64" customWidth="1"/>
    <col min="2" max="2" width="3.85546875" style="64" bestFit="1" customWidth="1"/>
    <col min="3" max="3" width="3.5703125" style="64" bestFit="1" customWidth="1"/>
    <col min="4" max="4" width="2.7109375" style="64" bestFit="1" customWidth="1"/>
    <col min="5" max="5" width="11.140625" style="64" bestFit="1" customWidth="1"/>
    <col min="6" max="6" width="15.42578125" style="64" bestFit="1" customWidth="1"/>
    <col min="7" max="8" width="5.28515625" style="64" customWidth="1"/>
    <col min="9" max="9" width="9" style="64" bestFit="1" customWidth="1"/>
    <col min="10" max="10" width="5.7109375" style="64" bestFit="1" customWidth="1"/>
    <col min="11" max="11" width="7.140625" style="64" bestFit="1" customWidth="1"/>
    <col min="12" max="12" width="5" style="64" customWidth="1"/>
    <col min="13" max="13" width="7.140625" style="64" bestFit="1" customWidth="1"/>
    <col min="14" max="14" width="5" style="64" customWidth="1"/>
    <col min="15" max="15" width="16.285156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16384" width="9.140625" style="64"/>
  </cols>
  <sheetData>
    <row r="1" spans="1:24" x14ac:dyDescent="0.2">
      <c r="A1" s="417" t="s">
        <v>356</v>
      </c>
      <c r="B1" s="201"/>
      <c r="C1" s="201"/>
      <c r="D1" s="201"/>
      <c r="E1" s="201"/>
      <c r="F1" s="201"/>
      <c r="G1" s="201"/>
      <c r="H1" s="201"/>
      <c r="I1" s="201"/>
      <c r="J1" s="201"/>
      <c r="K1" s="201"/>
      <c r="L1" s="201"/>
      <c r="M1" s="201"/>
      <c r="N1" s="201"/>
      <c r="O1" s="201"/>
      <c r="P1" s="201"/>
      <c r="Q1" s="201"/>
      <c r="R1" s="198"/>
    </row>
    <row r="2" spans="1:24" x14ac:dyDescent="0.2">
      <c r="A2" s="380"/>
      <c r="B2" s="133"/>
      <c r="C2" s="343"/>
      <c r="D2" s="343"/>
      <c r="E2" s="343"/>
      <c r="F2" s="140" t="s">
        <v>276</v>
      </c>
      <c r="G2" s="343"/>
      <c r="H2" s="343"/>
      <c r="I2" s="343"/>
      <c r="J2" s="343"/>
      <c r="K2" s="133"/>
      <c r="L2" s="343"/>
      <c r="M2" s="343"/>
      <c r="N2" s="343"/>
      <c r="O2" s="523" t="s">
        <v>289</v>
      </c>
      <c r="P2" s="140" t="s">
        <v>131</v>
      </c>
      <c r="Q2" s="133"/>
      <c r="R2" s="33"/>
    </row>
    <row r="3" spans="1:24" x14ac:dyDescent="0.2">
      <c r="A3" s="118"/>
      <c r="B3" s="343"/>
      <c r="C3" s="133"/>
      <c r="D3" s="133"/>
      <c r="E3" s="133"/>
      <c r="F3" s="133" t="str">
        <f>_xll.qlInterpolation(,InterpolationType,_xll.ohFilter(A5:A42,J5:J42),_xll.ohFilter(I5:I42,J5:J42))</f>
        <v>obj_004b2#0001</v>
      </c>
      <c r="G3" s="133"/>
      <c r="H3" s="133"/>
      <c r="I3" s="133"/>
      <c r="J3" s="133"/>
      <c r="K3" s="133"/>
      <c r="L3" s="343"/>
      <c r="M3" s="343"/>
      <c r="N3" s="343"/>
      <c r="O3" s="133"/>
      <c r="P3" s="133"/>
      <c r="Q3" s="375">
        <f>_xll.ohTrigger(Q5:Q42)</f>
        <v>3</v>
      </c>
      <c r="R3" s="218"/>
    </row>
    <row r="4" spans="1:24" ht="23.25" thickBot="1" x14ac:dyDescent="0.25">
      <c r="A4" s="118"/>
      <c r="B4" s="500"/>
      <c r="C4" s="196"/>
      <c r="D4" s="196"/>
      <c r="E4" s="196"/>
      <c r="F4" s="374" t="e">
        <f ca="1">_xll.RData(F5:F42,G4:H4,"RTFEED:IDN",ReutersRtMode,,G5)</f>
        <v>#NAME?</v>
      </c>
      <c r="G4" s="415" t="s">
        <v>293</v>
      </c>
      <c r="H4" s="415" t="s">
        <v>265</v>
      </c>
      <c r="I4" s="415" t="s">
        <v>318</v>
      </c>
      <c r="J4" s="415"/>
      <c r="K4" s="369" t="s">
        <v>317</v>
      </c>
      <c r="L4" s="343"/>
      <c r="M4" s="372" t="s">
        <v>287</v>
      </c>
      <c r="N4" s="343"/>
      <c r="O4" s="371" t="s">
        <v>241</v>
      </c>
      <c r="P4" s="499" t="s">
        <v>286</v>
      </c>
      <c r="Q4" s="91" t="s">
        <v>285</v>
      </c>
      <c r="R4" s="218"/>
    </row>
    <row r="5" spans="1:24" x14ac:dyDescent="0.2">
      <c r="A5" s="522">
        <v>0.5</v>
      </c>
      <c r="B5" s="399" t="s">
        <v>8</v>
      </c>
      <c r="C5" s="402" t="str">
        <f t="array" ref="C5:C42">VLOOKUP(Currency,Conventions,2)</f>
        <v>6L</v>
      </c>
      <c r="D5" s="402" t="str">
        <f t="array" ref="D5:D42">VLOOKUP(Currency,Conventions,3)</f>
        <v>12L</v>
      </c>
      <c r="E5" s="400" t="str">
        <f t="shared" ref="E5:E42" si="0">Currency&amp;$C5&amp;$D5&amp;$B5</f>
        <v>GBP6L12L6M</v>
      </c>
      <c r="F5" s="353" t="str">
        <f t="array" ref="F5:F42">Instruments&amp;"="&amp;VLOOKUP(Contributor,ContributorTable,2,FALSE)</f>
        <v>GBP6L12L6M=ICAP</v>
      </c>
      <c r="G5" s="520" t="s">
        <v>233</v>
      </c>
      <c r="H5" s="520" t="s">
        <v>233</v>
      </c>
      <c r="I5" s="520" t="e">
        <f>_xll.qlMidEquivalent(G5,H5)</f>
        <v>#NUM!</v>
      </c>
      <c r="J5" s="349" t="b">
        <f t="shared" ref="J5:J42" si="1">IF(ISNUMBER(I5),TRUE,FALSE)</f>
        <v>0</v>
      </c>
      <c r="K5" s="521" t="e">
        <f t="array" ref="K5:K38">_xll.qlInterpolationInterpolate(F3,A5:A42)</f>
        <v>#NUM!</v>
      </c>
      <c r="L5" s="343"/>
      <c r="M5" s="518" t="e">
        <v>#NUM!</v>
      </c>
      <c r="N5" s="343"/>
      <c r="O5" s="394" t="str">
        <f t="shared" ref="O5:O42" si="2">$E5&amp;$P$2</f>
        <v>GBP6L12L6M_Quote</v>
      </c>
      <c r="P5" s="517" t="e">
        <f t="array" ref="P5:P42">QuoteLive</f>
        <v>#NUM!</v>
      </c>
      <c r="Q5" s="348" t="e">
        <f>_xll.qlSimpleQuoteSetValue($O5,$P5/10000,Trigger)</f>
        <v>#NUM!</v>
      </c>
      <c r="R5" s="218"/>
      <c r="T5" s="86" t="s">
        <v>121</v>
      </c>
      <c r="U5" s="85" t="s">
        <v>116</v>
      </c>
      <c r="V5" s="84" t="s">
        <v>127</v>
      </c>
      <c r="X5" s="412"/>
    </row>
    <row r="6" spans="1:24" x14ac:dyDescent="0.2">
      <c r="A6" s="522">
        <v>1</v>
      </c>
      <c r="B6" s="399" t="s">
        <v>1</v>
      </c>
      <c r="C6" s="402" t="str">
        <v>6L</v>
      </c>
      <c r="D6" s="402" t="str">
        <v>12L</v>
      </c>
      <c r="E6" s="400" t="str">
        <f t="shared" si="0"/>
        <v>GBP6L12L1Y</v>
      </c>
      <c r="F6" s="353" t="str">
        <v>GBP6L12L1Y=ICAP</v>
      </c>
      <c r="G6" s="520">
        <v>25.75</v>
      </c>
      <c r="H6" s="520">
        <v>37.75</v>
      </c>
      <c r="I6" s="520">
        <f>_xll.qlMidEquivalent(G6,H6)</f>
        <v>31.75</v>
      </c>
      <c r="J6" s="349" t="b">
        <f t="shared" si="1"/>
        <v>1</v>
      </c>
      <c r="K6" s="521">
        <v>31.75</v>
      </c>
      <c r="L6" s="343"/>
      <c r="M6" s="518">
        <v>36</v>
      </c>
      <c r="N6" s="343"/>
      <c r="O6" s="394" t="str">
        <f t="shared" si="2"/>
        <v>GBP6L12L1Y_Quote</v>
      </c>
      <c r="P6" s="517">
        <v>31.75</v>
      </c>
      <c r="Q6" s="348" t="e">
        <f>_xll.qlSimpleQuoteSetValue($O6,$P6/10000,Trigger)</f>
        <v>#N/A</v>
      </c>
      <c r="R6" s="218"/>
      <c r="T6" s="83" t="s">
        <v>120</v>
      </c>
      <c r="U6" s="82" t="s">
        <v>118</v>
      </c>
      <c r="V6" s="81" t="s">
        <v>128</v>
      </c>
      <c r="X6" s="412"/>
    </row>
    <row r="7" spans="1:24" x14ac:dyDescent="0.2">
      <c r="A7" s="522">
        <v>1.25</v>
      </c>
      <c r="B7" s="399" t="s">
        <v>124</v>
      </c>
      <c r="C7" s="402" t="str">
        <v>6L</v>
      </c>
      <c r="D7" s="402" t="str">
        <v>12L</v>
      </c>
      <c r="E7" s="400" t="str">
        <f t="shared" si="0"/>
        <v>GBP6L12L15M</v>
      </c>
      <c r="F7" s="353" t="str">
        <v>GBP6L12L15M=ICAP</v>
      </c>
      <c r="G7" s="520" t="s">
        <v>233</v>
      </c>
      <c r="H7" s="520" t="s">
        <v>233</v>
      </c>
      <c r="I7" s="520" t="e">
        <f>_xll.qlMidEquivalent(G7,H7)</f>
        <v>#NUM!</v>
      </c>
      <c r="J7" s="349" t="b">
        <f t="shared" si="1"/>
        <v>0</v>
      </c>
      <c r="K7" s="521">
        <v>30.919812795686951</v>
      </c>
      <c r="L7" s="343"/>
      <c r="M7" s="518">
        <v>35.507718501858129</v>
      </c>
      <c r="N7" s="343"/>
      <c r="O7" s="394" t="str">
        <f t="shared" si="2"/>
        <v>GBP6L12L15M_Quote</v>
      </c>
      <c r="P7" s="517">
        <v>30.919812795686951</v>
      </c>
      <c r="Q7" s="348" t="e">
        <f>_xll.qlSimpleQuoteSetValue($O7,$P7/10000,Trigger)</f>
        <v>#N/A</v>
      </c>
      <c r="R7" s="218"/>
      <c r="T7" s="83" t="s">
        <v>96</v>
      </c>
      <c r="U7" s="82" t="s">
        <v>116</v>
      </c>
      <c r="V7" s="81" t="s">
        <v>127</v>
      </c>
      <c r="X7" s="412"/>
    </row>
    <row r="8" spans="1:24" x14ac:dyDescent="0.2">
      <c r="A8" s="522">
        <v>1.5</v>
      </c>
      <c r="B8" s="399" t="s">
        <v>123</v>
      </c>
      <c r="C8" s="402" t="str">
        <v>6L</v>
      </c>
      <c r="D8" s="402" t="str">
        <v>12L</v>
      </c>
      <c r="E8" s="400" t="str">
        <f t="shared" si="0"/>
        <v>GBP6L12L18M</v>
      </c>
      <c r="F8" s="353" t="str">
        <v>GBP6L12L18M=ICAP</v>
      </c>
      <c r="G8" s="520" t="s">
        <v>233</v>
      </c>
      <c r="H8" s="520" t="s">
        <v>233</v>
      </c>
      <c r="I8" s="520" t="e">
        <f>_xll.qlMidEquivalent(G8,H8)</f>
        <v>#NUM!</v>
      </c>
      <c r="J8" s="349" t="b">
        <f t="shared" si="1"/>
        <v>0</v>
      </c>
      <c r="K8" s="521">
        <v>30.134200473099121</v>
      </c>
      <c r="L8" s="343"/>
      <c r="M8" s="518">
        <v>35.012349602973011</v>
      </c>
      <c r="N8" s="343"/>
      <c r="O8" s="394" t="str">
        <f t="shared" si="2"/>
        <v>GBP6L12L18M_Quote</v>
      </c>
      <c r="P8" s="517">
        <v>30.134200473099121</v>
      </c>
      <c r="Q8" s="348" t="e">
        <f>_xll.qlSimpleQuoteSetValue($O8,$P8/10000,Trigger)</f>
        <v>#N/A</v>
      </c>
      <c r="R8" s="218"/>
      <c r="T8" s="83" t="s">
        <v>117</v>
      </c>
      <c r="U8" s="82" t="s">
        <v>116</v>
      </c>
      <c r="V8" s="81" t="s">
        <v>127</v>
      </c>
    </row>
    <row r="9" spans="1:24" ht="12" thickBot="1" x14ac:dyDescent="0.25">
      <c r="A9" s="522">
        <v>1.75</v>
      </c>
      <c r="B9" s="399" t="s">
        <v>122</v>
      </c>
      <c r="C9" s="402" t="str">
        <v>6L</v>
      </c>
      <c r="D9" s="402" t="str">
        <v>12L</v>
      </c>
      <c r="E9" s="400" t="str">
        <f t="shared" si="0"/>
        <v>GBP6L12L21M</v>
      </c>
      <c r="F9" s="353" t="str">
        <v>GBP6L12L21M=ICAP</v>
      </c>
      <c r="G9" s="520" t="s">
        <v>233</v>
      </c>
      <c r="H9" s="520" t="s">
        <v>233</v>
      </c>
      <c r="I9" s="520" t="e">
        <f>_xll.qlMidEquivalent(G9,H9)</f>
        <v>#NUM!</v>
      </c>
      <c r="J9" s="349" t="b">
        <f t="shared" si="1"/>
        <v>0</v>
      </c>
      <c r="K9" s="521">
        <v>29.437737913961733</v>
      </c>
      <c r="L9" s="343"/>
      <c r="M9" s="518">
        <v>34.510805902601383</v>
      </c>
      <c r="N9" s="343"/>
      <c r="O9" s="394" t="str">
        <f t="shared" si="2"/>
        <v>GBP6L12L21M_Quote</v>
      </c>
      <c r="P9" s="517">
        <v>29.437737913961733</v>
      </c>
      <c r="Q9" s="348" t="e">
        <f>_xll.qlSimpleQuoteSetValue($O9,$P9/10000,Trigger)</f>
        <v>#N/A</v>
      </c>
      <c r="R9" s="218"/>
      <c r="T9" s="80" t="s">
        <v>115</v>
      </c>
      <c r="U9" s="79" t="s">
        <v>127</v>
      </c>
      <c r="V9" s="78" t="s">
        <v>114</v>
      </c>
    </row>
    <row r="10" spans="1:24" x14ac:dyDescent="0.2">
      <c r="A10" s="118">
        <v>2</v>
      </c>
      <c r="B10" s="399" t="s">
        <v>85</v>
      </c>
      <c r="C10" s="402" t="str">
        <v>6L</v>
      </c>
      <c r="D10" s="402" t="str">
        <v>12L</v>
      </c>
      <c r="E10" s="400" t="str">
        <f t="shared" si="0"/>
        <v>GBP6L12L2Y</v>
      </c>
      <c r="F10" s="353" t="str">
        <v>GBP6L12L2Y=ICAP</v>
      </c>
      <c r="G10" s="520">
        <v>22.875</v>
      </c>
      <c r="H10" s="520">
        <v>34.875</v>
      </c>
      <c r="I10" s="520">
        <f>_xll.qlMidEquivalent(G10,H10)</f>
        <v>28.875</v>
      </c>
      <c r="J10" s="349" t="b">
        <f t="shared" si="1"/>
        <v>1</v>
      </c>
      <c r="K10" s="521">
        <v>28.875</v>
      </c>
      <c r="L10" s="343"/>
      <c r="M10" s="518">
        <v>34</v>
      </c>
      <c r="N10" s="343"/>
      <c r="O10" s="394" t="str">
        <f t="shared" si="2"/>
        <v>GBP6L12L2Y_Quote</v>
      </c>
      <c r="P10" s="517">
        <v>28.875</v>
      </c>
      <c r="Q10" s="348" t="e">
        <f>_xll.qlSimpleQuoteSetValue($O10,$P10/10000,Trigger)</f>
        <v>#N/A</v>
      </c>
      <c r="R10" s="218"/>
    </row>
    <row r="11" spans="1:24" x14ac:dyDescent="0.2">
      <c r="A11" s="118">
        <v>3</v>
      </c>
      <c r="B11" s="399" t="s">
        <v>84</v>
      </c>
      <c r="C11" s="402" t="str">
        <v>6L</v>
      </c>
      <c r="D11" s="402" t="str">
        <v>12L</v>
      </c>
      <c r="E11" s="400" t="str">
        <f t="shared" si="0"/>
        <v>GBP6L12L3Y</v>
      </c>
      <c r="F11" s="353" t="str">
        <v>GBP6L12L3Y=ICAP</v>
      </c>
      <c r="G11" s="520">
        <v>21.875</v>
      </c>
      <c r="H11" s="520">
        <v>33.875</v>
      </c>
      <c r="I11" s="520">
        <f>_xll.qlMidEquivalent(G11,H11)</f>
        <v>27.875</v>
      </c>
      <c r="J11" s="349" t="b">
        <f t="shared" si="1"/>
        <v>1</v>
      </c>
      <c r="K11" s="521">
        <v>27.875</v>
      </c>
      <c r="L11" s="343"/>
      <c r="M11" s="518">
        <v>32</v>
      </c>
      <c r="N11" s="343"/>
      <c r="O11" s="394" t="str">
        <f t="shared" si="2"/>
        <v>GBP6L12L3Y_Quote</v>
      </c>
      <c r="P11" s="517">
        <v>27.875</v>
      </c>
      <c r="Q11" s="348" t="e">
        <f>_xll.qlSimpleQuoteSetValue($O11,$P11/10000,Trigger)</f>
        <v>#N/A</v>
      </c>
      <c r="R11" s="218"/>
    </row>
    <row r="12" spans="1:24" x14ac:dyDescent="0.2">
      <c r="A12" s="118">
        <v>4</v>
      </c>
      <c r="B12" s="399" t="s">
        <v>83</v>
      </c>
      <c r="C12" s="402" t="str">
        <v>6L</v>
      </c>
      <c r="D12" s="402" t="str">
        <v>12L</v>
      </c>
      <c r="E12" s="400" t="str">
        <f t="shared" si="0"/>
        <v>GBP6L12L4Y</v>
      </c>
      <c r="F12" s="353" t="str">
        <v>GBP6L12L4Y=ICAP</v>
      </c>
      <c r="G12" s="520">
        <v>21.25</v>
      </c>
      <c r="H12" s="520">
        <v>33.25</v>
      </c>
      <c r="I12" s="520">
        <f>_xll.qlMidEquivalent(G12,H12)</f>
        <v>27.25</v>
      </c>
      <c r="J12" s="349" t="b">
        <f t="shared" si="1"/>
        <v>1</v>
      </c>
      <c r="K12" s="521">
        <v>27.25</v>
      </c>
      <c r="L12" s="343"/>
      <c r="M12" s="518">
        <v>30.5</v>
      </c>
      <c r="N12" s="343"/>
      <c r="O12" s="394" t="str">
        <f t="shared" si="2"/>
        <v>GBP6L12L4Y_Quote</v>
      </c>
      <c r="P12" s="517">
        <v>27.25</v>
      </c>
      <c r="Q12" s="348" t="e">
        <f>_xll.qlSimpleQuoteSetValue($O12,$P12/10000,Trigger)</f>
        <v>#N/A</v>
      </c>
      <c r="R12" s="218"/>
    </row>
    <row r="13" spans="1:24" x14ac:dyDescent="0.2">
      <c r="A13" s="118">
        <v>5</v>
      </c>
      <c r="B13" s="399" t="s">
        <v>82</v>
      </c>
      <c r="C13" s="402" t="str">
        <v>6L</v>
      </c>
      <c r="D13" s="402" t="str">
        <v>12L</v>
      </c>
      <c r="E13" s="400" t="str">
        <f t="shared" si="0"/>
        <v>GBP6L12L5Y</v>
      </c>
      <c r="F13" s="353" t="str">
        <v>GBP6L12L5Y=ICAP</v>
      </c>
      <c r="G13" s="520">
        <v>20.625</v>
      </c>
      <c r="H13" s="520">
        <v>32.625</v>
      </c>
      <c r="I13" s="520">
        <f>_xll.qlMidEquivalent(G13,H13)</f>
        <v>26.625</v>
      </c>
      <c r="J13" s="349" t="b">
        <f t="shared" si="1"/>
        <v>1</v>
      </c>
      <c r="K13" s="521">
        <v>26.625</v>
      </c>
      <c r="L13" s="343"/>
      <c r="M13" s="518">
        <v>29.25</v>
      </c>
      <c r="N13" s="343"/>
      <c r="O13" s="394" t="str">
        <f t="shared" si="2"/>
        <v>GBP6L12L5Y_Quote</v>
      </c>
      <c r="P13" s="517">
        <v>26.625</v>
      </c>
      <c r="Q13" s="348" t="e">
        <f>_xll.qlSimpleQuoteSetValue($O13,$P13/10000,Trigger)</f>
        <v>#N/A</v>
      </c>
      <c r="R13" s="218"/>
    </row>
    <row r="14" spans="1:24" x14ac:dyDescent="0.2">
      <c r="A14" s="118">
        <v>6</v>
      </c>
      <c r="B14" s="399" t="s">
        <v>81</v>
      </c>
      <c r="C14" s="402" t="str">
        <v>6L</v>
      </c>
      <c r="D14" s="402" t="str">
        <v>12L</v>
      </c>
      <c r="E14" s="400" t="str">
        <f t="shared" si="0"/>
        <v>GBP6L12L6Y</v>
      </c>
      <c r="F14" s="353" t="str">
        <v>GBP6L12L6Y=ICAP</v>
      </c>
      <c r="G14" s="520">
        <v>20</v>
      </c>
      <c r="H14" s="520">
        <v>32</v>
      </c>
      <c r="I14" s="520">
        <f>_xll.qlMidEquivalent(G14,H14)</f>
        <v>26</v>
      </c>
      <c r="J14" s="349" t="b">
        <f t="shared" si="1"/>
        <v>1</v>
      </c>
      <c r="K14" s="521">
        <v>26</v>
      </c>
      <c r="L14" s="343"/>
      <c r="M14" s="518">
        <v>28.25</v>
      </c>
      <c r="N14" s="343"/>
      <c r="O14" s="394" t="str">
        <f t="shared" si="2"/>
        <v>GBP6L12L6Y_Quote</v>
      </c>
      <c r="P14" s="517">
        <v>26</v>
      </c>
      <c r="Q14" s="348" t="e">
        <f>_xll.qlSimpleQuoteSetValue($O14,$P14/10000,Trigger)</f>
        <v>#N/A</v>
      </c>
      <c r="R14" s="218"/>
    </row>
    <row r="15" spans="1:24" x14ac:dyDescent="0.2">
      <c r="A15" s="118">
        <v>7</v>
      </c>
      <c r="B15" s="399" t="s">
        <v>80</v>
      </c>
      <c r="C15" s="402" t="str">
        <v>6L</v>
      </c>
      <c r="D15" s="402" t="str">
        <v>12L</v>
      </c>
      <c r="E15" s="400" t="str">
        <f t="shared" si="0"/>
        <v>GBP6L12L7Y</v>
      </c>
      <c r="F15" s="353" t="str">
        <v>GBP6L12L7Y=ICAP</v>
      </c>
      <c r="G15" s="520">
        <v>19.375</v>
      </c>
      <c r="H15" s="520">
        <v>31.375</v>
      </c>
      <c r="I15" s="520">
        <f>_xll.qlMidEquivalent(G15,H15)</f>
        <v>25.375</v>
      </c>
      <c r="J15" s="349" t="b">
        <f t="shared" si="1"/>
        <v>1</v>
      </c>
      <c r="K15" s="521">
        <v>25.375</v>
      </c>
      <c r="L15" s="343"/>
      <c r="M15" s="518">
        <v>27</v>
      </c>
      <c r="N15" s="343"/>
      <c r="O15" s="394" t="str">
        <f t="shared" si="2"/>
        <v>GBP6L12L7Y_Quote</v>
      </c>
      <c r="P15" s="517">
        <v>25.375</v>
      </c>
      <c r="Q15" s="348" t="e">
        <f>_xll.qlSimpleQuoteSetValue($O15,$P15/10000,Trigger)</f>
        <v>#N/A</v>
      </c>
      <c r="R15" s="218"/>
    </row>
    <row r="16" spans="1:24" x14ac:dyDescent="0.2">
      <c r="A16" s="118">
        <v>8</v>
      </c>
      <c r="B16" s="399" t="s">
        <v>79</v>
      </c>
      <c r="C16" s="402" t="str">
        <v>6L</v>
      </c>
      <c r="D16" s="402" t="str">
        <v>12L</v>
      </c>
      <c r="E16" s="400" t="str">
        <f t="shared" si="0"/>
        <v>GBP6L12L8Y</v>
      </c>
      <c r="F16" s="353" t="str">
        <v>GBP6L12L8Y=ICAP</v>
      </c>
      <c r="G16" s="520">
        <v>18.75</v>
      </c>
      <c r="H16" s="520">
        <v>30.75</v>
      </c>
      <c r="I16" s="520">
        <f>_xll.qlMidEquivalent(G16,H16)</f>
        <v>24.75</v>
      </c>
      <c r="J16" s="349" t="b">
        <f t="shared" si="1"/>
        <v>1</v>
      </c>
      <c r="K16" s="521">
        <v>24.75</v>
      </c>
      <c r="L16" s="343"/>
      <c r="M16" s="518">
        <v>26.25</v>
      </c>
      <c r="N16" s="343"/>
      <c r="O16" s="394" t="str">
        <f t="shared" si="2"/>
        <v>GBP6L12L8Y_Quote</v>
      </c>
      <c r="P16" s="517">
        <v>24.75</v>
      </c>
      <c r="Q16" s="348" t="e">
        <f>_xll.qlSimpleQuoteSetValue($O16,$P16/10000,Trigger)</f>
        <v>#N/A</v>
      </c>
      <c r="R16" s="218"/>
    </row>
    <row r="17" spans="1:18" x14ac:dyDescent="0.2">
      <c r="A17" s="118">
        <v>9</v>
      </c>
      <c r="B17" s="399" t="s">
        <v>78</v>
      </c>
      <c r="C17" s="402" t="str">
        <v>6L</v>
      </c>
      <c r="D17" s="402" t="str">
        <v>12L</v>
      </c>
      <c r="E17" s="400" t="str">
        <f t="shared" si="0"/>
        <v>GBP6L12L9Y</v>
      </c>
      <c r="F17" s="353" t="str">
        <v>GBP6L12L9Y=ICAP</v>
      </c>
      <c r="G17" s="520">
        <v>18</v>
      </c>
      <c r="H17" s="520">
        <v>30</v>
      </c>
      <c r="I17" s="520">
        <f>_xll.qlMidEquivalent(G17,H17)</f>
        <v>24</v>
      </c>
      <c r="J17" s="349" t="b">
        <f t="shared" si="1"/>
        <v>1</v>
      </c>
      <c r="K17" s="521">
        <v>24</v>
      </c>
      <c r="L17" s="343"/>
      <c r="M17" s="518">
        <v>25.25</v>
      </c>
      <c r="N17" s="343"/>
      <c r="O17" s="394" t="str">
        <f t="shared" si="2"/>
        <v>GBP6L12L9Y_Quote</v>
      </c>
      <c r="P17" s="517">
        <v>24</v>
      </c>
      <c r="Q17" s="348" t="e">
        <f>_xll.qlSimpleQuoteSetValue($O17,$P17/10000,Trigger)</f>
        <v>#N/A</v>
      </c>
      <c r="R17" s="218"/>
    </row>
    <row r="18" spans="1:18" x14ac:dyDescent="0.2">
      <c r="A18" s="118">
        <v>10</v>
      </c>
      <c r="B18" s="399" t="s">
        <v>77</v>
      </c>
      <c r="C18" s="402" t="str">
        <v>6L</v>
      </c>
      <c r="D18" s="402" t="str">
        <v>12L</v>
      </c>
      <c r="E18" s="400" t="str">
        <f t="shared" si="0"/>
        <v>GBP6L12L10Y</v>
      </c>
      <c r="F18" s="353" t="str">
        <v>GBP6L12L10Y=ICAP</v>
      </c>
      <c r="G18" s="520">
        <v>17.375</v>
      </c>
      <c r="H18" s="520">
        <v>29.375</v>
      </c>
      <c r="I18" s="520">
        <f>_xll.qlMidEquivalent(G18,H18)</f>
        <v>23.375</v>
      </c>
      <c r="J18" s="349" t="b">
        <f t="shared" si="1"/>
        <v>1</v>
      </c>
      <c r="K18" s="521">
        <v>23.375</v>
      </c>
      <c r="L18" s="343"/>
      <c r="M18" s="518">
        <v>24.25</v>
      </c>
      <c r="N18" s="343"/>
      <c r="O18" s="394" t="str">
        <f t="shared" si="2"/>
        <v>GBP6L12L10Y_Quote</v>
      </c>
      <c r="P18" s="517">
        <v>23.375</v>
      </c>
      <c r="Q18" s="348" t="e">
        <f>_xll.qlSimpleQuoteSetValue($O18,$P18/10000,Trigger)</f>
        <v>#N/A</v>
      </c>
      <c r="R18" s="218"/>
    </row>
    <row r="19" spans="1:18" x14ac:dyDescent="0.2">
      <c r="A19" s="118">
        <v>11</v>
      </c>
      <c r="B19" s="399" t="s">
        <v>76</v>
      </c>
      <c r="C19" s="402" t="str">
        <v>6L</v>
      </c>
      <c r="D19" s="402" t="str">
        <v>12L</v>
      </c>
      <c r="E19" s="400" t="str">
        <f t="shared" si="0"/>
        <v>GBP6L12L11Y</v>
      </c>
      <c r="F19" s="353" t="str">
        <v>GBP6L12L11Y=ICAP</v>
      </c>
      <c r="G19" s="520" t="s">
        <v>233</v>
      </c>
      <c r="H19" s="520" t="s">
        <v>233</v>
      </c>
      <c r="I19" s="520" t="e">
        <f>_xll.qlMidEquivalent(G19,H19)</f>
        <v>#NUM!</v>
      </c>
      <c r="J19" s="349" t="b">
        <f t="shared" si="1"/>
        <v>0</v>
      </c>
      <c r="K19" s="521">
        <v>22.767425066641273</v>
      </c>
      <c r="L19" s="343"/>
      <c r="M19" s="518">
        <v>23.333703072317427</v>
      </c>
      <c r="N19" s="343"/>
      <c r="O19" s="394" t="str">
        <f t="shared" si="2"/>
        <v>GBP6L12L11Y_Quote</v>
      </c>
      <c r="P19" s="517">
        <v>22.767425066641273</v>
      </c>
      <c r="Q19" s="348" t="e">
        <f>_xll.qlSimpleQuoteSetValue($O19,$P19/10000,Trigger)</f>
        <v>#N/A</v>
      </c>
      <c r="R19" s="218"/>
    </row>
    <row r="20" spans="1:18" x14ac:dyDescent="0.2">
      <c r="A20" s="118">
        <v>12</v>
      </c>
      <c r="B20" s="399" t="s">
        <v>75</v>
      </c>
      <c r="C20" s="402" t="str">
        <v>6L</v>
      </c>
      <c r="D20" s="402" t="str">
        <v>12L</v>
      </c>
      <c r="E20" s="400" t="str">
        <f t="shared" si="0"/>
        <v>GBP6L12L12Y</v>
      </c>
      <c r="F20" s="353" t="str">
        <v>GBP6L12L12Y=ICAP</v>
      </c>
      <c r="G20" s="520">
        <v>14.125</v>
      </c>
      <c r="H20" s="520">
        <v>30.125</v>
      </c>
      <c r="I20" s="520">
        <f>_xll.qlMidEquivalent(G20,H20)</f>
        <v>22.125</v>
      </c>
      <c r="J20" s="349" t="b">
        <f t="shared" si="1"/>
        <v>1</v>
      </c>
      <c r="K20" s="521">
        <v>22.125</v>
      </c>
      <c r="L20" s="343"/>
      <c r="M20" s="518">
        <v>22.5</v>
      </c>
      <c r="N20" s="343"/>
      <c r="O20" s="394" t="str">
        <f t="shared" si="2"/>
        <v>GBP6L12L12Y_Quote</v>
      </c>
      <c r="P20" s="517">
        <v>22.125</v>
      </c>
      <c r="Q20" s="348" t="e">
        <f>_xll.qlSimpleQuoteSetValue($O20,$P20/10000,Trigger)</f>
        <v>#N/A</v>
      </c>
      <c r="R20" s="218"/>
    </row>
    <row r="21" spans="1:18" x14ac:dyDescent="0.2">
      <c r="A21" s="118">
        <v>13</v>
      </c>
      <c r="B21" s="399" t="s">
        <v>74</v>
      </c>
      <c r="C21" s="402" t="str">
        <v>6L</v>
      </c>
      <c r="D21" s="402" t="str">
        <v>12L</v>
      </c>
      <c r="E21" s="400" t="str">
        <f t="shared" si="0"/>
        <v>GBP6L12L13Y</v>
      </c>
      <c r="F21" s="353" t="str">
        <v>GBP6L12L13Y=ICAP</v>
      </c>
      <c r="G21" s="520" t="s">
        <v>233</v>
      </c>
      <c r="H21" s="520" t="s">
        <v>233</v>
      </c>
      <c r="I21" s="520" t="e">
        <f>_xll.qlMidEquivalent(G21,H21)</f>
        <v>#NUM!</v>
      </c>
      <c r="J21" s="349" t="b">
        <f t="shared" si="1"/>
        <v>0</v>
      </c>
      <c r="K21" s="521">
        <v>21.450294221938027</v>
      </c>
      <c r="L21" s="343"/>
      <c r="M21" s="518">
        <v>21.759821623180205</v>
      </c>
      <c r="N21" s="343"/>
      <c r="O21" s="394" t="str">
        <f t="shared" si="2"/>
        <v>GBP6L12L13Y_Quote</v>
      </c>
      <c r="P21" s="517">
        <v>21.450294221938027</v>
      </c>
      <c r="Q21" s="348" t="e">
        <f>_xll.qlSimpleQuoteSetValue($O21,$P21/10000,Trigger)</f>
        <v>#N/A</v>
      </c>
      <c r="R21" s="218"/>
    </row>
    <row r="22" spans="1:18" x14ac:dyDescent="0.2">
      <c r="A22" s="118">
        <v>14</v>
      </c>
      <c r="B22" s="399" t="s">
        <v>73</v>
      </c>
      <c r="C22" s="402" t="str">
        <v>6L</v>
      </c>
      <c r="D22" s="402" t="str">
        <v>12L</v>
      </c>
      <c r="E22" s="400" t="str">
        <f t="shared" si="0"/>
        <v>GBP6L12L14Y</v>
      </c>
      <c r="F22" s="353" t="str">
        <v>GBP6L12L14Y=ICAP</v>
      </c>
      <c r="G22" s="520" t="s">
        <v>233</v>
      </c>
      <c r="H22" s="520" t="s">
        <v>233</v>
      </c>
      <c r="I22" s="520" t="e">
        <f>_xll.qlMidEquivalent(G22,H22)</f>
        <v>#NUM!</v>
      </c>
      <c r="J22" s="349" t="b">
        <f t="shared" si="1"/>
        <v>0</v>
      </c>
      <c r="K22" s="521">
        <v>20.771919926317349</v>
      </c>
      <c r="L22" s="343"/>
      <c r="M22" s="518">
        <v>21.099684119269718</v>
      </c>
      <c r="N22" s="343"/>
      <c r="O22" s="394" t="str">
        <f t="shared" si="2"/>
        <v>GBP6L12L14Y_Quote</v>
      </c>
      <c r="P22" s="517">
        <v>20.771919926317349</v>
      </c>
      <c r="Q22" s="348" t="e">
        <f>_xll.qlSimpleQuoteSetValue($O22,$P22/10000,Trigger)</f>
        <v>#N/A</v>
      </c>
      <c r="R22" s="218"/>
    </row>
    <row r="23" spans="1:18" x14ac:dyDescent="0.2">
      <c r="A23" s="118">
        <v>15</v>
      </c>
      <c r="B23" s="399" t="s">
        <v>72</v>
      </c>
      <c r="C23" s="402" t="str">
        <v>6L</v>
      </c>
      <c r="D23" s="402" t="str">
        <v>12L</v>
      </c>
      <c r="E23" s="400" t="str">
        <f t="shared" si="0"/>
        <v>GBP6L12L15Y</v>
      </c>
      <c r="F23" s="353" t="str">
        <v>GBP6L12L15Y=ICAP</v>
      </c>
      <c r="G23" s="520">
        <v>12.125</v>
      </c>
      <c r="H23" s="520">
        <v>28.125</v>
      </c>
      <c r="I23" s="520">
        <f>_xll.qlMidEquivalent(G23,H23)</f>
        <v>20.125</v>
      </c>
      <c r="J23" s="349" t="b">
        <f t="shared" si="1"/>
        <v>1</v>
      </c>
      <c r="K23" s="521">
        <v>20.125</v>
      </c>
      <c r="L23" s="343"/>
      <c r="M23" s="518">
        <v>20.5</v>
      </c>
      <c r="N23" s="343"/>
      <c r="O23" s="394" t="str">
        <f t="shared" si="2"/>
        <v>GBP6L12L15Y_Quote</v>
      </c>
      <c r="P23" s="517">
        <v>20.125</v>
      </c>
      <c r="Q23" s="348" t="e">
        <f>_xll.qlSimpleQuoteSetValue($O23,$P23/10000,Trigger)</f>
        <v>#N/A</v>
      </c>
      <c r="R23" s="218"/>
    </row>
    <row r="24" spans="1:18" x14ac:dyDescent="0.2">
      <c r="A24" s="118">
        <v>16</v>
      </c>
      <c r="B24" s="399" t="s">
        <v>71</v>
      </c>
      <c r="C24" s="402" t="str">
        <v>6L</v>
      </c>
      <c r="D24" s="402" t="str">
        <v>12L</v>
      </c>
      <c r="E24" s="400" t="str">
        <f t="shared" si="0"/>
        <v>GBP6L12L16Y</v>
      </c>
      <c r="F24" s="353" t="str">
        <v>GBP6L12L16Y=ICAP</v>
      </c>
      <c r="G24" s="520" t="s">
        <v>233</v>
      </c>
      <c r="H24" s="520" t="s">
        <v>233</v>
      </c>
      <c r="I24" s="520" t="e">
        <f>_xll.qlMidEquivalent(G24,H24)</f>
        <v>#NUM!</v>
      </c>
      <c r="J24" s="349" t="b">
        <f t="shared" si="1"/>
        <v>0</v>
      </c>
      <c r="K24" s="521">
        <v>19.536925194262938</v>
      </c>
      <c r="L24" s="343"/>
      <c r="M24" s="518">
        <v>19.943399232431609</v>
      </c>
      <c r="N24" s="343"/>
      <c r="O24" s="394" t="str">
        <f t="shared" si="2"/>
        <v>GBP6L12L16Y_Quote</v>
      </c>
      <c r="P24" s="517">
        <v>19.536925194262938</v>
      </c>
      <c r="Q24" s="348" t="e">
        <f>_xll.qlSimpleQuoteSetValue($O24,$P24/10000,Trigger)</f>
        <v>#N/A</v>
      </c>
      <c r="R24" s="218"/>
    </row>
    <row r="25" spans="1:18" x14ac:dyDescent="0.2">
      <c r="A25" s="118">
        <v>17</v>
      </c>
      <c r="B25" s="399" t="s">
        <v>70</v>
      </c>
      <c r="C25" s="402" t="str">
        <v>6L</v>
      </c>
      <c r="D25" s="402" t="str">
        <v>12L</v>
      </c>
      <c r="E25" s="400" t="str">
        <f t="shared" si="0"/>
        <v>GBP6L12L17Y</v>
      </c>
      <c r="F25" s="353" t="str">
        <v>GBP6L12L17Y=ICAP</v>
      </c>
      <c r="G25" s="520" t="s">
        <v>233</v>
      </c>
      <c r="H25" s="520" t="s">
        <v>233</v>
      </c>
      <c r="I25" s="520" t="e">
        <f>_xll.qlMidEquivalent(G25,H25)</f>
        <v>#NUM!</v>
      </c>
      <c r="J25" s="349" t="b">
        <f t="shared" si="1"/>
        <v>0</v>
      </c>
      <c r="K25" s="521">
        <v>19.004157718042823</v>
      </c>
      <c r="L25" s="343"/>
      <c r="M25" s="518">
        <v>19.421381604941438</v>
      </c>
      <c r="N25" s="343"/>
      <c r="O25" s="394" t="str">
        <f t="shared" si="2"/>
        <v>GBP6L12L17Y_Quote</v>
      </c>
      <c r="P25" s="517">
        <v>19.004157718042823</v>
      </c>
      <c r="Q25" s="348" t="e">
        <f>_xll.qlSimpleQuoteSetValue($O25,$P25/10000,Trigger)</f>
        <v>#N/A</v>
      </c>
      <c r="R25" s="218"/>
    </row>
    <row r="26" spans="1:18" x14ac:dyDescent="0.2">
      <c r="A26" s="118">
        <v>18</v>
      </c>
      <c r="B26" s="399" t="s">
        <v>69</v>
      </c>
      <c r="C26" s="402" t="str">
        <v>6L</v>
      </c>
      <c r="D26" s="402" t="str">
        <v>12L</v>
      </c>
      <c r="E26" s="400" t="str">
        <f t="shared" si="0"/>
        <v>GBP6L12L18Y</v>
      </c>
      <c r="F26" s="353" t="str">
        <v>GBP6L12L18Y=ICAP</v>
      </c>
      <c r="G26" s="520" t="s">
        <v>233</v>
      </c>
      <c r="H26" s="520" t="s">
        <v>233</v>
      </c>
      <c r="I26" s="520" t="e">
        <f>_xll.qlMidEquivalent(G26,H26)</f>
        <v>#NUM!</v>
      </c>
      <c r="J26" s="349" t="b">
        <f t="shared" si="1"/>
        <v>0</v>
      </c>
      <c r="K26" s="521">
        <v>18.51542764469124</v>
      </c>
      <c r="L26" s="343"/>
      <c r="M26" s="518">
        <v>18.927664361235458</v>
      </c>
      <c r="N26" s="343"/>
      <c r="O26" s="394" t="str">
        <f t="shared" si="2"/>
        <v>GBP6L12L18Y_Quote</v>
      </c>
      <c r="P26" s="517">
        <v>18.51542764469124</v>
      </c>
      <c r="Q26" s="348" t="e">
        <f>_xll.qlSimpleQuoteSetValue($O26,$P26/10000,Trigger)</f>
        <v>#N/A</v>
      </c>
      <c r="R26" s="218"/>
    </row>
    <row r="27" spans="1:18" x14ac:dyDescent="0.2">
      <c r="A27" s="118">
        <v>19</v>
      </c>
      <c r="B27" s="399" t="s">
        <v>68</v>
      </c>
      <c r="C27" s="402" t="str">
        <v>6L</v>
      </c>
      <c r="D27" s="402" t="str">
        <v>12L</v>
      </c>
      <c r="E27" s="400" t="str">
        <f t="shared" si="0"/>
        <v>GBP6L12L19Y</v>
      </c>
      <c r="F27" s="353" t="str">
        <v>GBP6L12L19Y=ICAP</v>
      </c>
      <c r="G27" s="520" t="s">
        <v>233</v>
      </c>
      <c r="H27" s="520" t="s">
        <v>233</v>
      </c>
      <c r="I27" s="520" t="e">
        <f>_xll.qlMidEquivalent(G27,H27)</f>
        <v>#NUM!</v>
      </c>
      <c r="J27" s="349" t="b">
        <f t="shared" si="1"/>
        <v>0</v>
      </c>
      <c r="K27" s="521">
        <v>18.059465047559769</v>
      </c>
      <c r="L27" s="343"/>
      <c r="M27" s="518">
        <v>18.455964745019656</v>
      </c>
      <c r="N27" s="343"/>
      <c r="O27" s="394" t="str">
        <f t="shared" si="2"/>
        <v>GBP6L12L19Y_Quote</v>
      </c>
      <c r="P27" s="517">
        <v>18.059465047559769</v>
      </c>
      <c r="Q27" s="348" t="e">
        <f>_xll.qlSimpleQuoteSetValue($O27,$P27/10000,Trigger)</f>
        <v>#N/A</v>
      </c>
      <c r="R27" s="218"/>
    </row>
    <row r="28" spans="1:18" x14ac:dyDescent="0.2">
      <c r="A28" s="118">
        <v>20</v>
      </c>
      <c r="B28" s="399" t="s">
        <v>67</v>
      </c>
      <c r="C28" s="402" t="str">
        <v>6L</v>
      </c>
      <c r="D28" s="402" t="str">
        <v>12L</v>
      </c>
      <c r="E28" s="400" t="str">
        <f t="shared" si="0"/>
        <v>GBP6L12L20Y</v>
      </c>
      <c r="F28" s="353" t="str">
        <v>GBP6L12L20Y=ICAP</v>
      </c>
      <c r="G28" s="520">
        <v>9.625</v>
      </c>
      <c r="H28" s="520">
        <v>25.625</v>
      </c>
      <c r="I28" s="520">
        <f>_xll.qlMidEquivalent(G28,H28)</f>
        <v>17.625</v>
      </c>
      <c r="J28" s="349" t="b">
        <f t="shared" si="1"/>
        <v>1</v>
      </c>
      <c r="K28" s="521">
        <v>17.625</v>
      </c>
      <c r="L28" s="343"/>
      <c r="M28" s="518">
        <v>18</v>
      </c>
      <c r="N28" s="343"/>
      <c r="O28" s="394" t="str">
        <f t="shared" si="2"/>
        <v>GBP6L12L20Y_Quote</v>
      </c>
      <c r="P28" s="517">
        <v>17.625</v>
      </c>
      <c r="Q28" s="348" t="e">
        <f>_xll.qlSimpleQuoteSetValue($O28,$P28/10000,Trigger)</f>
        <v>#N/A</v>
      </c>
      <c r="R28" s="218"/>
    </row>
    <row r="29" spans="1:18" x14ac:dyDescent="0.2">
      <c r="A29" s="118">
        <v>21</v>
      </c>
      <c r="B29" s="399" t="s">
        <v>66</v>
      </c>
      <c r="C29" s="402" t="str">
        <v>6L</v>
      </c>
      <c r="D29" s="402" t="str">
        <v>12L</v>
      </c>
      <c r="E29" s="400" t="str">
        <f t="shared" si="0"/>
        <v>GBP6L12L21Y</v>
      </c>
      <c r="F29" s="353" t="str">
        <v>GBP6L12L21Y=ICAP</v>
      </c>
      <c r="G29" s="520" t="s">
        <v>233</v>
      </c>
      <c r="H29" s="520" t="s">
        <v>233</v>
      </c>
      <c r="I29" s="520" t="e">
        <f>_xll.qlMidEquivalent(G29,H29)</f>
        <v>#NUM!</v>
      </c>
      <c r="J29" s="349" t="b">
        <f t="shared" si="1"/>
        <v>0</v>
      </c>
      <c r="K29" s="521">
        <v>17.203717050778856</v>
      </c>
      <c r="L29" s="343"/>
      <c r="M29" s="518">
        <v>17.555596946902046</v>
      </c>
      <c r="N29" s="343"/>
      <c r="O29" s="394" t="str">
        <f t="shared" si="2"/>
        <v>GBP6L12L21Y_Quote</v>
      </c>
      <c r="P29" s="517">
        <v>17.203717050778856</v>
      </c>
      <c r="Q29" s="348" t="e">
        <f>_xll.qlSimpleQuoteSetValue($O29,$P29/10000,Trigger)</f>
        <v>#N/A</v>
      </c>
      <c r="R29" s="218"/>
    </row>
    <row r="30" spans="1:18" x14ac:dyDescent="0.2">
      <c r="A30" s="118">
        <v>22</v>
      </c>
      <c r="B30" s="399" t="s">
        <v>65</v>
      </c>
      <c r="C30" s="402" t="str">
        <v>6L</v>
      </c>
      <c r="D30" s="402" t="str">
        <v>12L</v>
      </c>
      <c r="E30" s="400" t="str">
        <f t="shared" si="0"/>
        <v>GBP6L12L22Y</v>
      </c>
      <c r="F30" s="353" t="str">
        <v>GBP6L12L22Y=ICAP</v>
      </c>
      <c r="G30" s="520" t="s">
        <v>233</v>
      </c>
      <c r="H30" s="520" t="s">
        <v>233</v>
      </c>
      <c r="I30" s="520" t="e">
        <f>_xll.qlMidEquivalent(G30,H30)</f>
        <v>#NUM!</v>
      </c>
      <c r="J30" s="349" t="b">
        <f t="shared" si="1"/>
        <v>0</v>
      </c>
      <c r="K30" s="521">
        <v>16.79911865032464</v>
      </c>
      <c r="L30" s="343"/>
      <c r="M30" s="518">
        <v>17.127020714529646</v>
      </c>
      <c r="N30" s="343"/>
      <c r="O30" s="394" t="str">
        <f t="shared" si="2"/>
        <v>GBP6L12L22Y_Quote</v>
      </c>
      <c r="P30" s="517">
        <v>16.79911865032464</v>
      </c>
      <c r="Q30" s="348" t="e">
        <f>_xll.qlSimpleQuoteSetValue($O30,$P30/10000,Trigger)</f>
        <v>#N/A</v>
      </c>
      <c r="R30" s="218"/>
    </row>
    <row r="31" spans="1:18" x14ac:dyDescent="0.2">
      <c r="A31" s="118">
        <v>23</v>
      </c>
      <c r="B31" s="399" t="s">
        <v>64</v>
      </c>
      <c r="C31" s="402" t="str">
        <v>6L</v>
      </c>
      <c r="D31" s="402" t="str">
        <v>12L</v>
      </c>
      <c r="E31" s="400" t="str">
        <f t="shared" si="0"/>
        <v>GBP6L12L23Y</v>
      </c>
      <c r="F31" s="353" t="str">
        <v>GBP6L12L23Y=ICAP</v>
      </c>
      <c r="G31" s="520" t="s">
        <v>233</v>
      </c>
      <c r="H31" s="520" t="s">
        <v>233</v>
      </c>
      <c r="I31" s="520" t="e">
        <f>_xll.qlMidEquivalent(G31,H31)</f>
        <v>#NUM!</v>
      </c>
      <c r="J31" s="349" t="b">
        <f t="shared" si="1"/>
        <v>0</v>
      </c>
      <c r="K31" s="521">
        <v>16.417661724480997</v>
      </c>
      <c r="L31" s="343"/>
      <c r="M31" s="518">
        <v>16.720646008706218</v>
      </c>
      <c r="N31" s="343"/>
      <c r="O31" s="394" t="str">
        <f t="shared" si="2"/>
        <v>GBP6L12L23Y_Quote</v>
      </c>
      <c r="P31" s="517">
        <v>16.417661724480997</v>
      </c>
      <c r="Q31" s="348" t="e">
        <f>_xll.qlSimpleQuoteSetValue($O31,$P31/10000,Trigger)</f>
        <v>#N/A</v>
      </c>
      <c r="R31" s="218"/>
    </row>
    <row r="32" spans="1:18" x14ac:dyDescent="0.2">
      <c r="A32" s="118">
        <v>24</v>
      </c>
      <c r="B32" s="399" t="s">
        <v>63</v>
      </c>
      <c r="C32" s="402" t="str">
        <v>6L</v>
      </c>
      <c r="D32" s="402" t="str">
        <v>12L</v>
      </c>
      <c r="E32" s="400" t="str">
        <f t="shared" si="0"/>
        <v>GBP6L12L24Y</v>
      </c>
      <c r="F32" s="353" t="str">
        <v>GBP6L12L24Y=ICAP</v>
      </c>
      <c r="G32" s="520" t="s">
        <v>233</v>
      </c>
      <c r="H32" s="520" t="s">
        <v>233</v>
      </c>
      <c r="I32" s="520" t="e">
        <f>_xll.qlMidEquivalent(G32,H32)</f>
        <v>#NUM!</v>
      </c>
      <c r="J32" s="349" t="b">
        <f t="shared" si="1"/>
        <v>0</v>
      </c>
      <c r="K32" s="521">
        <v>16.065803199091569</v>
      </c>
      <c r="L32" s="343"/>
      <c r="M32" s="518">
        <v>16.342847535255196</v>
      </c>
      <c r="N32" s="343"/>
      <c r="O32" s="394" t="str">
        <f t="shared" si="2"/>
        <v>GBP6L12L24Y_Quote</v>
      </c>
      <c r="P32" s="517">
        <v>16.065803199091569</v>
      </c>
      <c r="Q32" s="348" t="e">
        <f>_xll.qlSimpleQuoteSetValue($O32,$P32/10000,Trigger)</f>
        <v>#N/A</v>
      </c>
      <c r="R32" s="218"/>
    </row>
    <row r="33" spans="1:18" x14ac:dyDescent="0.2">
      <c r="A33" s="118">
        <v>25</v>
      </c>
      <c r="B33" s="399" t="s">
        <v>62</v>
      </c>
      <c r="C33" s="402" t="str">
        <v>6L</v>
      </c>
      <c r="D33" s="402" t="str">
        <v>12L</v>
      </c>
      <c r="E33" s="400" t="str">
        <f t="shared" si="0"/>
        <v>GBP6L12L25Y</v>
      </c>
      <c r="F33" s="353" t="str">
        <v>GBP6L12L25Y=ICAP</v>
      </c>
      <c r="G33" s="520">
        <v>7.75</v>
      </c>
      <c r="H33" s="520">
        <v>23.75</v>
      </c>
      <c r="I33" s="520">
        <f>_xll.qlMidEquivalent(G33,H33)</f>
        <v>15.75</v>
      </c>
      <c r="J33" s="349" t="b">
        <f t="shared" si="1"/>
        <v>1</v>
      </c>
      <c r="K33" s="521">
        <v>15.75</v>
      </c>
      <c r="L33" s="343"/>
      <c r="M33" s="518">
        <v>16</v>
      </c>
      <c r="N33" s="343"/>
      <c r="O33" s="394" t="str">
        <f t="shared" si="2"/>
        <v>GBP6L12L25Y_Quote</v>
      </c>
      <c r="P33" s="517">
        <v>15.75</v>
      </c>
      <c r="Q33" s="348" t="e">
        <f>_xll.qlSimpleQuoteSetValue($O33,$P33/10000,Trigger)</f>
        <v>#N/A</v>
      </c>
      <c r="R33" s="218"/>
    </row>
    <row r="34" spans="1:18" x14ac:dyDescent="0.2">
      <c r="A34" s="118">
        <v>26</v>
      </c>
      <c r="B34" s="399" t="s">
        <v>61</v>
      </c>
      <c r="C34" s="402" t="str">
        <v>6L</v>
      </c>
      <c r="D34" s="402" t="str">
        <v>12L</v>
      </c>
      <c r="E34" s="400" t="str">
        <f t="shared" si="0"/>
        <v>GBP6L12L26Y</v>
      </c>
      <c r="F34" s="353" t="str">
        <v>GBP6L12L26Y=ICAP</v>
      </c>
      <c r="G34" s="520" t="s">
        <v>233</v>
      </c>
      <c r="H34" s="520" t="s">
        <v>233</v>
      </c>
      <c r="I34" s="520" t="e">
        <f>_xll.qlMidEquivalent(G34,H34)</f>
        <v>#NUM!</v>
      </c>
      <c r="J34" s="349" t="b">
        <f t="shared" si="1"/>
        <v>0</v>
      </c>
      <c r="K34" s="521">
        <v>15.474206602621635</v>
      </c>
      <c r="L34" s="343"/>
      <c r="M34" s="518">
        <v>15.696212979960205</v>
      </c>
      <c r="N34" s="343"/>
      <c r="O34" s="394" t="str">
        <f t="shared" si="2"/>
        <v>GBP6L12L26Y_Quote</v>
      </c>
      <c r="P34" s="517">
        <v>15.474206602621635</v>
      </c>
      <c r="Q34" s="348" t="e">
        <f>_xll.qlSimpleQuoteSetValue($O34,$P34/10000,Trigger)</f>
        <v>#N/A</v>
      </c>
      <c r="R34" s="218"/>
    </row>
    <row r="35" spans="1:18" x14ac:dyDescent="0.2">
      <c r="A35" s="118">
        <v>27</v>
      </c>
      <c r="B35" s="399" t="s">
        <v>60</v>
      </c>
      <c r="C35" s="402" t="str">
        <v>6L</v>
      </c>
      <c r="D35" s="402" t="str">
        <v>12L</v>
      </c>
      <c r="E35" s="400" t="str">
        <f t="shared" si="0"/>
        <v>GBP6L12L27Y</v>
      </c>
      <c r="F35" s="353" t="str">
        <v>GBP6L12L27Y=ICAP</v>
      </c>
      <c r="G35" s="520" t="s">
        <v>233</v>
      </c>
      <c r="H35" s="520" t="s">
        <v>233</v>
      </c>
      <c r="I35" s="520" t="e">
        <f>_xll.qlMidEquivalent(G35,H35)</f>
        <v>#NUM!</v>
      </c>
      <c r="J35" s="349" t="b">
        <f t="shared" si="1"/>
        <v>0</v>
      </c>
      <c r="K35" s="521">
        <v>15.232367680658612</v>
      </c>
      <c r="L35" s="343"/>
      <c r="M35" s="518">
        <v>15.426535536939982</v>
      </c>
      <c r="N35" s="343"/>
      <c r="O35" s="394" t="str">
        <f t="shared" si="2"/>
        <v>GBP6L12L27Y_Quote</v>
      </c>
      <c r="P35" s="517">
        <v>15.232367680658612</v>
      </c>
      <c r="Q35" s="348" t="e">
        <f>_xll.qlSimpleQuoteSetValue($O35,$P35/10000,Trigger)</f>
        <v>#N/A</v>
      </c>
      <c r="R35" s="218"/>
    </row>
    <row r="36" spans="1:18" x14ac:dyDescent="0.2">
      <c r="A36" s="118">
        <v>28</v>
      </c>
      <c r="B36" s="399" t="s">
        <v>59</v>
      </c>
      <c r="C36" s="402" t="str">
        <v>6L</v>
      </c>
      <c r="D36" s="402" t="str">
        <v>12L</v>
      </c>
      <c r="E36" s="400" t="str">
        <f t="shared" si="0"/>
        <v>GBP6L12L28Y</v>
      </c>
      <c r="F36" s="353" t="str">
        <v>GBP6L12L28Y=ICAP</v>
      </c>
      <c r="G36" s="520" t="s">
        <v>233</v>
      </c>
      <c r="H36" s="520" t="s">
        <v>233</v>
      </c>
      <c r="I36" s="520" t="e">
        <f>_xll.qlMidEquivalent(G36,H36)</f>
        <v>#NUM!</v>
      </c>
      <c r="J36" s="349" t="b">
        <f t="shared" si="1"/>
        <v>0</v>
      </c>
      <c r="K36" s="521">
        <v>15.015925457384773</v>
      </c>
      <c r="L36" s="343"/>
      <c r="M36" s="518">
        <v>15.183751603939658</v>
      </c>
      <c r="N36" s="343"/>
      <c r="O36" s="394" t="str">
        <f t="shared" si="2"/>
        <v>GBP6L12L28Y_Quote</v>
      </c>
      <c r="P36" s="517">
        <v>15.015925457384773</v>
      </c>
      <c r="Q36" s="348" t="e">
        <f>_xll.qlSimpleQuoteSetValue($O36,$P36/10000,Trigger)</f>
        <v>#N/A</v>
      </c>
      <c r="R36" s="218"/>
    </row>
    <row r="37" spans="1:18" x14ac:dyDescent="0.2">
      <c r="A37" s="118">
        <v>29</v>
      </c>
      <c r="B37" s="399" t="s">
        <v>58</v>
      </c>
      <c r="C37" s="402" t="str">
        <v>6L</v>
      </c>
      <c r="D37" s="402" t="str">
        <v>12L</v>
      </c>
      <c r="E37" s="400" t="str">
        <f t="shared" si="0"/>
        <v>GBP6L12L29Y</v>
      </c>
      <c r="F37" s="353" t="str">
        <v>GBP6L12L29Y=ICAP</v>
      </c>
      <c r="G37" s="520" t="s">
        <v>233</v>
      </c>
      <c r="H37" s="520" t="s">
        <v>233</v>
      </c>
      <c r="I37" s="520" t="e">
        <f>_xll.qlMidEquivalent(G37,H37)</f>
        <v>#NUM!</v>
      </c>
      <c r="J37" s="349" t="b">
        <f t="shared" si="1"/>
        <v>0</v>
      </c>
      <c r="K37" s="521">
        <v>14.816322156073955</v>
      </c>
      <c r="L37" s="343"/>
      <c r="M37" s="518">
        <v>14.960645113959556</v>
      </c>
      <c r="N37" s="343"/>
      <c r="O37" s="394" t="str">
        <f t="shared" si="2"/>
        <v>GBP6L12L29Y_Quote</v>
      </c>
      <c r="P37" s="517">
        <v>14.816322156073955</v>
      </c>
      <c r="Q37" s="348" t="e">
        <f>_xll.qlSimpleQuoteSetValue($O37,$P37/10000,Trigger)</f>
        <v>#N/A</v>
      </c>
      <c r="R37" s="218"/>
    </row>
    <row r="38" spans="1:18" x14ac:dyDescent="0.2">
      <c r="A38" s="118">
        <v>30</v>
      </c>
      <c r="B38" s="399" t="s">
        <v>57</v>
      </c>
      <c r="C38" s="402" t="str">
        <v>6L</v>
      </c>
      <c r="D38" s="402" t="str">
        <v>12L</v>
      </c>
      <c r="E38" s="400" t="str">
        <f t="shared" si="0"/>
        <v>GBP6L12L30Y</v>
      </c>
      <c r="F38" s="353" t="str">
        <v>GBP6L12L30Y=ICAP</v>
      </c>
      <c r="G38" s="520">
        <v>6.625</v>
      </c>
      <c r="H38" s="520">
        <v>22.625</v>
      </c>
      <c r="I38" s="520">
        <f>_xll.qlMidEquivalent(G38,H38)</f>
        <v>14.625</v>
      </c>
      <c r="J38" s="349" t="b">
        <f t="shared" si="1"/>
        <v>1</v>
      </c>
      <c r="K38" s="521">
        <v>14.625</v>
      </c>
      <c r="L38" s="343"/>
      <c r="M38" s="518">
        <v>14.75</v>
      </c>
      <c r="N38" s="343"/>
      <c r="O38" s="394" t="str">
        <f t="shared" si="2"/>
        <v>GBP6L12L30Y_Quote</v>
      </c>
      <c r="P38" s="517">
        <v>14.625</v>
      </c>
      <c r="Q38" s="348" t="e">
        <f>_xll.qlSimpleQuoteSetValue($O38,$P38/10000,Trigger)</f>
        <v>#N/A</v>
      </c>
      <c r="R38" s="218"/>
    </row>
    <row r="39" spans="1:18" x14ac:dyDescent="0.2">
      <c r="A39" s="118">
        <v>35</v>
      </c>
      <c r="B39" s="399" t="s">
        <v>52</v>
      </c>
      <c r="C39" s="402" t="str">
        <v>6L</v>
      </c>
      <c r="D39" s="402" t="str">
        <v>12L</v>
      </c>
      <c r="E39" s="400" t="str">
        <f t="shared" si="0"/>
        <v>GBP6L12L35Y</v>
      </c>
      <c r="F39" s="353" t="str">
        <v>GBP6L12L35Y=ICAP</v>
      </c>
      <c r="G39" s="520" t="s">
        <v>233</v>
      </c>
      <c r="H39" s="520" t="s">
        <v>233</v>
      </c>
      <c r="I39" s="520" t="e">
        <f>_xll.qlMidEquivalent(G39,H39)</f>
        <v>#NUM!</v>
      </c>
      <c r="J39" s="349" t="b">
        <f t="shared" si="1"/>
        <v>0</v>
      </c>
      <c r="K39" s="519">
        <f>K38</f>
        <v>14.625</v>
      </c>
      <c r="L39" s="343"/>
      <c r="M39" s="518">
        <v>14.75</v>
      </c>
      <c r="N39" s="343"/>
      <c r="O39" s="394" t="str">
        <f t="shared" si="2"/>
        <v>GBP6L12L35Y_Quote</v>
      </c>
      <c r="P39" s="517">
        <v>14.625</v>
      </c>
      <c r="Q39" s="348" t="e">
        <f>_xll.qlSimpleQuoteSetValue($O39,$P39/10000,Trigger)</f>
        <v>#N/A</v>
      </c>
      <c r="R39" s="218"/>
    </row>
    <row r="40" spans="1:18" x14ac:dyDescent="0.2">
      <c r="A40" s="118">
        <v>40</v>
      </c>
      <c r="B40" s="399" t="s">
        <v>47</v>
      </c>
      <c r="C40" s="402" t="str">
        <v>6L</v>
      </c>
      <c r="D40" s="402" t="str">
        <v>12L</v>
      </c>
      <c r="E40" s="400" t="str">
        <f t="shared" si="0"/>
        <v>GBP6L12L40Y</v>
      </c>
      <c r="F40" s="353" t="str">
        <v>GBP6L12L40Y=ICAP</v>
      </c>
      <c r="G40" s="520">
        <v>2.875</v>
      </c>
      <c r="H40" s="520">
        <v>22.875</v>
      </c>
      <c r="I40" s="520">
        <f>_xll.qlMidEquivalent(G40,H40)</f>
        <v>12.875</v>
      </c>
      <c r="J40" s="349" t="b">
        <f t="shared" si="1"/>
        <v>1</v>
      </c>
      <c r="K40" s="519">
        <f>K39</f>
        <v>14.625</v>
      </c>
      <c r="L40" s="343"/>
      <c r="M40" s="518">
        <v>14.75</v>
      </c>
      <c r="N40" s="343"/>
      <c r="O40" s="394" t="str">
        <f t="shared" si="2"/>
        <v>GBP6L12L40Y_Quote</v>
      </c>
      <c r="P40" s="517">
        <v>14.625</v>
      </c>
      <c r="Q40" s="348" t="e">
        <f>_xll.qlSimpleQuoteSetValue($O40,$P40/10000,Trigger)</f>
        <v>#N/A</v>
      </c>
      <c r="R40" s="218"/>
    </row>
    <row r="41" spans="1:18" x14ac:dyDescent="0.2">
      <c r="A41" s="118">
        <v>50</v>
      </c>
      <c r="B41" s="399" t="s">
        <v>37</v>
      </c>
      <c r="C41" s="402" t="str">
        <v>6L</v>
      </c>
      <c r="D41" s="402" t="str">
        <v>12L</v>
      </c>
      <c r="E41" s="400" t="str">
        <f t="shared" si="0"/>
        <v>GBP6L12L50Y</v>
      </c>
      <c r="F41" s="353" t="str">
        <v>GBP6L12L50Y=ICAP</v>
      </c>
      <c r="G41" s="520">
        <v>1.875</v>
      </c>
      <c r="H41" s="520">
        <v>21.875</v>
      </c>
      <c r="I41" s="520">
        <f>_xll.qlMidEquivalent(G41,H41)</f>
        <v>11.875</v>
      </c>
      <c r="J41" s="349" t="b">
        <f t="shared" si="1"/>
        <v>1</v>
      </c>
      <c r="K41" s="519">
        <f>K40</f>
        <v>14.625</v>
      </c>
      <c r="L41" s="343"/>
      <c r="M41" s="518">
        <v>14.75</v>
      </c>
      <c r="N41" s="343"/>
      <c r="O41" s="394" t="str">
        <f t="shared" si="2"/>
        <v>GBP6L12L50Y_Quote</v>
      </c>
      <c r="P41" s="517">
        <v>14.625</v>
      </c>
      <c r="Q41" s="348" t="e">
        <f>_xll.qlSimpleQuoteSetValue($O41,$P41/10000,Trigger)</f>
        <v>#N/A</v>
      </c>
      <c r="R41" s="218"/>
    </row>
    <row r="42" spans="1:18" x14ac:dyDescent="0.2">
      <c r="A42" s="118">
        <v>60</v>
      </c>
      <c r="B42" s="409" t="s">
        <v>27</v>
      </c>
      <c r="C42" s="398" t="str">
        <v>6L</v>
      </c>
      <c r="D42" s="398" t="str">
        <v>12L</v>
      </c>
      <c r="E42" s="396" t="str">
        <f t="shared" si="0"/>
        <v>GBP6L12L60Y</v>
      </c>
      <c r="F42" s="346" t="str">
        <v>GBP6L12L60Y=ICAP</v>
      </c>
      <c r="G42" s="516">
        <v>1.5</v>
      </c>
      <c r="H42" s="516">
        <v>21.5</v>
      </c>
      <c r="I42" s="516">
        <f>_xll.qlMidEquivalent(G42,H42)</f>
        <v>11.5</v>
      </c>
      <c r="J42" s="341" t="b">
        <f t="shared" si="1"/>
        <v>1</v>
      </c>
      <c r="K42" s="515">
        <f>K41</f>
        <v>14.625</v>
      </c>
      <c r="L42" s="343"/>
      <c r="M42" s="514">
        <v>14.75</v>
      </c>
      <c r="N42" s="343"/>
      <c r="O42" s="407" t="str">
        <f t="shared" si="2"/>
        <v>GBP6L12L60Y_Quote</v>
      </c>
      <c r="P42" s="513">
        <v>14.625</v>
      </c>
      <c r="Q42" s="340" t="e">
        <f>_xll.qlSimpleQuoteSetValue($O42,$P42/10000,Trigger)</f>
        <v>#N/A</v>
      </c>
      <c r="R42" s="218"/>
    </row>
    <row r="43" spans="1:18" ht="12" thickBot="1" x14ac:dyDescent="0.25">
      <c r="A43" s="32"/>
      <c r="B43" s="31"/>
      <c r="C43" s="31"/>
      <c r="D43" s="31"/>
      <c r="E43" s="31"/>
      <c r="F43" s="31"/>
      <c r="G43" s="31"/>
      <c r="H43" s="31"/>
      <c r="I43" s="31"/>
      <c r="J43" s="31"/>
      <c r="K43" s="31"/>
      <c r="L43" s="31"/>
      <c r="M43" s="31"/>
      <c r="N43" s="31"/>
      <c r="O43" s="31"/>
      <c r="P43" s="31"/>
      <c r="Q43" s="31"/>
      <c r="R43" s="384"/>
    </row>
    <row r="47" spans="1:18" x14ac:dyDescent="0.2">
      <c r="F47" s="512"/>
    </row>
    <row r="48" spans="1:18" x14ac:dyDescent="0.2">
      <c r="F48" s="512"/>
    </row>
    <row r="49" spans="6:6" x14ac:dyDescent="0.2">
      <c r="F49" s="512"/>
    </row>
    <row r="50" spans="6:6" x14ac:dyDescent="0.2">
      <c r="F50" s="512"/>
    </row>
    <row r="51" spans="6:6" x14ac:dyDescent="0.2">
      <c r="F51" s="512"/>
    </row>
    <row r="52" spans="6:6" x14ac:dyDescent="0.2">
      <c r="F52" s="512"/>
    </row>
    <row r="53" spans="6:6" x14ac:dyDescent="0.2">
      <c r="F53" s="512"/>
    </row>
    <row r="54" spans="6:6" x14ac:dyDescent="0.2">
      <c r="F54" s="512"/>
    </row>
    <row r="55" spans="6:6" x14ac:dyDescent="0.2">
      <c r="F55" s="512"/>
    </row>
    <row r="56" spans="6:6" x14ac:dyDescent="0.2">
      <c r="F56" s="512"/>
    </row>
    <row r="57" spans="6:6" x14ac:dyDescent="0.2">
      <c r="F57" s="512"/>
    </row>
    <row r="58" spans="6:6" x14ac:dyDescent="0.2">
      <c r="F58" s="512"/>
    </row>
    <row r="59" spans="6:6" x14ac:dyDescent="0.2">
      <c r="F59" s="512"/>
    </row>
    <row r="60" spans="6:6" x14ac:dyDescent="0.2">
      <c r="F60" s="511"/>
    </row>
    <row r="61" spans="6:6" x14ac:dyDescent="0.2">
      <c r="F61" s="511"/>
    </row>
    <row r="62" spans="6:6" x14ac:dyDescent="0.2">
      <c r="F62" s="511"/>
    </row>
    <row r="63" spans="6:6" x14ac:dyDescent="0.2">
      <c r="F63" s="511"/>
    </row>
  </sheetData>
  <conditionalFormatting sqref="Q5:Q42">
    <cfRule type="cellIs" dxfId="7" priority="1" stopIfTrue="1" operator="greaterThan">
      <formula>0</formula>
    </cfRule>
    <cfRule type="cellIs" dxfId="6"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38"/>
  <sheetViews>
    <sheetView workbookViewId="0"/>
  </sheetViews>
  <sheetFormatPr defaultRowHeight="12.75" x14ac:dyDescent="0.2"/>
  <cols>
    <col min="1" max="1" width="5" style="63" customWidth="1"/>
    <col min="2" max="2" width="3.85546875" style="63" bestFit="1" customWidth="1"/>
    <col min="3" max="3" width="2.7109375" style="63" bestFit="1" customWidth="1"/>
    <col min="4" max="4" width="4" style="63" bestFit="1" customWidth="1"/>
    <col min="5" max="5" width="9.85546875" style="63" bestFit="1" customWidth="1"/>
    <col min="6" max="6" width="14.14062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5" style="63" bestFit="1" customWidth="1"/>
    <col min="16" max="17" width="7.7109375" style="63" bestFit="1" customWidth="1"/>
    <col min="18" max="18" width="5" style="63" customWidth="1"/>
    <col min="19" max="19" width="5.140625" style="63" customWidth="1"/>
    <col min="20" max="16384" width="9.140625" style="63"/>
  </cols>
  <sheetData>
    <row r="1" spans="1:20" x14ac:dyDescent="0.2">
      <c r="A1" s="417" t="s">
        <v>356</v>
      </c>
      <c r="B1" s="201"/>
      <c r="C1" s="201"/>
      <c r="D1" s="201"/>
      <c r="E1" s="201"/>
      <c r="F1" s="201"/>
      <c r="G1" s="201"/>
      <c r="H1" s="201"/>
      <c r="I1" s="201"/>
      <c r="J1" s="201"/>
      <c r="K1" s="201"/>
      <c r="L1" s="201"/>
      <c r="M1" s="201"/>
      <c r="N1" s="201"/>
      <c r="O1" s="201"/>
      <c r="P1" s="201"/>
      <c r="Q1" s="201"/>
      <c r="R1" s="198"/>
    </row>
    <row r="2" spans="1:20" x14ac:dyDescent="0.2">
      <c r="A2" s="380"/>
      <c r="B2" s="133"/>
      <c r="C2" s="133"/>
      <c r="D2" s="133"/>
      <c r="E2" s="133"/>
      <c r="F2" s="140" t="s">
        <v>276</v>
      </c>
      <c r="G2" s="133"/>
      <c r="H2" s="133"/>
      <c r="I2" s="133"/>
      <c r="J2" s="133"/>
      <c r="K2" s="133"/>
      <c r="L2" s="343"/>
      <c r="M2" s="343"/>
      <c r="N2" s="343"/>
      <c r="O2" s="529" t="s">
        <v>289</v>
      </c>
      <c r="P2" s="528" t="s">
        <v>131</v>
      </c>
      <c r="Q2" s="133"/>
      <c r="R2" s="33"/>
    </row>
    <row r="3" spans="1:20" x14ac:dyDescent="0.2">
      <c r="A3" s="118"/>
      <c r="B3" s="343"/>
      <c r="C3" s="133"/>
      <c r="D3" s="133"/>
      <c r="E3" s="133"/>
      <c r="F3" s="133"/>
      <c r="G3" s="133"/>
      <c r="H3" s="133"/>
      <c r="I3" s="133"/>
      <c r="J3" s="133"/>
      <c r="K3" s="133"/>
      <c r="L3" s="343"/>
      <c r="M3" s="343"/>
      <c r="N3" s="343"/>
      <c r="O3" s="133"/>
      <c r="P3" s="133"/>
      <c r="Q3" s="459">
        <f>_xll.ohTrigger(Q5:Q24)</f>
        <v>3</v>
      </c>
      <c r="R3" s="218"/>
    </row>
    <row r="4" spans="1:20" ht="22.5" x14ac:dyDescent="0.2">
      <c r="A4" s="118"/>
      <c r="B4" s="500"/>
      <c r="C4" s="196"/>
      <c r="D4" s="196"/>
      <c r="E4" s="196"/>
      <c r="F4" s="374" t="e">
        <f ca="1">_xll.RData(F5:F37,G4:J4,"RTFEED:IDN",ReutersRtMode,,G5)</f>
        <v>#NAME?</v>
      </c>
      <c r="G4" s="415" t="s">
        <v>293</v>
      </c>
      <c r="H4" s="415" t="s">
        <v>265</v>
      </c>
      <c r="I4" s="415" t="s">
        <v>244</v>
      </c>
      <c r="J4" s="415" t="s">
        <v>292</v>
      </c>
      <c r="K4" s="369" t="s">
        <v>318</v>
      </c>
      <c r="L4" s="343"/>
      <c r="M4" s="372" t="s">
        <v>287</v>
      </c>
      <c r="N4" s="343"/>
      <c r="O4" s="371" t="s">
        <v>241</v>
      </c>
      <c r="P4" s="499" t="s">
        <v>286</v>
      </c>
      <c r="Q4" s="91" t="s">
        <v>285</v>
      </c>
      <c r="R4" s="218"/>
    </row>
    <row r="5" spans="1:20" x14ac:dyDescent="0.2">
      <c r="A5" s="118"/>
      <c r="B5" s="406" t="s">
        <v>19</v>
      </c>
      <c r="C5" s="405"/>
      <c r="D5" s="405" t="s">
        <v>179</v>
      </c>
      <c r="E5" s="403" t="str">
        <f t="shared" ref="E5:E37" si="0">Currency&amp;$C5&amp;$B5&amp;$D5</f>
        <v>GBPSWOIS</v>
      </c>
      <c r="F5" s="403" t="str">
        <f t="array" ref="F5:F37">Instruments&amp;"="&amp;VLOOKUP(Contributor,ContributorTable,2,FALSE)</f>
        <v>GBPSWOIS=ICAP</v>
      </c>
      <c r="G5" s="361">
        <v>0.38500000000000001</v>
      </c>
      <c r="H5" s="361">
        <v>0.44500000000000001</v>
      </c>
      <c r="I5" s="361">
        <v>0</v>
      </c>
      <c r="J5" s="361">
        <v>0</v>
      </c>
      <c r="K5" s="364">
        <f>_xll.qlMidEquivalent($G5,$H5,$I5,$J5)</f>
        <v>0.41500000000000004</v>
      </c>
      <c r="L5" s="343"/>
      <c r="M5" s="527">
        <v>0.41749999999999998</v>
      </c>
      <c r="N5" s="343"/>
      <c r="O5" s="410" t="str">
        <f t="shared" ref="O5:O37" si="1">$E5&amp;$P$2</f>
        <v>GBPSWOIS_Quote</v>
      </c>
      <c r="P5" s="361">
        <f t="array" ref="P5:P37">QuoteLive</f>
        <v>0.41500000000000004</v>
      </c>
      <c r="Q5" s="360" t="e">
        <f>_xll.qlSimpleQuoteSetValue($O5,$P5/100,Trigger)</f>
        <v>#N/A</v>
      </c>
      <c r="R5" s="218"/>
    </row>
    <row r="6" spans="1:20" x14ac:dyDescent="0.2">
      <c r="A6" s="118"/>
      <c r="B6" s="399" t="s">
        <v>18</v>
      </c>
      <c r="C6" s="402"/>
      <c r="D6" s="402" t="s">
        <v>179</v>
      </c>
      <c r="E6" s="400" t="str">
        <f t="shared" si="0"/>
        <v>GBP2WOIS</v>
      </c>
      <c r="F6" s="400" t="str">
        <v>GBP2WOIS=ICAP</v>
      </c>
      <c r="G6" s="349">
        <v>0.39624999999999999</v>
      </c>
      <c r="H6" s="349">
        <v>0.43625000000000003</v>
      </c>
      <c r="I6" s="349">
        <v>0</v>
      </c>
      <c r="J6" s="349">
        <v>0</v>
      </c>
      <c r="K6" s="352">
        <f>_xll.qlMidEquivalent($G6,$H6,$I6,$J6)</f>
        <v>0.41625000000000001</v>
      </c>
      <c r="L6" s="343"/>
      <c r="M6" s="497">
        <v>0.41749999999999998</v>
      </c>
      <c r="N6" s="343"/>
      <c r="O6" s="394" t="str">
        <f t="shared" si="1"/>
        <v>GBP2WOIS_Quote</v>
      </c>
      <c r="P6" s="349">
        <v>0.41625000000000001</v>
      </c>
      <c r="Q6" s="348" t="e">
        <f>_xll.qlSimpleQuoteSetValue($O6,$P6/100,Trigger)</f>
        <v>#N/A</v>
      </c>
      <c r="R6" s="218"/>
    </row>
    <row r="7" spans="1:20" x14ac:dyDescent="0.2">
      <c r="A7" s="118"/>
      <c r="B7" s="399" t="s">
        <v>16</v>
      </c>
      <c r="C7" s="402"/>
      <c r="D7" s="402" t="s">
        <v>179</v>
      </c>
      <c r="E7" s="400" t="str">
        <f t="shared" si="0"/>
        <v>GBP3WOIS</v>
      </c>
      <c r="F7" s="400" t="str">
        <v>GBP3WOIS=ICAP</v>
      </c>
      <c r="G7" s="349" t="s">
        <v>233</v>
      </c>
      <c r="H7" s="349" t="s">
        <v>233</v>
      </c>
      <c r="I7" s="349" t="s">
        <v>233</v>
      </c>
      <c r="J7" s="349" t="s">
        <v>233</v>
      </c>
      <c r="K7" s="352" t="e">
        <f>_xll.qlMidEquivalent($G7,$H7,$I7,$J7)</f>
        <v>#NUM!</v>
      </c>
      <c r="L7" s="343"/>
      <c r="M7" s="497" t="e">
        <v>#NUM!</v>
      </c>
      <c r="N7" s="343"/>
      <c r="O7" s="394" t="str">
        <f t="shared" si="1"/>
        <v>GBP3WOIS_Quote</v>
      </c>
      <c r="P7" s="349" t="e">
        <v>#NUM!</v>
      </c>
      <c r="Q7" s="348" t="e">
        <f>_xll.qlSimpleQuoteSetValue($O7,$P7/100,Trigger)</f>
        <v>#NUM!</v>
      </c>
      <c r="R7" s="218"/>
    </row>
    <row r="8" spans="1:20" x14ac:dyDescent="0.2">
      <c r="A8" s="118"/>
      <c r="B8" s="399" t="s">
        <v>15</v>
      </c>
      <c r="C8" s="402"/>
      <c r="D8" s="402" t="s">
        <v>179</v>
      </c>
      <c r="E8" s="400" t="str">
        <f t="shared" si="0"/>
        <v>GBP1MOIS</v>
      </c>
      <c r="F8" s="400" t="str">
        <v>GBP1MOIS=ICAP</v>
      </c>
      <c r="G8" s="349">
        <v>0.39624999999999999</v>
      </c>
      <c r="H8" s="349">
        <v>0.43625000000000003</v>
      </c>
      <c r="I8" s="349">
        <v>0</v>
      </c>
      <c r="J8" s="349">
        <v>0</v>
      </c>
      <c r="K8" s="352">
        <f>_xll.qlMidEquivalent($G8,$H8,$I8,$J8)</f>
        <v>0.41625000000000001</v>
      </c>
      <c r="L8" s="343"/>
      <c r="M8" s="497">
        <v>0.41749999999999998</v>
      </c>
      <c r="N8" s="343"/>
      <c r="O8" s="394" t="str">
        <f t="shared" si="1"/>
        <v>GBP1MOIS_Quote</v>
      </c>
      <c r="P8" s="349">
        <v>0.41625000000000001</v>
      </c>
      <c r="Q8" s="348" t="e">
        <f>_xll.qlSimpleQuoteSetValue($O8,$P8/100,Trigger)</f>
        <v>#N/A</v>
      </c>
      <c r="R8" s="218"/>
    </row>
    <row r="9" spans="1:20" x14ac:dyDescent="0.2">
      <c r="A9" s="118"/>
      <c r="B9" s="399" t="s">
        <v>13</v>
      </c>
      <c r="C9" s="402"/>
      <c r="D9" s="402" t="s">
        <v>179</v>
      </c>
      <c r="E9" s="400" t="str">
        <f t="shared" si="0"/>
        <v>GBP2MOIS</v>
      </c>
      <c r="F9" s="400" t="str">
        <v>GBP2MOIS=ICAP</v>
      </c>
      <c r="G9" s="349">
        <v>0.39250000000000002</v>
      </c>
      <c r="H9" s="349">
        <v>0.4325</v>
      </c>
      <c r="I9" s="349">
        <v>0</v>
      </c>
      <c r="J9" s="349">
        <v>0</v>
      </c>
      <c r="K9" s="352">
        <f>_xll.qlMidEquivalent($G9,$H9,$I9,$J9)</f>
        <v>0.41249999999999998</v>
      </c>
      <c r="L9" s="343"/>
      <c r="M9" s="497">
        <v>0.41249999999999998</v>
      </c>
      <c r="N9" s="343"/>
      <c r="O9" s="394" t="str">
        <f t="shared" si="1"/>
        <v>GBP2MOIS_Quote</v>
      </c>
      <c r="P9" s="349">
        <v>0.41249999999999998</v>
      </c>
      <c r="Q9" s="348" t="e">
        <f>_xll.qlSimpleQuoteSetValue($O9,$P9/100,Trigger)</f>
        <v>#N/A</v>
      </c>
      <c r="R9" s="218"/>
    </row>
    <row r="10" spans="1:20" x14ac:dyDescent="0.2">
      <c r="A10" s="118"/>
      <c r="B10" s="399" t="s">
        <v>12</v>
      </c>
      <c r="C10" s="402"/>
      <c r="D10" s="402" t="s">
        <v>179</v>
      </c>
      <c r="E10" s="400" t="str">
        <f t="shared" si="0"/>
        <v>GBP3MOIS</v>
      </c>
      <c r="F10" s="400" t="str">
        <v>GBP3MOIS=ICAP</v>
      </c>
      <c r="G10" s="349">
        <v>0.38874999999999998</v>
      </c>
      <c r="H10" s="349">
        <v>0.42875000000000002</v>
      </c>
      <c r="I10" s="349">
        <v>0</v>
      </c>
      <c r="J10" s="349">
        <v>0</v>
      </c>
      <c r="K10" s="352">
        <f>_xll.qlMidEquivalent($G10,$H10,$I10,$J10)</f>
        <v>0.40875</v>
      </c>
      <c r="L10" s="343"/>
      <c r="M10" s="497">
        <v>0.40749999999999997</v>
      </c>
      <c r="N10" s="343"/>
      <c r="O10" s="394" t="str">
        <f t="shared" si="1"/>
        <v>GBP3MOIS_Quote</v>
      </c>
      <c r="P10" s="349">
        <v>0.40875</v>
      </c>
      <c r="Q10" s="348" t="e">
        <f>_xll.qlSimpleQuoteSetValue($O10,$P10/100,Trigger)</f>
        <v>#N/A</v>
      </c>
      <c r="R10" s="218"/>
    </row>
    <row r="11" spans="1:20" x14ac:dyDescent="0.2">
      <c r="A11" s="118"/>
      <c r="B11" s="399" t="s">
        <v>11</v>
      </c>
      <c r="C11" s="402"/>
      <c r="D11" s="402" t="s">
        <v>179</v>
      </c>
      <c r="E11" s="400" t="str">
        <f t="shared" si="0"/>
        <v>GBP4MOIS</v>
      </c>
      <c r="F11" s="400" t="str">
        <v>GBP4MOIS=ICAP</v>
      </c>
      <c r="G11" s="349">
        <v>0.38374999999999998</v>
      </c>
      <c r="H11" s="349">
        <v>0.42375000000000002</v>
      </c>
      <c r="I11" s="349">
        <v>0</v>
      </c>
      <c r="J11" s="349">
        <v>0</v>
      </c>
      <c r="K11" s="352">
        <f>_xll.qlMidEquivalent($G11,$H11,$I11,$J11)</f>
        <v>0.40375</v>
      </c>
      <c r="L11" s="343"/>
      <c r="M11" s="497">
        <v>0.4</v>
      </c>
      <c r="N11" s="343"/>
      <c r="O11" s="394" t="str">
        <f t="shared" si="1"/>
        <v>GBP4MOIS_Quote</v>
      </c>
      <c r="P11" s="349">
        <v>0.40375</v>
      </c>
      <c r="Q11" s="348" t="e">
        <f>_xll.qlSimpleQuoteSetValue($O11,$P11/100,Trigger)</f>
        <v>#N/A</v>
      </c>
      <c r="R11" s="218"/>
      <c r="T11" s="526"/>
    </row>
    <row r="12" spans="1:20" x14ac:dyDescent="0.2">
      <c r="A12" s="118"/>
      <c r="B12" s="399" t="s">
        <v>9</v>
      </c>
      <c r="C12" s="402"/>
      <c r="D12" s="402" t="s">
        <v>179</v>
      </c>
      <c r="E12" s="400" t="str">
        <f t="shared" si="0"/>
        <v>GBP5MOIS</v>
      </c>
      <c r="F12" s="400" t="str">
        <v>GBP5MOIS=ICAP</v>
      </c>
      <c r="G12" s="349">
        <v>0.38</v>
      </c>
      <c r="H12" s="349">
        <v>0.42</v>
      </c>
      <c r="I12" s="349">
        <v>0</v>
      </c>
      <c r="J12" s="349">
        <v>0</v>
      </c>
      <c r="K12" s="352">
        <f>_xll.qlMidEquivalent($G12,$H12,$I12,$J12)</f>
        <v>0.4</v>
      </c>
      <c r="L12" s="343"/>
      <c r="M12" s="497">
        <v>0.39500000000000002</v>
      </c>
      <c r="N12" s="343"/>
      <c r="O12" s="394" t="str">
        <f t="shared" si="1"/>
        <v>GBP5MOIS_Quote</v>
      </c>
      <c r="P12" s="349">
        <v>0.4</v>
      </c>
      <c r="Q12" s="348" t="e">
        <f>_xll.qlSimpleQuoteSetValue($O12,$P12/100,Trigger)</f>
        <v>#N/A</v>
      </c>
      <c r="R12" s="218"/>
    </row>
    <row r="13" spans="1:20" x14ac:dyDescent="0.2">
      <c r="A13" s="118"/>
      <c r="B13" s="399" t="s">
        <v>8</v>
      </c>
      <c r="C13" s="402"/>
      <c r="D13" s="402" t="s">
        <v>179</v>
      </c>
      <c r="E13" s="400" t="str">
        <f t="shared" si="0"/>
        <v>GBP6MOIS</v>
      </c>
      <c r="F13" s="400" t="str">
        <v>GBP6MOIS=ICAP</v>
      </c>
      <c r="G13" s="349">
        <v>0.37624999999999997</v>
      </c>
      <c r="H13" s="349">
        <v>0.41625000000000001</v>
      </c>
      <c r="I13" s="349">
        <v>0</v>
      </c>
      <c r="J13" s="349">
        <v>0</v>
      </c>
      <c r="K13" s="352">
        <f>_xll.qlMidEquivalent($G13,$H13,$I13,$J13)</f>
        <v>0.39624999999999999</v>
      </c>
      <c r="L13" s="343"/>
      <c r="M13" s="497">
        <v>0.39</v>
      </c>
      <c r="N13" s="343"/>
      <c r="O13" s="394" t="str">
        <f t="shared" si="1"/>
        <v>GBP6MOIS_Quote</v>
      </c>
      <c r="P13" s="349">
        <v>0.39624999999999999</v>
      </c>
      <c r="Q13" s="348" t="e">
        <f>_xll.qlSimpleQuoteSetValue($O13,$P13/100,Trigger)</f>
        <v>#N/A</v>
      </c>
      <c r="R13" s="218"/>
    </row>
    <row r="14" spans="1:20" x14ac:dyDescent="0.2">
      <c r="A14" s="118"/>
      <c r="B14" s="399" t="s">
        <v>7</v>
      </c>
      <c r="C14" s="402"/>
      <c r="D14" s="402" t="s">
        <v>179</v>
      </c>
      <c r="E14" s="400" t="str">
        <f t="shared" si="0"/>
        <v>GBP7MOIS</v>
      </c>
      <c r="F14" s="400" t="str">
        <v>GBP7MOIS=ICAP</v>
      </c>
      <c r="G14" s="349">
        <v>0.3725</v>
      </c>
      <c r="H14" s="349">
        <v>0.41249999999999998</v>
      </c>
      <c r="I14" s="349">
        <v>0</v>
      </c>
      <c r="J14" s="349">
        <v>0</v>
      </c>
      <c r="K14" s="352">
        <f>_xll.qlMidEquivalent($G14,$H14,$I14,$J14)</f>
        <v>0.39249999999999996</v>
      </c>
      <c r="L14" s="343"/>
      <c r="M14" s="497">
        <v>0.38250000000000001</v>
      </c>
      <c r="N14" s="343"/>
      <c r="O14" s="394" t="str">
        <f t="shared" si="1"/>
        <v>GBP7MOIS_Quote</v>
      </c>
      <c r="P14" s="349">
        <v>0.39249999999999996</v>
      </c>
      <c r="Q14" s="348" t="e">
        <f>_xll.qlSimpleQuoteSetValue($O14,$P14/100,Trigger)</f>
        <v>#N/A</v>
      </c>
      <c r="R14" s="218"/>
    </row>
    <row r="15" spans="1:20" x14ac:dyDescent="0.2">
      <c r="A15" s="118"/>
      <c r="B15" s="399" t="s">
        <v>6</v>
      </c>
      <c r="C15" s="402"/>
      <c r="D15" s="402" t="s">
        <v>179</v>
      </c>
      <c r="E15" s="400" t="str">
        <f t="shared" si="0"/>
        <v>GBP8MOIS</v>
      </c>
      <c r="F15" s="400" t="str">
        <v>GBP8MOIS=ICAP</v>
      </c>
      <c r="G15" s="349">
        <v>0.37</v>
      </c>
      <c r="H15" s="349">
        <v>0.41</v>
      </c>
      <c r="I15" s="349">
        <v>0</v>
      </c>
      <c r="J15" s="349">
        <v>0</v>
      </c>
      <c r="K15" s="352">
        <f>_xll.qlMidEquivalent($G15,$H15,$I15,$J15)</f>
        <v>0.39</v>
      </c>
      <c r="L15" s="343"/>
      <c r="M15" s="497">
        <v>0.375</v>
      </c>
      <c r="N15" s="343"/>
      <c r="O15" s="394" t="str">
        <f t="shared" si="1"/>
        <v>GBP8MOIS_Quote</v>
      </c>
      <c r="P15" s="349">
        <v>0.39</v>
      </c>
      <c r="Q15" s="348" t="e">
        <f>_xll.qlSimpleQuoteSetValue($O15,$P15/100,Trigger)</f>
        <v>#N/A</v>
      </c>
      <c r="R15" s="218"/>
    </row>
    <row r="16" spans="1:20" x14ac:dyDescent="0.2">
      <c r="A16" s="118"/>
      <c r="B16" s="399" t="s">
        <v>4</v>
      </c>
      <c r="C16" s="402"/>
      <c r="D16" s="402" t="s">
        <v>179</v>
      </c>
      <c r="E16" s="400" t="str">
        <f t="shared" si="0"/>
        <v>GBP9MOIS</v>
      </c>
      <c r="F16" s="400" t="str">
        <v>GBP9MOIS=ICAP</v>
      </c>
      <c r="G16" s="349">
        <v>0.36625000000000002</v>
      </c>
      <c r="H16" s="349">
        <v>0.40625</v>
      </c>
      <c r="I16" s="349">
        <v>0</v>
      </c>
      <c r="J16" s="349">
        <v>0</v>
      </c>
      <c r="K16" s="352">
        <f>_xll.qlMidEquivalent($G16,$H16,$I16,$J16)</f>
        <v>0.38624999999999998</v>
      </c>
      <c r="L16" s="343"/>
      <c r="M16" s="497">
        <v>0.37</v>
      </c>
      <c r="N16" s="343"/>
      <c r="O16" s="394" t="str">
        <f t="shared" si="1"/>
        <v>GBP9MOIS_Quote</v>
      </c>
      <c r="P16" s="349">
        <v>0.38624999999999998</v>
      </c>
      <c r="Q16" s="348" t="e">
        <f>_xll.qlSimpleQuoteSetValue($O16,$P16/100,Trigger)</f>
        <v>#N/A</v>
      </c>
      <c r="R16" s="218"/>
    </row>
    <row r="17" spans="1:18" x14ac:dyDescent="0.2">
      <c r="A17" s="118"/>
      <c r="B17" s="399" t="s">
        <v>3</v>
      </c>
      <c r="C17" s="402"/>
      <c r="D17" s="402" t="s">
        <v>179</v>
      </c>
      <c r="E17" s="400" t="str">
        <f t="shared" si="0"/>
        <v>GBP10MOIS</v>
      </c>
      <c r="F17" s="400" t="str">
        <v>GBP10MOIS=ICAP</v>
      </c>
      <c r="G17" s="349">
        <v>0.36249999999999999</v>
      </c>
      <c r="H17" s="349">
        <v>0.40250000000000002</v>
      </c>
      <c r="I17" s="349">
        <v>0</v>
      </c>
      <c r="J17" s="349">
        <v>0</v>
      </c>
      <c r="K17" s="352">
        <f>_xll.qlMidEquivalent($G17,$H17,$I17,$J17)</f>
        <v>0.38250000000000001</v>
      </c>
      <c r="L17" s="343"/>
      <c r="M17" s="497">
        <v>0.36499999999999999</v>
      </c>
      <c r="N17" s="343"/>
      <c r="O17" s="394" t="str">
        <f t="shared" si="1"/>
        <v>GBP10MOIS_Quote</v>
      </c>
      <c r="P17" s="349">
        <v>0.38250000000000001</v>
      </c>
      <c r="Q17" s="348" t="e">
        <f>_xll.qlSimpleQuoteSetValue($O17,$P17/100,Trigger)</f>
        <v>#N/A</v>
      </c>
      <c r="R17" s="218"/>
    </row>
    <row r="18" spans="1:18" x14ac:dyDescent="0.2">
      <c r="A18" s="118"/>
      <c r="B18" s="399" t="s">
        <v>2</v>
      </c>
      <c r="C18" s="402"/>
      <c r="D18" s="402" t="s">
        <v>179</v>
      </c>
      <c r="E18" s="400" t="str">
        <f t="shared" si="0"/>
        <v>GBP11MOIS</v>
      </c>
      <c r="F18" s="400" t="str">
        <v>GBP11MOIS=ICAP</v>
      </c>
      <c r="G18" s="349">
        <v>0.36</v>
      </c>
      <c r="H18" s="349">
        <v>0.4</v>
      </c>
      <c r="I18" s="349">
        <v>0</v>
      </c>
      <c r="J18" s="349">
        <v>0</v>
      </c>
      <c r="K18" s="352">
        <f>_xll.qlMidEquivalent($G18,$H18,$I18,$J18)</f>
        <v>0.38</v>
      </c>
      <c r="L18" s="343"/>
      <c r="M18" s="497">
        <v>0.36</v>
      </c>
      <c r="N18" s="343"/>
      <c r="O18" s="394" t="str">
        <f t="shared" si="1"/>
        <v>GBP11MOIS_Quote</v>
      </c>
      <c r="P18" s="349">
        <v>0.38</v>
      </c>
      <c r="Q18" s="348" t="e">
        <f>_xll.qlSimpleQuoteSetValue($O18,$P18/100,Trigger)</f>
        <v>#N/A</v>
      </c>
      <c r="R18" s="218"/>
    </row>
    <row r="19" spans="1:18" x14ac:dyDescent="0.2">
      <c r="A19" s="118"/>
      <c r="B19" s="399" t="s">
        <v>1</v>
      </c>
      <c r="C19" s="402"/>
      <c r="D19" s="402" t="s">
        <v>179</v>
      </c>
      <c r="E19" s="400" t="str">
        <f t="shared" si="0"/>
        <v>GBP1YOIS</v>
      </c>
      <c r="F19" s="400" t="str">
        <v>GBP1YOIS=ICAP</v>
      </c>
      <c r="G19" s="349">
        <v>0.35749999999999998</v>
      </c>
      <c r="H19" s="349">
        <v>0.39750000000000002</v>
      </c>
      <c r="I19" s="349">
        <v>0</v>
      </c>
      <c r="J19" s="349">
        <v>0</v>
      </c>
      <c r="K19" s="352">
        <f>_xll.qlMidEquivalent($G19,$H19,$I19,$J19)</f>
        <v>0.3775</v>
      </c>
      <c r="L19" s="343"/>
      <c r="M19" s="497">
        <v>0.35749999999999998</v>
      </c>
      <c r="N19" s="343"/>
      <c r="O19" s="394" t="str">
        <f t="shared" si="1"/>
        <v>GBP1YOIS_Quote</v>
      </c>
      <c r="P19" s="349">
        <v>0.3775</v>
      </c>
      <c r="Q19" s="348" t="e">
        <f>_xll.qlSimpleQuoteSetValue($O19,$P19/100,Trigger)</f>
        <v>#N/A</v>
      </c>
      <c r="R19" s="218"/>
    </row>
    <row r="20" spans="1:18" x14ac:dyDescent="0.2">
      <c r="A20" s="118"/>
      <c r="B20" s="399" t="s">
        <v>124</v>
      </c>
      <c r="C20" s="402"/>
      <c r="D20" s="402" t="s">
        <v>179</v>
      </c>
      <c r="E20" s="400" t="str">
        <f t="shared" si="0"/>
        <v>GBP15MOIS</v>
      </c>
      <c r="F20" s="400" t="str">
        <v>GBP15MOIS=ICAP</v>
      </c>
      <c r="G20" s="349">
        <v>0.35375000000000001</v>
      </c>
      <c r="H20" s="349">
        <v>0.39374999999999999</v>
      </c>
      <c r="I20" s="349">
        <v>0</v>
      </c>
      <c r="J20" s="349">
        <v>0</v>
      </c>
      <c r="K20" s="352">
        <f>_xll.qlMidEquivalent($G20,$H20,$I20,$J20)</f>
        <v>0.37375000000000003</v>
      </c>
      <c r="L20" s="343"/>
      <c r="M20" s="497">
        <v>0.34749999999999998</v>
      </c>
      <c r="N20" s="343"/>
      <c r="O20" s="394" t="str">
        <f t="shared" si="1"/>
        <v>GBP15MOIS_Quote</v>
      </c>
      <c r="P20" s="349">
        <v>0.37375000000000003</v>
      </c>
      <c r="Q20" s="348" t="e">
        <f>_xll.qlSimpleQuoteSetValue($O20,$P20/100,Trigger)</f>
        <v>#N/A</v>
      </c>
      <c r="R20" s="218"/>
    </row>
    <row r="21" spans="1:18" x14ac:dyDescent="0.2">
      <c r="A21" s="118"/>
      <c r="B21" s="399" t="s">
        <v>123</v>
      </c>
      <c r="C21" s="402"/>
      <c r="D21" s="402" t="s">
        <v>179</v>
      </c>
      <c r="E21" s="400" t="str">
        <f t="shared" si="0"/>
        <v>GBP18MOIS</v>
      </c>
      <c r="F21" s="400" t="str">
        <v>GBP18MOIS=ICAP</v>
      </c>
      <c r="G21" s="349">
        <v>0.36</v>
      </c>
      <c r="H21" s="349">
        <v>0.39</v>
      </c>
      <c r="I21" s="349">
        <v>0</v>
      </c>
      <c r="J21" s="349">
        <v>0</v>
      </c>
      <c r="K21" s="352">
        <f>_xll.qlMidEquivalent($G21,$H21,$I21,$J21)</f>
        <v>0.375</v>
      </c>
      <c r="L21" s="343"/>
      <c r="M21" s="497">
        <v>0.34499999999999997</v>
      </c>
      <c r="N21" s="343"/>
      <c r="O21" s="394" t="str">
        <f t="shared" si="1"/>
        <v>GBP18MOIS_Quote</v>
      </c>
      <c r="P21" s="349">
        <v>0.375</v>
      </c>
      <c r="Q21" s="348" t="e">
        <f>_xll.qlSimpleQuoteSetValue($O21,$P21/100,Trigger)</f>
        <v>#N/A</v>
      </c>
      <c r="R21" s="218"/>
    </row>
    <row r="22" spans="1:18" x14ac:dyDescent="0.2">
      <c r="A22" s="118"/>
      <c r="B22" s="399" t="s">
        <v>122</v>
      </c>
      <c r="C22" s="402"/>
      <c r="D22" s="402" t="s">
        <v>179</v>
      </c>
      <c r="E22" s="400" t="str">
        <f t="shared" si="0"/>
        <v>GBP21MOIS</v>
      </c>
      <c r="F22" s="400" t="str">
        <v>GBP21MOIS=ICAP</v>
      </c>
      <c r="G22" s="349" t="s">
        <v>233</v>
      </c>
      <c r="H22" s="349" t="s">
        <v>233</v>
      </c>
      <c r="I22" s="349" t="s">
        <v>233</v>
      </c>
      <c r="J22" s="349" t="s">
        <v>233</v>
      </c>
      <c r="K22" s="352" t="e">
        <f>_xll.qlMidEquivalent($G22,$H22,$I22,$J22)</f>
        <v>#NUM!</v>
      </c>
      <c r="L22" s="343"/>
      <c r="M22" s="497" t="e">
        <v>#NUM!</v>
      </c>
      <c r="N22" s="343"/>
      <c r="O22" s="394" t="str">
        <f t="shared" si="1"/>
        <v>GBP21MOIS_Quote</v>
      </c>
      <c r="P22" s="349" t="e">
        <v>#NUM!</v>
      </c>
      <c r="Q22" s="348" t="e">
        <f>_xll.qlSimpleQuoteSetValue($O22,$P22/100,Trigger)</f>
        <v>#NUM!</v>
      </c>
      <c r="R22" s="218"/>
    </row>
    <row r="23" spans="1:18" x14ac:dyDescent="0.2">
      <c r="A23" s="118"/>
      <c r="B23" s="399" t="s">
        <v>85</v>
      </c>
      <c r="C23" s="402"/>
      <c r="D23" s="402" t="s">
        <v>179</v>
      </c>
      <c r="E23" s="400" t="str">
        <f t="shared" si="0"/>
        <v>GBP2YOIS</v>
      </c>
      <c r="F23" s="400" t="str">
        <v>GBP2YOIS=ICAP</v>
      </c>
      <c r="G23" s="349">
        <v>0.3775</v>
      </c>
      <c r="H23" s="349">
        <v>0.40749999999999997</v>
      </c>
      <c r="I23" s="349">
        <v>0</v>
      </c>
      <c r="J23" s="349">
        <v>0</v>
      </c>
      <c r="K23" s="352">
        <f>_xll.qlMidEquivalent($G23,$H23,$I23,$J23)</f>
        <v>0.39249999999999996</v>
      </c>
      <c r="L23" s="343"/>
      <c r="M23" s="497">
        <v>0.34749999999999998</v>
      </c>
      <c r="N23" s="343"/>
      <c r="O23" s="394" t="str">
        <f t="shared" si="1"/>
        <v>GBP2YOIS_Quote</v>
      </c>
      <c r="P23" s="349">
        <v>0.39249999999999996</v>
      </c>
      <c r="Q23" s="348" t="e">
        <f>_xll.qlSimpleQuoteSetValue($O23,$P23/100,Trigger)</f>
        <v>#N/A</v>
      </c>
      <c r="R23" s="218"/>
    </row>
    <row r="24" spans="1:18" x14ac:dyDescent="0.2">
      <c r="A24" s="118"/>
      <c r="B24" s="399" t="s">
        <v>84</v>
      </c>
      <c r="C24" s="402"/>
      <c r="D24" s="402" t="s">
        <v>179</v>
      </c>
      <c r="E24" s="400" t="str">
        <f t="shared" si="0"/>
        <v>GBP3YOIS</v>
      </c>
      <c r="F24" s="400" t="str">
        <v>GBP3YOIS=ICAP</v>
      </c>
      <c r="G24" s="349">
        <v>0.46875</v>
      </c>
      <c r="H24" s="349">
        <v>0.49875000000000003</v>
      </c>
      <c r="I24" s="349">
        <v>0</v>
      </c>
      <c r="J24" s="349">
        <v>0</v>
      </c>
      <c r="K24" s="352">
        <f>_xll.qlMidEquivalent($G24,$H24,$I24,$J24)</f>
        <v>0.48375000000000001</v>
      </c>
      <c r="L24" s="343"/>
      <c r="M24" s="497">
        <v>0.40500000000000003</v>
      </c>
      <c r="N24" s="343"/>
      <c r="O24" s="394" t="str">
        <f t="shared" si="1"/>
        <v>GBP3YOIS_Quote</v>
      </c>
      <c r="P24" s="349">
        <v>0.48375000000000001</v>
      </c>
      <c r="Q24" s="348" t="e">
        <f>_xll.qlSimpleQuoteSetValue($O24,$P24/100,Trigger)</f>
        <v>#N/A</v>
      </c>
      <c r="R24" s="218"/>
    </row>
    <row r="25" spans="1:18" x14ac:dyDescent="0.2">
      <c r="A25" s="118"/>
      <c r="B25" s="525" t="s">
        <v>83</v>
      </c>
      <c r="C25" s="402"/>
      <c r="D25" s="402" t="s">
        <v>179</v>
      </c>
      <c r="E25" s="400" t="str">
        <f t="shared" si="0"/>
        <v>GBP4YOIS</v>
      </c>
      <c r="F25" s="400" t="str">
        <v>GBP4YOIS=ICAP</v>
      </c>
      <c r="G25" s="349">
        <v>0.61624999999999996</v>
      </c>
      <c r="H25" s="349">
        <v>0.66625000000000001</v>
      </c>
      <c r="I25" s="349">
        <v>0</v>
      </c>
      <c r="J25" s="349">
        <v>0</v>
      </c>
      <c r="K25" s="352">
        <f>_xll.qlMidEquivalent($G25,$H25,$I25,$J25)</f>
        <v>0.64124999999999999</v>
      </c>
      <c r="L25" s="343"/>
      <c r="M25" s="497">
        <v>0.51749999999999996</v>
      </c>
      <c r="N25" s="343"/>
      <c r="O25" s="394" t="str">
        <f t="shared" si="1"/>
        <v>GBP4YOIS_Quote</v>
      </c>
      <c r="P25" s="349">
        <v>0.64124999999999999</v>
      </c>
      <c r="Q25" s="348" t="e">
        <f>_xll.qlSimpleQuoteSetValue($O25,$P25/100,Trigger)</f>
        <v>#N/A</v>
      </c>
      <c r="R25" s="218"/>
    </row>
    <row r="26" spans="1:18" x14ac:dyDescent="0.2">
      <c r="A26" s="118"/>
      <c r="B26" s="525" t="s">
        <v>82</v>
      </c>
      <c r="C26" s="402"/>
      <c r="D26" s="402" t="s">
        <v>179</v>
      </c>
      <c r="E26" s="400" t="str">
        <f t="shared" si="0"/>
        <v>GBP5YOIS</v>
      </c>
      <c r="F26" s="400" t="str">
        <v>GBP5YOIS=ICAP</v>
      </c>
      <c r="G26" s="349">
        <v>0.81</v>
      </c>
      <c r="H26" s="349">
        <v>0.86</v>
      </c>
      <c r="I26" s="349">
        <v>0</v>
      </c>
      <c r="J26" s="349">
        <v>0</v>
      </c>
      <c r="K26" s="352">
        <f>_xll.qlMidEquivalent($G26,$H26,$I26,$J26)</f>
        <v>0.83499999999999996</v>
      </c>
      <c r="L26" s="343"/>
      <c r="M26" s="497">
        <v>0.67</v>
      </c>
      <c r="N26" s="343"/>
      <c r="O26" s="394" t="str">
        <f t="shared" si="1"/>
        <v>GBP5YOIS_Quote</v>
      </c>
      <c r="P26" s="349">
        <v>0.83499999999999996</v>
      </c>
      <c r="Q26" s="348" t="e">
        <f>_xll.qlSimpleQuoteSetValue($O26,$P26/100,Trigger)</f>
        <v>#N/A</v>
      </c>
      <c r="R26" s="218"/>
    </row>
    <row r="27" spans="1:18" x14ac:dyDescent="0.2">
      <c r="A27" s="118"/>
      <c r="B27" s="525" t="s">
        <v>81</v>
      </c>
      <c r="C27" s="402"/>
      <c r="D27" s="402" t="s">
        <v>179</v>
      </c>
      <c r="E27" s="400" t="str">
        <f t="shared" si="0"/>
        <v>GBP6YOIS</v>
      </c>
      <c r="F27" s="400" t="str">
        <v>GBP6YOIS=ICAP</v>
      </c>
      <c r="G27" s="349">
        <v>1.0137499999999999</v>
      </c>
      <c r="H27" s="349">
        <v>1.06375</v>
      </c>
      <c r="I27" s="349">
        <v>0</v>
      </c>
      <c r="J27" s="349">
        <v>0</v>
      </c>
      <c r="K27" s="352">
        <f>_xll.qlMidEquivalent($G27,$H27,$I27,$J27)</f>
        <v>1.0387499999999998</v>
      </c>
      <c r="L27" s="343"/>
      <c r="M27" s="497">
        <v>0.84250000000000003</v>
      </c>
      <c r="N27" s="343"/>
      <c r="O27" s="394" t="str">
        <f t="shared" si="1"/>
        <v>GBP6YOIS_Quote</v>
      </c>
      <c r="P27" s="349">
        <v>1.0387499999999998</v>
      </c>
      <c r="Q27" s="348" t="e">
        <f>_xll.qlSimpleQuoteSetValue($O27,$P27/100,Trigger)</f>
        <v>#N/A</v>
      </c>
      <c r="R27" s="218"/>
    </row>
    <row r="28" spans="1:18" x14ac:dyDescent="0.2">
      <c r="A28" s="118"/>
      <c r="B28" s="525" t="s">
        <v>80</v>
      </c>
      <c r="C28" s="402"/>
      <c r="D28" s="402" t="s">
        <v>179</v>
      </c>
      <c r="E28" s="400" t="str">
        <f t="shared" si="0"/>
        <v>GBP7YOIS</v>
      </c>
      <c r="F28" s="400" t="str">
        <v>GBP7YOIS=ICAP</v>
      </c>
      <c r="G28" s="349">
        <v>1.2250000000000001</v>
      </c>
      <c r="H28" s="349">
        <v>1.2749999999999999</v>
      </c>
      <c r="I28" s="349">
        <v>0</v>
      </c>
      <c r="J28" s="349">
        <v>0</v>
      </c>
      <c r="K28" s="352">
        <f>_xll.qlMidEquivalent($G28,$H28,$I28,$J28)</f>
        <v>1.25</v>
      </c>
      <c r="L28" s="343"/>
      <c r="M28" s="497">
        <v>1.03</v>
      </c>
      <c r="N28" s="343"/>
      <c r="O28" s="394" t="str">
        <f t="shared" si="1"/>
        <v>GBP7YOIS_Quote</v>
      </c>
      <c r="P28" s="349">
        <v>1.25</v>
      </c>
      <c r="Q28" s="348" t="e">
        <f>_xll.qlSimpleQuoteSetValue($O28,$P28/100,Trigger)</f>
        <v>#N/A</v>
      </c>
      <c r="R28" s="218"/>
    </row>
    <row r="29" spans="1:18" x14ac:dyDescent="0.2">
      <c r="A29" s="118"/>
      <c r="B29" s="525" t="s">
        <v>79</v>
      </c>
      <c r="C29" s="402"/>
      <c r="D29" s="402" t="s">
        <v>179</v>
      </c>
      <c r="E29" s="400" t="str">
        <f t="shared" si="0"/>
        <v>GBP8YOIS</v>
      </c>
      <c r="F29" s="400" t="str">
        <v>GBP8YOIS=ICAP</v>
      </c>
      <c r="G29" s="349">
        <v>1.4312499999999999</v>
      </c>
      <c r="H29" s="349">
        <v>1.48125</v>
      </c>
      <c r="I29" s="349">
        <v>0</v>
      </c>
      <c r="J29" s="349">
        <v>0</v>
      </c>
      <c r="K29" s="352">
        <f>_xll.qlMidEquivalent($G29,$H29,$I29,$J29)</f>
        <v>1.4562499999999998</v>
      </c>
      <c r="L29" s="343"/>
      <c r="M29" s="497">
        <v>1.22</v>
      </c>
      <c r="N29" s="343"/>
      <c r="O29" s="394" t="str">
        <f t="shared" si="1"/>
        <v>GBP8YOIS_Quote</v>
      </c>
      <c r="P29" s="349">
        <v>1.4562499999999998</v>
      </c>
      <c r="Q29" s="348" t="e">
        <f>_xll.qlSimpleQuoteSetValue($O29,$P29/100,Trigger)</f>
        <v>#N/A</v>
      </c>
      <c r="R29" s="218"/>
    </row>
    <row r="30" spans="1:18" x14ac:dyDescent="0.2">
      <c r="A30" s="118"/>
      <c r="B30" s="525" t="s">
        <v>78</v>
      </c>
      <c r="C30" s="402"/>
      <c r="D30" s="402" t="s">
        <v>179</v>
      </c>
      <c r="E30" s="400" t="str">
        <f t="shared" si="0"/>
        <v>GBP9YOIS</v>
      </c>
      <c r="F30" s="400" t="str">
        <v>GBP9YOIS=ICAP</v>
      </c>
      <c r="G30" s="349">
        <v>1.62375</v>
      </c>
      <c r="H30" s="349">
        <v>1.6737500000000001</v>
      </c>
      <c r="I30" s="349">
        <v>0</v>
      </c>
      <c r="J30" s="349">
        <v>0</v>
      </c>
      <c r="K30" s="352">
        <f>_xll.qlMidEquivalent($G30,$H30,$I30,$J30)</f>
        <v>1.6487500000000002</v>
      </c>
      <c r="L30" s="343"/>
      <c r="M30" s="497">
        <v>1.405</v>
      </c>
      <c r="N30" s="343"/>
      <c r="O30" s="394" t="str">
        <f t="shared" si="1"/>
        <v>GBP9YOIS_Quote</v>
      </c>
      <c r="P30" s="349">
        <v>1.6487500000000002</v>
      </c>
      <c r="Q30" s="348" t="e">
        <f>_xll.qlSimpleQuoteSetValue($O30,$P30/100,Trigger)</f>
        <v>#N/A</v>
      </c>
      <c r="R30" s="218"/>
    </row>
    <row r="31" spans="1:18" x14ac:dyDescent="0.2">
      <c r="A31" s="118"/>
      <c r="B31" s="525" t="s">
        <v>77</v>
      </c>
      <c r="C31" s="402"/>
      <c r="D31" s="402" t="s">
        <v>179</v>
      </c>
      <c r="E31" s="400" t="str">
        <f t="shared" si="0"/>
        <v>GBP10YOIS</v>
      </c>
      <c r="F31" s="400" t="str">
        <v>GBP10YOIS=ICAP</v>
      </c>
      <c r="G31" s="349">
        <v>1.7962499999999999</v>
      </c>
      <c r="H31" s="349">
        <v>1.8462499999999999</v>
      </c>
      <c r="I31" s="349">
        <v>0</v>
      </c>
      <c r="J31" s="349">
        <v>0</v>
      </c>
      <c r="K31" s="352">
        <f>_xll.qlMidEquivalent($G31,$H31,$I31,$J31)</f>
        <v>1.82125</v>
      </c>
      <c r="L31" s="343"/>
      <c r="M31" s="497">
        <v>1.575</v>
      </c>
      <c r="N31" s="343"/>
      <c r="O31" s="394" t="str">
        <f t="shared" si="1"/>
        <v>GBP10YOIS_Quote</v>
      </c>
      <c r="P31" s="349">
        <v>1.82125</v>
      </c>
      <c r="Q31" s="348" t="e">
        <f>_xll.qlSimpleQuoteSetValue($O31,$P31/100,Trigger)</f>
        <v>#N/A</v>
      </c>
      <c r="R31" s="218"/>
    </row>
    <row r="32" spans="1:18" x14ac:dyDescent="0.2">
      <c r="A32" s="118"/>
      <c r="B32" s="525" t="s">
        <v>76</v>
      </c>
      <c r="C32" s="402"/>
      <c r="D32" s="402" t="s">
        <v>179</v>
      </c>
      <c r="E32" s="400" t="str">
        <f t="shared" si="0"/>
        <v>GBP11YOIS</v>
      </c>
      <c r="F32" s="400" t="str">
        <v>GBP11YOIS=ICAP</v>
      </c>
      <c r="G32" s="349" t="s">
        <v>233</v>
      </c>
      <c r="H32" s="349" t="s">
        <v>233</v>
      </c>
      <c r="I32" s="349" t="s">
        <v>233</v>
      </c>
      <c r="J32" s="349" t="s">
        <v>233</v>
      </c>
      <c r="K32" s="352" t="e">
        <f>_xll.qlMidEquivalent($G32,$H32,$I32,$J32)</f>
        <v>#NUM!</v>
      </c>
      <c r="L32" s="343"/>
      <c r="M32" s="497" t="e">
        <v>#NUM!</v>
      </c>
      <c r="N32" s="343"/>
      <c r="O32" s="394" t="str">
        <f t="shared" si="1"/>
        <v>GBP11YOIS_Quote</v>
      </c>
      <c r="P32" s="349" t="e">
        <v>#NUM!</v>
      </c>
      <c r="Q32" s="348" t="e">
        <f>_xll.qlSimpleQuoteSetValue($O32,$P32/100,Trigger)</f>
        <v>#NUM!</v>
      </c>
      <c r="R32" s="218"/>
    </row>
    <row r="33" spans="1:18" x14ac:dyDescent="0.2">
      <c r="A33" s="118"/>
      <c r="B33" s="525" t="s">
        <v>75</v>
      </c>
      <c r="C33" s="402"/>
      <c r="D33" s="402" t="s">
        <v>179</v>
      </c>
      <c r="E33" s="400" t="str">
        <f t="shared" si="0"/>
        <v>GBP12YOIS</v>
      </c>
      <c r="F33" s="400" t="str">
        <v>GBP12YOIS=ICAP</v>
      </c>
      <c r="G33" s="349">
        <v>2.0750000000000002</v>
      </c>
      <c r="H33" s="349">
        <v>2.125</v>
      </c>
      <c r="I33" s="349">
        <v>0</v>
      </c>
      <c r="J33" s="349">
        <v>0</v>
      </c>
      <c r="K33" s="352">
        <f>_xll.qlMidEquivalent($G33,$H33,$I33,$J33)</f>
        <v>2.1</v>
      </c>
      <c r="L33" s="343"/>
      <c r="M33" s="497">
        <v>1.8574999999999999</v>
      </c>
      <c r="N33" s="343"/>
      <c r="O33" s="394" t="str">
        <f t="shared" si="1"/>
        <v>GBP12YOIS_Quote</v>
      </c>
      <c r="P33" s="349">
        <v>2.1</v>
      </c>
      <c r="Q33" s="348" t="e">
        <f>_xll.qlSimpleQuoteSetValue($O33,$P33/100,Trigger)</f>
        <v>#N/A</v>
      </c>
      <c r="R33" s="218"/>
    </row>
    <row r="34" spans="1:18" x14ac:dyDescent="0.2">
      <c r="A34" s="118"/>
      <c r="B34" s="525" t="s">
        <v>72</v>
      </c>
      <c r="C34" s="402"/>
      <c r="D34" s="402" t="s">
        <v>179</v>
      </c>
      <c r="E34" s="400" t="str">
        <f t="shared" si="0"/>
        <v>GBP15YOIS</v>
      </c>
      <c r="F34" s="400" t="str">
        <v>GBP15YOIS=ICAP</v>
      </c>
      <c r="G34" s="349">
        <v>2.37</v>
      </c>
      <c r="H34" s="349">
        <v>2.42</v>
      </c>
      <c r="I34" s="349">
        <v>0</v>
      </c>
      <c r="J34" s="349">
        <v>0</v>
      </c>
      <c r="K34" s="352">
        <f>_xll.qlMidEquivalent($G34,$H34,$I34,$J34)</f>
        <v>2.395</v>
      </c>
      <c r="L34" s="343"/>
      <c r="M34" s="497">
        <v>2.1625000000000001</v>
      </c>
      <c r="N34" s="343"/>
      <c r="O34" s="394" t="str">
        <f t="shared" si="1"/>
        <v>GBP15YOIS_Quote</v>
      </c>
      <c r="P34" s="349">
        <v>2.395</v>
      </c>
      <c r="Q34" s="348" t="e">
        <f>_xll.qlSimpleQuoteSetValue($O34,$P34/100,Trigger)</f>
        <v>#N/A</v>
      </c>
      <c r="R34" s="218"/>
    </row>
    <row r="35" spans="1:18" x14ac:dyDescent="0.2">
      <c r="A35" s="118"/>
      <c r="B35" s="525" t="s">
        <v>67</v>
      </c>
      <c r="C35" s="402"/>
      <c r="D35" s="402" t="s">
        <v>179</v>
      </c>
      <c r="E35" s="400" t="str">
        <f t="shared" si="0"/>
        <v>GBP20YOIS</v>
      </c>
      <c r="F35" s="400" t="str">
        <v>GBP20YOIS=ICAP</v>
      </c>
      <c r="G35" s="349">
        <v>2.6850000000000001</v>
      </c>
      <c r="H35" s="349">
        <v>2.7349999999999999</v>
      </c>
      <c r="I35" s="349">
        <v>0</v>
      </c>
      <c r="J35" s="349">
        <v>0</v>
      </c>
      <c r="K35" s="352">
        <f>_xll.qlMidEquivalent($G35,$H35,$I35,$J35)</f>
        <v>2.71</v>
      </c>
      <c r="L35" s="343"/>
      <c r="M35" s="497">
        <v>2.4874999999999998</v>
      </c>
      <c r="N35" s="343"/>
      <c r="O35" s="394" t="str">
        <f t="shared" si="1"/>
        <v>GBP20YOIS_Quote</v>
      </c>
      <c r="P35" s="349">
        <v>2.71</v>
      </c>
      <c r="Q35" s="348" t="e">
        <f>_xll.qlSimpleQuoteSetValue($O35,$P35/100,Trigger)</f>
        <v>#N/A</v>
      </c>
      <c r="R35" s="218"/>
    </row>
    <row r="36" spans="1:18" x14ac:dyDescent="0.2">
      <c r="A36" s="118"/>
      <c r="B36" s="525" t="s">
        <v>62</v>
      </c>
      <c r="C36" s="402"/>
      <c r="D36" s="402" t="s">
        <v>179</v>
      </c>
      <c r="E36" s="400" t="str">
        <f t="shared" si="0"/>
        <v>GBP25YOIS</v>
      </c>
      <c r="F36" s="400" t="str">
        <v>GBP25YOIS=ICAP</v>
      </c>
      <c r="G36" s="349">
        <v>2.855</v>
      </c>
      <c r="H36" s="349">
        <v>2.9049999999999998</v>
      </c>
      <c r="I36" s="349">
        <v>0</v>
      </c>
      <c r="J36" s="349">
        <v>0</v>
      </c>
      <c r="K36" s="352">
        <f>_xll.qlMidEquivalent($G36,$H36,$I36,$J36)</f>
        <v>2.88</v>
      </c>
      <c r="L36" s="343"/>
      <c r="M36" s="497">
        <v>2.665</v>
      </c>
      <c r="N36" s="343"/>
      <c r="O36" s="394" t="str">
        <f t="shared" si="1"/>
        <v>GBP25YOIS_Quote</v>
      </c>
      <c r="P36" s="349">
        <v>2.88</v>
      </c>
      <c r="Q36" s="348" t="e">
        <f>_xll.qlSimpleQuoteSetValue($O36,$P36/100,Trigger)</f>
        <v>#N/A</v>
      </c>
      <c r="R36" s="218"/>
    </row>
    <row r="37" spans="1:18" x14ac:dyDescent="0.2">
      <c r="A37" s="118"/>
      <c r="B37" s="525" t="s">
        <v>57</v>
      </c>
      <c r="C37" s="402"/>
      <c r="D37" s="402" t="s">
        <v>179</v>
      </c>
      <c r="E37" s="400" t="str">
        <f t="shared" si="0"/>
        <v>GBP30YOIS</v>
      </c>
      <c r="F37" s="400" t="str">
        <v>GBP30YOIS=ICAP</v>
      </c>
      <c r="G37" s="349">
        <v>2.9049999999999998</v>
      </c>
      <c r="H37" s="349">
        <v>3.0350000000000001</v>
      </c>
      <c r="I37" s="349">
        <v>0</v>
      </c>
      <c r="J37" s="349">
        <v>0</v>
      </c>
      <c r="K37" s="352">
        <f>_xll.qlMidEquivalent($G37,$H37,$I37,$J37)</f>
        <v>2.9699999999999998</v>
      </c>
      <c r="L37" s="343"/>
      <c r="M37" s="497">
        <v>2.7524999999999999</v>
      </c>
      <c r="N37" s="343"/>
      <c r="O37" s="394" t="str">
        <f t="shared" si="1"/>
        <v>GBP30YOIS_Quote</v>
      </c>
      <c r="P37" s="349">
        <v>2.9699999999999998</v>
      </c>
      <c r="Q37" s="348" t="e">
        <f>_xll.qlSimpleQuoteSetValue($O37,$P37/100,Trigger)</f>
        <v>#N/A</v>
      </c>
      <c r="R37" s="218"/>
    </row>
    <row r="38" spans="1:18" ht="13.5" thickBot="1" x14ac:dyDescent="0.25">
      <c r="A38" s="32"/>
      <c r="B38" s="524"/>
      <c r="C38" s="524"/>
      <c r="D38" s="524"/>
      <c r="E38" s="524"/>
      <c r="F38" s="524"/>
      <c r="G38" s="524"/>
      <c r="H38" s="524"/>
      <c r="I38" s="524"/>
      <c r="J38" s="524"/>
      <c r="K38" s="524"/>
      <c r="L38" s="31"/>
      <c r="M38" s="524"/>
      <c r="N38" s="31"/>
      <c r="O38" s="524"/>
      <c r="P38" s="524"/>
      <c r="Q38" s="524"/>
      <c r="R38" s="384"/>
    </row>
  </sheetData>
  <conditionalFormatting sqref="Q5:Q37">
    <cfRule type="cellIs" dxfId="5" priority="1" stopIfTrue="1" operator="greaterThan">
      <formula>0</formula>
    </cfRule>
    <cfRule type="cellIs" dxfId="4"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62" t="s">
        <v>356</v>
      </c>
      <c r="B1" s="190"/>
      <c r="C1" s="190"/>
      <c r="D1" s="190"/>
      <c r="E1" s="190"/>
      <c r="F1" s="190"/>
      <c r="G1" s="190"/>
      <c r="H1" s="190"/>
      <c r="I1" s="190"/>
      <c r="J1" s="190"/>
      <c r="K1" s="190"/>
      <c r="L1" s="190"/>
      <c r="M1" s="190"/>
      <c r="N1" s="190"/>
      <c r="O1" s="190"/>
      <c r="P1" s="190"/>
      <c r="Q1" s="190"/>
      <c r="R1" s="187"/>
    </row>
    <row r="2" spans="1:18" x14ac:dyDescent="0.25">
      <c r="A2" s="561"/>
      <c r="B2" s="558"/>
      <c r="C2" s="558"/>
      <c r="D2" s="558"/>
      <c r="E2" s="558"/>
      <c r="F2" s="559" t="s">
        <v>276</v>
      </c>
      <c r="G2" s="558"/>
      <c r="H2" s="558"/>
      <c r="I2" s="558"/>
      <c r="J2" s="558"/>
      <c r="K2" s="558"/>
      <c r="L2" s="536"/>
      <c r="M2" s="536"/>
      <c r="N2" s="536"/>
      <c r="O2" s="560" t="s">
        <v>289</v>
      </c>
      <c r="P2" s="559" t="s">
        <v>131</v>
      </c>
      <c r="Q2" s="558"/>
      <c r="R2" s="167"/>
    </row>
    <row r="3" spans="1:18" x14ac:dyDescent="0.25">
      <c r="A3" s="172"/>
      <c r="B3" s="536"/>
      <c r="C3" s="558"/>
      <c r="D3" s="558"/>
      <c r="E3" s="558"/>
      <c r="F3" s="558"/>
      <c r="G3" s="558"/>
      <c r="H3" s="558"/>
      <c r="I3" s="558"/>
      <c r="J3" s="558"/>
      <c r="K3" s="558"/>
      <c r="L3" s="536"/>
      <c r="M3" s="536"/>
      <c r="N3" s="536"/>
      <c r="O3" s="558"/>
      <c r="P3" s="558"/>
      <c r="Q3" s="557">
        <f>_xll.ohTrigger(Q5:Q10)</f>
        <v>3</v>
      </c>
      <c r="R3" s="532"/>
    </row>
    <row r="4" spans="1:18" ht="22.5" x14ac:dyDescent="0.25">
      <c r="A4" s="172"/>
      <c r="B4" s="556"/>
      <c r="C4" s="186"/>
      <c r="D4" s="186"/>
      <c r="E4" s="186"/>
      <c r="F4" s="555" t="e">
        <f ca="1">_xll.RData(F5:F10,G4:J4,"RTFEED:IDN",ReutersRtMode,,G5)</f>
        <v>#NAME?</v>
      </c>
      <c r="G4" s="554" t="s">
        <v>293</v>
      </c>
      <c r="H4" s="554" t="s">
        <v>265</v>
      </c>
      <c r="I4" s="554" t="s">
        <v>244</v>
      </c>
      <c r="J4" s="554" t="s">
        <v>332</v>
      </c>
      <c r="K4" s="553" t="s">
        <v>318</v>
      </c>
      <c r="L4" s="536"/>
      <c r="M4" s="552" t="s">
        <v>287</v>
      </c>
      <c r="N4" s="536"/>
      <c r="O4" s="551" t="s">
        <v>241</v>
      </c>
      <c r="P4" s="550" t="s">
        <v>286</v>
      </c>
      <c r="Q4" s="549" t="s">
        <v>285</v>
      </c>
      <c r="R4" s="532"/>
    </row>
    <row r="5" spans="1:18" x14ac:dyDescent="0.25">
      <c r="A5" s="172"/>
      <c r="B5" s="548" t="s">
        <v>331</v>
      </c>
      <c r="C5" s="547" t="s">
        <v>180</v>
      </c>
      <c r="D5" s="547" t="s">
        <v>179</v>
      </c>
      <c r="E5" s="546" t="str">
        <f t="shared" ref="E5:E10" si="0">Currency&amp;$C5&amp;$D5&amp;$B5</f>
        <v>GBPMPCOISM1</v>
      </c>
      <c r="F5" s="546" t="str">
        <f t="array" ref="F5:F10">Instruments&amp;"="&amp;VLOOKUP(Contributor,ContributorTable,2,FALSE)</f>
        <v>GBPMPCOISM1=ICAP</v>
      </c>
      <c r="G5" s="545">
        <v>0.39624999999999999</v>
      </c>
      <c r="H5" s="545">
        <v>0.43625000000000003</v>
      </c>
      <c r="I5" s="545">
        <v>0</v>
      </c>
      <c r="J5" s="545" t="s">
        <v>330</v>
      </c>
      <c r="K5" s="544">
        <f>_xll.qlMidEquivalent($G5,$H5,$I5,$J5)</f>
        <v>0.41625000000000001</v>
      </c>
      <c r="L5" s="536"/>
      <c r="M5" s="543">
        <v>0.40749999999999997</v>
      </c>
      <c r="N5" s="536"/>
      <c r="O5" s="542" t="str">
        <f t="shared" ref="O5:O10" si="1">Currency&amp;$C5&amp;UPPER(TRIM($J5))&amp;$D5&amp;$P$2</f>
        <v>GBPMPCFEB13OIS_Quote</v>
      </c>
      <c r="P5" s="534">
        <f t="array" ref="P5:P10">QuoteLive</f>
        <v>0.41625000000000001</v>
      </c>
      <c r="Q5" s="533" t="e">
        <f>_xll.qlSimpleQuoteSetValue($O5,$P5/100,Trigger)</f>
        <v>#NUM!</v>
      </c>
      <c r="R5" s="532"/>
    </row>
    <row r="6" spans="1:18" x14ac:dyDescent="0.25">
      <c r="A6" s="172"/>
      <c r="B6" s="541" t="s">
        <v>329</v>
      </c>
      <c r="C6" s="540" t="s">
        <v>180</v>
      </c>
      <c r="D6" s="540" t="s">
        <v>179</v>
      </c>
      <c r="E6" s="539" t="str">
        <f t="shared" si="0"/>
        <v>GBPMPCOISM2</v>
      </c>
      <c r="F6" s="539" t="str">
        <v>GBPMPCOISM2=ICAP</v>
      </c>
      <c r="G6" s="534">
        <v>0.39</v>
      </c>
      <c r="H6" s="534">
        <v>0.43</v>
      </c>
      <c r="I6" s="534">
        <v>0</v>
      </c>
      <c r="J6" s="534" t="s">
        <v>328</v>
      </c>
      <c r="K6" s="538">
        <f>_xll.qlMidEquivalent($G6,$H6,$I6,$J6)</f>
        <v>0.41000000000000003</v>
      </c>
      <c r="L6" s="536"/>
      <c r="M6" s="537">
        <v>0.39750000000000002</v>
      </c>
      <c r="N6" s="536"/>
      <c r="O6" s="535" t="str">
        <f t="shared" si="1"/>
        <v>GBPMPCMAR13OIS_Quote</v>
      </c>
      <c r="P6" s="534">
        <v>0.41000000000000003</v>
      </c>
      <c r="Q6" s="533" t="e">
        <f>_xll.qlSimpleQuoteSetValue($O6,$P6/100,Trigger)</f>
        <v>#NUM!</v>
      </c>
      <c r="R6" s="532"/>
    </row>
    <row r="7" spans="1:18" x14ac:dyDescent="0.25">
      <c r="A7" s="172"/>
      <c r="B7" s="541" t="s">
        <v>327</v>
      </c>
      <c r="C7" s="540" t="s">
        <v>180</v>
      </c>
      <c r="D7" s="540" t="s">
        <v>179</v>
      </c>
      <c r="E7" s="539" t="str">
        <f t="shared" si="0"/>
        <v>GBPMPCOISM3</v>
      </c>
      <c r="F7" s="539" t="str">
        <v>GBPMPCOISM3=ICAP</v>
      </c>
      <c r="G7" s="534">
        <v>0.38124999999999998</v>
      </c>
      <c r="H7" s="534">
        <v>0.42125000000000001</v>
      </c>
      <c r="I7" s="534">
        <v>0</v>
      </c>
      <c r="J7" s="534" t="s">
        <v>326</v>
      </c>
      <c r="K7" s="538">
        <f>_xll.qlMidEquivalent($G7,$H7,$I7,$J7)</f>
        <v>0.40125</v>
      </c>
      <c r="L7" s="536"/>
      <c r="M7" s="537">
        <v>0.38250000000000001</v>
      </c>
      <c r="N7" s="536"/>
      <c r="O7" s="535" t="str">
        <f t="shared" si="1"/>
        <v>GBPMPCAPR13OIS_Quote</v>
      </c>
      <c r="P7" s="534">
        <v>0.40125</v>
      </c>
      <c r="Q7" s="533" t="e">
        <f>_xll.qlSimpleQuoteSetValue($O7,$P7/100,Trigger)</f>
        <v>#NUM!</v>
      </c>
      <c r="R7" s="532"/>
    </row>
    <row r="8" spans="1:18" x14ac:dyDescent="0.25">
      <c r="A8" s="172"/>
      <c r="B8" s="541" t="s">
        <v>325</v>
      </c>
      <c r="C8" s="540" t="s">
        <v>180</v>
      </c>
      <c r="D8" s="540" t="s">
        <v>179</v>
      </c>
      <c r="E8" s="539" t="str">
        <f t="shared" si="0"/>
        <v>GBPMPCOISM4</v>
      </c>
      <c r="F8" s="539" t="str">
        <v>GBPMPCOISM4=ICAP</v>
      </c>
      <c r="G8" s="534">
        <v>0.37</v>
      </c>
      <c r="H8" s="534">
        <v>0.41</v>
      </c>
      <c r="I8" s="534">
        <v>0</v>
      </c>
      <c r="J8" s="534" t="s">
        <v>324</v>
      </c>
      <c r="K8" s="538">
        <f>_xll.qlMidEquivalent($G8,$H8,$I8,$J8)</f>
        <v>0.39</v>
      </c>
      <c r="L8" s="536"/>
      <c r="M8" s="537">
        <v>0.375</v>
      </c>
      <c r="N8" s="536"/>
      <c r="O8" s="535" t="str">
        <f t="shared" si="1"/>
        <v>GBPMPCMAY13OIS_Quote</v>
      </c>
      <c r="P8" s="534">
        <v>0.39</v>
      </c>
      <c r="Q8" s="533" t="e">
        <f>_xll.qlSimpleQuoteSetValue($O8,$P8/100,Trigger)</f>
        <v>#NUM!</v>
      </c>
      <c r="R8" s="532"/>
    </row>
    <row r="9" spans="1:18" x14ac:dyDescent="0.25">
      <c r="A9" s="172"/>
      <c r="B9" s="541" t="s">
        <v>323</v>
      </c>
      <c r="C9" s="540" t="s">
        <v>180</v>
      </c>
      <c r="D9" s="540" t="s">
        <v>179</v>
      </c>
      <c r="E9" s="539" t="str">
        <f t="shared" si="0"/>
        <v>GBPMPCOISM5</v>
      </c>
      <c r="F9" s="539" t="str">
        <v>GBPMPCOISM5=ICAP</v>
      </c>
      <c r="G9" s="534">
        <v>0.36125000000000002</v>
      </c>
      <c r="H9" s="534">
        <v>0.40125</v>
      </c>
      <c r="I9" s="534">
        <v>0</v>
      </c>
      <c r="J9" s="534" t="s">
        <v>322</v>
      </c>
      <c r="K9" s="538">
        <f>_xll.qlMidEquivalent($G9,$H9,$I9,$J9)</f>
        <v>0.38124999999999998</v>
      </c>
      <c r="L9" s="536"/>
      <c r="M9" s="537">
        <v>0.36</v>
      </c>
      <c r="N9" s="536"/>
      <c r="O9" s="535" t="str">
        <f t="shared" si="1"/>
        <v>GBPMPCJUN13OIS_Quote</v>
      </c>
      <c r="P9" s="534">
        <v>0.38124999999999998</v>
      </c>
      <c r="Q9" s="533" t="e">
        <f>_xll.qlSimpleQuoteSetValue($O9,$P9/100,Trigger)</f>
        <v>#NUM!</v>
      </c>
      <c r="R9" s="532"/>
    </row>
    <row r="10" spans="1:18" x14ac:dyDescent="0.25">
      <c r="A10" s="172"/>
      <c r="B10" s="541" t="s">
        <v>321</v>
      </c>
      <c r="C10" s="540" t="s">
        <v>180</v>
      </c>
      <c r="D10" s="540" t="s">
        <v>179</v>
      </c>
      <c r="E10" s="539" t="str">
        <f t="shared" si="0"/>
        <v>GBPMPCOISM6</v>
      </c>
      <c r="F10" s="539" t="str">
        <v>GBPMPCOISM6=ICAP</v>
      </c>
      <c r="G10" s="534">
        <v>0.36</v>
      </c>
      <c r="H10" s="534">
        <v>0.4</v>
      </c>
      <c r="I10" s="534">
        <v>0</v>
      </c>
      <c r="J10" s="534" t="s">
        <v>320</v>
      </c>
      <c r="K10" s="538">
        <f>_xll.qlMidEquivalent($G10,$H10,$I10,$J10)</f>
        <v>0.38</v>
      </c>
      <c r="L10" s="536"/>
      <c r="M10" s="537">
        <v>0.34499999999999997</v>
      </c>
      <c r="N10" s="536"/>
      <c r="O10" s="535" t="str">
        <f t="shared" si="1"/>
        <v>GBPMPCJUL13OIS_Quote</v>
      </c>
      <c r="P10" s="534">
        <v>0.38</v>
      </c>
      <c r="Q10" s="533" t="e">
        <f>_xll.qlSimpleQuoteSetValue($O10,$P10/100,Trigger)</f>
        <v>#NUM!</v>
      </c>
      <c r="R10" s="532"/>
    </row>
    <row r="11" spans="1:18" ht="14.25" thickBot="1" x14ac:dyDescent="0.3">
      <c r="A11" s="166"/>
      <c r="B11" s="531"/>
      <c r="C11" s="531"/>
      <c r="D11" s="531"/>
      <c r="E11" s="531"/>
      <c r="F11" s="531"/>
      <c r="G11" s="531"/>
      <c r="H11" s="531"/>
      <c r="I11" s="531"/>
      <c r="J11" s="531"/>
      <c r="K11" s="531"/>
      <c r="L11" s="165"/>
      <c r="M11" s="531"/>
      <c r="N11" s="165"/>
      <c r="O11" s="531"/>
      <c r="P11" s="531"/>
      <c r="Q11" s="531"/>
      <c r="R11" s="530"/>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356</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276</v>
      </c>
      <c r="G2" s="133"/>
      <c r="H2" s="133"/>
      <c r="I2" s="133"/>
      <c r="J2" s="133"/>
      <c r="K2" s="133"/>
      <c r="L2" s="343"/>
      <c r="M2" s="343"/>
      <c r="N2" s="343"/>
      <c r="O2" s="529" t="s">
        <v>289</v>
      </c>
      <c r="P2" s="528" t="s">
        <v>131</v>
      </c>
      <c r="Q2" s="133"/>
      <c r="R2" s="33"/>
    </row>
    <row r="3" spans="1:18" x14ac:dyDescent="0.2">
      <c r="A3" s="118"/>
      <c r="B3" s="343"/>
      <c r="C3" s="133"/>
      <c r="D3" s="133"/>
      <c r="E3" s="133"/>
      <c r="F3" s="133"/>
      <c r="G3" s="133"/>
      <c r="H3" s="133"/>
      <c r="I3" s="133"/>
      <c r="J3" s="133"/>
      <c r="K3" s="133"/>
      <c r="L3" s="343"/>
      <c r="M3" s="343"/>
      <c r="N3" s="343"/>
      <c r="O3" s="133"/>
      <c r="P3" s="133"/>
      <c r="Q3" s="459">
        <f>_xll.ohTrigger(Q5:Q10)</f>
        <v>1</v>
      </c>
      <c r="R3" s="218"/>
    </row>
    <row r="4" spans="1:18" ht="22.5" x14ac:dyDescent="0.2">
      <c r="A4" s="118"/>
      <c r="B4" s="500"/>
      <c r="C4" s="196"/>
      <c r="D4" s="196"/>
      <c r="E4" s="196"/>
      <c r="F4" s="374" t="e">
        <f ca="1">_xll.RData(F5:F10,G4:J4,"RTFEED:IDN",ReutersRtMode,,G5)</f>
        <v>#NAME?</v>
      </c>
      <c r="G4" s="415" t="s">
        <v>293</v>
      </c>
      <c r="H4" s="415" t="s">
        <v>265</v>
      </c>
      <c r="I4" s="415" t="s">
        <v>244</v>
      </c>
      <c r="J4" s="415" t="s">
        <v>292</v>
      </c>
      <c r="K4" s="369" t="s">
        <v>318</v>
      </c>
      <c r="L4" s="343"/>
      <c r="M4" s="372" t="s">
        <v>287</v>
      </c>
      <c r="N4" s="343"/>
      <c r="O4" s="371" t="s">
        <v>241</v>
      </c>
      <c r="P4" s="499" t="s">
        <v>286</v>
      </c>
      <c r="Q4" s="91" t="s">
        <v>285</v>
      </c>
      <c r="R4" s="218"/>
    </row>
    <row r="5" spans="1:18" x14ac:dyDescent="0.2">
      <c r="A5" s="118"/>
      <c r="B5" s="406" t="s">
        <v>207</v>
      </c>
      <c r="C5" s="405" t="s">
        <v>334</v>
      </c>
      <c r="D5" s="405" t="s">
        <v>340</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7" t="e">
        <v>#NUM!</v>
      </c>
      <c r="N5" s="343"/>
      <c r="O5" s="410" t="str">
        <f t="shared" ref="O5:O10" si="1">$E5&amp;$P$2</f>
        <v>GBPE1X2S_Quote</v>
      </c>
      <c r="P5" s="361" t="e">
        <f t="array" ref="P5:P10">QuoteLive</f>
        <v>#NUM!</v>
      </c>
      <c r="Q5" s="360"/>
      <c r="R5" s="218"/>
    </row>
    <row r="6" spans="1:18" x14ac:dyDescent="0.2">
      <c r="A6" s="118"/>
      <c r="B6" s="399" t="s">
        <v>208</v>
      </c>
      <c r="C6" s="402" t="s">
        <v>334</v>
      </c>
      <c r="D6" s="402" t="s">
        <v>340</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334</v>
      </c>
      <c r="D7" s="402" t="s">
        <v>338</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339</v>
      </c>
      <c r="C8" s="402" t="s">
        <v>334</v>
      </c>
      <c r="D8" s="402" t="s">
        <v>338</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337</v>
      </c>
      <c r="C9" s="402" t="s">
        <v>334</v>
      </c>
      <c r="D9" s="402" t="s">
        <v>336</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335</v>
      </c>
      <c r="C10" s="398" t="s">
        <v>334</v>
      </c>
      <c r="D10" s="398" t="s">
        <v>333</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159</vt:i4>
      </vt:variant>
    </vt:vector>
  </HeadingPairs>
  <TitlesOfParts>
    <vt:vector size="209"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LIBOR (2)</vt:lpstr>
      <vt:lpstr>SFIX1</vt:lpstr>
      <vt:lpstr>SFIX2</vt:lpstr>
      <vt:lpstr>SFIX3</vt:lpstr>
      <vt:lpstr>Deposits (2)</vt:lpstr>
      <vt:lpstr>FRA (2)</vt:lpstr>
      <vt:lpstr>Futures1M (2)</vt:lpstr>
      <vt:lpstr>Futures3M (2)</vt:lpstr>
      <vt:lpstr>ImmFra6M</vt:lpstr>
      <vt:lpstr>FuturesConvexityAdjustment</vt:lpstr>
      <vt:lpstr>Swap1M</vt:lpstr>
      <vt:lpstr>SwapIMMDated</vt:lpstr>
      <vt:lpstr>Swap3M (2)</vt:lpstr>
      <vt:lpstr>Swap6M (2)</vt:lpstr>
      <vt:lpstr>BasisSwap1MXM (2)</vt:lpstr>
      <vt:lpstr>BasisSwap3M6M (2)</vt:lpstr>
      <vt:lpstr>BasisSwapXM12M (2)</vt:lpstr>
      <vt:lpstr>OIS (2)</vt:lpstr>
      <vt:lpstr>MPCOIS</vt:lpstr>
      <vt:lpstr>FwdOIS</vt:lpstr>
      <vt:lpstr>'BasisSwap1MXM (2)'!Contributor</vt:lpstr>
      <vt:lpstr>'BasisSwap3M6M (2)'!Contributor</vt:lpstr>
      <vt:lpstr>'BasisSwapXM12M (2)'!Contributor</vt:lpstr>
      <vt:lpstr>'Deposits (2)'!Contributor</vt:lpstr>
      <vt:lpstr>'FRA (2)'!Contributor</vt:lpstr>
      <vt:lpstr>FuturesConvexityAdjustment!Contributor</vt:lpstr>
      <vt:lpstr>FwdOIS!Contributor</vt:lpstr>
      <vt:lpstr>ImmFra6M!Contributor</vt:lpstr>
      <vt:lpstr>MPCOIS!Contributor</vt:lpstr>
      <vt:lpstr>'OIS (2)'!Contributor</vt:lpstr>
      <vt:lpstr>Swap1M!Contributor</vt:lpstr>
      <vt:lpstr>'Swap3M (2)'!Contributor</vt:lpstr>
      <vt:lpstr>'Swap6M (2)'!Contributor</vt:lpstr>
      <vt:lpstr>SwapIMMDated!Contributor</vt:lpstr>
      <vt:lpstr>'Deposits (2)'!Contributors</vt:lpstr>
      <vt:lpstr>Contributors</vt:lpstr>
      <vt:lpstr>'Deposits (2)'!ContributorTable</vt:lpstr>
      <vt:lpstr>ContributorTable</vt:lpstr>
      <vt:lpstr>'BasisSwap1MXM (2)'!Conventions</vt:lpstr>
      <vt:lpstr>'BasisSwap3M6M (2)'!Conventions</vt:lpstr>
      <vt:lpstr>'BasisSwapXM12M (2)'!Conventions</vt:lpstr>
      <vt:lpstr>'Swap3M (2)'!Conventions</vt:lpstr>
      <vt:lpstr>'Swap6M (2)'!Conventions</vt:lpstr>
      <vt:lpstr>'BasisSwap1MXM (2)'!Counter</vt:lpstr>
      <vt:lpstr>'BasisSwap3M6M (2)'!Counter</vt:lpstr>
      <vt:lpstr>'BasisSwapXM12M (2)'!Counter</vt:lpstr>
      <vt:lpstr>'Deposits (2)'!Counter</vt:lpstr>
      <vt:lpstr>'FRA (2)'!Counter</vt:lpstr>
      <vt:lpstr>'Futures1M (2)'!Counter</vt:lpstr>
      <vt:lpstr>'Futures3M (2)'!Counter</vt:lpstr>
      <vt:lpstr>FuturesConvexityAdjustment!Counter</vt:lpstr>
      <vt:lpstr>FwdOIS!Counter</vt:lpstr>
      <vt:lpstr>ImmFra6M!Counter</vt:lpstr>
      <vt:lpstr>MPCOIS!Counter</vt:lpstr>
      <vt:lpstr>'OIS (2)'!Counter</vt:lpstr>
      <vt:lpstr>Swap1M!Counter</vt:lpstr>
      <vt:lpstr>'Swap3M (2)'!Counter</vt:lpstr>
      <vt:lpstr>'Swap6M (2)'!Counter</vt:lpstr>
      <vt:lpstr>SwapIMMDated!Counter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 (2)'!FuturesCodes</vt:lpstr>
      <vt:lpstr>'Futures3M (2)'!FuturesCodes</vt:lpstr>
      <vt:lpstr>ImmFra6M!FuturesCodes</vt:lpstr>
      <vt:lpstr>'Futures1M (2)'!FuturesDates</vt:lpstr>
      <vt:lpstr>'Futures3M (2)'!FuturesDates</vt:lpstr>
      <vt:lpstr>ImmFra6M!FuturesDates</vt:lpstr>
      <vt:lpstr>'1M (3)'!IborIndex</vt:lpstr>
      <vt:lpstr>'3M (3)'!IborIndex</vt:lpstr>
      <vt:lpstr>'BasisSwap1MXM (2)'!Instruments</vt:lpstr>
      <vt:lpstr>'BasisSwap3M6M (2)'!Instruments</vt:lpstr>
      <vt:lpstr>'BasisSwapXM12M (2)'!Instruments</vt:lpstr>
      <vt:lpstr>'Deposits (2)'!Instruments</vt:lpstr>
      <vt:lpstr>'FRA (2)'!Instruments</vt:lpstr>
      <vt:lpstr>'Futures1M (2)'!Instruments</vt:lpstr>
      <vt:lpstr>FwdOIS!Instruments</vt:lpstr>
      <vt:lpstr>MPCOIS!Instruments</vt:lpstr>
      <vt:lpstr>'OIS (2)'!Instruments</vt:lpstr>
      <vt:lpstr>Swap1M!Instruments</vt:lpstr>
      <vt:lpstr>'Swap3M (2)'!Instruments</vt:lpstr>
      <vt:lpstr>'Swap6M (2)'!Instruments</vt:lpstr>
      <vt:lpstr>SwapIMMDated!Instruments</vt:lpstr>
      <vt:lpstr>InterpolationType</vt:lpstr>
      <vt:lpstr>LastUpdate</vt:lpstr>
      <vt:lpstr>'Futures1M (2)'!LiffeCodes</vt:lpstr>
      <vt:lpstr>'Futures3M (2)'!LiffeCodes</vt:lpstr>
      <vt:lpstr>ImmFra6M!LiffeCodes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'BasisSwap1MXM (2)'!Quote</vt:lpstr>
      <vt:lpstr>'BasisSwap3M6M (2)'!Quote</vt:lpstr>
      <vt:lpstr>'BasisSwapXM12M (2)'!Quote</vt:lpstr>
      <vt:lpstr>'Deposits (2)'!Quote</vt:lpstr>
      <vt:lpstr>'FRA (2)'!Quote</vt:lpstr>
      <vt:lpstr>'Futures1M (2)'!Quote</vt:lpstr>
      <vt:lpstr>'Futures3M (2)'!Quote</vt:lpstr>
      <vt:lpstr>FuturesConvexityAdjustment!Quote</vt:lpstr>
      <vt:lpstr>FwdOIS!Quote</vt:lpstr>
      <vt:lpstr>ImmFra6M!Quote</vt:lpstr>
      <vt:lpstr>MPCOIS!Quote</vt:lpstr>
      <vt:lpstr>'OIS (2)'!Quote</vt:lpstr>
      <vt:lpstr>Swap1M!Quote</vt:lpstr>
      <vt:lpstr>'Swap3M (2)'!Quote</vt:lpstr>
      <vt:lpstr>'Swap6M (2)'!Quote</vt:lpstr>
      <vt:lpstr>SwapIMMDated!Quote</vt:lpstr>
      <vt:lpstr>'BasisSwap1MXM (2)'!QuoteLive</vt:lpstr>
      <vt:lpstr>'BasisSwap3M6M (2)'!QuoteLive</vt:lpstr>
      <vt:lpstr>'BasisSwapXM12M (2)'!QuoteLive</vt:lpstr>
      <vt:lpstr>'Deposits (2)'!QuoteLive</vt:lpstr>
      <vt:lpstr>'FRA (2)'!QuoteLive</vt:lpstr>
      <vt:lpstr>'Futures1M (2)'!QuoteLive</vt:lpstr>
      <vt:lpstr>'Futures3M (2)'!QuoteLive</vt:lpstr>
      <vt:lpstr>FuturesConvexityAdjustment!QuoteLive</vt:lpstr>
      <vt:lpstr>FwdOIS!QuoteLive</vt:lpstr>
      <vt:lpstr>ImmFra6M!QuoteLive</vt:lpstr>
      <vt:lpstr>MPCOIS!QuoteLive</vt:lpstr>
      <vt:lpstr>'OIS (2)'!QuoteLive</vt:lpstr>
      <vt:lpstr>Swap1M!QuoteLive</vt:lpstr>
      <vt:lpstr>'Swap3M (2)'!QuoteLive</vt:lpstr>
      <vt:lpstr>'Swap6M (2)'!QuoteLive</vt:lpstr>
      <vt:lpstr>SwapIMMDated!QuoteLive</vt:lpstr>
      <vt:lpstr>'BasisSwap1MXM (2)'!QuoteStatic</vt:lpstr>
      <vt:lpstr>'BasisSwap3M6M (2)'!QuoteStatic</vt:lpstr>
      <vt:lpstr>'BasisSwapXM12M (2)'!QuoteStatic</vt:lpstr>
      <vt:lpstr>'Deposits (2)'!QuoteStatic</vt:lpstr>
      <vt:lpstr>'FRA (2)'!QuoteStatic</vt:lpstr>
      <vt:lpstr>'Futures1M (2)'!QuoteStatic</vt:lpstr>
      <vt:lpstr>'Futures3M (2)'!QuoteStatic</vt:lpstr>
      <vt:lpstr>FuturesConvexityAdjustment!QuoteStatic</vt:lpstr>
      <vt:lpstr>FwdOIS!QuoteStatic</vt:lpstr>
      <vt:lpstr>ImmFra6M!QuoteStatic</vt:lpstr>
      <vt:lpstr>MPCOIS!QuoteStatic</vt:lpstr>
      <vt:lpstr>'OIS (2)'!QuoteStatic</vt:lpstr>
      <vt:lpstr>Swap1M!QuoteStatic</vt:lpstr>
      <vt:lpstr>'Swap3M (2)'!QuoteStatic</vt:lpstr>
      <vt:lpstr>'Swap6M (2)'!QuoteStatic</vt:lpstr>
      <vt:lpstr>SwapIMMDated!QuoteStatic</vt:lpstr>
      <vt:lpstr>QuoteSuffix</vt:lpstr>
      <vt:lpstr>RateTickValue</vt:lpstr>
      <vt:lpstr>ReutersRtMode</vt:lpstr>
      <vt:lpstr>'Deposits (2)'!SA_TWEAK</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 (2)'!Traits</vt:lpstr>
      <vt:lpstr>SFIX1!Traits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2013-12-06T20:49:32Z</dcterms:modified>
</cp:coreProperties>
</file>
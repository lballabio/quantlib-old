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5285" windowHeight="7335" activeTab="2"/>
  </bookViews>
  <sheets>
    <sheet name="General Settings" sheetId="3" r:id="rId1"/>
    <sheet name="RateHelpers" sheetId="2" r:id="rId2"/>
    <sheet name="Selected" sheetId="4" r:id="rId3"/>
    <sheet name="Deposits" sheetId="8" r:id="rId4"/>
    <sheet name="FRAs" sheetId="9" r:id="rId5"/>
    <sheet name="SwapsFromBasis" sheetId="10" r:id="rId6"/>
    <sheet name="Monitor" sheetId="11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RateHelpers!$K$2:$K$74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RateHelpers!$E$2:$E$74</definedName>
    <definedName name="RateHelpersIncluded">RateHelpers!$I$2:$I$74</definedName>
    <definedName name="RateHelpersPriority">RateHelpers!$J$2:$J$74</definedName>
    <definedName name="RateHelpersSelected">Selected!$A$7</definedName>
    <definedName name="RecalcTrigger">Monitor!$J$20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YConventions">SwapsFromBasis!$O$6:$Q$10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W538" i="11" l="1"/>
  <c r="W539" i="11" s="1"/>
  <c r="W540" i="11" s="1"/>
  <c r="W541" i="11" s="1"/>
  <c r="W542" i="11" s="1"/>
  <c r="W543" i="11" s="1"/>
  <c r="W544" i="11" s="1"/>
  <c r="W545" i="11" s="1"/>
  <c r="W546" i="11" s="1"/>
  <c r="W547" i="11" s="1"/>
  <c r="W548" i="11" s="1"/>
  <c r="W549" i="11" s="1"/>
  <c r="W550" i="11" s="1"/>
  <c r="W551" i="11" s="1"/>
  <c r="W552" i="11" s="1"/>
  <c r="W553" i="11" s="1"/>
  <c r="W554" i="11" s="1"/>
  <c r="W555" i="11" s="1"/>
  <c r="W556" i="11" s="1"/>
  <c r="W557" i="11" s="1"/>
  <c r="W558" i="11" s="1"/>
  <c r="W559" i="11" s="1"/>
  <c r="W560" i="11" s="1"/>
  <c r="W561" i="11" s="1"/>
  <c r="W562" i="11" s="1"/>
  <c r="W563" i="11" s="1"/>
  <c r="W564" i="11" s="1"/>
  <c r="W565" i="11" s="1"/>
  <c r="W566" i="11" s="1"/>
  <c r="W567" i="11" s="1"/>
  <c r="W568" i="11" s="1"/>
  <c r="W569" i="11" s="1"/>
  <c r="W570" i="11" s="1"/>
  <c r="W571" i="11" s="1"/>
  <c r="W572" i="11" s="1"/>
  <c r="W573" i="11" s="1"/>
  <c r="W574" i="11" s="1"/>
  <c r="W575" i="11" s="1"/>
  <c r="W576" i="11" s="1"/>
  <c r="W577" i="11" s="1"/>
  <c r="W578" i="11" s="1"/>
  <c r="W579" i="11" s="1"/>
  <c r="W580" i="11" s="1"/>
  <c r="W581" i="11" s="1"/>
  <c r="W582" i="11" s="1"/>
  <c r="W583" i="11" s="1"/>
  <c r="W584" i="11" s="1"/>
  <c r="W585" i="11" s="1"/>
  <c r="W586" i="11" s="1"/>
  <c r="W587" i="11" s="1"/>
  <c r="W588" i="11" s="1"/>
  <c r="W589" i="11" s="1"/>
  <c r="W590" i="11" s="1"/>
  <c r="W591" i="11" s="1"/>
  <c r="W592" i="11" s="1"/>
  <c r="W593" i="11" s="1"/>
  <c r="W594" i="11" s="1"/>
  <c r="W595" i="11" s="1"/>
  <c r="W596" i="11" s="1"/>
  <c r="W597" i="11" s="1"/>
  <c r="W598" i="11" s="1"/>
  <c r="W599" i="11" s="1"/>
  <c r="W600" i="11" s="1"/>
  <c r="W601" i="11" s="1"/>
  <c r="W602" i="11" s="1"/>
  <c r="W603" i="11" s="1"/>
  <c r="W604" i="11" s="1"/>
  <c r="W605" i="11" s="1"/>
  <c r="W606" i="11" s="1"/>
  <c r="W607" i="11" s="1"/>
  <c r="W608" i="11" s="1"/>
  <c r="W609" i="11" s="1"/>
  <c r="W610" i="11" s="1"/>
  <c r="W611" i="11" s="1"/>
  <c r="W612" i="11" s="1"/>
  <c r="W613" i="11" s="1"/>
  <c r="W614" i="11" s="1"/>
  <c r="W615" i="11" s="1"/>
  <c r="W616" i="11" s="1"/>
  <c r="W617" i="11" s="1"/>
  <c r="W618" i="11" s="1"/>
  <c r="W619" i="11" s="1"/>
  <c r="W620" i="11" s="1"/>
  <c r="W621" i="11" s="1"/>
  <c r="W622" i="11" s="1"/>
  <c r="W623" i="11" s="1"/>
  <c r="W624" i="11" s="1"/>
  <c r="W625" i="11" s="1"/>
  <c r="W626" i="11" s="1"/>
  <c r="W627" i="11" s="1"/>
  <c r="W628" i="11" s="1"/>
  <c r="W629" i="11" s="1"/>
  <c r="W630" i="11" s="1"/>
  <c r="W631" i="11" s="1"/>
  <c r="W632" i="11" s="1"/>
  <c r="W633" i="11" s="1"/>
  <c r="W634" i="11" s="1"/>
  <c r="W635" i="11" s="1"/>
  <c r="W636" i="11" s="1"/>
  <c r="W637" i="11" s="1"/>
  <c r="W638" i="11" s="1"/>
  <c r="W639" i="11" s="1"/>
  <c r="W640" i="11" s="1"/>
  <c r="W641" i="11" s="1"/>
  <c r="W642" i="11" s="1"/>
  <c r="W643" i="11" s="1"/>
  <c r="W644" i="11" s="1"/>
  <c r="W645" i="11" s="1"/>
  <c r="W646" i="11" s="1"/>
  <c r="W647" i="11" s="1"/>
  <c r="W648" i="11" s="1"/>
  <c r="W649" i="11" s="1"/>
  <c r="W650" i="11" s="1"/>
  <c r="W651" i="11" s="1"/>
  <c r="W652" i="11" s="1"/>
  <c r="W653" i="11" s="1"/>
  <c r="W654" i="11" s="1"/>
  <c r="W655" i="11" s="1"/>
  <c r="W656" i="11" s="1"/>
  <c r="W657" i="11" s="1"/>
  <c r="W658" i="11" s="1"/>
  <c r="W659" i="11" s="1"/>
  <c r="W660" i="11" s="1"/>
  <c r="W661" i="11" s="1"/>
  <c r="W662" i="11" s="1"/>
  <c r="W663" i="11" s="1"/>
  <c r="W664" i="11" s="1"/>
  <c r="W665" i="11" s="1"/>
  <c r="W666" i="11" s="1"/>
  <c r="W667" i="11" s="1"/>
  <c r="W668" i="11" s="1"/>
  <c r="W669" i="11" s="1"/>
  <c r="W670" i="11" s="1"/>
  <c r="W671" i="11" s="1"/>
  <c r="W672" i="11" s="1"/>
  <c r="W673" i="11" s="1"/>
  <c r="W674" i="11" s="1"/>
  <c r="W675" i="11" s="1"/>
  <c r="W676" i="11" s="1"/>
  <c r="W677" i="11" s="1"/>
  <c r="W678" i="11" s="1"/>
  <c r="W679" i="11" s="1"/>
  <c r="W680" i="11" s="1"/>
  <c r="W681" i="11" s="1"/>
  <c r="W682" i="11" s="1"/>
  <c r="W683" i="11" s="1"/>
  <c r="W684" i="11" s="1"/>
  <c r="W685" i="11" s="1"/>
  <c r="W686" i="11" s="1"/>
  <c r="W687" i="11" s="1"/>
  <c r="W688" i="11" s="1"/>
  <c r="W689" i="11" s="1"/>
  <c r="W690" i="11" s="1"/>
  <c r="W691" i="11" s="1"/>
  <c r="W692" i="11" s="1"/>
  <c r="W693" i="11" s="1"/>
  <c r="W694" i="11" s="1"/>
  <c r="W695" i="11" s="1"/>
  <c r="W696" i="11" s="1"/>
  <c r="W697" i="11" s="1"/>
  <c r="W698" i="11" s="1"/>
  <c r="W699" i="11" s="1"/>
  <c r="W700" i="11" s="1"/>
  <c r="W701" i="11" s="1"/>
  <c r="W702" i="11" s="1"/>
  <c r="W703" i="11" s="1"/>
  <c r="W704" i="11" s="1"/>
  <c r="W705" i="11" s="1"/>
  <c r="W706" i="11" s="1"/>
  <c r="W707" i="11" s="1"/>
  <c r="W708" i="11" s="1"/>
  <c r="W709" i="11" s="1"/>
  <c r="W710" i="11" s="1"/>
  <c r="W711" i="11" s="1"/>
  <c r="W712" i="11" s="1"/>
  <c r="W713" i="11" s="1"/>
  <c r="W714" i="11" s="1"/>
  <c r="W715" i="11" s="1"/>
  <c r="W716" i="11" s="1"/>
  <c r="W717" i="11" s="1"/>
  <c r="W718" i="11" s="1"/>
  <c r="W719" i="11" s="1"/>
  <c r="W720" i="11" s="1"/>
  <c r="W721" i="11" s="1"/>
  <c r="W722" i="11" s="1"/>
  <c r="W723" i="11" s="1"/>
  <c r="W724" i="11" s="1"/>
  <c r="W725" i="11" s="1"/>
  <c r="W726" i="11" s="1"/>
  <c r="W727" i="11" s="1"/>
  <c r="W728" i="11" s="1"/>
  <c r="W729" i="11" s="1"/>
  <c r="W730" i="11" s="1"/>
  <c r="W731" i="11" s="1"/>
  <c r="W732" i="11" s="1"/>
  <c r="W733" i="11" s="1"/>
  <c r="W734" i="11" s="1"/>
  <c r="W735" i="11" s="1"/>
  <c r="W736" i="11" s="1"/>
  <c r="W737" i="11" s="1"/>
  <c r="W738" i="11" s="1"/>
  <c r="W739" i="11" s="1"/>
  <c r="W740" i="11" s="1"/>
  <c r="W741" i="11" s="1"/>
  <c r="W742" i="11" s="1"/>
  <c r="W743" i="11" s="1"/>
  <c r="W744" i="11" s="1"/>
  <c r="W745" i="11" s="1"/>
  <c r="W746" i="11" s="1"/>
  <c r="W747" i="11" s="1"/>
  <c r="W748" i="11" s="1"/>
  <c r="W749" i="11" s="1"/>
  <c r="W750" i="11" s="1"/>
  <c r="W751" i="11" s="1"/>
  <c r="W752" i="11" s="1"/>
  <c r="W753" i="11" s="1"/>
  <c r="W754" i="11" s="1"/>
  <c r="W755" i="11" s="1"/>
  <c r="W756" i="11" s="1"/>
  <c r="W757" i="11" s="1"/>
  <c r="W758" i="11" s="1"/>
  <c r="W759" i="11" s="1"/>
  <c r="W760" i="11" s="1"/>
  <c r="W761" i="11" s="1"/>
  <c r="W762" i="11" s="1"/>
  <c r="W763" i="11" s="1"/>
  <c r="W764" i="11" s="1"/>
  <c r="W765" i="11" s="1"/>
  <c r="W766" i="11" s="1"/>
  <c r="W767" i="11" s="1"/>
  <c r="W768" i="11" s="1"/>
  <c r="W769" i="11" s="1"/>
  <c r="W770" i="11" s="1"/>
  <c r="W771" i="11" s="1"/>
  <c r="W772" i="11" s="1"/>
  <c r="W773" i="11" s="1"/>
  <c r="W774" i="11" s="1"/>
  <c r="W775" i="11" s="1"/>
  <c r="W776" i="11" s="1"/>
  <c r="W777" i="11" s="1"/>
  <c r="W778" i="11" s="1"/>
  <c r="W779" i="11" s="1"/>
  <c r="W780" i="11" s="1"/>
  <c r="W781" i="11" s="1"/>
  <c r="W782" i="11" s="1"/>
  <c r="W783" i="11" s="1"/>
  <c r="W784" i="11" s="1"/>
  <c r="W785" i="11" s="1"/>
  <c r="W786" i="11" s="1"/>
  <c r="W787" i="11" s="1"/>
  <c r="W788" i="11" s="1"/>
  <c r="W789" i="11" s="1"/>
  <c r="W790" i="11" s="1"/>
  <c r="W791" i="11" s="1"/>
  <c r="W792" i="11" s="1"/>
  <c r="W793" i="11" s="1"/>
  <c r="W794" i="11" s="1"/>
  <c r="W795" i="11" s="1"/>
  <c r="W796" i="11" s="1"/>
  <c r="W797" i="11" s="1"/>
  <c r="W798" i="11" s="1"/>
  <c r="W799" i="11" s="1"/>
  <c r="W800" i="11" s="1"/>
  <c r="W801" i="11" s="1"/>
  <c r="W802" i="11" s="1"/>
  <c r="W803" i="11" s="1"/>
  <c r="W804" i="11" s="1"/>
  <c r="W805" i="11" s="1"/>
  <c r="W806" i="11" s="1"/>
  <c r="W807" i="11" s="1"/>
  <c r="W808" i="11" s="1"/>
  <c r="W809" i="11" s="1"/>
  <c r="W810" i="11" s="1"/>
  <c r="W811" i="11" s="1"/>
  <c r="W812" i="11" s="1"/>
  <c r="W813" i="11" s="1"/>
  <c r="W814" i="11" s="1"/>
  <c r="W815" i="11" s="1"/>
  <c r="W816" i="11" s="1"/>
  <c r="W817" i="11" s="1"/>
  <c r="W818" i="11" s="1"/>
  <c r="W819" i="11" s="1"/>
  <c r="W820" i="11" s="1"/>
  <c r="W821" i="11" s="1"/>
  <c r="W822" i="11" s="1"/>
  <c r="W823" i="11" s="1"/>
  <c r="W824" i="11" s="1"/>
  <c r="W825" i="11" s="1"/>
  <c r="W826" i="11" s="1"/>
  <c r="W827" i="11" s="1"/>
  <c r="W828" i="11" s="1"/>
  <c r="W829" i="11" s="1"/>
  <c r="W830" i="11" s="1"/>
  <c r="W831" i="11" s="1"/>
  <c r="W832" i="11" s="1"/>
  <c r="W833" i="11" s="1"/>
  <c r="W834" i="11" s="1"/>
  <c r="W835" i="11" s="1"/>
  <c r="W836" i="11" s="1"/>
  <c r="W837" i="11" s="1"/>
  <c r="W838" i="11" s="1"/>
  <c r="W839" i="11" s="1"/>
  <c r="W840" i="11" s="1"/>
  <c r="W841" i="11" s="1"/>
  <c r="W842" i="11" s="1"/>
  <c r="W843" i="11" s="1"/>
  <c r="W844" i="11" s="1"/>
  <c r="W845" i="11" s="1"/>
  <c r="W846" i="11" s="1"/>
  <c r="W847" i="11" s="1"/>
  <c r="W848" i="11" s="1"/>
  <c r="W849" i="11" s="1"/>
  <c r="W850" i="11" s="1"/>
  <c r="W851" i="11" s="1"/>
  <c r="W852" i="11" s="1"/>
  <c r="W853" i="11" s="1"/>
  <c r="W854" i="11" s="1"/>
  <c r="W855" i="11" s="1"/>
  <c r="W856" i="11" s="1"/>
  <c r="W857" i="11" s="1"/>
  <c r="W858" i="11" s="1"/>
  <c r="W859" i="11" s="1"/>
  <c r="W860" i="11" s="1"/>
  <c r="W861" i="11" s="1"/>
  <c r="W862" i="11" s="1"/>
  <c r="W863" i="11" s="1"/>
  <c r="W864" i="11" s="1"/>
  <c r="W865" i="11" s="1"/>
  <c r="W866" i="11" s="1"/>
  <c r="W867" i="11" s="1"/>
  <c r="W868" i="11" s="1"/>
  <c r="W869" i="11" s="1"/>
  <c r="W870" i="11" s="1"/>
  <c r="W871" i="11" s="1"/>
  <c r="W872" i="11" s="1"/>
  <c r="W873" i="11" s="1"/>
  <c r="W874" i="11" s="1"/>
  <c r="W875" i="11" s="1"/>
  <c r="W876" i="11" s="1"/>
  <c r="W877" i="11" s="1"/>
  <c r="W878" i="11" s="1"/>
  <c r="W879" i="11" s="1"/>
  <c r="W880" i="11" s="1"/>
  <c r="W881" i="11" s="1"/>
  <c r="W882" i="11" s="1"/>
  <c r="W883" i="11" s="1"/>
  <c r="W884" i="11" s="1"/>
  <c r="W885" i="11" s="1"/>
  <c r="W886" i="11" s="1"/>
  <c r="W887" i="11" s="1"/>
  <c r="W888" i="11" s="1"/>
  <c r="W889" i="11" s="1"/>
  <c r="W890" i="11" s="1"/>
  <c r="W891" i="11" s="1"/>
  <c r="W892" i="11" s="1"/>
  <c r="W893" i="11" s="1"/>
  <c r="W894" i="11" s="1"/>
  <c r="W895" i="11" s="1"/>
  <c r="W896" i="11" s="1"/>
  <c r="W897" i="11" s="1"/>
  <c r="W898" i="11" s="1"/>
  <c r="W899" i="11" s="1"/>
  <c r="W900" i="11" s="1"/>
  <c r="W901" i="11" s="1"/>
  <c r="W902" i="11" s="1"/>
  <c r="W903" i="11" s="1"/>
  <c r="W904" i="11" s="1"/>
  <c r="W905" i="11" s="1"/>
  <c r="W906" i="11" s="1"/>
  <c r="W907" i="11" s="1"/>
  <c r="W908" i="11" s="1"/>
  <c r="W909" i="11" s="1"/>
  <c r="W910" i="11" s="1"/>
  <c r="W911" i="11" s="1"/>
  <c r="W912" i="11" s="1"/>
  <c r="W913" i="11" s="1"/>
  <c r="W914" i="11" s="1"/>
  <c r="W915" i="11" s="1"/>
  <c r="W916" i="11" s="1"/>
  <c r="W917" i="11" s="1"/>
  <c r="W918" i="11" s="1"/>
  <c r="W919" i="11" s="1"/>
  <c r="W920" i="11" s="1"/>
  <c r="W921" i="11" s="1"/>
  <c r="W922" i="11" s="1"/>
  <c r="W923" i="11" s="1"/>
  <c r="W924" i="11" s="1"/>
  <c r="W925" i="11" s="1"/>
  <c r="W926" i="11" s="1"/>
  <c r="W927" i="11" s="1"/>
  <c r="W928" i="11" s="1"/>
  <c r="W929" i="11" s="1"/>
  <c r="W930" i="11" s="1"/>
  <c r="W931" i="11" s="1"/>
  <c r="W932" i="11" s="1"/>
  <c r="W933" i="11" s="1"/>
  <c r="W934" i="11" s="1"/>
  <c r="W935" i="11" s="1"/>
  <c r="W936" i="11" s="1"/>
  <c r="W937" i="11" s="1"/>
  <c r="W938" i="11" s="1"/>
  <c r="W939" i="11" s="1"/>
  <c r="W940" i="11" s="1"/>
  <c r="W941" i="11" s="1"/>
  <c r="W942" i="11" s="1"/>
  <c r="W943" i="11" s="1"/>
  <c r="W944" i="11" s="1"/>
  <c r="W945" i="11" s="1"/>
  <c r="W946" i="11" s="1"/>
  <c r="W947" i="11" s="1"/>
  <c r="W948" i="11" s="1"/>
  <c r="W949" i="11" s="1"/>
  <c r="W950" i="11" s="1"/>
  <c r="W951" i="11" s="1"/>
  <c r="W952" i="11" s="1"/>
  <c r="W953" i="11" s="1"/>
  <c r="W954" i="11" s="1"/>
  <c r="W955" i="11" s="1"/>
  <c r="W956" i="11" s="1"/>
  <c r="W957" i="11" s="1"/>
  <c r="W958" i="11" s="1"/>
  <c r="W959" i="11" s="1"/>
  <c r="W960" i="11" s="1"/>
  <c r="W961" i="11" s="1"/>
  <c r="W962" i="11" s="1"/>
  <c r="W963" i="11" s="1"/>
  <c r="W964" i="11" s="1"/>
  <c r="W965" i="11" s="1"/>
  <c r="W966" i="11" s="1"/>
  <c r="W967" i="11" s="1"/>
  <c r="W968" i="11" s="1"/>
  <c r="W969" i="11" s="1"/>
  <c r="W970" i="11" s="1"/>
  <c r="W971" i="11" s="1"/>
  <c r="W972" i="11" s="1"/>
  <c r="W973" i="11" s="1"/>
  <c r="W974" i="11" s="1"/>
  <c r="W975" i="11" s="1"/>
  <c r="W976" i="11" s="1"/>
  <c r="W977" i="11" s="1"/>
  <c r="W978" i="11" s="1"/>
  <c r="W979" i="11" s="1"/>
  <c r="W980" i="11" s="1"/>
  <c r="W981" i="11" s="1"/>
  <c r="W982" i="11" s="1"/>
  <c r="W983" i="11" s="1"/>
  <c r="W984" i="11" s="1"/>
  <c r="W985" i="11" s="1"/>
  <c r="W986" i="11" s="1"/>
  <c r="W987" i="11" s="1"/>
  <c r="W988" i="11" s="1"/>
  <c r="W989" i="11" s="1"/>
  <c r="W990" i="11" s="1"/>
  <c r="W991" i="11" s="1"/>
  <c r="W992" i="11" s="1"/>
  <c r="W993" i="11" s="1"/>
  <c r="W994" i="11" s="1"/>
  <c r="W995" i="11" s="1"/>
  <c r="W996" i="11" s="1"/>
  <c r="W997" i="11" s="1"/>
  <c r="W998" i="11" s="1"/>
  <c r="W999" i="11" s="1"/>
  <c r="W1000" i="11" s="1"/>
  <c r="W1001" i="11" s="1"/>
  <c r="W1002" i="11" s="1"/>
  <c r="W1003" i="11" s="1"/>
  <c r="W1004" i="11" s="1"/>
  <c r="W1005" i="11" s="1"/>
  <c r="W1006" i="11" s="1"/>
  <c r="W1007" i="11" s="1"/>
  <c r="W1008" i="11" s="1"/>
  <c r="W1009" i="11" s="1"/>
  <c r="W1010" i="11" s="1"/>
  <c r="W1011" i="11" s="1"/>
  <c r="W1012" i="11" s="1"/>
  <c r="W1013" i="11" s="1"/>
  <c r="W1014" i="11" s="1"/>
  <c r="W1015" i="11" s="1"/>
  <c r="W1016" i="11" s="1"/>
  <c r="W1017" i="11" s="1"/>
  <c r="W1018" i="11" s="1"/>
  <c r="W1019" i="11" s="1"/>
  <c r="W1020" i="11" s="1"/>
  <c r="W1021" i="11" s="1"/>
  <c r="W1022" i="11" s="1"/>
  <c r="W1023" i="11" s="1"/>
  <c r="W1024" i="11" s="1"/>
  <c r="W1025" i="11" s="1"/>
  <c r="W1026" i="11" s="1"/>
  <c r="W1027" i="11" s="1"/>
  <c r="W1028" i="11" s="1"/>
  <c r="W1029" i="11" s="1"/>
  <c r="W1030" i="11" s="1"/>
  <c r="W1031" i="11" s="1"/>
  <c r="W1032" i="11" s="1"/>
  <c r="W1033" i="11" s="1"/>
  <c r="W1034" i="11" s="1"/>
  <c r="W1035" i="11" s="1"/>
  <c r="W1036" i="11" s="1"/>
  <c r="W1037" i="11" s="1"/>
  <c r="W1038" i="11" s="1"/>
  <c r="W1039" i="11" s="1"/>
  <c r="W1040" i="11" s="1"/>
  <c r="W1041" i="11" s="1"/>
  <c r="W1042" i="11" s="1"/>
  <c r="W1043" i="11" s="1"/>
  <c r="W1044" i="11" s="1"/>
  <c r="W1045" i="11" s="1"/>
  <c r="W1046" i="11" s="1"/>
  <c r="W1047" i="11" s="1"/>
  <c r="W1048" i="11" s="1"/>
  <c r="W1049" i="11" s="1"/>
  <c r="W1050" i="11" s="1"/>
  <c r="W1051" i="11" s="1"/>
  <c r="W1052" i="11" s="1"/>
  <c r="W1053" i="11" s="1"/>
  <c r="W1054" i="11" s="1"/>
  <c r="W1055" i="11" s="1"/>
  <c r="W1056" i="11" s="1"/>
  <c r="W1057" i="11" s="1"/>
  <c r="W1058" i="11" s="1"/>
  <c r="W1059" i="11" s="1"/>
  <c r="W1060" i="11" s="1"/>
  <c r="W1061" i="11" s="1"/>
  <c r="W1062" i="11" s="1"/>
  <c r="W1063" i="11" s="1"/>
  <c r="W1064" i="11" s="1"/>
  <c r="W1065" i="11" s="1"/>
  <c r="W1066" i="11" s="1"/>
  <c r="W1067" i="11" s="1"/>
  <c r="W1068" i="11" s="1"/>
  <c r="W1069" i="11" s="1"/>
  <c r="W1070" i="11" s="1"/>
  <c r="W1071" i="11" s="1"/>
  <c r="W1072" i="11" s="1"/>
  <c r="W1073" i="11" s="1"/>
  <c r="W1074" i="11" s="1"/>
  <c r="W1075" i="11" s="1"/>
  <c r="W1076" i="11" s="1"/>
  <c r="W1077" i="11" s="1"/>
  <c r="W1078" i="11" s="1"/>
  <c r="W1079" i="11" s="1"/>
  <c r="W1080" i="11" s="1"/>
  <c r="W1081" i="11" s="1"/>
  <c r="W1082" i="11" s="1"/>
  <c r="W1083" i="11" s="1"/>
  <c r="W1084" i="11" s="1"/>
  <c r="W1085" i="11" s="1"/>
  <c r="W1086" i="11" s="1"/>
  <c r="W1087" i="11" s="1"/>
  <c r="W1088" i="11" s="1"/>
  <c r="W1089" i="11" s="1"/>
  <c r="W1090" i="11" s="1"/>
  <c r="W1091" i="11" s="1"/>
  <c r="W1092" i="11" s="1"/>
  <c r="W1093" i="11" s="1"/>
  <c r="W1094" i="11" s="1"/>
  <c r="W1095" i="11" s="1"/>
  <c r="W1096" i="11" s="1"/>
  <c r="W1097" i="11" s="1"/>
  <c r="W1098" i="11" s="1"/>
  <c r="W1099" i="11" s="1"/>
  <c r="W1100" i="11" s="1"/>
  <c r="W1101" i="11" s="1"/>
  <c r="W1102" i="11" s="1"/>
  <c r="W1103" i="11" s="1"/>
  <c r="W1104" i="11" s="1"/>
  <c r="W1105" i="11" s="1"/>
  <c r="W1106" i="11" s="1"/>
  <c r="W1107" i="11" s="1"/>
  <c r="W1108" i="11" s="1"/>
  <c r="W1109" i="11" s="1"/>
  <c r="W1110" i="11" s="1"/>
  <c r="W1111" i="11" s="1"/>
  <c r="W1112" i="11" s="1"/>
  <c r="W1113" i="11" s="1"/>
  <c r="W1114" i="11" s="1"/>
  <c r="W1115" i="11" s="1"/>
  <c r="W1116" i="11" s="1"/>
  <c r="W1117" i="11" s="1"/>
  <c r="W1118" i="11" s="1"/>
  <c r="W1119" i="11" s="1"/>
  <c r="W1120" i="11" s="1"/>
  <c r="W1121" i="11" s="1"/>
  <c r="W1122" i="11" s="1"/>
  <c r="W1123" i="11" s="1"/>
  <c r="W1124" i="11" s="1"/>
  <c r="W1125" i="11" s="1"/>
  <c r="W1126" i="11" s="1"/>
  <c r="W1127" i="11" s="1"/>
  <c r="W1128" i="11" s="1"/>
  <c r="W1129" i="11" s="1"/>
  <c r="W1130" i="11" s="1"/>
  <c r="W1131" i="11" s="1"/>
  <c r="W1132" i="11" s="1"/>
  <c r="W1133" i="11" s="1"/>
  <c r="W1134" i="11" s="1"/>
  <c r="W1135" i="11" s="1"/>
  <c r="W1136" i="11" s="1"/>
  <c r="W1137" i="11" s="1"/>
  <c r="W1138" i="11" s="1"/>
  <c r="W1139" i="11" s="1"/>
  <c r="W1140" i="11" s="1"/>
  <c r="W1141" i="11" s="1"/>
  <c r="W1142" i="11" s="1"/>
  <c r="W1143" i="11" s="1"/>
  <c r="W1144" i="11" s="1"/>
  <c r="W1145" i="11" s="1"/>
  <c r="W1146" i="11" s="1"/>
  <c r="W1147" i="11" s="1"/>
  <c r="W1148" i="11" s="1"/>
  <c r="W1149" i="11" s="1"/>
  <c r="W1150" i="11" s="1"/>
  <c r="W1151" i="11" s="1"/>
  <c r="W1152" i="11" s="1"/>
  <c r="W1153" i="11" s="1"/>
  <c r="W1154" i="11" s="1"/>
  <c r="W1155" i="11" s="1"/>
  <c r="W1156" i="11" s="1"/>
  <c r="W1157" i="11" s="1"/>
  <c r="W1158" i="11" s="1"/>
  <c r="W1159" i="11" s="1"/>
  <c r="W1160" i="11" s="1"/>
  <c r="W1161" i="11" s="1"/>
  <c r="W1162" i="11" s="1"/>
  <c r="W1163" i="11" s="1"/>
  <c r="W1164" i="11" s="1"/>
  <c r="W1165" i="11" s="1"/>
  <c r="W1166" i="11" s="1"/>
  <c r="W1167" i="11" s="1"/>
  <c r="W1168" i="11" s="1"/>
  <c r="W1169" i="11" s="1"/>
  <c r="W1170" i="11" s="1"/>
  <c r="W1171" i="11" s="1"/>
  <c r="W1172" i="11" s="1"/>
  <c r="W1173" i="11" s="1"/>
  <c r="W1174" i="11" s="1"/>
  <c r="W1175" i="11" s="1"/>
  <c r="W1176" i="11" s="1"/>
  <c r="W1177" i="11" s="1"/>
  <c r="W1178" i="11" s="1"/>
  <c r="W1179" i="11" s="1"/>
  <c r="W1180" i="11" s="1"/>
  <c r="W1181" i="11" s="1"/>
  <c r="W1182" i="11" s="1"/>
  <c r="W1183" i="11" s="1"/>
  <c r="W1184" i="11" s="1"/>
  <c r="W1185" i="11" s="1"/>
  <c r="W1186" i="11" s="1"/>
  <c r="W1187" i="11" s="1"/>
  <c r="W1188" i="11" s="1"/>
  <c r="W1189" i="11" s="1"/>
  <c r="W1190" i="11" s="1"/>
  <c r="W1191" i="11" s="1"/>
  <c r="W1192" i="11" s="1"/>
  <c r="W1193" i="11" s="1"/>
  <c r="W1194" i="11" s="1"/>
  <c r="W1195" i="11" s="1"/>
  <c r="W1196" i="11" s="1"/>
  <c r="W1197" i="11" s="1"/>
  <c r="W1198" i="11" s="1"/>
  <c r="W1199" i="11" s="1"/>
  <c r="W1200" i="11" s="1"/>
  <c r="W1201" i="11" s="1"/>
  <c r="W1202" i="11" s="1"/>
  <c r="W1203" i="11" s="1"/>
  <c r="W1204" i="11" s="1"/>
  <c r="W1205" i="11" s="1"/>
  <c r="W1206" i="11" s="1"/>
  <c r="W1207" i="11" s="1"/>
  <c r="W1208" i="11" s="1"/>
  <c r="W1209" i="11" s="1"/>
  <c r="W1210" i="11" s="1"/>
  <c r="W1211" i="11" s="1"/>
  <c r="W1212" i="11" s="1"/>
  <c r="W1213" i="11" s="1"/>
  <c r="W1214" i="11" s="1"/>
  <c r="W1215" i="11" s="1"/>
  <c r="W1216" i="11" s="1"/>
  <c r="W1217" i="11" s="1"/>
  <c r="W1218" i="11" s="1"/>
  <c r="W1219" i="11" s="1"/>
  <c r="W1220" i="11" s="1"/>
  <c r="W1221" i="11" s="1"/>
  <c r="W1222" i="11" s="1"/>
  <c r="W1223" i="11" s="1"/>
  <c r="W1224" i="11" s="1"/>
  <c r="W1225" i="11" s="1"/>
  <c r="W1226" i="11" s="1"/>
  <c r="W1227" i="11" s="1"/>
  <c r="W1228" i="11" s="1"/>
  <c r="W1229" i="11" s="1"/>
  <c r="W1230" i="11" s="1"/>
  <c r="W1231" i="11" s="1"/>
  <c r="W1232" i="11" s="1"/>
  <c r="W1233" i="11" s="1"/>
  <c r="W1234" i="11" s="1"/>
  <c r="W1235" i="11" s="1"/>
  <c r="W1236" i="11" s="1"/>
  <c r="W1237" i="11" s="1"/>
  <c r="W1238" i="11" s="1"/>
  <c r="W1239" i="11" s="1"/>
  <c r="W1240" i="11" s="1"/>
  <c r="W1241" i="11" s="1"/>
  <c r="W1242" i="11" s="1"/>
  <c r="W1243" i="11" s="1"/>
  <c r="W1244" i="11" s="1"/>
  <c r="W1245" i="11" s="1"/>
  <c r="W1246" i="11" s="1"/>
  <c r="W1247" i="11" s="1"/>
  <c r="W1248" i="11" s="1"/>
  <c r="W1249" i="11" s="1"/>
  <c r="W1250" i="11" s="1"/>
  <c r="W1251" i="11" s="1"/>
  <c r="W1252" i="11" s="1"/>
  <c r="W1253" i="11" s="1"/>
  <c r="W1254" i="11" s="1"/>
  <c r="W1255" i="11" s="1"/>
  <c r="W1256" i="11" s="1"/>
  <c r="W1257" i="11" s="1"/>
  <c r="W1258" i="11" s="1"/>
  <c r="W1259" i="11" s="1"/>
  <c r="W1260" i="11" s="1"/>
  <c r="W1261" i="11" s="1"/>
  <c r="W1262" i="11" s="1"/>
  <c r="W1263" i="11" s="1"/>
  <c r="W1264" i="11" s="1"/>
  <c r="W1265" i="11" s="1"/>
  <c r="W1266" i="11" s="1"/>
  <c r="W1267" i="11" s="1"/>
  <c r="W1268" i="11" s="1"/>
  <c r="W1269" i="11" s="1"/>
  <c r="W1270" i="11" s="1"/>
  <c r="W1271" i="11" s="1"/>
  <c r="W1272" i="11" s="1"/>
  <c r="W1273" i="11" s="1"/>
  <c r="W1274" i="11" s="1"/>
  <c r="W1275" i="11" s="1"/>
  <c r="W1276" i="11" s="1"/>
  <c r="W1277" i="11" s="1"/>
  <c r="W1278" i="11" s="1"/>
  <c r="W1279" i="11" s="1"/>
  <c r="W1280" i="11" s="1"/>
  <c r="W1281" i="11" s="1"/>
  <c r="W1282" i="11" s="1"/>
  <c r="W1283" i="11" s="1"/>
  <c r="W1284" i="11" s="1"/>
  <c r="W1285" i="11" s="1"/>
  <c r="W1286" i="11" s="1"/>
  <c r="W1287" i="11" s="1"/>
  <c r="W1288" i="11" s="1"/>
  <c r="W1289" i="11" s="1"/>
  <c r="W1290" i="11" s="1"/>
  <c r="W1291" i="11" s="1"/>
  <c r="W1292" i="11" s="1"/>
  <c r="W1293" i="11" s="1"/>
  <c r="W1294" i="11" s="1"/>
  <c r="W1295" i="11" s="1"/>
  <c r="W1296" i="11" s="1"/>
  <c r="W1297" i="11" s="1"/>
  <c r="W1298" i="11" s="1"/>
  <c r="W1299" i="11" s="1"/>
  <c r="W1300" i="11" s="1"/>
  <c r="W1301" i="11" s="1"/>
  <c r="W1302" i="11" s="1"/>
  <c r="W1303" i="11" s="1"/>
  <c r="W1304" i="11" s="1"/>
  <c r="W1305" i="11" s="1"/>
  <c r="W1306" i="11" s="1"/>
  <c r="W1307" i="11" s="1"/>
  <c r="W1308" i="11" s="1"/>
  <c r="W1309" i="11" s="1"/>
  <c r="W1310" i="11" s="1"/>
  <c r="W1311" i="11" s="1"/>
  <c r="W1312" i="11" s="1"/>
  <c r="W1313" i="11" s="1"/>
  <c r="W1314" i="11" s="1"/>
  <c r="W1315" i="11" s="1"/>
  <c r="W1316" i="11" s="1"/>
  <c r="W1317" i="11" s="1"/>
  <c r="W1318" i="11" s="1"/>
  <c r="W1319" i="11" s="1"/>
  <c r="W1320" i="11" s="1"/>
  <c r="W1321" i="11" s="1"/>
  <c r="W1322" i="11" s="1"/>
  <c r="W1323" i="11" s="1"/>
  <c r="W1324" i="11" s="1"/>
  <c r="W1325" i="11" s="1"/>
  <c r="W1326" i="11" s="1"/>
  <c r="W1327" i="11" s="1"/>
  <c r="W1328" i="11" s="1"/>
  <c r="W1329" i="11" s="1"/>
  <c r="W1330" i="11" s="1"/>
  <c r="W1331" i="11" s="1"/>
  <c r="W1332" i="11" s="1"/>
  <c r="W1333" i="11" s="1"/>
  <c r="W1334" i="11" s="1"/>
  <c r="W1335" i="11" s="1"/>
  <c r="W1336" i="11" s="1"/>
  <c r="W1337" i="11" s="1"/>
  <c r="W1338" i="11" s="1"/>
  <c r="W1339" i="11" s="1"/>
  <c r="W1340" i="11" s="1"/>
  <c r="W1341" i="11" s="1"/>
  <c r="W1342" i="11" s="1"/>
  <c r="W1343" i="11" s="1"/>
  <c r="W1344" i="11" s="1"/>
  <c r="W1345" i="11" s="1"/>
  <c r="W1346" i="11" s="1"/>
  <c r="W1347" i="11" s="1"/>
  <c r="W1348" i="11" s="1"/>
  <c r="W1349" i="11" s="1"/>
  <c r="W1350" i="11" s="1"/>
  <c r="W1351" i="11" s="1"/>
  <c r="W1352" i="11" s="1"/>
  <c r="W1353" i="11" s="1"/>
  <c r="W1354" i="11" s="1"/>
  <c r="W1355" i="11" s="1"/>
  <c r="W1356" i="11" s="1"/>
  <c r="W1357" i="11" s="1"/>
  <c r="W1358" i="11" s="1"/>
  <c r="W1359" i="11" s="1"/>
  <c r="W1360" i="11" s="1"/>
  <c r="W1361" i="11" s="1"/>
  <c r="W1362" i="11" s="1"/>
  <c r="W1363" i="11" s="1"/>
  <c r="W1364" i="11" s="1"/>
  <c r="W1365" i="11" s="1"/>
  <c r="W1366" i="11" s="1"/>
  <c r="W1367" i="11" s="1"/>
  <c r="W1368" i="11" s="1"/>
  <c r="W1369" i="11" s="1"/>
  <c r="W1370" i="11" s="1"/>
  <c r="W1371" i="11" s="1"/>
  <c r="W1372" i="11" s="1"/>
  <c r="W1373" i="11" s="1"/>
  <c r="W1374" i="11" s="1"/>
  <c r="W1375" i="11" s="1"/>
  <c r="W1376" i="11" s="1"/>
  <c r="W1377" i="11" s="1"/>
  <c r="W1378" i="11" s="1"/>
  <c r="W1379" i="11" s="1"/>
  <c r="W1380" i="11" s="1"/>
  <c r="W1381" i="11" s="1"/>
  <c r="W1382" i="11" s="1"/>
  <c r="W1383" i="11" s="1"/>
  <c r="W1384" i="11" s="1"/>
  <c r="W1385" i="11" s="1"/>
  <c r="W1386" i="11" s="1"/>
  <c r="W1387" i="11" s="1"/>
  <c r="W1388" i="11" s="1"/>
  <c r="W1389" i="11" s="1"/>
  <c r="W1390" i="11" s="1"/>
  <c r="W1391" i="11" s="1"/>
  <c r="W1392" i="11" s="1"/>
  <c r="W1393" i="11" s="1"/>
  <c r="W1394" i="11" s="1"/>
  <c r="W1395" i="11" s="1"/>
  <c r="W1396" i="11" s="1"/>
  <c r="W1397" i="11" s="1"/>
  <c r="W1398" i="11" s="1"/>
  <c r="W1399" i="11" s="1"/>
  <c r="W1400" i="11" s="1"/>
  <c r="W1401" i="11" s="1"/>
  <c r="W1402" i="11" s="1"/>
  <c r="W1403" i="11" s="1"/>
  <c r="W1404" i="11" s="1"/>
  <c r="W1405" i="11" s="1"/>
  <c r="W1406" i="11" s="1"/>
  <c r="W1407" i="11" s="1"/>
  <c r="W1408" i="11" s="1"/>
  <c r="W1409" i="11" s="1"/>
  <c r="W1410" i="11" s="1"/>
  <c r="W1411" i="11" s="1"/>
  <c r="W1412" i="11" s="1"/>
  <c r="W1413" i="11" s="1"/>
  <c r="W1414" i="11" s="1"/>
  <c r="W1415" i="11" s="1"/>
  <c r="W1416" i="11" s="1"/>
  <c r="W1417" i="11" s="1"/>
  <c r="W1418" i="11" s="1"/>
  <c r="W1419" i="11" s="1"/>
  <c r="W1420" i="11" s="1"/>
  <c r="W1421" i="11" s="1"/>
  <c r="W1422" i="11" s="1"/>
  <c r="W1423" i="11" s="1"/>
  <c r="W1424" i="11" s="1"/>
  <c r="W1425" i="11" s="1"/>
  <c r="W1426" i="11" s="1"/>
  <c r="W1427" i="11" s="1"/>
  <c r="W1428" i="11" s="1"/>
  <c r="W1429" i="11" s="1"/>
  <c r="W1430" i="11" s="1"/>
  <c r="W1431" i="11" s="1"/>
  <c r="W1432" i="11" s="1"/>
  <c r="W1433" i="11" s="1"/>
  <c r="W1434" i="11" s="1"/>
  <c r="W1435" i="11" s="1"/>
  <c r="W1436" i="11" s="1"/>
  <c r="W1437" i="11" s="1"/>
  <c r="W1438" i="11" s="1"/>
  <c r="W1439" i="11" s="1"/>
  <c r="W1440" i="11" s="1"/>
  <c r="W1441" i="11" s="1"/>
  <c r="W1442" i="11" s="1"/>
  <c r="W1443" i="11" s="1"/>
  <c r="W1444" i="11" s="1"/>
  <c r="W1445" i="11" s="1"/>
  <c r="W1446" i="11" s="1"/>
  <c r="W1447" i="11" s="1"/>
  <c r="W1448" i="11" s="1"/>
  <c r="W1449" i="11" s="1"/>
  <c r="W1450" i="11" s="1"/>
  <c r="W1451" i="11" s="1"/>
  <c r="W1452" i="11" s="1"/>
  <c r="W1453" i="11" s="1"/>
  <c r="W1454" i="11" s="1"/>
  <c r="W1455" i="11" s="1"/>
  <c r="W1456" i="11" s="1"/>
  <c r="W1457" i="11" s="1"/>
  <c r="W1458" i="11" s="1"/>
  <c r="W1459" i="11" s="1"/>
  <c r="W1460" i="11" s="1"/>
  <c r="W1461" i="11" s="1"/>
  <c r="W1462" i="11" s="1"/>
  <c r="W1463" i="11" s="1"/>
  <c r="W1464" i="11" s="1"/>
  <c r="W1465" i="11" s="1"/>
  <c r="W1466" i="11" s="1"/>
  <c r="W1467" i="11" s="1"/>
  <c r="W1468" i="11" s="1"/>
  <c r="W1469" i="11" s="1"/>
  <c r="W1470" i="11" s="1"/>
  <c r="W1471" i="11" s="1"/>
  <c r="W1472" i="11" s="1"/>
  <c r="W1473" i="11" s="1"/>
  <c r="W1474" i="11" s="1"/>
  <c r="W1475" i="11" s="1"/>
  <c r="W1476" i="11" s="1"/>
  <c r="W1477" i="11" s="1"/>
  <c r="W1478" i="11" s="1"/>
  <c r="W1479" i="11" s="1"/>
  <c r="W1480" i="11" s="1"/>
  <c r="W1481" i="11" s="1"/>
  <c r="W1482" i="11" s="1"/>
  <c r="W1483" i="11" s="1"/>
  <c r="W1484" i="11" s="1"/>
  <c r="W1485" i="11" s="1"/>
  <c r="W1486" i="11" s="1"/>
  <c r="W1487" i="11" s="1"/>
  <c r="W1488" i="11" s="1"/>
  <c r="W1489" i="11" s="1"/>
  <c r="W1490" i="11" s="1"/>
  <c r="W1491" i="11" s="1"/>
  <c r="W1492" i="11" s="1"/>
  <c r="W1493" i="11" s="1"/>
  <c r="W1494" i="11" s="1"/>
  <c r="W1495" i="11" s="1"/>
  <c r="W1496" i="11" s="1"/>
  <c r="W1497" i="11" s="1"/>
  <c r="W1498" i="11" s="1"/>
  <c r="W1499" i="11" s="1"/>
  <c r="W1500" i="11" s="1"/>
  <c r="W1501" i="11" s="1"/>
  <c r="W1502" i="11" s="1"/>
  <c r="W1503" i="11" s="1"/>
  <c r="W1504" i="11" s="1"/>
  <c r="W1505" i="11" s="1"/>
  <c r="W1506" i="11" s="1"/>
  <c r="W1507" i="11" s="1"/>
  <c r="W1508" i="11" s="1"/>
  <c r="W1509" i="11" s="1"/>
  <c r="W1510" i="11" s="1"/>
  <c r="W1511" i="11" s="1"/>
  <c r="W1512" i="11" s="1"/>
  <c r="W1513" i="11" s="1"/>
  <c r="W1514" i="11" s="1"/>
  <c r="W1515" i="11" s="1"/>
  <c r="W1516" i="11" s="1"/>
  <c r="W1517" i="11" s="1"/>
  <c r="W1518" i="11" s="1"/>
  <c r="W1519" i="11" s="1"/>
  <c r="W1520" i="11" s="1"/>
  <c r="W1521" i="11" s="1"/>
  <c r="W1522" i="11" s="1"/>
  <c r="W1523" i="11" s="1"/>
  <c r="W1524" i="11" s="1"/>
  <c r="W1525" i="11" s="1"/>
  <c r="W1526" i="11" s="1"/>
  <c r="W1527" i="11" s="1"/>
  <c r="W1528" i="11" s="1"/>
  <c r="W1529" i="11" s="1"/>
  <c r="W1530" i="11" s="1"/>
  <c r="W1531" i="11" s="1"/>
  <c r="W1532" i="11" s="1"/>
  <c r="W1533" i="11" s="1"/>
  <c r="W1534" i="11" s="1"/>
  <c r="W1535" i="11" s="1"/>
  <c r="W1536" i="11" s="1"/>
  <c r="W1537" i="11" s="1"/>
  <c r="W1538" i="11" s="1"/>
  <c r="W1539" i="11" s="1"/>
  <c r="W1540" i="11" s="1"/>
  <c r="W1541" i="11" s="1"/>
  <c r="W1542" i="11" s="1"/>
  <c r="W1543" i="11" s="1"/>
  <c r="W1544" i="11" s="1"/>
  <c r="W1545" i="11" s="1"/>
  <c r="W1546" i="11" s="1"/>
  <c r="W1547" i="11" s="1"/>
  <c r="W1548" i="11" s="1"/>
  <c r="W1549" i="11" s="1"/>
  <c r="W1550" i="11" s="1"/>
  <c r="W1551" i="11" s="1"/>
  <c r="W1552" i="11" s="1"/>
  <c r="W1553" i="11" s="1"/>
  <c r="W1554" i="11" s="1"/>
  <c r="W1555" i="11" s="1"/>
  <c r="W1556" i="11" s="1"/>
  <c r="W1557" i="11" s="1"/>
  <c r="W1558" i="11" s="1"/>
  <c r="W1559" i="11" s="1"/>
  <c r="W1560" i="11" s="1"/>
  <c r="W1561" i="11" s="1"/>
  <c r="W1562" i="11" s="1"/>
  <c r="W1563" i="11" s="1"/>
  <c r="W1564" i="11" s="1"/>
  <c r="W1565" i="11" s="1"/>
  <c r="W1566" i="11" s="1"/>
  <c r="W1567" i="11" s="1"/>
  <c r="W1568" i="11" s="1"/>
  <c r="W1569" i="11" s="1"/>
  <c r="W1570" i="11" s="1"/>
  <c r="W1571" i="11" s="1"/>
  <c r="W1572" i="11" s="1"/>
  <c r="W1573" i="11" s="1"/>
  <c r="W1574" i="11" s="1"/>
  <c r="W1575" i="11" s="1"/>
  <c r="W1576" i="11" s="1"/>
  <c r="W1577" i="11" s="1"/>
  <c r="W1578" i="11" s="1"/>
  <c r="W1579" i="11" s="1"/>
  <c r="W1580" i="11" s="1"/>
  <c r="W1581" i="11" s="1"/>
  <c r="W1582" i="11" s="1"/>
  <c r="W1583" i="11" s="1"/>
  <c r="W1584" i="11" s="1"/>
  <c r="W1585" i="11" s="1"/>
  <c r="W1586" i="11" s="1"/>
  <c r="W1587" i="11" s="1"/>
  <c r="W1588" i="11" s="1"/>
  <c r="W1589" i="11" s="1"/>
  <c r="W1590" i="11" s="1"/>
  <c r="W1591" i="11" s="1"/>
  <c r="W1592" i="11" s="1"/>
  <c r="W1593" i="11" s="1"/>
  <c r="W1594" i="11" s="1"/>
  <c r="W1595" i="11" s="1"/>
  <c r="W1596" i="11" s="1"/>
  <c r="W1597" i="11" s="1"/>
  <c r="W1598" i="11" s="1"/>
  <c r="W1599" i="11" s="1"/>
  <c r="W1600" i="11" s="1"/>
  <c r="W1601" i="11" s="1"/>
  <c r="W1602" i="11" s="1"/>
  <c r="W1603" i="11" s="1"/>
  <c r="W1604" i="11" s="1"/>
  <c r="W1605" i="11" s="1"/>
  <c r="W1606" i="11" s="1"/>
  <c r="W1607" i="11" s="1"/>
  <c r="W1608" i="11" s="1"/>
  <c r="W1609" i="11" s="1"/>
  <c r="W1610" i="11" s="1"/>
  <c r="W1611" i="11" s="1"/>
  <c r="W1612" i="11" s="1"/>
  <c r="W1613" i="11" s="1"/>
  <c r="W1614" i="11" s="1"/>
  <c r="W1615" i="11" s="1"/>
  <c r="W1616" i="11" s="1"/>
  <c r="W1617" i="11" s="1"/>
  <c r="W1618" i="11" s="1"/>
  <c r="W1619" i="11" s="1"/>
  <c r="W1620" i="11" s="1"/>
  <c r="W1621" i="11" s="1"/>
  <c r="W1622" i="11" s="1"/>
  <c r="W1623" i="11" s="1"/>
  <c r="W1624" i="11" s="1"/>
  <c r="W1625" i="11" s="1"/>
  <c r="W1626" i="11" s="1"/>
  <c r="W1627" i="11" s="1"/>
  <c r="W1628" i="11" s="1"/>
  <c r="W1629" i="11" s="1"/>
  <c r="W1630" i="11" s="1"/>
  <c r="W1631" i="11" s="1"/>
  <c r="W1632" i="11" s="1"/>
  <c r="W1633" i="11" s="1"/>
  <c r="W1634" i="11" s="1"/>
  <c r="W1635" i="11" s="1"/>
  <c r="W1636" i="11" s="1"/>
  <c r="W1637" i="11" s="1"/>
  <c r="W1638" i="11" s="1"/>
  <c r="W1639" i="11" s="1"/>
  <c r="W1640" i="11" s="1"/>
  <c r="W1641" i="11" s="1"/>
  <c r="W1642" i="11" s="1"/>
  <c r="W1643" i="11" s="1"/>
  <c r="W1644" i="11" s="1"/>
  <c r="W1645" i="11" s="1"/>
  <c r="W1646" i="11" s="1"/>
  <c r="W1647" i="11" s="1"/>
  <c r="W1648" i="11" s="1"/>
  <c r="W1649" i="11" s="1"/>
  <c r="W1650" i="11" s="1"/>
  <c r="W1651" i="11" s="1"/>
  <c r="W1652" i="11" s="1"/>
  <c r="W1653" i="11" s="1"/>
  <c r="W1654" i="11" s="1"/>
  <c r="W1655" i="11" s="1"/>
  <c r="W1656" i="11" s="1"/>
  <c r="W1657" i="11" s="1"/>
  <c r="W1658" i="11" s="1"/>
  <c r="W1659" i="11" s="1"/>
  <c r="W1660" i="11" s="1"/>
  <c r="W1661" i="11" s="1"/>
  <c r="W1662" i="11" s="1"/>
  <c r="W1663" i="11" s="1"/>
  <c r="W1664" i="11" s="1"/>
  <c r="W1665" i="11" s="1"/>
  <c r="W1666" i="11" s="1"/>
  <c r="W1667" i="11" s="1"/>
  <c r="W1668" i="11" s="1"/>
  <c r="W1669" i="11" s="1"/>
  <c r="W1670" i="11" s="1"/>
  <c r="W1671" i="11" s="1"/>
  <c r="W1672" i="11" s="1"/>
  <c r="W1673" i="11" s="1"/>
  <c r="W1674" i="11" s="1"/>
  <c r="W1675" i="11" s="1"/>
  <c r="W1676" i="11" s="1"/>
  <c r="W1677" i="11" s="1"/>
  <c r="W1678" i="11" s="1"/>
  <c r="W1679" i="11" s="1"/>
  <c r="W1680" i="11" s="1"/>
  <c r="W1681" i="11" s="1"/>
  <c r="W1682" i="11" s="1"/>
  <c r="W1683" i="11" s="1"/>
  <c r="W1684" i="11" s="1"/>
  <c r="W1685" i="11" s="1"/>
  <c r="W1686" i="11" s="1"/>
  <c r="W1687" i="11" s="1"/>
  <c r="W1688" i="11" s="1"/>
  <c r="W1689" i="11" s="1"/>
  <c r="W1690" i="11" s="1"/>
  <c r="W1691" i="11" s="1"/>
  <c r="W1692" i="11" s="1"/>
  <c r="W1693" i="11" s="1"/>
  <c r="W1694" i="11" s="1"/>
  <c r="W1695" i="11" s="1"/>
  <c r="W1696" i="11" s="1"/>
  <c r="W1697" i="11" s="1"/>
  <c r="W1698" i="11" s="1"/>
  <c r="W1699" i="11" s="1"/>
  <c r="W1700" i="11" s="1"/>
  <c r="W1701" i="11" s="1"/>
  <c r="W1702" i="11" s="1"/>
  <c r="W1703" i="11" s="1"/>
  <c r="W1704" i="11" s="1"/>
  <c r="W1705" i="11" s="1"/>
  <c r="W1706" i="11" s="1"/>
  <c r="W1707" i="11" s="1"/>
  <c r="W1708" i="11" s="1"/>
  <c r="W1709" i="11" s="1"/>
  <c r="W1710" i="11" s="1"/>
  <c r="W1711" i="11" s="1"/>
  <c r="W1712" i="11" s="1"/>
  <c r="W1713" i="11" s="1"/>
  <c r="W1714" i="11" s="1"/>
  <c r="W1715" i="11" s="1"/>
  <c r="W1716" i="11" s="1"/>
  <c r="W1717" i="11" s="1"/>
  <c r="W1718" i="11" s="1"/>
  <c r="W1719" i="11" s="1"/>
  <c r="W1720" i="11" s="1"/>
  <c r="W1721" i="11" s="1"/>
  <c r="W1722" i="11" s="1"/>
  <c r="W1723" i="11" s="1"/>
  <c r="W1724" i="11" s="1"/>
  <c r="W1725" i="11" s="1"/>
  <c r="W1726" i="11" s="1"/>
  <c r="W1727" i="11" s="1"/>
  <c r="W1728" i="11" s="1"/>
  <c r="W1729" i="11" s="1"/>
  <c r="W1730" i="11" s="1"/>
  <c r="W1731" i="11" s="1"/>
  <c r="W1732" i="11" s="1"/>
  <c r="W1733" i="11" s="1"/>
  <c r="W1734" i="11" s="1"/>
  <c r="W1735" i="11" s="1"/>
  <c r="W1736" i="11" s="1"/>
  <c r="W1737" i="11" s="1"/>
  <c r="W1738" i="11" s="1"/>
  <c r="W1739" i="11" s="1"/>
  <c r="W1740" i="11" s="1"/>
  <c r="W1741" i="11" s="1"/>
  <c r="W1742" i="11" s="1"/>
  <c r="W1743" i="11" s="1"/>
  <c r="W1744" i="11" s="1"/>
  <c r="W1745" i="11" s="1"/>
  <c r="W1746" i="11" s="1"/>
  <c r="W1747" i="11" s="1"/>
  <c r="W1748" i="11" s="1"/>
  <c r="W1749" i="11" s="1"/>
  <c r="W1750" i="11" s="1"/>
  <c r="W1751" i="11" s="1"/>
  <c r="W1752" i="11" s="1"/>
  <c r="W1753" i="11" s="1"/>
  <c r="W1754" i="11" s="1"/>
  <c r="W1755" i="11" s="1"/>
  <c r="W1756" i="11" s="1"/>
  <c r="W1757" i="11" s="1"/>
  <c r="W1758" i="11" s="1"/>
  <c r="W1759" i="11" s="1"/>
  <c r="W1760" i="11" s="1"/>
  <c r="W1761" i="11" s="1"/>
  <c r="W1762" i="11" s="1"/>
  <c r="W1763" i="11" s="1"/>
  <c r="W1764" i="11" s="1"/>
  <c r="W1765" i="11" s="1"/>
  <c r="W1766" i="11" s="1"/>
  <c r="W1767" i="11" s="1"/>
  <c r="W1768" i="11" s="1"/>
  <c r="W1769" i="11" s="1"/>
  <c r="W1770" i="11" s="1"/>
  <c r="W1771" i="11" s="1"/>
  <c r="W1772" i="11" s="1"/>
  <c r="W1773" i="11" s="1"/>
  <c r="W1774" i="11" s="1"/>
  <c r="W1775" i="11" s="1"/>
  <c r="W1776" i="11" s="1"/>
  <c r="W1777" i="11" s="1"/>
  <c r="W1778" i="11" s="1"/>
  <c r="W1779" i="11" s="1"/>
  <c r="W1780" i="11" s="1"/>
  <c r="W1781" i="11" s="1"/>
  <c r="W1782" i="11" s="1"/>
  <c r="W1783" i="11" s="1"/>
  <c r="W1784" i="11" s="1"/>
  <c r="W1785" i="11" s="1"/>
  <c r="W1786" i="11" s="1"/>
  <c r="W1787" i="11" s="1"/>
  <c r="W1788" i="11" s="1"/>
  <c r="W1789" i="11" s="1"/>
  <c r="W1790" i="11" s="1"/>
  <c r="W1791" i="11" s="1"/>
  <c r="W1792" i="11" s="1"/>
  <c r="W1793" i="11" s="1"/>
  <c r="W1794" i="11" s="1"/>
  <c r="W1795" i="11" s="1"/>
  <c r="W1796" i="11" s="1"/>
  <c r="W1797" i="11" s="1"/>
  <c r="W1798" i="11" s="1"/>
  <c r="W1799" i="11" s="1"/>
  <c r="W1800" i="11" s="1"/>
  <c r="W1801" i="11" s="1"/>
  <c r="W1802" i="11" s="1"/>
  <c r="W1803" i="11" s="1"/>
  <c r="W1804" i="11" s="1"/>
  <c r="W1805" i="11" s="1"/>
  <c r="W1806" i="11" s="1"/>
  <c r="W1807" i="11" s="1"/>
  <c r="W1808" i="11" s="1"/>
  <c r="W1809" i="11" s="1"/>
  <c r="W1810" i="11" s="1"/>
  <c r="W1811" i="11" s="1"/>
  <c r="W1812" i="11" s="1"/>
  <c r="W1813" i="11" s="1"/>
  <c r="W1814" i="11" s="1"/>
  <c r="W1815" i="11" s="1"/>
  <c r="W1816" i="11" s="1"/>
  <c r="W1817" i="11" s="1"/>
  <c r="W1818" i="11" s="1"/>
  <c r="W1819" i="11" s="1"/>
  <c r="W1820" i="11" s="1"/>
  <c r="W1821" i="11" s="1"/>
  <c r="W1822" i="11" s="1"/>
  <c r="W1823" i="11" s="1"/>
  <c r="W1824" i="11" s="1"/>
  <c r="W1825" i="11" s="1"/>
  <c r="W1826" i="11" s="1"/>
  <c r="W1827" i="11" s="1"/>
  <c r="W1828" i="11" s="1"/>
  <c r="W1829" i="11" s="1"/>
  <c r="W1830" i="11" s="1"/>
  <c r="W1831" i="11" s="1"/>
  <c r="W1832" i="11" s="1"/>
  <c r="W1833" i="11" s="1"/>
  <c r="W1834" i="11" s="1"/>
  <c r="W1835" i="11" s="1"/>
  <c r="W1836" i="11" s="1"/>
  <c r="W1837" i="11" s="1"/>
  <c r="W1838" i="11" s="1"/>
  <c r="W1839" i="11" s="1"/>
  <c r="W1840" i="11" s="1"/>
  <c r="W1841" i="11" s="1"/>
  <c r="W1842" i="11" s="1"/>
  <c r="W1843" i="11" s="1"/>
  <c r="W1844" i="11" s="1"/>
  <c r="W1845" i="11" s="1"/>
  <c r="W1846" i="11" s="1"/>
  <c r="W1847" i="11" s="1"/>
  <c r="W1848" i="11" s="1"/>
  <c r="W1849" i="11" s="1"/>
  <c r="W1850" i="11" s="1"/>
  <c r="W1851" i="11" s="1"/>
  <c r="W1852" i="11" s="1"/>
  <c r="W1853" i="11" s="1"/>
  <c r="W1854" i="11" s="1"/>
  <c r="W1855" i="11" s="1"/>
  <c r="W1856" i="11" s="1"/>
  <c r="W1857" i="11" s="1"/>
  <c r="W1858" i="11" s="1"/>
  <c r="W1859" i="11" s="1"/>
  <c r="W1860" i="11" s="1"/>
  <c r="W1861" i="11" s="1"/>
  <c r="W1862" i="11" s="1"/>
  <c r="W1863" i="11" s="1"/>
  <c r="W1864" i="11" s="1"/>
  <c r="W1865" i="11" s="1"/>
  <c r="W1866" i="11" s="1"/>
  <c r="W1867" i="11" s="1"/>
  <c r="W1868" i="11" s="1"/>
  <c r="W1869" i="11" s="1"/>
  <c r="W1870" i="11" s="1"/>
  <c r="W1871" i="11" s="1"/>
  <c r="W1872" i="11" s="1"/>
  <c r="W1873" i="11" s="1"/>
  <c r="W1874" i="11" s="1"/>
  <c r="W1875" i="11" s="1"/>
  <c r="W1876" i="11" s="1"/>
  <c r="W1877" i="11" s="1"/>
  <c r="W1878" i="11" s="1"/>
  <c r="W1879" i="11" s="1"/>
  <c r="W1880" i="11" s="1"/>
  <c r="W1881" i="11" s="1"/>
  <c r="W1882" i="11" s="1"/>
  <c r="W1883" i="11" s="1"/>
  <c r="W1884" i="11" s="1"/>
  <c r="W1885" i="11" s="1"/>
  <c r="W1886" i="11" s="1"/>
  <c r="W1887" i="11" s="1"/>
  <c r="W1888" i="11" s="1"/>
  <c r="W1889" i="11" s="1"/>
  <c r="W1890" i="11" s="1"/>
  <c r="W1891" i="11" s="1"/>
  <c r="W1892" i="11" s="1"/>
  <c r="W1893" i="11" s="1"/>
  <c r="W1894" i="11" s="1"/>
  <c r="W1895" i="11" s="1"/>
  <c r="W1896" i="11" s="1"/>
  <c r="W1897" i="11" s="1"/>
  <c r="W1898" i="11" s="1"/>
  <c r="W1899" i="11" s="1"/>
  <c r="W1900" i="11" s="1"/>
  <c r="W1901" i="11" s="1"/>
  <c r="W1902" i="11" s="1"/>
  <c r="W1903" i="11" s="1"/>
  <c r="W1904" i="11" s="1"/>
  <c r="W1905" i="11" s="1"/>
  <c r="W1906" i="11" s="1"/>
  <c r="W1907" i="11" s="1"/>
  <c r="W1908" i="11" s="1"/>
  <c r="W1909" i="11" s="1"/>
  <c r="W1910" i="11" s="1"/>
  <c r="W1911" i="11" s="1"/>
  <c r="W1912" i="11" s="1"/>
  <c r="W1913" i="11" s="1"/>
  <c r="W1914" i="11" s="1"/>
  <c r="W1915" i="11" s="1"/>
  <c r="W1916" i="11" s="1"/>
  <c r="W1917" i="11" s="1"/>
  <c r="W1918" i="11" s="1"/>
  <c r="W1919" i="11" s="1"/>
  <c r="W1920" i="11" s="1"/>
  <c r="W1921" i="11" s="1"/>
  <c r="W1922" i="11" s="1"/>
  <c r="W1923" i="11" s="1"/>
  <c r="W1924" i="11" s="1"/>
  <c r="W1925" i="11" s="1"/>
  <c r="W1926" i="11" s="1"/>
  <c r="W1927" i="11" s="1"/>
  <c r="W1928" i="11" s="1"/>
  <c r="W1929" i="11" s="1"/>
  <c r="W1930" i="11" s="1"/>
  <c r="W1931" i="11" s="1"/>
  <c r="W1932" i="11" s="1"/>
  <c r="W1933" i="11" s="1"/>
  <c r="W1934" i="11" s="1"/>
  <c r="W1935" i="11" s="1"/>
  <c r="W1936" i="11" s="1"/>
  <c r="W1937" i="11" s="1"/>
  <c r="W1938" i="11" s="1"/>
  <c r="W1939" i="11" s="1"/>
  <c r="W1940" i="11" s="1"/>
  <c r="W1941" i="11" s="1"/>
  <c r="W1942" i="11" s="1"/>
  <c r="W1943" i="11" s="1"/>
  <c r="W1944" i="11" s="1"/>
  <c r="W1945" i="11" s="1"/>
  <c r="W1946" i="11" s="1"/>
  <c r="W1947" i="11" s="1"/>
  <c r="W1948" i="11" s="1"/>
  <c r="W1949" i="11" s="1"/>
  <c r="W1950" i="11" s="1"/>
  <c r="W1951" i="11" s="1"/>
  <c r="W1952" i="11" s="1"/>
  <c r="W1953" i="11" s="1"/>
  <c r="W1954" i="11" s="1"/>
  <c r="W1955" i="11" s="1"/>
  <c r="W1956" i="11" s="1"/>
  <c r="W1957" i="11" s="1"/>
  <c r="W1958" i="11" s="1"/>
  <c r="W1959" i="11" s="1"/>
  <c r="W1960" i="11" s="1"/>
  <c r="W1961" i="11" s="1"/>
  <c r="W1962" i="11" s="1"/>
  <c r="W1963" i="11" s="1"/>
  <c r="W1964" i="11" s="1"/>
  <c r="W1965" i="11" s="1"/>
  <c r="W1966" i="11" s="1"/>
  <c r="W1967" i="11" s="1"/>
  <c r="W1968" i="11" s="1"/>
  <c r="W1969" i="11" s="1"/>
  <c r="W1970" i="11" s="1"/>
  <c r="W1971" i="11" s="1"/>
  <c r="W1972" i="11" s="1"/>
  <c r="W1973" i="11" s="1"/>
  <c r="W1974" i="11" s="1"/>
  <c r="W1975" i="11" s="1"/>
  <c r="W1976" i="11" s="1"/>
  <c r="W1977" i="11" s="1"/>
  <c r="W1978" i="11" s="1"/>
  <c r="W1979" i="11" s="1"/>
  <c r="W1980" i="11" s="1"/>
  <c r="W1981" i="11" s="1"/>
  <c r="W1982" i="11" s="1"/>
  <c r="W1983" i="11" s="1"/>
  <c r="W1984" i="11" s="1"/>
  <c r="W1985" i="11" s="1"/>
  <c r="W1986" i="11" s="1"/>
  <c r="W1987" i="11" s="1"/>
  <c r="W1988" i="11" s="1"/>
  <c r="W1989" i="11" s="1"/>
  <c r="W1990" i="11" s="1"/>
  <c r="W1991" i="11" s="1"/>
  <c r="W1992" i="11" s="1"/>
  <c r="W1993" i="11" s="1"/>
  <c r="W1994" i="11" s="1"/>
  <c r="W1995" i="11" s="1"/>
  <c r="W1996" i="11" s="1"/>
  <c r="W1997" i="11" s="1"/>
  <c r="W1998" i="11" s="1"/>
  <c r="W1999" i="11" s="1"/>
  <c r="W2000" i="11" s="1"/>
  <c r="W2001" i="11" s="1"/>
  <c r="W2002" i="11" s="1"/>
  <c r="W2003" i="11" s="1"/>
  <c r="W2004" i="11" s="1"/>
  <c r="W2005" i="11" s="1"/>
  <c r="W2006" i="11" s="1"/>
  <c r="W2007" i="11" s="1"/>
  <c r="W2008" i="11" s="1"/>
  <c r="W2009" i="11" s="1"/>
  <c r="W2010" i="11" s="1"/>
  <c r="W2011" i="11" s="1"/>
  <c r="W2012" i="11" s="1"/>
  <c r="W2013" i="11" s="1"/>
  <c r="W2014" i="11" s="1"/>
  <c r="W2015" i="11" s="1"/>
  <c r="W2016" i="11" s="1"/>
  <c r="W2017" i="11" s="1"/>
  <c r="W2018" i="11" s="1"/>
  <c r="W2019" i="11" s="1"/>
  <c r="W2020" i="11" s="1"/>
  <c r="W2021" i="11" s="1"/>
  <c r="W2022" i="11" s="1"/>
  <c r="W2023" i="11" s="1"/>
  <c r="W2024" i="11" s="1"/>
  <c r="W2025" i="11" s="1"/>
  <c r="W2026" i="11" s="1"/>
  <c r="W2027" i="11" s="1"/>
  <c r="W2028" i="11" s="1"/>
  <c r="W2029" i="11" s="1"/>
  <c r="W2030" i="11" s="1"/>
  <c r="W2031" i="11" s="1"/>
  <c r="W2032" i="11" s="1"/>
  <c r="W2033" i="11" s="1"/>
  <c r="W2034" i="11" s="1"/>
  <c r="W2035" i="11" s="1"/>
  <c r="W2036" i="11" s="1"/>
  <c r="W2037" i="11" s="1"/>
  <c r="W2038" i="11" s="1"/>
  <c r="W2039" i="11" s="1"/>
  <c r="W2040" i="11" s="1"/>
  <c r="W2041" i="11" s="1"/>
  <c r="W2042" i="11" s="1"/>
  <c r="W2043" i="11" s="1"/>
  <c r="W2044" i="11" s="1"/>
  <c r="W2045" i="11" s="1"/>
  <c r="W2046" i="11" s="1"/>
  <c r="W2047" i="11" s="1"/>
  <c r="W2048" i="11" s="1"/>
  <c r="W2049" i="11" s="1"/>
  <c r="W2050" i="11" s="1"/>
  <c r="W2051" i="11" s="1"/>
  <c r="W2052" i="11" s="1"/>
  <c r="W2053" i="11" s="1"/>
  <c r="W2054" i="11" s="1"/>
  <c r="W2055" i="11" s="1"/>
  <c r="W2056" i="11" s="1"/>
  <c r="W2057" i="11" s="1"/>
  <c r="W2058" i="11" s="1"/>
  <c r="W2059" i="11" s="1"/>
  <c r="W2060" i="11" s="1"/>
  <c r="W2061" i="11" s="1"/>
  <c r="W2062" i="11" s="1"/>
  <c r="W2063" i="11" s="1"/>
  <c r="W2064" i="11" s="1"/>
  <c r="W2065" i="11" s="1"/>
  <c r="W2066" i="11" s="1"/>
  <c r="W2067" i="11" s="1"/>
  <c r="W2068" i="11" s="1"/>
  <c r="W2069" i="11" s="1"/>
  <c r="W2070" i="11" s="1"/>
  <c r="W2071" i="11" s="1"/>
  <c r="W2072" i="11" s="1"/>
  <c r="W2073" i="11" s="1"/>
  <c r="W2074" i="11" s="1"/>
  <c r="W2075" i="11" s="1"/>
  <c r="W2076" i="11" s="1"/>
  <c r="W2077" i="11" s="1"/>
  <c r="W2078" i="11" s="1"/>
  <c r="W2079" i="11" s="1"/>
  <c r="W2080" i="11" s="1"/>
  <c r="W2081" i="11" s="1"/>
  <c r="W2082" i="11" s="1"/>
  <c r="W2083" i="11" s="1"/>
  <c r="W2084" i="11" s="1"/>
  <c r="W2085" i="11" s="1"/>
  <c r="W2086" i="11" s="1"/>
  <c r="W2087" i="11" s="1"/>
  <c r="W2088" i="11" s="1"/>
  <c r="W2089" i="11" s="1"/>
  <c r="W2090" i="11" s="1"/>
  <c r="W2091" i="11" s="1"/>
  <c r="W2092" i="11" s="1"/>
  <c r="W2093" i="11" s="1"/>
  <c r="W2094" i="11" s="1"/>
  <c r="W2095" i="11" s="1"/>
  <c r="W2096" i="11" s="1"/>
  <c r="W2097" i="11" s="1"/>
  <c r="W2098" i="11" s="1"/>
  <c r="W2099" i="11" s="1"/>
  <c r="W2100" i="11" s="1"/>
  <c r="W2101" i="11" s="1"/>
  <c r="W2102" i="11" s="1"/>
  <c r="W2103" i="11" s="1"/>
  <c r="W2104" i="11" s="1"/>
  <c r="W2105" i="11" s="1"/>
  <c r="W2106" i="11" s="1"/>
  <c r="W2107" i="11" s="1"/>
  <c r="W2108" i="11" s="1"/>
  <c r="W2109" i="11" s="1"/>
  <c r="W2110" i="11" s="1"/>
  <c r="W2111" i="11" s="1"/>
  <c r="W2112" i="11" s="1"/>
  <c r="W2113" i="11" s="1"/>
  <c r="W2114" i="11" s="1"/>
  <c r="W2115" i="11" s="1"/>
  <c r="W2116" i="11" s="1"/>
  <c r="W2117" i="11" s="1"/>
  <c r="W2118" i="11" s="1"/>
  <c r="W2119" i="11" s="1"/>
  <c r="W2120" i="11" s="1"/>
  <c r="W2121" i="11" s="1"/>
  <c r="W2122" i="11" s="1"/>
  <c r="W2123" i="11" s="1"/>
  <c r="W2124" i="11" s="1"/>
  <c r="W2125" i="11" s="1"/>
  <c r="W2126" i="11" s="1"/>
  <c r="W2127" i="11" s="1"/>
  <c r="W2128" i="11" s="1"/>
  <c r="W2129" i="11" s="1"/>
  <c r="W2130" i="11" s="1"/>
  <c r="W2131" i="11" s="1"/>
  <c r="W2132" i="11" s="1"/>
  <c r="W2133" i="11" s="1"/>
  <c r="W2134" i="11" s="1"/>
  <c r="W2135" i="11" s="1"/>
  <c r="W2136" i="11" s="1"/>
  <c r="W2137" i="11" s="1"/>
  <c r="W2138" i="11" s="1"/>
  <c r="W2139" i="11" s="1"/>
  <c r="W2140" i="11" s="1"/>
  <c r="W2141" i="11" s="1"/>
  <c r="W2142" i="11" s="1"/>
  <c r="W2143" i="11" s="1"/>
  <c r="W2144" i="11" s="1"/>
  <c r="W2145" i="11" s="1"/>
  <c r="W2146" i="11" s="1"/>
  <c r="W2147" i="11" s="1"/>
  <c r="W2148" i="11" s="1"/>
  <c r="W2149" i="11" s="1"/>
  <c r="W2150" i="11" s="1"/>
  <c r="W2151" i="11" s="1"/>
  <c r="W2152" i="11" s="1"/>
  <c r="W2153" i="11" s="1"/>
  <c r="W2154" i="11" s="1"/>
  <c r="W2155" i="11" s="1"/>
  <c r="W2156" i="11" s="1"/>
  <c r="W2157" i="11" s="1"/>
  <c r="W2158" i="11" s="1"/>
  <c r="W2159" i="11" s="1"/>
  <c r="W2160" i="11" s="1"/>
  <c r="W2161" i="11" s="1"/>
  <c r="W2162" i="11" s="1"/>
  <c r="W2163" i="11" s="1"/>
  <c r="W2164" i="11" s="1"/>
  <c r="W2165" i="11" s="1"/>
  <c r="W2166" i="11" s="1"/>
  <c r="W2167" i="11" s="1"/>
  <c r="W2168" i="11" s="1"/>
  <c r="W2169" i="11" s="1"/>
  <c r="W2170" i="11" s="1"/>
  <c r="W2171" i="11" s="1"/>
  <c r="W2172" i="11" s="1"/>
  <c r="W2173" i="11" s="1"/>
  <c r="W2174" i="11" s="1"/>
  <c r="W2175" i="11" s="1"/>
  <c r="W2176" i="11" s="1"/>
  <c r="W2177" i="11" s="1"/>
  <c r="W2178" i="11" s="1"/>
  <c r="W2179" i="11" s="1"/>
  <c r="W2180" i="11" s="1"/>
  <c r="W2181" i="11" s="1"/>
  <c r="W2182" i="11" s="1"/>
  <c r="W2183" i="11" s="1"/>
  <c r="W2184" i="11" s="1"/>
  <c r="W2185" i="11" s="1"/>
  <c r="W2186" i="11" s="1"/>
  <c r="W2187" i="11" s="1"/>
  <c r="W2188" i="11" s="1"/>
  <c r="W2189" i="11" s="1"/>
  <c r="W2190" i="11" s="1"/>
  <c r="W2191" i="11" s="1"/>
  <c r="W2192" i="11" s="1"/>
  <c r="W2193" i="11" s="1"/>
  <c r="W2194" i="11" s="1"/>
  <c r="W2195" i="11" s="1"/>
  <c r="W2196" i="11" s="1"/>
  <c r="W2197" i="11" s="1"/>
  <c r="W2198" i="11" s="1"/>
  <c r="W2199" i="11" s="1"/>
  <c r="W2200" i="11" s="1"/>
  <c r="W2201" i="11" s="1"/>
  <c r="W2202" i="11" s="1"/>
  <c r="W2203" i="11" s="1"/>
  <c r="W2204" i="11" s="1"/>
  <c r="W2205" i="11" s="1"/>
  <c r="W2206" i="11" s="1"/>
  <c r="W2207" i="11" s="1"/>
  <c r="W2208" i="11" s="1"/>
  <c r="W2209" i="11" s="1"/>
  <c r="W2210" i="11" s="1"/>
  <c r="W2211" i="11" s="1"/>
  <c r="W2212" i="11" s="1"/>
  <c r="W2213" i="11" s="1"/>
  <c r="W2214" i="11" s="1"/>
  <c r="W2215" i="11" s="1"/>
  <c r="W2216" i="11" s="1"/>
  <c r="W2217" i="11" s="1"/>
  <c r="W2218" i="11" s="1"/>
  <c r="W2219" i="11" s="1"/>
  <c r="W2220" i="11" s="1"/>
  <c r="W2221" i="11" s="1"/>
  <c r="W2222" i="11" s="1"/>
  <c r="W2223" i="11" s="1"/>
  <c r="W2224" i="11" s="1"/>
  <c r="W2225" i="11" s="1"/>
  <c r="W2226" i="11" s="1"/>
  <c r="W2227" i="11" s="1"/>
  <c r="W2228" i="11" s="1"/>
  <c r="W2229" i="11" s="1"/>
  <c r="W2230" i="11" s="1"/>
  <c r="W2231" i="11" s="1"/>
  <c r="W2232" i="11" s="1"/>
  <c r="W2233" i="11" s="1"/>
  <c r="W2234" i="11" s="1"/>
  <c r="W2235" i="11" s="1"/>
  <c r="W2236" i="11" s="1"/>
  <c r="W2237" i="11" s="1"/>
  <c r="W2238" i="11" s="1"/>
  <c r="W2239" i="11" s="1"/>
  <c r="W2240" i="11" s="1"/>
  <c r="W2241" i="11" s="1"/>
  <c r="W2242" i="11" s="1"/>
  <c r="W2243" i="11" s="1"/>
  <c r="W2244" i="11" s="1"/>
  <c r="W2245" i="11" s="1"/>
  <c r="W2246" i="11" s="1"/>
  <c r="W2247" i="11" s="1"/>
  <c r="W2248" i="11" s="1"/>
  <c r="W2249" i="11" s="1"/>
  <c r="W2250" i="11" s="1"/>
  <c r="W2251" i="11" s="1"/>
  <c r="W2252" i="11" s="1"/>
  <c r="W2253" i="11" s="1"/>
  <c r="W2254" i="11" s="1"/>
  <c r="W2255" i="11" s="1"/>
  <c r="W2256" i="11" s="1"/>
  <c r="W2257" i="11" s="1"/>
  <c r="W2258" i="11" s="1"/>
  <c r="W2259" i="11" s="1"/>
  <c r="W2260" i="11" s="1"/>
  <c r="W2261" i="11" s="1"/>
  <c r="W2262" i="11" s="1"/>
  <c r="W2263" i="11" s="1"/>
  <c r="W2264" i="11" s="1"/>
  <c r="W2265" i="11" s="1"/>
  <c r="W2266" i="11" s="1"/>
  <c r="W2267" i="11" s="1"/>
  <c r="W2268" i="11" s="1"/>
  <c r="W2269" i="11" s="1"/>
  <c r="W2270" i="11" s="1"/>
  <c r="W2271" i="11" s="1"/>
  <c r="W2272" i="11" s="1"/>
  <c r="W2273" i="11" s="1"/>
  <c r="W2274" i="11" s="1"/>
  <c r="W2275" i="11" s="1"/>
  <c r="W2276" i="11" s="1"/>
  <c r="W2277" i="11" s="1"/>
  <c r="W2278" i="11" s="1"/>
  <c r="W2279" i="11" s="1"/>
  <c r="W2280" i="11" s="1"/>
  <c r="W2281" i="11" s="1"/>
  <c r="W2282" i="11" s="1"/>
  <c r="W2283" i="11" s="1"/>
  <c r="W2284" i="11" s="1"/>
  <c r="W2285" i="11" s="1"/>
  <c r="W2286" i="11" s="1"/>
  <c r="W2287" i="11" s="1"/>
  <c r="W2288" i="11" s="1"/>
  <c r="W2289" i="11" s="1"/>
  <c r="W2290" i="11" s="1"/>
  <c r="W2291" i="11" s="1"/>
  <c r="W2292" i="11" s="1"/>
  <c r="W2293" i="11" s="1"/>
  <c r="W2294" i="11" s="1"/>
  <c r="W2295" i="11" s="1"/>
  <c r="W2296" i="11" s="1"/>
  <c r="W2297" i="11" s="1"/>
  <c r="W2298" i="11" s="1"/>
  <c r="W2299" i="11" s="1"/>
  <c r="W2300" i="11" s="1"/>
  <c r="W2301" i="11" s="1"/>
  <c r="W2302" i="11" s="1"/>
  <c r="W2303" i="11" s="1"/>
  <c r="W2304" i="11" s="1"/>
  <c r="W2305" i="11" s="1"/>
  <c r="W2306" i="11" s="1"/>
  <c r="W2307" i="11" s="1"/>
  <c r="W2308" i="11" s="1"/>
  <c r="W2309" i="11" s="1"/>
  <c r="W2310" i="11" s="1"/>
  <c r="W2311" i="11" s="1"/>
  <c r="W2312" i="11" s="1"/>
  <c r="W2313" i="11" s="1"/>
  <c r="W2314" i="11" s="1"/>
  <c r="W2315" i="11" s="1"/>
  <c r="W2316" i="11" s="1"/>
  <c r="W2317" i="11" s="1"/>
  <c r="W2318" i="11" s="1"/>
  <c r="W2319" i="11" s="1"/>
  <c r="W2320" i="11" s="1"/>
  <c r="W2321" i="11" s="1"/>
  <c r="W2322" i="11" s="1"/>
  <c r="W2323" i="11" s="1"/>
  <c r="W2324" i="11" s="1"/>
  <c r="W2325" i="11" s="1"/>
  <c r="W2326" i="11" s="1"/>
  <c r="W2327" i="11" s="1"/>
  <c r="W2328" i="11" s="1"/>
  <c r="W2329" i="11" s="1"/>
  <c r="W2330" i="11" s="1"/>
  <c r="W2331" i="11" s="1"/>
  <c r="W2332" i="11" s="1"/>
  <c r="W2333" i="11" s="1"/>
  <c r="W2334" i="11" s="1"/>
  <c r="W2335" i="11" s="1"/>
  <c r="W2336" i="11" s="1"/>
  <c r="W2337" i="11" s="1"/>
  <c r="W2338" i="11" s="1"/>
  <c r="W2339" i="11" s="1"/>
  <c r="W2340" i="11" s="1"/>
  <c r="W2341" i="11" s="1"/>
  <c r="W2342" i="11" s="1"/>
  <c r="W2343" i="11" s="1"/>
  <c r="W2344" i="11" s="1"/>
  <c r="W2345" i="11" s="1"/>
  <c r="W2346" i="11" s="1"/>
  <c r="W2347" i="11" s="1"/>
  <c r="W2348" i="11" s="1"/>
  <c r="W2349" i="11" s="1"/>
  <c r="W2350" i="11" s="1"/>
  <c r="W2351" i="11" s="1"/>
  <c r="W2352" i="11" s="1"/>
  <c r="W2353" i="11" s="1"/>
  <c r="W2354" i="11" s="1"/>
  <c r="W2355" i="11" s="1"/>
  <c r="W2356" i="11" s="1"/>
  <c r="W2357" i="11" s="1"/>
  <c r="W2358" i="11" s="1"/>
  <c r="W2359" i="11" s="1"/>
  <c r="W2360" i="11" s="1"/>
  <c r="W2361" i="11" s="1"/>
  <c r="W2362" i="11" s="1"/>
  <c r="W2363" i="11" s="1"/>
  <c r="W2364" i="11" s="1"/>
  <c r="W2365" i="11" s="1"/>
  <c r="W2366" i="11" s="1"/>
  <c r="W2367" i="11" s="1"/>
  <c r="W2368" i="11" s="1"/>
  <c r="W2369" i="11" s="1"/>
  <c r="W2370" i="11" s="1"/>
  <c r="W2371" i="11" s="1"/>
  <c r="W2372" i="11" s="1"/>
  <c r="W2373" i="11" s="1"/>
  <c r="W2374" i="11" s="1"/>
  <c r="W2375" i="11" s="1"/>
  <c r="W2376" i="11" s="1"/>
  <c r="W2377" i="11" s="1"/>
  <c r="W2378" i="11" s="1"/>
  <c r="W2379" i="11" s="1"/>
  <c r="W2380" i="11" s="1"/>
  <c r="W2381" i="11" s="1"/>
  <c r="W2382" i="11" s="1"/>
  <c r="W2383" i="11" s="1"/>
  <c r="W2384" i="11" s="1"/>
  <c r="W2385" i="11" s="1"/>
  <c r="W2386" i="11" s="1"/>
  <c r="W2387" i="11" s="1"/>
  <c r="W2388" i="11" s="1"/>
  <c r="W2389" i="11" s="1"/>
  <c r="W2390" i="11" s="1"/>
  <c r="W2391" i="11" s="1"/>
  <c r="W2392" i="11" s="1"/>
  <c r="W2393" i="11" s="1"/>
  <c r="W2394" i="11" s="1"/>
  <c r="W2395" i="11" s="1"/>
  <c r="W2396" i="11" s="1"/>
  <c r="W2397" i="11" s="1"/>
  <c r="W2398" i="11" s="1"/>
  <c r="W2399" i="11" s="1"/>
  <c r="W2400" i="11" s="1"/>
  <c r="W2401" i="11" s="1"/>
  <c r="W2402" i="11" s="1"/>
  <c r="W2403" i="11" s="1"/>
  <c r="W2404" i="11" s="1"/>
  <c r="W2405" i="11" s="1"/>
  <c r="W2406" i="11" s="1"/>
  <c r="W2407" i="11" s="1"/>
  <c r="W2408" i="11" s="1"/>
  <c r="W2409" i="11" s="1"/>
  <c r="W2410" i="11" s="1"/>
  <c r="W2411" i="11" s="1"/>
  <c r="W2412" i="11" s="1"/>
  <c r="W2413" i="11" s="1"/>
  <c r="W2414" i="11" s="1"/>
  <c r="W2415" i="11" s="1"/>
  <c r="W2416" i="11" s="1"/>
  <c r="W2417" i="11" s="1"/>
  <c r="W2418" i="11" s="1"/>
  <c r="W2419" i="11" s="1"/>
  <c r="W2420" i="11" s="1"/>
  <c r="W2421" i="11" s="1"/>
  <c r="W2422" i="11" s="1"/>
  <c r="W2423" i="11" s="1"/>
  <c r="W2424" i="11" s="1"/>
  <c r="W2425" i="11" s="1"/>
  <c r="W2426" i="11" s="1"/>
  <c r="W2427" i="11" s="1"/>
  <c r="W2428" i="11" s="1"/>
  <c r="W2429" i="11" s="1"/>
  <c r="W2430" i="11" s="1"/>
  <c r="W2431" i="11" s="1"/>
  <c r="W2432" i="11" s="1"/>
  <c r="W2433" i="11" s="1"/>
  <c r="W2434" i="11" s="1"/>
  <c r="W2435" i="11" s="1"/>
  <c r="W2436" i="11" s="1"/>
  <c r="W2437" i="11" s="1"/>
  <c r="W2438" i="11" s="1"/>
  <c r="W2439" i="11" s="1"/>
  <c r="W2440" i="11" s="1"/>
  <c r="W2441" i="11" s="1"/>
  <c r="W2442" i="11" s="1"/>
  <c r="W2443" i="11" s="1"/>
  <c r="W2444" i="11" s="1"/>
  <c r="W2445" i="11" s="1"/>
  <c r="W2446" i="11" s="1"/>
  <c r="W2447" i="11" s="1"/>
  <c r="W2448" i="11" s="1"/>
  <c r="W2449" i="11" s="1"/>
  <c r="W2450" i="11" s="1"/>
  <c r="W2451" i="11" s="1"/>
  <c r="W2452" i="11" s="1"/>
  <c r="W2453" i="11" s="1"/>
  <c r="W2454" i="11" s="1"/>
  <c r="W2455" i="11" s="1"/>
  <c r="W2456" i="11" s="1"/>
  <c r="W2457" i="11" s="1"/>
  <c r="W2458" i="11" s="1"/>
  <c r="W2459" i="11" s="1"/>
  <c r="W2460" i="11" s="1"/>
  <c r="W2461" i="11" s="1"/>
  <c r="W2462" i="11" s="1"/>
  <c r="W2463" i="11" s="1"/>
  <c r="W2464" i="11" s="1"/>
  <c r="W2465" i="11" s="1"/>
  <c r="W2466" i="11" s="1"/>
  <c r="W2467" i="11" s="1"/>
  <c r="W2468" i="11" s="1"/>
  <c r="W2469" i="11" s="1"/>
  <c r="W2470" i="11" s="1"/>
  <c r="W2471" i="11" s="1"/>
  <c r="W2472" i="11" s="1"/>
  <c r="W2473" i="11" s="1"/>
  <c r="W2474" i="11" s="1"/>
  <c r="W2475" i="11" s="1"/>
  <c r="W2476" i="11" s="1"/>
  <c r="W2477" i="11" s="1"/>
  <c r="W2478" i="11" s="1"/>
  <c r="W2479" i="11" s="1"/>
  <c r="W2480" i="11" s="1"/>
  <c r="W2481" i="11" s="1"/>
  <c r="W2482" i="11" s="1"/>
  <c r="W2483" i="11" s="1"/>
  <c r="W2484" i="11" s="1"/>
  <c r="W2485" i="11" s="1"/>
  <c r="W2486" i="11" s="1"/>
  <c r="W2487" i="11" s="1"/>
  <c r="W2488" i="11" s="1"/>
  <c r="W2489" i="11" s="1"/>
  <c r="W2490" i="11" s="1"/>
  <c r="W2491" i="11" s="1"/>
  <c r="W2492" i="11" s="1"/>
  <c r="W2493" i="11" s="1"/>
  <c r="W2494" i="11" s="1"/>
  <c r="W2495" i="11" s="1"/>
  <c r="W2496" i="11" s="1"/>
  <c r="W2497" i="11" s="1"/>
  <c r="W2498" i="11" s="1"/>
  <c r="W2499" i="11" s="1"/>
  <c r="W2500" i="11" s="1"/>
  <c r="W2501" i="11" s="1"/>
  <c r="W2502" i="11" s="1"/>
  <c r="W2503" i="11" s="1"/>
  <c r="W2504" i="11" s="1"/>
  <c r="W2505" i="11" s="1"/>
  <c r="W2506" i="11" s="1"/>
  <c r="W2507" i="11" s="1"/>
  <c r="W2508" i="11" s="1"/>
  <c r="W2509" i="11" s="1"/>
  <c r="W2510" i="11" s="1"/>
  <c r="W2511" i="11" s="1"/>
  <c r="W2512" i="11" s="1"/>
  <c r="W2513" i="11" s="1"/>
  <c r="W2514" i="11" s="1"/>
  <c r="W2515" i="11" s="1"/>
  <c r="W2516" i="11" s="1"/>
  <c r="W2517" i="11" s="1"/>
  <c r="W2518" i="11" s="1"/>
  <c r="W2519" i="11" s="1"/>
  <c r="W2520" i="11" s="1"/>
  <c r="W2521" i="11" s="1"/>
  <c r="W2522" i="11" s="1"/>
  <c r="W2523" i="11" s="1"/>
  <c r="W2524" i="11" s="1"/>
  <c r="W2525" i="11" s="1"/>
  <c r="W2526" i="11" s="1"/>
  <c r="W2527" i="11" s="1"/>
  <c r="W2528" i="11" s="1"/>
  <c r="W2529" i="11" s="1"/>
  <c r="W2530" i="11" s="1"/>
  <c r="W2531" i="11" s="1"/>
  <c r="W2532" i="11" s="1"/>
  <c r="W2533" i="11" s="1"/>
  <c r="W2534" i="11" s="1"/>
  <c r="W2535" i="11" s="1"/>
  <c r="W2536" i="11" s="1"/>
  <c r="W2537" i="11" s="1"/>
  <c r="W2538" i="11" s="1"/>
  <c r="W2539" i="11" s="1"/>
  <c r="W2540" i="11" s="1"/>
  <c r="W2541" i="11" s="1"/>
  <c r="W2542" i="11" s="1"/>
  <c r="W2543" i="11" s="1"/>
  <c r="W2544" i="11" s="1"/>
  <c r="W2545" i="11" s="1"/>
  <c r="W2546" i="11" s="1"/>
  <c r="W2547" i="11" s="1"/>
  <c r="W2548" i="11" s="1"/>
  <c r="W2549" i="11" s="1"/>
  <c r="W2550" i="11" s="1"/>
  <c r="W2551" i="11" s="1"/>
  <c r="W2552" i="11" s="1"/>
  <c r="W2553" i="11" s="1"/>
  <c r="W2554" i="11" s="1"/>
  <c r="W2555" i="11" s="1"/>
  <c r="W2556" i="11" s="1"/>
  <c r="W2557" i="11" s="1"/>
  <c r="W2558" i="11" s="1"/>
  <c r="W2559" i="11" s="1"/>
  <c r="W2560" i="11" s="1"/>
  <c r="W2561" i="11" s="1"/>
  <c r="W2562" i="11" s="1"/>
  <c r="W2563" i="11" s="1"/>
  <c r="W2564" i="11" s="1"/>
  <c r="W2565" i="11" s="1"/>
  <c r="W2566" i="11" s="1"/>
  <c r="W2567" i="11" s="1"/>
  <c r="W2568" i="11" s="1"/>
  <c r="W2569" i="11" s="1"/>
  <c r="W2570" i="11" s="1"/>
  <c r="W2571" i="11" s="1"/>
  <c r="W2572" i="11" s="1"/>
  <c r="W2573" i="11" s="1"/>
  <c r="W2574" i="11" s="1"/>
  <c r="W2575" i="11" s="1"/>
  <c r="W2576" i="11" s="1"/>
  <c r="W2577" i="11" s="1"/>
  <c r="W2578" i="11" s="1"/>
  <c r="W2579" i="11" s="1"/>
  <c r="W2580" i="11" s="1"/>
  <c r="W2581" i="11" s="1"/>
  <c r="W2582" i="11" s="1"/>
  <c r="W2583" i="11" s="1"/>
  <c r="W2584" i="11" s="1"/>
  <c r="W2585" i="11" s="1"/>
  <c r="W2586" i="11" s="1"/>
  <c r="W2587" i="11" s="1"/>
  <c r="W2588" i="11" s="1"/>
  <c r="W2589" i="11" s="1"/>
  <c r="W2590" i="11" s="1"/>
  <c r="W2591" i="11" s="1"/>
  <c r="W2592" i="11" s="1"/>
  <c r="W2593" i="11" s="1"/>
  <c r="W2594" i="11" s="1"/>
  <c r="W2595" i="11" s="1"/>
  <c r="W2596" i="11" s="1"/>
  <c r="W2597" i="11" s="1"/>
  <c r="W2598" i="11" s="1"/>
  <c r="W2599" i="11" s="1"/>
  <c r="W2600" i="11" s="1"/>
  <c r="W2601" i="11" s="1"/>
  <c r="W2602" i="11" s="1"/>
  <c r="W2603" i="11" s="1"/>
  <c r="W2604" i="11" s="1"/>
  <c r="W2605" i="11" s="1"/>
  <c r="W2606" i="11" s="1"/>
  <c r="W2607" i="11" s="1"/>
  <c r="W2608" i="11" s="1"/>
  <c r="W2609" i="11" s="1"/>
  <c r="W2610" i="11" s="1"/>
  <c r="W2611" i="11" s="1"/>
  <c r="W2612" i="11" s="1"/>
  <c r="W2613" i="11" s="1"/>
  <c r="W2614" i="11" s="1"/>
  <c r="W2615" i="11" s="1"/>
  <c r="W2616" i="11" s="1"/>
  <c r="W2617" i="11" s="1"/>
  <c r="W2618" i="11" s="1"/>
  <c r="W2619" i="11" s="1"/>
  <c r="W2620" i="11" s="1"/>
  <c r="W2621" i="11" s="1"/>
  <c r="W2622" i="11" s="1"/>
  <c r="W2623" i="11" s="1"/>
  <c r="W2624" i="11" s="1"/>
  <c r="W2625" i="11" s="1"/>
  <c r="W2626" i="11" s="1"/>
  <c r="W2627" i="11" s="1"/>
  <c r="W2628" i="11" s="1"/>
  <c r="W2629" i="11" s="1"/>
  <c r="W2630" i="11" s="1"/>
  <c r="W2631" i="11" s="1"/>
  <c r="W2632" i="11" s="1"/>
  <c r="W2633" i="11" s="1"/>
  <c r="W2634" i="11" s="1"/>
  <c r="W2635" i="11" s="1"/>
  <c r="W2636" i="11" s="1"/>
  <c r="W2637" i="11" s="1"/>
  <c r="W2638" i="11" s="1"/>
  <c r="W2639" i="11" s="1"/>
  <c r="W2640" i="11" s="1"/>
  <c r="W2641" i="11" s="1"/>
  <c r="W2642" i="11" s="1"/>
  <c r="W2643" i="11" s="1"/>
  <c r="W2644" i="11" s="1"/>
  <c r="W2645" i="11" s="1"/>
  <c r="W2646" i="11" s="1"/>
  <c r="W2647" i="11" s="1"/>
  <c r="W2648" i="11" s="1"/>
  <c r="W2649" i="11" s="1"/>
  <c r="W2650" i="11" s="1"/>
  <c r="W2651" i="11" s="1"/>
  <c r="W2652" i="11" s="1"/>
  <c r="W2653" i="11" s="1"/>
  <c r="W2654" i="11" s="1"/>
  <c r="W2655" i="11" s="1"/>
  <c r="W2656" i="11" s="1"/>
  <c r="W2657" i="11" s="1"/>
  <c r="W2658" i="11" s="1"/>
  <c r="W2659" i="11" s="1"/>
  <c r="W2660" i="11" s="1"/>
  <c r="W2661" i="11" s="1"/>
  <c r="W2662" i="11" s="1"/>
  <c r="W2663" i="11" s="1"/>
  <c r="W2664" i="11" s="1"/>
  <c r="W2665" i="11" s="1"/>
  <c r="W2666" i="11" s="1"/>
  <c r="W2667" i="11" s="1"/>
  <c r="W2668" i="11" s="1"/>
  <c r="W2669" i="11" s="1"/>
  <c r="W2670" i="11" s="1"/>
  <c r="W2671" i="11" s="1"/>
  <c r="W2672" i="11" s="1"/>
  <c r="W2673" i="11" s="1"/>
  <c r="W2674" i="11" s="1"/>
  <c r="W2675" i="11" s="1"/>
  <c r="W2676" i="11" s="1"/>
  <c r="W2677" i="11" s="1"/>
  <c r="W2678" i="11" s="1"/>
  <c r="W2679" i="11" s="1"/>
  <c r="W2680" i="11" s="1"/>
  <c r="W2681" i="11" s="1"/>
  <c r="W2682" i="11" s="1"/>
  <c r="W2683" i="11" s="1"/>
  <c r="W2684" i="11" s="1"/>
  <c r="W2685" i="11" s="1"/>
  <c r="W2686" i="11" s="1"/>
  <c r="W2687" i="11" s="1"/>
  <c r="W2688" i="11" s="1"/>
  <c r="W2689" i="11" s="1"/>
  <c r="W2690" i="11" s="1"/>
  <c r="W2691" i="11" s="1"/>
  <c r="W2692" i="11" s="1"/>
  <c r="W2693" i="11" s="1"/>
  <c r="W2694" i="11" s="1"/>
  <c r="W2695" i="11" s="1"/>
  <c r="W2696" i="11" s="1"/>
  <c r="W2697" i="11" s="1"/>
  <c r="W2698" i="11" s="1"/>
  <c r="W2699" i="11" s="1"/>
  <c r="W2700" i="11" s="1"/>
  <c r="W2701" i="11" s="1"/>
  <c r="W2702" i="11" s="1"/>
  <c r="W2703" i="11" s="1"/>
  <c r="W2704" i="11" s="1"/>
  <c r="W2705" i="11" s="1"/>
  <c r="W2706" i="11" s="1"/>
  <c r="W2707" i="11" s="1"/>
  <c r="W2708" i="11" s="1"/>
  <c r="W2709" i="11" s="1"/>
  <c r="W2710" i="11" s="1"/>
  <c r="W2711" i="11" s="1"/>
  <c r="W2712" i="11" s="1"/>
  <c r="W2713" i="11" s="1"/>
  <c r="W2714" i="11" s="1"/>
  <c r="W2715" i="11" s="1"/>
  <c r="W2716" i="11" s="1"/>
  <c r="W2717" i="11" s="1"/>
  <c r="W2718" i="11" s="1"/>
  <c r="W2719" i="11" s="1"/>
  <c r="W2720" i="11" s="1"/>
  <c r="W2721" i="11" s="1"/>
  <c r="W2722" i="11" s="1"/>
  <c r="W2723" i="11" s="1"/>
  <c r="W2724" i="11" s="1"/>
  <c r="W2725" i="11" s="1"/>
  <c r="W2726" i="11" s="1"/>
  <c r="W2727" i="11" s="1"/>
  <c r="W2728" i="11" s="1"/>
  <c r="W2729" i="11" s="1"/>
  <c r="W2730" i="11" s="1"/>
  <c r="W2731" i="11" s="1"/>
  <c r="W2732" i="11" s="1"/>
  <c r="W2733" i="11" s="1"/>
  <c r="W2734" i="11" s="1"/>
  <c r="W2735" i="11" s="1"/>
  <c r="W2736" i="11" s="1"/>
  <c r="W2737" i="11" s="1"/>
  <c r="W2738" i="11" s="1"/>
  <c r="W2739" i="11" s="1"/>
  <c r="W2740" i="11" s="1"/>
  <c r="W2741" i="11" s="1"/>
  <c r="W2742" i="11" s="1"/>
  <c r="W2743" i="11" s="1"/>
  <c r="W2744" i="11" s="1"/>
  <c r="W2745" i="11" s="1"/>
  <c r="W2746" i="11" s="1"/>
  <c r="W2747" i="11" s="1"/>
  <c r="W2748" i="11" s="1"/>
  <c r="W2749" i="11" s="1"/>
  <c r="W2750" i="11" s="1"/>
  <c r="W2751" i="11" s="1"/>
  <c r="W2752" i="11" s="1"/>
  <c r="W2753" i="11" s="1"/>
  <c r="W2754" i="11" s="1"/>
  <c r="W2755" i="11" s="1"/>
  <c r="W2756" i="11" s="1"/>
  <c r="W2757" i="11" s="1"/>
  <c r="W2758" i="11" s="1"/>
  <c r="W2759" i="11" s="1"/>
  <c r="W2760" i="11" s="1"/>
  <c r="W2761" i="11" s="1"/>
  <c r="W2762" i="11" s="1"/>
  <c r="W2763" i="11" s="1"/>
  <c r="W2764" i="11" s="1"/>
  <c r="W2765" i="11" s="1"/>
  <c r="W2766" i="11" s="1"/>
  <c r="W2767" i="11" s="1"/>
  <c r="W2768" i="11" s="1"/>
  <c r="W2769" i="11" s="1"/>
  <c r="W2770" i="11" s="1"/>
  <c r="W2771" i="11" s="1"/>
  <c r="W2772" i="11" s="1"/>
  <c r="W2773" i="11" s="1"/>
  <c r="W2774" i="11" s="1"/>
  <c r="W2775" i="11" s="1"/>
  <c r="W2776" i="11" s="1"/>
  <c r="W2777" i="11" s="1"/>
  <c r="W2778" i="11" s="1"/>
  <c r="W2779" i="11" s="1"/>
  <c r="W2780" i="11" s="1"/>
  <c r="W2781" i="11" s="1"/>
  <c r="W2782" i="11" s="1"/>
  <c r="W2783" i="11" s="1"/>
  <c r="W2784" i="11" s="1"/>
  <c r="W2785" i="11" s="1"/>
  <c r="W2786" i="11" s="1"/>
  <c r="W2787" i="11" s="1"/>
  <c r="W2788" i="11" s="1"/>
  <c r="W2789" i="11" s="1"/>
  <c r="W2790" i="11" s="1"/>
  <c r="W2791" i="11" s="1"/>
  <c r="W2792" i="11" s="1"/>
  <c r="W2793" i="11" s="1"/>
  <c r="W2794" i="11" s="1"/>
  <c r="W2795" i="11" s="1"/>
  <c r="W2796" i="11" s="1"/>
  <c r="W2797" i="11" s="1"/>
  <c r="W2798" i="11" s="1"/>
  <c r="W2799" i="11" s="1"/>
  <c r="W2800" i="11" s="1"/>
  <c r="W2801" i="11" s="1"/>
  <c r="W2802" i="11" s="1"/>
  <c r="W2803" i="11" s="1"/>
  <c r="W2804" i="11" s="1"/>
  <c r="W2805" i="11" s="1"/>
  <c r="W2806" i="11" s="1"/>
  <c r="W2807" i="11" s="1"/>
  <c r="W2808" i="11" s="1"/>
  <c r="W2809" i="11" s="1"/>
  <c r="W2810" i="11" s="1"/>
  <c r="W2811" i="11" s="1"/>
  <c r="W2812" i="11" s="1"/>
  <c r="W2813" i="11" s="1"/>
  <c r="W2814" i="11" s="1"/>
  <c r="W2815" i="11" s="1"/>
  <c r="W2816" i="11" s="1"/>
  <c r="W2817" i="11" s="1"/>
  <c r="W2818" i="11" s="1"/>
  <c r="W2819" i="11" s="1"/>
  <c r="W2820" i="11" s="1"/>
  <c r="W2821" i="11" s="1"/>
  <c r="W2822" i="11" s="1"/>
  <c r="W2823" i="11" s="1"/>
  <c r="W2824" i="11" s="1"/>
  <c r="W2825" i="11" s="1"/>
  <c r="W2826" i="11" s="1"/>
  <c r="W2827" i="11" s="1"/>
  <c r="W2828" i="11" s="1"/>
  <c r="W2829" i="11" s="1"/>
  <c r="W2830" i="11" s="1"/>
  <c r="W2831" i="11" s="1"/>
  <c r="W2832" i="11" s="1"/>
  <c r="W2833" i="11" s="1"/>
  <c r="W2834" i="11" s="1"/>
  <c r="W2835" i="11" s="1"/>
  <c r="W2836" i="11" s="1"/>
  <c r="W2837" i="11" s="1"/>
  <c r="W2838" i="11" s="1"/>
  <c r="W2839" i="11" s="1"/>
  <c r="W2840" i="11" s="1"/>
  <c r="W2841" i="11" s="1"/>
  <c r="W2842" i="11" s="1"/>
  <c r="W2843" i="11" s="1"/>
  <c r="W2844" i="11" s="1"/>
  <c r="W2845" i="11" s="1"/>
  <c r="W2846" i="11" s="1"/>
  <c r="W2847" i="11" s="1"/>
  <c r="W2848" i="11" s="1"/>
  <c r="W2849" i="11" s="1"/>
  <c r="W2850" i="11" s="1"/>
  <c r="W2851" i="11" s="1"/>
  <c r="W2852" i="11" s="1"/>
  <c r="W2853" i="11" s="1"/>
  <c r="W2854" i="11" s="1"/>
  <c r="W2855" i="11" s="1"/>
  <c r="W2856" i="11" s="1"/>
  <c r="W2857" i="11" s="1"/>
  <c r="W2858" i="11" s="1"/>
  <c r="W2859" i="11" s="1"/>
  <c r="W2860" i="11" s="1"/>
  <c r="W2861" i="11" s="1"/>
  <c r="W2862" i="11" s="1"/>
  <c r="W2863" i="11" s="1"/>
  <c r="W2864" i="11" s="1"/>
  <c r="W2865" i="11" s="1"/>
  <c r="W2866" i="11" s="1"/>
  <c r="W2867" i="11" s="1"/>
  <c r="W2868" i="11" s="1"/>
  <c r="W2869" i="11" s="1"/>
  <c r="W2870" i="11" s="1"/>
  <c r="W2871" i="11" s="1"/>
  <c r="W2872" i="11" s="1"/>
  <c r="W2873" i="11" s="1"/>
  <c r="W2874" i="11" s="1"/>
  <c r="W2875" i="11" s="1"/>
  <c r="W2876" i="11" s="1"/>
  <c r="W2877" i="11" s="1"/>
  <c r="W2878" i="11" s="1"/>
  <c r="W2879" i="11" s="1"/>
  <c r="W2880" i="11" s="1"/>
  <c r="W2881" i="11" s="1"/>
  <c r="W2882" i="11" s="1"/>
  <c r="W2883" i="11" s="1"/>
  <c r="W2884" i="11" s="1"/>
  <c r="W2885" i="11" s="1"/>
  <c r="W2886" i="11" s="1"/>
  <c r="W2887" i="11" s="1"/>
  <c r="W2888" i="11" s="1"/>
  <c r="W2889" i="11" s="1"/>
  <c r="W2890" i="11" s="1"/>
  <c r="W2891" i="11" s="1"/>
  <c r="W2892" i="11" s="1"/>
  <c r="W2893" i="11" s="1"/>
  <c r="W2894" i="11" s="1"/>
  <c r="W2895" i="11" s="1"/>
  <c r="W2896" i="11" s="1"/>
  <c r="W2897" i="11" s="1"/>
  <c r="W2898" i="11" s="1"/>
  <c r="W2899" i="11" s="1"/>
  <c r="W2900" i="11" s="1"/>
  <c r="W2901" i="11" s="1"/>
  <c r="W2902" i="11" s="1"/>
  <c r="W2903" i="11" s="1"/>
  <c r="W2904" i="11" s="1"/>
  <c r="W2905" i="11" s="1"/>
  <c r="W2906" i="11" s="1"/>
  <c r="W2907" i="11" s="1"/>
  <c r="W2908" i="11" s="1"/>
  <c r="W2909" i="11" s="1"/>
  <c r="W2910" i="11" s="1"/>
  <c r="W2911" i="11" s="1"/>
  <c r="W2912" i="11" s="1"/>
  <c r="W2913" i="11" s="1"/>
  <c r="W2914" i="11" s="1"/>
  <c r="W2915" i="11" s="1"/>
  <c r="W2916" i="11" s="1"/>
  <c r="W2917" i="11" s="1"/>
  <c r="W2918" i="11" s="1"/>
  <c r="W2919" i="11" s="1"/>
  <c r="W2920" i="11" s="1"/>
  <c r="W2921" i="11" s="1"/>
  <c r="W2922" i="11" s="1"/>
  <c r="W2923" i="11" s="1"/>
  <c r="W2924" i="11" s="1"/>
  <c r="W2925" i="11" s="1"/>
  <c r="W2926" i="11" s="1"/>
  <c r="W2927" i="11" s="1"/>
  <c r="W2928" i="11" s="1"/>
  <c r="W2929" i="11" s="1"/>
  <c r="W2930" i="11" s="1"/>
  <c r="W2931" i="11" s="1"/>
  <c r="W2932" i="11" s="1"/>
  <c r="W2933" i="11" s="1"/>
  <c r="W2934" i="11" s="1"/>
  <c r="W2935" i="11" s="1"/>
  <c r="W2936" i="11" s="1"/>
  <c r="W2937" i="11" s="1"/>
  <c r="W2938" i="11" s="1"/>
  <c r="W2939" i="11" s="1"/>
  <c r="W2940" i="11" s="1"/>
  <c r="W2941" i="11" s="1"/>
  <c r="W2942" i="11" s="1"/>
  <c r="W2943" i="11" s="1"/>
  <c r="W2944" i="11" s="1"/>
  <c r="W2945" i="11" s="1"/>
  <c r="W2946" i="11" s="1"/>
  <c r="W2947" i="11" s="1"/>
  <c r="W2948" i="11" s="1"/>
  <c r="W2949" i="11" s="1"/>
  <c r="W2950" i="11" s="1"/>
  <c r="W2951" i="11" s="1"/>
  <c r="W2952" i="11" s="1"/>
  <c r="W2953" i="11" s="1"/>
  <c r="W2954" i="11" s="1"/>
  <c r="W2955" i="11" s="1"/>
  <c r="W2956" i="11" s="1"/>
  <c r="W2957" i="11" s="1"/>
  <c r="W2958" i="11" s="1"/>
  <c r="W2959" i="11" s="1"/>
  <c r="W2960" i="11" s="1"/>
  <c r="W2961" i="11" s="1"/>
  <c r="W2962" i="11" s="1"/>
  <c r="W2963" i="11" s="1"/>
  <c r="W2964" i="11" s="1"/>
  <c r="W2965" i="11" s="1"/>
  <c r="W2966" i="11" s="1"/>
  <c r="W2967" i="11" s="1"/>
  <c r="W2968" i="11" s="1"/>
  <c r="W2969" i="11" s="1"/>
  <c r="W2970" i="11" s="1"/>
  <c r="W2971" i="11" s="1"/>
  <c r="W2972" i="11" s="1"/>
  <c r="W2973" i="11" s="1"/>
  <c r="W2974" i="11" s="1"/>
  <c r="W2975" i="11" s="1"/>
  <c r="W2976" i="11" s="1"/>
  <c r="W2977" i="11" s="1"/>
  <c r="W2978" i="11" s="1"/>
  <c r="W2979" i="11" s="1"/>
  <c r="W2980" i="11" s="1"/>
  <c r="W2981" i="11" s="1"/>
  <c r="W2982" i="11" s="1"/>
  <c r="W2983" i="11" s="1"/>
  <c r="W2984" i="11" s="1"/>
  <c r="W2985" i="11" s="1"/>
  <c r="W2986" i="11" s="1"/>
  <c r="W2987" i="11" s="1"/>
  <c r="W2988" i="11" s="1"/>
  <c r="W2989" i="11" s="1"/>
  <c r="W2990" i="11" s="1"/>
  <c r="W2991" i="11" s="1"/>
  <c r="W2992" i="11" s="1"/>
  <c r="W2993" i="11" s="1"/>
  <c r="W2994" i="11" s="1"/>
  <c r="W2995" i="11" s="1"/>
  <c r="W2996" i="11" s="1"/>
  <c r="W2997" i="11" s="1"/>
  <c r="W2998" i="11" s="1"/>
  <c r="W2999" i="11" s="1"/>
  <c r="W3000" i="11" s="1"/>
  <c r="W3001" i="11" s="1"/>
  <c r="W3002" i="11" s="1"/>
  <c r="W3003" i="11" s="1"/>
  <c r="W3004" i="11" s="1"/>
  <c r="W3005" i="11" s="1"/>
  <c r="W3006" i="11" s="1"/>
  <c r="W3007" i="11" s="1"/>
  <c r="W3008" i="11" s="1"/>
  <c r="W3009" i="11" s="1"/>
  <c r="W3010" i="11" s="1"/>
  <c r="W3011" i="11" s="1"/>
  <c r="W3012" i="11" s="1"/>
  <c r="W3013" i="11" s="1"/>
  <c r="W3014" i="11" s="1"/>
  <c r="W3015" i="11" s="1"/>
  <c r="W3016" i="11" s="1"/>
  <c r="W3017" i="11" s="1"/>
  <c r="W3018" i="11" s="1"/>
  <c r="W3019" i="11" s="1"/>
  <c r="W3020" i="11" s="1"/>
  <c r="W3021" i="11" s="1"/>
  <c r="W3022" i="11" s="1"/>
  <c r="W3023" i="11" s="1"/>
  <c r="W3024" i="11" s="1"/>
  <c r="W3025" i="11" s="1"/>
  <c r="W3026" i="11" s="1"/>
  <c r="W3027" i="11" s="1"/>
  <c r="W3028" i="11" s="1"/>
  <c r="W3029" i="11" s="1"/>
  <c r="W3030" i="11" s="1"/>
  <c r="W3031" i="11" s="1"/>
  <c r="W3032" i="11" s="1"/>
  <c r="W3033" i="11" s="1"/>
  <c r="W3034" i="11" s="1"/>
  <c r="W3035" i="11" s="1"/>
  <c r="W3036" i="11" s="1"/>
  <c r="W3037" i="11" s="1"/>
  <c r="W3038" i="11" s="1"/>
  <c r="W3039" i="11" s="1"/>
  <c r="W3040" i="11" s="1"/>
  <c r="W3041" i="11" s="1"/>
  <c r="W3042" i="11" s="1"/>
  <c r="W3043" i="11" s="1"/>
  <c r="W3044" i="11" s="1"/>
  <c r="W3045" i="11" s="1"/>
  <c r="W3046" i="11" s="1"/>
  <c r="W3047" i="11" s="1"/>
  <c r="W3048" i="11" s="1"/>
  <c r="W3049" i="11" s="1"/>
  <c r="W3050" i="11" s="1"/>
  <c r="W3051" i="11" s="1"/>
  <c r="W3052" i="11" s="1"/>
  <c r="W3053" i="11" s="1"/>
  <c r="W3054" i="11" s="1"/>
  <c r="W3055" i="11" s="1"/>
  <c r="W3056" i="11" s="1"/>
  <c r="W3057" i="11" s="1"/>
  <c r="W3058" i="11" s="1"/>
  <c r="W3059" i="11" s="1"/>
  <c r="W3060" i="11" s="1"/>
  <c r="W3061" i="11" s="1"/>
  <c r="W3062" i="11" s="1"/>
  <c r="W3063" i="11" s="1"/>
  <c r="W3064" i="11" s="1"/>
  <c r="W3065" i="11" s="1"/>
  <c r="W3066" i="11" s="1"/>
  <c r="W3067" i="11" s="1"/>
  <c r="W3068" i="11" s="1"/>
  <c r="W3069" i="11" s="1"/>
  <c r="W3070" i="11" s="1"/>
  <c r="W3071" i="11" s="1"/>
  <c r="W3072" i="11" s="1"/>
  <c r="W3073" i="11" s="1"/>
  <c r="W3074" i="11" s="1"/>
  <c r="W3075" i="11" s="1"/>
  <c r="W3076" i="11" s="1"/>
  <c r="W3077" i="11" s="1"/>
  <c r="W3078" i="11" s="1"/>
  <c r="W3079" i="11" s="1"/>
  <c r="W3080" i="11" s="1"/>
  <c r="W3081" i="11" s="1"/>
  <c r="W3082" i="11" s="1"/>
  <c r="W3083" i="11" s="1"/>
  <c r="W3084" i="11" s="1"/>
  <c r="W3085" i="11" s="1"/>
  <c r="W3086" i="11" s="1"/>
  <c r="W3087" i="11" s="1"/>
  <c r="W3088" i="11" s="1"/>
  <c r="W3089" i="11" s="1"/>
  <c r="W3090" i="11" s="1"/>
  <c r="W3091" i="11" s="1"/>
  <c r="W3092" i="11" s="1"/>
  <c r="W3093" i="11" s="1"/>
  <c r="W3094" i="11" s="1"/>
  <c r="W3095" i="11" s="1"/>
  <c r="W3096" i="11" s="1"/>
  <c r="W3097" i="11" s="1"/>
  <c r="W3098" i="11" s="1"/>
  <c r="W3099" i="11" s="1"/>
  <c r="W3100" i="11" s="1"/>
  <c r="W3101" i="11" s="1"/>
  <c r="W3102" i="11" s="1"/>
  <c r="W3103" i="11" s="1"/>
  <c r="W3104" i="11" s="1"/>
  <c r="W3105" i="11" s="1"/>
  <c r="W3106" i="11" s="1"/>
  <c r="W3107" i="11" s="1"/>
  <c r="W3108" i="11" s="1"/>
  <c r="W3109" i="11" s="1"/>
  <c r="W3110" i="11" s="1"/>
  <c r="W3111" i="11" s="1"/>
  <c r="W3112" i="11" s="1"/>
  <c r="W3113" i="11" s="1"/>
  <c r="W3114" i="11" s="1"/>
  <c r="W3115" i="11" s="1"/>
  <c r="W3116" i="11" s="1"/>
  <c r="W3117" i="11" s="1"/>
  <c r="W3118" i="11" s="1"/>
  <c r="W3119" i="11" s="1"/>
  <c r="W3120" i="11" s="1"/>
  <c r="W3121" i="11" s="1"/>
  <c r="W3122" i="11" s="1"/>
  <c r="W3123" i="11" s="1"/>
  <c r="W3124" i="11" s="1"/>
  <c r="W3125" i="11" s="1"/>
  <c r="W3126" i="11" s="1"/>
  <c r="W3127" i="11" s="1"/>
  <c r="W3128" i="11" s="1"/>
  <c r="W3129" i="11" s="1"/>
  <c r="W3130" i="11" s="1"/>
  <c r="W3131" i="11" s="1"/>
  <c r="W3132" i="11" s="1"/>
  <c r="W3133" i="11" s="1"/>
  <c r="W3134" i="11" s="1"/>
  <c r="W3135" i="11" s="1"/>
  <c r="W3136" i="11" s="1"/>
  <c r="W3137" i="11" s="1"/>
  <c r="W3138" i="11" s="1"/>
  <c r="W3139" i="11" s="1"/>
  <c r="W3140" i="11" s="1"/>
  <c r="W3141" i="11" s="1"/>
  <c r="W3142" i="11" s="1"/>
  <c r="W3143" i="11" s="1"/>
  <c r="W3144" i="11" s="1"/>
  <c r="W3145" i="11" s="1"/>
  <c r="W3146" i="11" s="1"/>
  <c r="W3147" i="11" s="1"/>
  <c r="W3148" i="11" s="1"/>
  <c r="W3149" i="11" s="1"/>
  <c r="W3150" i="11" s="1"/>
  <c r="W3151" i="11" s="1"/>
  <c r="W3152" i="11" s="1"/>
  <c r="W3153" i="11" s="1"/>
  <c r="W3154" i="11" s="1"/>
  <c r="W3155" i="11" s="1"/>
  <c r="W3156" i="11" s="1"/>
  <c r="W3157" i="11" s="1"/>
  <c r="W3158" i="11" s="1"/>
  <c r="W3159" i="11" s="1"/>
  <c r="W3160" i="11" s="1"/>
  <c r="W3161" i="11" s="1"/>
  <c r="W3162" i="11" s="1"/>
  <c r="W3163" i="11" s="1"/>
  <c r="W3164" i="11" s="1"/>
  <c r="W3165" i="11" s="1"/>
  <c r="W3166" i="11" s="1"/>
  <c r="W3167" i="11" s="1"/>
  <c r="W3168" i="11" s="1"/>
  <c r="W3169" i="11" s="1"/>
  <c r="W3170" i="11" s="1"/>
  <c r="W3171" i="11" s="1"/>
  <c r="W3172" i="11" s="1"/>
  <c r="W3173" i="11" s="1"/>
  <c r="W3174" i="11" s="1"/>
  <c r="W3175" i="11" s="1"/>
  <c r="W3176" i="11" s="1"/>
  <c r="W3177" i="11" s="1"/>
  <c r="W3178" i="11" s="1"/>
  <c r="W3179" i="11" s="1"/>
  <c r="W3180" i="11" s="1"/>
  <c r="W3181" i="11" s="1"/>
  <c r="W3182" i="11" s="1"/>
  <c r="W3183" i="11" s="1"/>
  <c r="W3184" i="11" s="1"/>
  <c r="W3185" i="11" s="1"/>
  <c r="W3186" i="11" s="1"/>
  <c r="W3187" i="11" s="1"/>
  <c r="W3188" i="11" s="1"/>
  <c r="W3189" i="11" s="1"/>
  <c r="W3190" i="11" s="1"/>
  <c r="W3191" i="11" s="1"/>
  <c r="W3192" i="11" s="1"/>
  <c r="W3193" i="11" s="1"/>
  <c r="W3194" i="11" s="1"/>
  <c r="W3195" i="11" s="1"/>
  <c r="W3196" i="11" s="1"/>
  <c r="W3197" i="11" s="1"/>
  <c r="W3198" i="11" s="1"/>
  <c r="W3199" i="11" s="1"/>
  <c r="W3200" i="11" s="1"/>
  <c r="W3201" i="11" s="1"/>
  <c r="W3202" i="11" s="1"/>
  <c r="W3203" i="11" s="1"/>
  <c r="W3204" i="11" s="1"/>
  <c r="W3205" i="11" s="1"/>
  <c r="W3206" i="11" s="1"/>
  <c r="W3207" i="11" s="1"/>
  <c r="W3208" i="11" s="1"/>
  <c r="W3209" i="11" s="1"/>
  <c r="W3210" i="11" s="1"/>
  <c r="W3211" i="11" s="1"/>
  <c r="W3212" i="11" s="1"/>
  <c r="W3213" i="11" s="1"/>
  <c r="W3214" i="11" s="1"/>
  <c r="W3215" i="11" s="1"/>
  <c r="W3216" i="11" s="1"/>
  <c r="W3217" i="11" s="1"/>
  <c r="W3218" i="11" s="1"/>
  <c r="W3219" i="11" s="1"/>
  <c r="W3220" i="11" s="1"/>
  <c r="W3221" i="11" s="1"/>
  <c r="W3222" i="11" s="1"/>
  <c r="W3223" i="11" s="1"/>
  <c r="W3224" i="11" s="1"/>
  <c r="W3225" i="11" s="1"/>
  <c r="W3226" i="11" s="1"/>
  <c r="W3227" i="11" s="1"/>
  <c r="W3228" i="11" s="1"/>
  <c r="W3229" i="11" s="1"/>
  <c r="W3230" i="11" s="1"/>
  <c r="W3231" i="11" s="1"/>
  <c r="W3232" i="11" s="1"/>
  <c r="W3233" i="11" s="1"/>
  <c r="W3234" i="11" s="1"/>
  <c r="W3235" i="11" s="1"/>
  <c r="W3236" i="11" s="1"/>
  <c r="W3237" i="11" s="1"/>
  <c r="W3238" i="11" s="1"/>
  <c r="W3239" i="11" s="1"/>
  <c r="W3240" i="11" s="1"/>
  <c r="W3241" i="11" s="1"/>
  <c r="W3242" i="11" s="1"/>
  <c r="W3243" i="11" s="1"/>
  <c r="W3244" i="11" s="1"/>
  <c r="W3245" i="11" s="1"/>
  <c r="W3246" i="11" s="1"/>
  <c r="W3247" i="11" s="1"/>
  <c r="W3248" i="11" s="1"/>
  <c r="W3249" i="11" s="1"/>
  <c r="W3250" i="11" s="1"/>
  <c r="W3251" i="11" s="1"/>
  <c r="W3252" i="11" s="1"/>
  <c r="W3253" i="11" s="1"/>
  <c r="W3254" i="11" s="1"/>
  <c r="W3255" i="11" s="1"/>
  <c r="W3256" i="11" s="1"/>
  <c r="W3257" i="11" s="1"/>
  <c r="W3258" i="11" s="1"/>
  <c r="W3259" i="11" s="1"/>
  <c r="W3260" i="11" s="1"/>
  <c r="W3261" i="11" s="1"/>
  <c r="W3262" i="11" s="1"/>
  <c r="W3263" i="11" s="1"/>
  <c r="W3264" i="11" s="1"/>
  <c r="W3265" i="11" s="1"/>
  <c r="W3266" i="11" s="1"/>
  <c r="W3267" i="11" s="1"/>
  <c r="W3268" i="11" s="1"/>
  <c r="W3269" i="11" s="1"/>
  <c r="W3270" i="11" s="1"/>
  <c r="W3271" i="11" s="1"/>
  <c r="W3272" i="11" s="1"/>
  <c r="W3273" i="11" s="1"/>
  <c r="W3274" i="11" s="1"/>
  <c r="W3275" i="11" s="1"/>
  <c r="W3276" i="11" s="1"/>
  <c r="W3277" i="11" s="1"/>
  <c r="W3278" i="11" s="1"/>
  <c r="W3279" i="11" s="1"/>
  <c r="W3280" i="11" s="1"/>
  <c r="W3281" i="11" s="1"/>
  <c r="W3282" i="11" s="1"/>
  <c r="W3283" i="11" s="1"/>
  <c r="W3284" i="11" s="1"/>
  <c r="W3285" i="11" s="1"/>
  <c r="W3286" i="11" s="1"/>
  <c r="W3287" i="11" s="1"/>
  <c r="W3288" i="11" s="1"/>
  <c r="W3289" i="11" s="1"/>
  <c r="W3290" i="11" s="1"/>
  <c r="W3291" i="11" s="1"/>
  <c r="W3292" i="11" s="1"/>
  <c r="W3293" i="11" s="1"/>
  <c r="W3294" i="11" s="1"/>
  <c r="W3295" i="11" s="1"/>
  <c r="W3296" i="11" s="1"/>
  <c r="W3297" i="11" s="1"/>
  <c r="W3298" i="11" s="1"/>
  <c r="W3299" i="11" s="1"/>
  <c r="W3300" i="11" s="1"/>
  <c r="W3301" i="11" s="1"/>
  <c r="W3302" i="11" s="1"/>
  <c r="W3303" i="11" s="1"/>
  <c r="W3304" i="11" s="1"/>
  <c r="W3305" i="11" s="1"/>
  <c r="W3306" i="11" s="1"/>
  <c r="W3307" i="11" s="1"/>
  <c r="W3308" i="11" s="1"/>
  <c r="W3309" i="11" s="1"/>
  <c r="W3310" i="11" s="1"/>
  <c r="W3311" i="11" s="1"/>
  <c r="W3312" i="11" s="1"/>
  <c r="W3313" i="11" s="1"/>
  <c r="W3314" i="11" s="1"/>
  <c r="W3315" i="11" s="1"/>
  <c r="W3316" i="11" s="1"/>
  <c r="W3317" i="11" s="1"/>
  <c r="W3318" i="11" s="1"/>
  <c r="W3319" i="11" s="1"/>
  <c r="W3320" i="11" s="1"/>
  <c r="W3321" i="11" s="1"/>
  <c r="W3322" i="11" s="1"/>
  <c r="W3323" i="11" s="1"/>
  <c r="W3324" i="11" s="1"/>
  <c r="W3325" i="11" s="1"/>
  <c r="W3326" i="11" s="1"/>
  <c r="W3327" i="11" s="1"/>
  <c r="W3328" i="11" s="1"/>
  <c r="W3329" i="11" s="1"/>
  <c r="W3330" i="11" s="1"/>
  <c r="W3331" i="11" s="1"/>
  <c r="W3332" i="11" s="1"/>
  <c r="W3333" i="11" s="1"/>
  <c r="W3334" i="11" s="1"/>
  <c r="W3335" i="11" s="1"/>
  <c r="W3336" i="11" s="1"/>
  <c r="W3337" i="11" s="1"/>
  <c r="W3338" i="11" s="1"/>
  <c r="W3339" i="11" s="1"/>
  <c r="W3340" i="11" s="1"/>
  <c r="W3341" i="11" s="1"/>
  <c r="W3342" i="11" s="1"/>
  <c r="W3343" i="11" s="1"/>
  <c r="W3344" i="11" s="1"/>
  <c r="W3345" i="11" s="1"/>
  <c r="W3346" i="11" s="1"/>
  <c r="W3347" i="11" s="1"/>
  <c r="W3348" i="11" s="1"/>
  <c r="W3349" i="11" s="1"/>
  <c r="W3350" i="11" s="1"/>
  <c r="W3351" i="11" s="1"/>
  <c r="W3352" i="11" s="1"/>
  <c r="W3353" i="11" s="1"/>
  <c r="W3354" i="11" s="1"/>
  <c r="W3355" i="11" s="1"/>
  <c r="W3356" i="11" s="1"/>
  <c r="W3357" i="11" s="1"/>
  <c r="W3358" i="11" s="1"/>
  <c r="W3359" i="11" s="1"/>
  <c r="W3360" i="11" s="1"/>
  <c r="W3361" i="11" s="1"/>
  <c r="W3362" i="11" s="1"/>
  <c r="W3363" i="11" s="1"/>
  <c r="W3364" i="11" s="1"/>
  <c r="W3365" i="11" s="1"/>
  <c r="W3366" i="11" s="1"/>
  <c r="W3367" i="11" s="1"/>
  <c r="W3368" i="11" s="1"/>
  <c r="W3369" i="11" s="1"/>
  <c r="W3370" i="11" s="1"/>
  <c r="W3371" i="11" s="1"/>
  <c r="W3372" i="11" s="1"/>
  <c r="W3373" i="11" s="1"/>
  <c r="W3374" i="11" s="1"/>
  <c r="W3375" i="11" s="1"/>
  <c r="W3376" i="11" s="1"/>
  <c r="W3377" i="11" s="1"/>
  <c r="W3378" i="11" s="1"/>
  <c r="W3379" i="11" s="1"/>
  <c r="W3380" i="11" s="1"/>
  <c r="W3381" i="11" s="1"/>
  <c r="W3382" i="11" s="1"/>
  <c r="W3383" i="11" s="1"/>
  <c r="W3384" i="11" s="1"/>
  <c r="W3385" i="11" s="1"/>
  <c r="W3386" i="11" s="1"/>
  <c r="W3387" i="11" s="1"/>
  <c r="W3388" i="11" s="1"/>
  <c r="W3389" i="11" s="1"/>
  <c r="W3390" i="11" s="1"/>
  <c r="W3391" i="11" s="1"/>
  <c r="W3392" i="11" s="1"/>
  <c r="W3393" i="11" s="1"/>
  <c r="W3394" i="11" s="1"/>
  <c r="W3395" i="11" s="1"/>
  <c r="W3396" i="11" s="1"/>
  <c r="W3397" i="11" s="1"/>
  <c r="W3398" i="11" s="1"/>
  <c r="W3399" i="11" s="1"/>
  <c r="W3400" i="11" s="1"/>
  <c r="W3401" i="11" s="1"/>
  <c r="W3402" i="11" s="1"/>
  <c r="W3403" i="11" s="1"/>
  <c r="W3404" i="11" s="1"/>
  <c r="W3405" i="11" s="1"/>
  <c r="W3406" i="11" s="1"/>
  <c r="W3407" i="11" s="1"/>
  <c r="W3408" i="11" s="1"/>
  <c r="W3409" i="11" s="1"/>
  <c r="W3410" i="11" s="1"/>
  <c r="W3411" i="11" s="1"/>
  <c r="W3412" i="11" s="1"/>
  <c r="W3413" i="11" s="1"/>
  <c r="W3414" i="11" s="1"/>
  <c r="W3415" i="11" s="1"/>
  <c r="W3416" i="11" s="1"/>
  <c r="W3417" i="11" s="1"/>
  <c r="W3418" i="11" s="1"/>
  <c r="W3419" i="11" s="1"/>
  <c r="W3420" i="11" s="1"/>
  <c r="W3421" i="11" s="1"/>
  <c r="W3422" i="11" s="1"/>
  <c r="W3423" i="11" s="1"/>
  <c r="W3424" i="11" s="1"/>
  <c r="W3425" i="11" s="1"/>
  <c r="W3426" i="11" s="1"/>
  <c r="W3427" i="11" s="1"/>
  <c r="W3428" i="11" s="1"/>
  <c r="W3429" i="11" s="1"/>
  <c r="W3430" i="11" s="1"/>
  <c r="W3431" i="11" s="1"/>
  <c r="W3432" i="11" s="1"/>
  <c r="W3433" i="11" s="1"/>
  <c r="W3434" i="11" s="1"/>
  <c r="W3435" i="11" s="1"/>
  <c r="W3436" i="11" s="1"/>
  <c r="W3437" i="11" s="1"/>
  <c r="W3438" i="11" s="1"/>
  <c r="W3439" i="11" s="1"/>
  <c r="W3440" i="11" s="1"/>
  <c r="W3441" i="11" s="1"/>
  <c r="W3442" i="11" s="1"/>
  <c r="W3443" i="11" s="1"/>
  <c r="W3444" i="11" s="1"/>
  <c r="W3445" i="11" s="1"/>
  <c r="W3446" i="11" s="1"/>
  <c r="W3447" i="11" s="1"/>
  <c r="W3448" i="11" s="1"/>
  <c r="W3449" i="11" s="1"/>
  <c r="W3450" i="11" s="1"/>
  <c r="W3451" i="11" s="1"/>
  <c r="W3452" i="11" s="1"/>
  <c r="W3453" i="11" s="1"/>
  <c r="W3454" i="11" s="1"/>
  <c r="W3455" i="11" s="1"/>
  <c r="W3456" i="11" s="1"/>
  <c r="W3457" i="11" s="1"/>
  <c r="W3458" i="11" s="1"/>
  <c r="W3459" i="11" s="1"/>
  <c r="W3460" i="11" s="1"/>
  <c r="W3461" i="11" s="1"/>
  <c r="W3462" i="11" s="1"/>
  <c r="W3463" i="11" s="1"/>
  <c r="W3464" i="11" s="1"/>
  <c r="W3465" i="11" s="1"/>
  <c r="W3466" i="11" s="1"/>
  <c r="W3467" i="11" s="1"/>
  <c r="W3468" i="11" s="1"/>
  <c r="W3469" i="11" s="1"/>
  <c r="W3470" i="11" s="1"/>
  <c r="W3471" i="11" s="1"/>
  <c r="W3472" i="11" s="1"/>
  <c r="W3473" i="11" s="1"/>
  <c r="W3474" i="11" s="1"/>
  <c r="W3475" i="11" s="1"/>
  <c r="W3476" i="11" s="1"/>
  <c r="W3477" i="11" s="1"/>
  <c r="W3478" i="11" s="1"/>
  <c r="W3479" i="11" s="1"/>
  <c r="W3480" i="11" s="1"/>
  <c r="W3481" i="11" s="1"/>
  <c r="W3482" i="11" s="1"/>
  <c r="W3483" i="11" s="1"/>
  <c r="W3484" i="11" s="1"/>
  <c r="W3485" i="11" s="1"/>
  <c r="W3486" i="11" s="1"/>
  <c r="W3487" i="11" s="1"/>
  <c r="W3488" i="11" s="1"/>
  <c r="W3489" i="11" s="1"/>
  <c r="W3490" i="11" s="1"/>
  <c r="W3491" i="11" s="1"/>
  <c r="W3492" i="11" s="1"/>
  <c r="W3493" i="11" s="1"/>
  <c r="W3494" i="11" s="1"/>
  <c r="W3495" i="11" s="1"/>
  <c r="W3496" i="11" s="1"/>
  <c r="W3497" i="11" s="1"/>
  <c r="W3498" i="11" s="1"/>
  <c r="W3499" i="11" s="1"/>
  <c r="W3500" i="11" s="1"/>
  <c r="W3501" i="11" s="1"/>
  <c r="W3502" i="11" s="1"/>
  <c r="W3503" i="11" s="1"/>
  <c r="W3504" i="11" s="1"/>
  <c r="W3505" i="11" s="1"/>
  <c r="W3506" i="11" s="1"/>
  <c r="W3507" i="11" s="1"/>
  <c r="W3508" i="11" s="1"/>
  <c r="W3509" i="11" s="1"/>
  <c r="W3510" i="11" s="1"/>
  <c r="W3511" i="11" s="1"/>
  <c r="W3512" i="11" s="1"/>
  <c r="W3513" i="11" s="1"/>
  <c r="W3514" i="11" s="1"/>
  <c r="W3515" i="11" s="1"/>
  <c r="W3516" i="11" s="1"/>
  <c r="W3517" i="11" s="1"/>
  <c r="W3518" i="11" s="1"/>
  <c r="W3519" i="11" s="1"/>
  <c r="W3520" i="11" s="1"/>
  <c r="W3521" i="11" s="1"/>
  <c r="W3522" i="11" s="1"/>
  <c r="W3523" i="11" s="1"/>
  <c r="W3524" i="11" s="1"/>
  <c r="W3525" i="11" s="1"/>
  <c r="W3526" i="11" s="1"/>
  <c r="W3527" i="11" s="1"/>
  <c r="W3528" i="11" s="1"/>
  <c r="W3529" i="11" s="1"/>
  <c r="W3530" i="11" s="1"/>
  <c r="W3531" i="11" s="1"/>
  <c r="W3532" i="11" s="1"/>
  <c r="W3533" i="11" s="1"/>
  <c r="W3534" i="11" s="1"/>
  <c r="W3535" i="11" s="1"/>
  <c r="W3536" i="11" s="1"/>
  <c r="W3537" i="11" s="1"/>
  <c r="W3538" i="11" s="1"/>
  <c r="W3539" i="11" s="1"/>
  <c r="W3540" i="11" s="1"/>
  <c r="W3541" i="11" s="1"/>
  <c r="W3542" i="11" s="1"/>
  <c r="W3543" i="11" s="1"/>
  <c r="W3544" i="11" s="1"/>
  <c r="W3545" i="11" s="1"/>
  <c r="W3546" i="11" s="1"/>
  <c r="W3547" i="11" s="1"/>
  <c r="W3548" i="11" s="1"/>
  <c r="W3549" i="11" s="1"/>
  <c r="W3550" i="11" s="1"/>
  <c r="W3551" i="11" s="1"/>
  <c r="W3552" i="11" s="1"/>
  <c r="W20" i="11"/>
  <c r="W21" i="11" s="1"/>
  <c r="W22" i="11" s="1"/>
  <c r="W23" i="11" s="1"/>
  <c r="W24" i="11" s="1"/>
  <c r="W25" i="11" s="1"/>
  <c r="W26" i="11" s="1"/>
  <c r="W27" i="11" s="1"/>
  <c r="W28" i="11" s="1"/>
  <c r="W29" i="11" s="1"/>
  <c r="W30" i="11" s="1"/>
  <c r="W31" i="11" s="1"/>
  <c r="W32" i="11" s="1"/>
  <c r="W33" i="11" s="1"/>
  <c r="W34" i="11" s="1"/>
  <c r="W35" i="11" s="1"/>
  <c r="W36" i="11" s="1"/>
  <c r="W37" i="11" s="1"/>
  <c r="W38" i="11" s="1"/>
  <c r="W39" i="11" s="1"/>
  <c r="W40" i="11" s="1"/>
  <c r="W41" i="11" s="1"/>
  <c r="W42" i="11" s="1"/>
  <c r="W43" i="11" s="1"/>
  <c r="W44" i="11" s="1"/>
  <c r="W45" i="11" s="1"/>
  <c r="W46" i="11" s="1"/>
  <c r="W47" i="11" s="1"/>
  <c r="W48" i="11" s="1"/>
  <c r="W49" i="11" s="1"/>
  <c r="W50" i="11" s="1"/>
  <c r="W51" i="11" s="1"/>
  <c r="W52" i="11" s="1"/>
  <c r="W53" i="11" s="1"/>
  <c r="W54" i="11" s="1"/>
  <c r="W55" i="11" s="1"/>
  <c r="W56" i="11" s="1"/>
  <c r="W57" i="11" s="1"/>
  <c r="W58" i="11" s="1"/>
  <c r="W59" i="11" s="1"/>
  <c r="W60" i="11" s="1"/>
  <c r="W61" i="11" s="1"/>
  <c r="W62" i="11" s="1"/>
  <c r="W63" i="11" s="1"/>
  <c r="W64" i="11" s="1"/>
  <c r="W65" i="11" s="1"/>
  <c r="W66" i="11" s="1"/>
  <c r="W67" i="11" s="1"/>
  <c r="W68" i="11" s="1"/>
  <c r="W69" i="11" s="1"/>
  <c r="W70" i="11" s="1"/>
  <c r="W71" i="11" s="1"/>
  <c r="W72" i="11" s="1"/>
  <c r="W73" i="11" s="1"/>
  <c r="W74" i="11" s="1"/>
  <c r="W75" i="11" s="1"/>
  <c r="W76" i="11" s="1"/>
  <c r="W77" i="11" s="1"/>
  <c r="W78" i="11" s="1"/>
  <c r="W79" i="11" s="1"/>
  <c r="W80" i="11" s="1"/>
  <c r="W81" i="11" s="1"/>
  <c r="W82" i="11" s="1"/>
  <c r="W83" i="11" s="1"/>
  <c r="W84" i="11" s="1"/>
  <c r="W85" i="11" s="1"/>
  <c r="W86" i="11" s="1"/>
  <c r="W87" i="11" s="1"/>
  <c r="W88" i="11" s="1"/>
  <c r="W89" i="11" s="1"/>
  <c r="W90" i="11" s="1"/>
  <c r="W91" i="11" s="1"/>
  <c r="W92" i="11" s="1"/>
  <c r="W93" i="11" s="1"/>
  <c r="W94" i="11" s="1"/>
  <c r="W95" i="11" s="1"/>
  <c r="W96" i="11" s="1"/>
  <c r="W97" i="11" s="1"/>
  <c r="W98" i="11" s="1"/>
  <c r="W99" i="11" s="1"/>
  <c r="W100" i="11" s="1"/>
  <c r="W101" i="11" s="1"/>
  <c r="W102" i="11" s="1"/>
  <c r="W103" i="11" s="1"/>
  <c r="W104" i="11" s="1"/>
  <c r="W105" i="11" s="1"/>
  <c r="W106" i="11" s="1"/>
  <c r="W107" i="11" s="1"/>
  <c r="W108" i="11" s="1"/>
  <c r="W109" i="11" s="1"/>
  <c r="W110" i="11" s="1"/>
  <c r="W111" i="11" s="1"/>
  <c r="W112" i="11" s="1"/>
  <c r="W113" i="11" s="1"/>
  <c r="W114" i="11" s="1"/>
  <c r="W115" i="11" s="1"/>
  <c r="W116" i="11" s="1"/>
  <c r="W117" i="11" s="1"/>
  <c r="W118" i="11" s="1"/>
  <c r="W119" i="11" s="1"/>
  <c r="W120" i="11" s="1"/>
  <c r="W121" i="11" s="1"/>
  <c r="W122" i="11" s="1"/>
  <c r="W123" i="11" s="1"/>
  <c r="W124" i="11" s="1"/>
  <c r="W125" i="11" s="1"/>
  <c r="W126" i="11" s="1"/>
  <c r="W127" i="11" s="1"/>
  <c r="W128" i="11" s="1"/>
  <c r="W129" i="11" s="1"/>
  <c r="W130" i="11" s="1"/>
  <c r="W131" i="11" s="1"/>
  <c r="W132" i="11" s="1"/>
  <c r="W133" i="11" s="1"/>
  <c r="W134" i="11" s="1"/>
  <c r="W135" i="11" s="1"/>
  <c r="W136" i="11" s="1"/>
  <c r="W137" i="11" s="1"/>
  <c r="W138" i="11" s="1"/>
  <c r="W139" i="11" s="1"/>
  <c r="W140" i="11" s="1"/>
  <c r="W141" i="11" s="1"/>
  <c r="W142" i="11" s="1"/>
  <c r="W143" i="11" s="1"/>
  <c r="W144" i="11" s="1"/>
  <c r="W145" i="11" s="1"/>
  <c r="W146" i="11" s="1"/>
  <c r="W147" i="11" s="1"/>
  <c r="W148" i="11" s="1"/>
  <c r="W149" i="11" s="1"/>
  <c r="W150" i="11" s="1"/>
  <c r="W151" i="11" s="1"/>
  <c r="W152" i="11" s="1"/>
  <c r="W153" i="11" s="1"/>
  <c r="W154" i="11" s="1"/>
  <c r="W155" i="11" s="1"/>
  <c r="W156" i="11" s="1"/>
  <c r="W157" i="11" s="1"/>
  <c r="W158" i="11" s="1"/>
  <c r="W159" i="11" s="1"/>
  <c r="W160" i="11" s="1"/>
  <c r="W161" i="11" s="1"/>
  <c r="W162" i="11" s="1"/>
  <c r="W163" i="11" s="1"/>
  <c r="W164" i="11" s="1"/>
  <c r="W165" i="11" s="1"/>
  <c r="W166" i="11" s="1"/>
  <c r="W167" i="11" s="1"/>
  <c r="W168" i="11" s="1"/>
  <c r="W169" i="11" s="1"/>
  <c r="W170" i="11" s="1"/>
  <c r="W171" i="11" s="1"/>
  <c r="W172" i="11" s="1"/>
  <c r="W173" i="11" s="1"/>
  <c r="W174" i="11" s="1"/>
  <c r="W175" i="11" s="1"/>
  <c r="W176" i="11" s="1"/>
  <c r="W177" i="11" s="1"/>
  <c r="W178" i="11" s="1"/>
  <c r="W179" i="11" s="1"/>
  <c r="W180" i="11" s="1"/>
  <c r="W181" i="11" s="1"/>
  <c r="W182" i="11" s="1"/>
  <c r="W183" i="11" s="1"/>
  <c r="W184" i="11" s="1"/>
  <c r="W185" i="11" s="1"/>
  <c r="W186" i="11" s="1"/>
  <c r="W187" i="11" s="1"/>
  <c r="W188" i="11" s="1"/>
  <c r="W189" i="11" s="1"/>
  <c r="W190" i="11" s="1"/>
  <c r="W191" i="11" s="1"/>
  <c r="W192" i="11" s="1"/>
  <c r="W193" i="11" s="1"/>
  <c r="W194" i="11" s="1"/>
  <c r="W195" i="11" s="1"/>
  <c r="W196" i="11" s="1"/>
  <c r="W197" i="11" s="1"/>
  <c r="W198" i="11" s="1"/>
  <c r="W199" i="11" s="1"/>
  <c r="W200" i="11" s="1"/>
  <c r="W201" i="11" s="1"/>
  <c r="W202" i="11" s="1"/>
  <c r="W203" i="11" s="1"/>
  <c r="W204" i="11" s="1"/>
  <c r="W205" i="11" s="1"/>
  <c r="W206" i="11" s="1"/>
  <c r="W207" i="11" s="1"/>
  <c r="W208" i="11" s="1"/>
  <c r="W209" i="11" s="1"/>
  <c r="W210" i="11" s="1"/>
  <c r="W211" i="11" s="1"/>
  <c r="W212" i="11" s="1"/>
  <c r="W213" i="11" s="1"/>
  <c r="W214" i="11" s="1"/>
  <c r="W215" i="11" s="1"/>
  <c r="W216" i="11" s="1"/>
  <c r="W217" i="11" s="1"/>
  <c r="W218" i="11" s="1"/>
  <c r="W219" i="11" s="1"/>
  <c r="W220" i="11" s="1"/>
  <c r="W221" i="11" s="1"/>
  <c r="W222" i="11" s="1"/>
  <c r="W223" i="11" s="1"/>
  <c r="W224" i="11" s="1"/>
  <c r="W225" i="11" s="1"/>
  <c r="W226" i="11" s="1"/>
  <c r="W227" i="11" s="1"/>
  <c r="W228" i="11" s="1"/>
  <c r="W229" i="11" s="1"/>
  <c r="W230" i="11" s="1"/>
  <c r="W231" i="11" s="1"/>
  <c r="W232" i="11" s="1"/>
  <c r="W233" i="11" s="1"/>
  <c r="W234" i="11" s="1"/>
  <c r="W235" i="11" s="1"/>
  <c r="W236" i="11" s="1"/>
  <c r="W237" i="11" s="1"/>
  <c r="W238" i="11" s="1"/>
  <c r="W239" i="11" s="1"/>
  <c r="W240" i="11" s="1"/>
  <c r="W241" i="11" s="1"/>
  <c r="W242" i="11" s="1"/>
  <c r="W243" i="11" s="1"/>
  <c r="W244" i="11" s="1"/>
  <c r="W245" i="11" s="1"/>
  <c r="W246" i="11" s="1"/>
  <c r="W247" i="11" s="1"/>
  <c r="W248" i="11" s="1"/>
  <c r="W249" i="11" s="1"/>
  <c r="W250" i="11" s="1"/>
  <c r="W251" i="11" s="1"/>
  <c r="W252" i="11" s="1"/>
  <c r="W253" i="11" s="1"/>
  <c r="W254" i="11" s="1"/>
  <c r="W255" i="11" s="1"/>
  <c r="W256" i="11" s="1"/>
  <c r="W257" i="11" s="1"/>
  <c r="W258" i="11" s="1"/>
  <c r="W259" i="11" s="1"/>
  <c r="W260" i="11" s="1"/>
  <c r="W261" i="11" s="1"/>
  <c r="W262" i="11" s="1"/>
  <c r="W263" i="11" s="1"/>
  <c r="W264" i="11" s="1"/>
  <c r="W265" i="11" s="1"/>
  <c r="W266" i="11" s="1"/>
  <c r="W267" i="11" s="1"/>
  <c r="W268" i="11" s="1"/>
  <c r="W269" i="11" s="1"/>
  <c r="W270" i="11" s="1"/>
  <c r="W271" i="11" s="1"/>
  <c r="W272" i="11" s="1"/>
  <c r="W273" i="11" s="1"/>
  <c r="W274" i="11" s="1"/>
  <c r="W275" i="11" s="1"/>
  <c r="W276" i="11" s="1"/>
  <c r="W277" i="11" s="1"/>
  <c r="W278" i="11" s="1"/>
  <c r="W279" i="11" s="1"/>
  <c r="W280" i="11" s="1"/>
  <c r="W281" i="11" s="1"/>
  <c r="W282" i="11" s="1"/>
  <c r="W283" i="11" s="1"/>
  <c r="W284" i="11" s="1"/>
  <c r="W285" i="11" s="1"/>
  <c r="W286" i="11" s="1"/>
  <c r="W287" i="11" s="1"/>
  <c r="W288" i="11" s="1"/>
  <c r="W289" i="11" s="1"/>
  <c r="W290" i="11" s="1"/>
  <c r="W291" i="11" s="1"/>
  <c r="W292" i="11" s="1"/>
  <c r="W293" i="11" s="1"/>
  <c r="W294" i="11" s="1"/>
  <c r="W295" i="11" s="1"/>
  <c r="W296" i="11" s="1"/>
  <c r="W297" i="11" s="1"/>
  <c r="W298" i="11" s="1"/>
  <c r="W299" i="11" s="1"/>
  <c r="W300" i="11" s="1"/>
  <c r="W301" i="11" s="1"/>
  <c r="W302" i="11" s="1"/>
  <c r="W303" i="11" s="1"/>
  <c r="W304" i="11" s="1"/>
  <c r="W305" i="11" s="1"/>
  <c r="W306" i="11" s="1"/>
  <c r="W307" i="11" s="1"/>
  <c r="W308" i="11" s="1"/>
  <c r="W309" i="11" s="1"/>
  <c r="W310" i="11" s="1"/>
  <c r="W311" i="11" s="1"/>
  <c r="W312" i="11" s="1"/>
  <c r="W313" i="11" s="1"/>
  <c r="W314" i="11" s="1"/>
  <c r="W315" i="11" s="1"/>
  <c r="W316" i="11" s="1"/>
  <c r="W317" i="11" s="1"/>
  <c r="W318" i="11" s="1"/>
  <c r="W319" i="11" s="1"/>
  <c r="W320" i="11" s="1"/>
  <c r="W321" i="11" s="1"/>
  <c r="W322" i="11" s="1"/>
  <c r="W323" i="11" s="1"/>
  <c r="W324" i="11" s="1"/>
  <c r="W325" i="11" s="1"/>
  <c r="W326" i="11" s="1"/>
  <c r="W327" i="11" s="1"/>
  <c r="W328" i="11" s="1"/>
  <c r="W329" i="11" s="1"/>
  <c r="W330" i="11" s="1"/>
  <c r="W331" i="11" s="1"/>
  <c r="W332" i="11" s="1"/>
  <c r="W333" i="11" s="1"/>
  <c r="W334" i="11" s="1"/>
  <c r="W335" i="11" s="1"/>
  <c r="W336" i="11" s="1"/>
  <c r="W337" i="11" s="1"/>
  <c r="W338" i="11" s="1"/>
  <c r="W339" i="11" s="1"/>
  <c r="W340" i="11" s="1"/>
  <c r="W341" i="11" s="1"/>
  <c r="W342" i="11" s="1"/>
  <c r="W343" i="11" s="1"/>
  <c r="W344" i="11" s="1"/>
  <c r="W345" i="11" s="1"/>
  <c r="W346" i="11" s="1"/>
  <c r="W347" i="11" s="1"/>
  <c r="W348" i="11" s="1"/>
  <c r="W349" i="11" s="1"/>
  <c r="W350" i="11" s="1"/>
  <c r="W351" i="11" s="1"/>
  <c r="W352" i="11" s="1"/>
  <c r="W353" i="11" s="1"/>
  <c r="W354" i="11" s="1"/>
  <c r="W355" i="11" s="1"/>
  <c r="W356" i="11" s="1"/>
  <c r="W357" i="11" s="1"/>
  <c r="W358" i="11" s="1"/>
  <c r="W359" i="11" s="1"/>
  <c r="W360" i="11" s="1"/>
  <c r="W361" i="11" s="1"/>
  <c r="W362" i="11" s="1"/>
  <c r="W363" i="11" s="1"/>
  <c r="W364" i="11" s="1"/>
  <c r="W365" i="11" s="1"/>
  <c r="W366" i="11" s="1"/>
  <c r="W367" i="11" s="1"/>
  <c r="W368" i="11" s="1"/>
  <c r="W369" i="11" s="1"/>
  <c r="W370" i="11" s="1"/>
  <c r="W371" i="11" s="1"/>
  <c r="W372" i="11" s="1"/>
  <c r="W373" i="11" s="1"/>
  <c r="W374" i="11" s="1"/>
  <c r="W375" i="11" s="1"/>
  <c r="W376" i="11" s="1"/>
  <c r="W377" i="11" s="1"/>
  <c r="W378" i="11" s="1"/>
  <c r="W379" i="11" s="1"/>
  <c r="W380" i="11" s="1"/>
  <c r="W381" i="11" s="1"/>
  <c r="W382" i="11" s="1"/>
  <c r="W383" i="11" s="1"/>
  <c r="W384" i="11" s="1"/>
  <c r="W385" i="11" s="1"/>
  <c r="W386" i="11" s="1"/>
  <c r="W387" i="11" s="1"/>
  <c r="W388" i="11" s="1"/>
  <c r="W389" i="11" s="1"/>
  <c r="W390" i="11" s="1"/>
  <c r="W391" i="11" s="1"/>
  <c r="W392" i="11" s="1"/>
  <c r="W393" i="11" s="1"/>
  <c r="W394" i="11" s="1"/>
  <c r="W395" i="11" s="1"/>
  <c r="W396" i="11" s="1"/>
  <c r="W397" i="11" s="1"/>
  <c r="W398" i="11" s="1"/>
  <c r="W399" i="11" s="1"/>
  <c r="W400" i="11" s="1"/>
  <c r="W401" i="11" s="1"/>
  <c r="W402" i="11" s="1"/>
  <c r="W403" i="11" s="1"/>
  <c r="W404" i="11" s="1"/>
  <c r="W405" i="11" s="1"/>
  <c r="W406" i="11" s="1"/>
  <c r="W407" i="11" s="1"/>
  <c r="W408" i="11" s="1"/>
  <c r="W409" i="11" s="1"/>
  <c r="W410" i="11" s="1"/>
  <c r="W411" i="11" s="1"/>
  <c r="W412" i="11" s="1"/>
  <c r="W413" i="11" s="1"/>
  <c r="W414" i="11" s="1"/>
  <c r="W415" i="11" s="1"/>
  <c r="W416" i="11" s="1"/>
  <c r="W417" i="11" s="1"/>
  <c r="W418" i="11" s="1"/>
  <c r="W419" i="11" s="1"/>
  <c r="W420" i="11" s="1"/>
  <c r="W421" i="11" s="1"/>
  <c r="W422" i="11" s="1"/>
  <c r="W423" i="11" s="1"/>
  <c r="W424" i="11" s="1"/>
  <c r="W425" i="11" s="1"/>
  <c r="W426" i="11" s="1"/>
  <c r="W427" i="11" s="1"/>
  <c r="W428" i="11" s="1"/>
  <c r="W429" i="11" s="1"/>
  <c r="W430" i="11" s="1"/>
  <c r="W431" i="11" s="1"/>
  <c r="W432" i="11" s="1"/>
  <c r="W433" i="11" s="1"/>
  <c r="W434" i="11" s="1"/>
  <c r="W435" i="11" s="1"/>
  <c r="W436" i="11" s="1"/>
  <c r="W437" i="11" s="1"/>
  <c r="W438" i="11" s="1"/>
  <c r="W439" i="11" s="1"/>
  <c r="W440" i="11" s="1"/>
  <c r="W441" i="11" s="1"/>
  <c r="W442" i="11" s="1"/>
  <c r="W443" i="11" s="1"/>
  <c r="W444" i="11" s="1"/>
  <c r="W445" i="11" s="1"/>
  <c r="W446" i="11" s="1"/>
  <c r="W447" i="11" s="1"/>
  <c r="W448" i="11" s="1"/>
  <c r="W449" i="11" s="1"/>
  <c r="W450" i="11" s="1"/>
  <c r="W451" i="11" s="1"/>
  <c r="W452" i="11" s="1"/>
  <c r="W453" i="11" s="1"/>
  <c r="W454" i="11" s="1"/>
  <c r="W455" i="11" s="1"/>
  <c r="W456" i="11" s="1"/>
  <c r="W457" i="11" s="1"/>
  <c r="W458" i="11" s="1"/>
  <c r="W459" i="11" s="1"/>
  <c r="W460" i="11" s="1"/>
  <c r="W461" i="11" s="1"/>
  <c r="W462" i="11" s="1"/>
  <c r="W463" i="11" s="1"/>
  <c r="W464" i="11" s="1"/>
  <c r="W465" i="11" s="1"/>
  <c r="W466" i="11" s="1"/>
  <c r="W467" i="11" s="1"/>
  <c r="W468" i="11" s="1"/>
  <c r="W469" i="11" s="1"/>
  <c r="W470" i="11" s="1"/>
  <c r="W471" i="11" s="1"/>
  <c r="W472" i="11" s="1"/>
  <c r="W473" i="11" s="1"/>
  <c r="W474" i="11" s="1"/>
  <c r="W475" i="11" s="1"/>
  <c r="W476" i="11" s="1"/>
  <c r="W477" i="11" s="1"/>
  <c r="W478" i="11" s="1"/>
  <c r="W479" i="11" s="1"/>
  <c r="W480" i="11" s="1"/>
  <c r="W481" i="11" s="1"/>
  <c r="W482" i="11" s="1"/>
  <c r="W483" i="11" s="1"/>
  <c r="W484" i="11" s="1"/>
  <c r="W485" i="11" s="1"/>
  <c r="W486" i="11" s="1"/>
  <c r="W487" i="11" s="1"/>
  <c r="W488" i="11" s="1"/>
  <c r="W489" i="11" s="1"/>
  <c r="W490" i="11" s="1"/>
  <c r="W491" i="11" s="1"/>
  <c r="W492" i="11" s="1"/>
  <c r="W493" i="11" s="1"/>
  <c r="W494" i="11" s="1"/>
  <c r="W495" i="11" s="1"/>
  <c r="W496" i="11" s="1"/>
  <c r="W497" i="11" s="1"/>
  <c r="W498" i="11" s="1"/>
  <c r="W499" i="11" s="1"/>
  <c r="W500" i="11" s="1"/>
  <c r="W501" i="11" s="1"/>
  <c r="W502" i="11" s="1"/>
  <c r="W503" i="11" s="1"/>
  <c r="W504" i="11" s="1"/>
  <c r="W505" i="11" s="1"/>
  <c r="W506" i="11" s="1"/>
  <c r="W507" i="11" s="1"/>
  <c r="W508" i="11" s="1"/>
  <c r="W509" i="11" s="1"/>
  <c r="W510" i="11" s="1"/>
  <c r="W511" i="11" s="1"/>
  <c r="W512" i="11" s="1"/>
  <c r="W513" i="11" s="1"/>
  <c r="W514" i="11" s="1"/>
  <c r="W515" i="11" s="1"/>
  <c r="W516" i="11" s="1"/>
  <c r="W517" i="11" s="1"/>
  <c r="W518" i="11" s="1"/>
  <c r="W519" i="11" s="1"/>
  <c r="W520" i="11" s="1"/>
  <c r="W521" i="11" s="1"/>
  <c r="W522" i="11" s="1"/>
  <c r="W523" i="11" s="1"/>
  <c r="W524" i="11" s="1"/>
  <c r="W525" i="11" s="1"/>
  <c r="W526" i="11" s="1"/>
  <c r="W527" i="11" s="1"/>
  <c r="W528" i="11" s="1"/>
  <c r="W529" i="11" s="1"/>
  <c r="W530" i="11" s="1"/>
  <c r="W531" i="11" s="1"/>
  <c r="W532" i="11" s="1"/>
  <c r="W533" i="11" s="1"/>
  <c r="W534" i="11" s="1"/>
  <c r="W535" i="11" s="1"/>
  <c r="W536" i="11" s="1"/>
  <c r="Q19" i="11"/>
  <c r="F16" i="11"/>
  <c r="F15" i="11"/>
  <c r="F14" i="11"/>
  <c r="F13" i="11"/>
  <c r="F12" i="11"/>
  <c r="F11" i="11"/>
  <c r="F10" i="11"/>
  <c r="D9" i="11"/>
  <c r="F8" i="11"/>
  <c r="F7" i="11"/>
  <c r="F6" i="11"/>
  <c r="F5" i="11"/>
  <c r="F4" i="11"/>
  <c r="F3" i="11"/>
  <c r="M19" i="11"/>
  <c r="AA17" i="11"/>
  <c r="Z17" i="11"/>
  <c r="B15" i="11"/>
  <c r="B14" i="11"/>
  <c r="B13" i="11"/>
  <c r="C5" i="11"/>
  <c r="B4" i="11"/>
  <c r="B5" i="11"/>
  <c r="B8" i="11"/>
  <c r="B16" i="11"/>
  <c r="B7" i="11"/>
  <c r="B6" i="11"/>
  <c r="B9" i="11"/>
  <c r="B12" i="11"/>
  <c r="B10" i="11"/>
  <c r="C4" i="11"/>
  <c r="X19" i="11"/>
  <c r="C3" i="11"/>
  <c r="B3" i="11"/>
  <c r="B11" i="11"/>
  <c r="Y19" i="11"/>
  <c r="X20" i="11"/>
  <c r="X21" i="11"/>
  <c r="Y20" i="11"/>
  <c r="X22" i="11"/>
  <c r="Y21" i="11"/>
  <c r="Y22" i="11"/>
  <c r="X23" i="11"/>
  <c r="Y23" i="11"/>
  <c r="X24" i="11"/>
  <c r="X25" i="11"/>
  <c r="Y24" i="11"/>
  <c r="Y25" i="11"/>
  <c r="X26" i="11"/>
  <c r="Y26" i="11"/>
  <c r="X27" i="11"/>
  <c r="Y27" i="11"/>
  <c r="X28" i="11"/>
  <c r="Y28" i="11"/>
  <c r="X29" i="11"/>
  <c r="Y29" i="11"/>
  <c r="X30" i="11"/>
  <c r="X31" i="11"/>
  <c r="Y30" i="11"/>
  <c r="Y31" i="11"/>
  <c r="X32" i="11"/>
  <c r="Y32" i="11"/>
  <c r="X33" i="11"/>
  <c r="X34" i="11"/>
  <c r="Y33" i="11"/>
  <c r="X35" i="11"/>
  <c r="Y34" i="11"/>
  <c r="X36" i="11"/>
  <c r="Y35" i="11"/>
  <c r="Y36" i="11"/>
  <c r="X37" i="11"/>
  <c r="X38" i="11"/>
  <c r="Y37" i="11"/>
  <c r="Y38" i="11"/>
  <c r="X39" i="11"/>
  <c r="Y39" i="11"/>
  <c r="X40" i="11"/>
  <c r="Y40" i="11"/>
  <c r="X41" i="11"/>
  <c r="X42" i="11"/>
  <c r="Y41" i="11"/>
  <c r="Y42" i="11"/>
  <c r="X43" i="11"/>
  <c r="Y43" i="11"/>
  <c r="X44" i="11"/>
  <c r="Y44" i="11"/>
  <c r="X45" i="11"/>
  <c r="Y45" i="11"/>
  <c r="X46" i="11"/>
  <c r="Y46" i="11"/>
  <c r="X47" i="11"/>
  <c r="Y47" i="11"/>
  <c r="X48" i="11"/>
  <c r="Y48" i="11"/>
  <c r="X49" i="11"/>
  <c r="Y49" i="11"/>
  <c r="X50" i="11"/>
  <c r="Y50" i="11"/>
  <c r="X51" i="11"/>
  <c r="X52" i="11"/>
  <c r="Y51" i="11"/>
  <c r="Y52" i="11"/>
  <c r="X53" i="11"/>
  <c r="Y53" i="11"/>
  <c r="X54" i="11"/>
  <c r="Y54" i="11"/>
  <c r="X55" i="11"/>
  <c r="X56" i="11"/>
  <c r="Y55" i="11"/>
  <c r="X57" i="11"/>
  <c r="Y56" i="11"/>
  <c r="Y57" i="11"/>
  <c r="X58" i="11"/>
  <c r="Y58" i="11"/>
  <c r="X59" i="11"/>
  <c r="Y59" i="11"/>
  <c r="X60" i="11"/>
  <c r="Y60" i="11"/>
  <c r="X61" i="11"/>
  <c r="Y61" i="11"/>
  <c r="X62" i="11"/>
  <c r="Y62" i="11"/>
  <c r="X63" i="11"/>
  <c r="X64" i="11"/>
  <c r="Y63" i="11"/>
  <c r="X65" i="11"/>
  <c r="Y64" i="11"/>
  <c r="Y65" i="11"/>
  <c r="X66" i="11"/>
  <c r="X67" i="11"/>
  <c r="Y66" i="11"/>
  <c r="X68" i="11"/>
  <c r="Y67" i="11"/>
  <c r="X69" i="11"/>
  <c r="Y68" i="11"/>
  <c r="Y69" i="11"/>
  <c r="X70" i="11"/>
  <c r="X71" i="11"/>
  <c r="Y70" i="11"/>
  <c r="X72" i="11"/>
  <c r="Y71" i="11"/>
  <c r="Y72" i="11"/>
  <c r="X73" i="11"/>
  <c r="X74" i="11"/>
  <c r="Y73" i="11"/>
  <c r="X75" i="11"/>
  <c r="Y74" i="11"/>
  <c r="Y75" i="11"/>
  <c r="X76" i="11"/>
  <c r="Y76" i="11"/>
  <c r="X77" i="11"/>
  <c r="Y77" i="11"/>
  <c r="X78" i="11"/>
  <c r="Y78" i="11"/>
  <c r="X79" i="11"/>
  <c r="X80" i="11"/>
  <c r="Y79" i="11"/>
  <c r="Y80" i="11"/>
  <c r="X81" i="11"/>
  <c r="Y81" i="11"/>
  <c r="X82" i="11"/>
  <c r="X83" i="11"/>
  <c r="Y82" i="11"/>
  <c r="X84" i="11"/>
  <c r="Y83" i="11"/>
  <c r="Y84" i="11"/>
  <c r="X85" i="11"/>
  <c r="X86" i="11"/>
  <c r="Y85" i="11"/>
  <c r="Y86" i="11"/>
  <c r="X87" i="11"/>
  <c r="X88" i="11"/>
  <c r="Y87" i="11"/>
  <c r="X89" i="11"/>
  <c r="Y88" i="11"/>
  <c r="X90" i="11"/>
  <c r="Y89" i="11"/>
  <c r="X91" i="11"/>
  <c r="Y90" i="11"/>
  <c r="X92" i="11"/>
  <c r="Y91" i="11"/>
  <c r="Y92" i="11"/>
  <c r="X93" i="11"/>
  <c r="Y93" i="11"/>
  <c r="X94" i="11"/>
  <c r="X95" i="11"/>
  <c r="Y94" i="11"/>
  <c r="Y95" i="11"/>
  <c r="X96" i="11"/>
  <c r="Y96" i="11"/>
  <c r="X97" i="11"/>
  <c r="X98" i="11"/>
  <c r="Y97" i="11"/>
  <c r="X99" i="11"/>
  <c r="Y98" i="11"/>
  <c r="X100" i="11"/>
  <c r="Y99" i="11"/>
  <c r="Y100" i="11"/>
  <c r="X101" i="11"/>
  <c r="Y101" i="11"/>
  <c r="X102" i="11"/>
  <c r="Y102" i="11"/>
  <c r="X103" i="11"/>
  <c r="Y103" i="11"/>
  <c r="X104" i="11"/>
  <c r="X105" i="11"/>
  <c r="Y104" i="11"/>
  <c r="X106" i="11"/>
  <c r="Y105" i="11"/>
  <c r="X107" i="11"/>
  <c r="Y106" i="11"/>
  <c r="Y107" i="11"/>
  <c r="X108" i="11"/>
  <c r="Y108" i="11"/>
  <c r="X109" i="11"/>
  <c r="Y109" i="11"/>
  <c r="X110" i="11"/>
  <c r="X111" i="11"/>
  <c r="Y110" i="11"/>
  <c r="X112" i="11"/>
  <c r="Y111" i="11"/>
  <c r="Y112" i="11"/>
  <c r="X113" i="11"/>
  <c r="Y113" i="11"/>
  <c r="X114" i="11"/>
  <c r="X115" i="11"/>
  <c r="Y114" i="11"/>
  <c r="Y115" i="11"/>
  <c r="X116" i="11"/>
  <c r="Y116" i="11"/>
  <c r="X117" i="11"/>
  <c r="X118" i="11"/>
  <c r="Y117" i="11"/>
  <c r="X119" i="11"/>
  <c r="Y118" i="11"/>
  <c r="X120" i="11"/>
  <c r="Y119" i="11"/>
  <c r="X121" i="11"/>
  <c r="Y120" i="11"/>
  <c r="Y121" i="11"/>
  <c r="X122" i="11"/>
  <c r="X123" i="11"/>
  <c r="Y122" i="11"/>
  <c r="Y123" i="11"/>
  <c r="X124" i="11"/>
  <c r="Y124" i="11"/>
  <c r="X125" i="11"/>
  <c r="Y125" i="11"/>
  <c r="X126" i="11"/>
  <c r="Y126" i="11"/>
  <c r="X127" i="11"/>
  <c r="X128" i="11"/>
  <c r="Y127" i="11"/>
  <c r="Y128" i="11"/>
  <c r="X129" i="11"/>
  <c r="Y129" i="11"/>
  <c r="X130" i="11"/>
  <c r="X131" i="11"/>
  <c r="Y130" i="11"/>
  <c r="X132" i="11"/>
  <c r="Y131" i="11"/>
  <c r="Y132" i="11"/>
  <c r="X133" i="11"/>
  <c r="Y133" i="11"/>
  <c r="X134" i="11"/>
  <c r="X135" i="11"/>
  <c r="Y134" i="11"/>
  <c r="X136" i="11"/>
  <c r="Y135" i="11"/>
  <c r="X137" i="11"/>
  <c r="Y136" i="11"/>
  <c r="Y137" i="11"/>
  <c r="X138" i="11"/>
  <c r="X139" i="11"/>
  <c r="Y138" i="11"/>
  <c r="Y139" i="11"/>
  <c r="X140" i="11"/>
  <c r="Y140" i="11"/>
  <c r="X141" i="11"/>
  <c r="Y141" i="11"/>
  <c r="X142" i="11"/>
  <c r="X143" i="11"/>
  <c r="Y142" i="11"/>
  <c r="X144" i="11"/>
  <c r="Y143" i="11"/>
  <c r="Y144" i="11"/>
  <c r="X145" i="11"/>
  <c r="Y145" i="11"/>
  <c r="X146" i="11"/>
  <c r="X147" i="11"/>
  <c r="Y146" i="11"/>
  <c r="Y147" i="11"/>
  <c r="X148" i="11"/>
  <c r="Y148" i="11"/>
  <c r="X149" i="11"/>
  <c r="X150" i="11"/>
  <c r="Y149" i="11"/>
  <c r="X151" i="11"/>
  <c r="Y150" i="11"/>
  <c r="X152" i="11"/>
  <c r="Y151" i="11"/>
  <c r="X153" i="11"/>
  <c r="Y152" i="11"/>
  <c r="Y153" i="11"/>
  <c r="X154" i="11"/>
  <c r="X155" i="11"/>
  <c r="Y154" i="11"/>
  <c r="Y155" i="11"/>
  <c r="X156" i="11"/>
  <c r="Y156" i="11"/>
  <c r="X157" i="11"/>
  <c r="X158" i="11"/>
  <c r="Y157" i="11"/>
  <c r="Y158" i="11"/>
  <c r="X159" i="11"/>
  <c r="X160" i="11"/>
  <c r="Y159" i="11"/>
  <c r="X161" i="11"/>
  <c r="Y160" i="11"/>
  <c r="Y161" i="11"/>
  <c r="X162" i="11"/>
  <c r="X163" i="11"/>
  <c r="Y162" i="11"/>
  <c r="X164" i="11"/>
  <c r="Y163" i="11"/>
  <c r="Y164" i="11"/>
  <c r="X165" i="11"/>
  <c r="Y165" i="11"/>
  <c r="X166" i="11"/>
  <c r="X167" i="11"/>
  <c r="Y166" i="11"/>
  <c r="X168" i="11"/>
  <c r="Y167" i="11"/>
  <c r="Y168" i="11"/>
  <c r="X169" i="11"/>
  <c r="Y169" i="11"/>
  <c r="X170" i="11"/>
  <c r="X171" i="11"/>
  <c r="Y170" i="11"/>
  <c r="Y171" i="11"/>
  <c r="X172" i="11"/>
  <c r="Y172" i="11"/>
  <c r="X173" i="11"/>
  <c r="Y173" i="11"/>
  <c r="X174" i="11"/>
  <c r="X175" i="11"/>
  <c r="Y174" i="11"/>
  <c r="X176" i="11"/>
  <c r="Y175" i="11"/>
  <c r="Y176" i="11"/>
  <c r="X177" i="11"/>
  <c r="Y177" i="11"/>
  <c r="X178" i="11"/>
  <c r="X179" i="11"/>
  <c r="Y178" i="11"/>
  <c r="Y179" i="11"/>
  <c r="X180" i="11"/>
  <c r="Y180" i="11"/>
  <c r="X181" i="11"/>
  <c r="X182" i="11"/>
  <c r="Y181" i="11"/>
  <c r="Y182" i="11"/>
  <c r="X183" i="11"/>
  <c r="X184" i="11"/>
  <c r="Y183" i="11"/>
  <c r="X185" i="11"/>
  <c r="Y184" i="11"/>
  <c r="Y185" i="11"/>
  <c r="X186" i="11"/>
  <c r="X187" i="11"/>
  <c r="Y186" i="11"/>
  <c r="Y187" i="11"/>
  <c r="X188" i="11"/>
  <c r="Y188" i="11"/>
  <c r="X189" i="11"/>
  <c r="X190" i="11"/>
  <c r="Y189" i="11"/>
  <c r="Y190" i="11"/>
  <c r="X191" i="11"/>
  <c r="X192" i="11"/>
  <c r="Y191" i="11"/>
  <c r="Y192" i="11"/>
  <c r="X193" i="11"/>
  <c r="Y193" i="11"/>
  <c r="X194" i="11"/>
  <c r="X195" i="11"/>
  <c r="Y194" i="11"/>
  <c r="X196" i="11"/>
  <c r="Y195" i="11"/>
  <c r="Y196" i="11"/>
  <c r="X197" i="11"/>
  <c r="X198" i="11"/>
  <c r="Y197" i="11"/>
  <c r="X199" i="11"/>
  <c r="Y198" i="11"/>
  <c r="X200" i="11"/>
  <c r="Y199" i="11"/>
  <c r="Y200" i="11"/>
  <c r="X201" i="11"/>
  <c r="Y201" i="11"/>
  <c r="X202" i="11"/>
  <c r="X203" i="11"/>
  <c r="Y202" i="11"/>
  <c r="Y203" i="11"/>
  <c r="X204" i="11"/>
  <c r="Y204" i="11"/>
  <c r="X205" i="11"/>
  <c r="Y205" i="11"/>
  <c r="X206" i="11"/>
  <c r="Y206" i="11"/>
  <c r="X207" i="11"/>
  <c r="X208" i="11"/>
  <c r="Y207" i="11"/>
  <c r="Y208" i="11"/>
  <c r="X209" i="11"/>
  <c r="Y209" i="11"/>
  <c r="X210" i="11"/>
  <c r="X211" i="11"/>
  <c r="Y210" i="11"/>
  <c r="X212" i="11"/>
  <c r="Y211" i="11"/>
  <c r="Y212" i="11"/>
  <c r="X213" i="11"/>
  <c r="X214" i="11"/>
  <c r="Y213" i="11"/>
  <c r="Y214" i="11"/>
  <c r="X215" i="11"/>
  <c r="X216" i="11"/>
  <c r="Y215" i="11"/>
  <c r="X217" i="11"/>
  <c r="Y216" i="11"/>
  <c r="Y217" i="11"/>
  <c r="X218" i="11"/>
  <c r="X219" i="11"/>
  <c r="Y218" i="11"/>
  <c r="Y219" i="11"/>
  <c r="X220" i="11"/>
  <c r="Y220" i="11"/>
  <c r="X221" i="11"/>
  <c r="X222" i="11"/>
  <c r="Y221" i="11"/>
  <c r="Y222" i="11"/>
  <c r="X223" i="11"/>
  <c r="X224" i="11"/>
  <c r="Y223" i="11"/>
  <c r="X225" i="11"/>
  <c r="Y224" i="11"/>
  <c r="Y225" i="11"/>
  <c r="X226" i="11"/>
  <c r="X227" i="11"/>
  <c r="Y226" i="11"/>
  <c r="X228" i="11"/>
  <c r="Y227" i="11"/>
  <c r="Y228" i="11"/>
  <c r="X229" i="11"/>
  <c r="Y229" i="11"/>
  <c r="X230" i="11"/>
  <c r="X231" i="11"/>
  <c r="Y230" i="11"/>
  <c r="X232" i="11"/>
  <c r="Y231" i="11"/>
  <c r="Y232" i="11"/>
  <c r="X233" i="11"/>
  <c r="Y233" i="11"/>
  <c r="X234" i="11"/>
  <c r="X235" i="11"/>
  <c r="Y234" i="11"/>
  <c r="X236" i="11"/>
  <c r="Y235" i="11"/>
  <c r="Y236" i="11"/>
  <c r="X237" i="11"/>
  <c r="Y237" i="11"/>
  <c r="X238" i="11"/>
  <c r="X239" i="11"/>
  <c r="Y238" i="11"/>
  <c r="X240" i="11"/>
  <c r="Y239" i="11"/>
  <c r="Y240" i="11"/>
  <c r="X241" i="11"/>
  <c r="Y241" i="11"/>
  <c r="X242" i="11"/>
  <c r="X243" i="11"/>
  <c r="Y242" i="11"/>
  <c r="Y243" i="11"/>
  <c r="X244" i="11"/>
  <c r="Y244" i="11"/>
  <c r="X245" i="11"/>
  <c r="X246" i="11"/>
  <c r="Y245" i="11"/>
  <c r="Y246" i="11"/>
  <c r="X247" i="11"/>
  <c r="X248" i="11"/>
  <c r="Y247" i="11"/>
  <c r="X249" i="11"/>
  <c r="Y248" i="11"/>
  <c r="Y249" i="11"/>
  <c r="X250" i="11"/>
  <c r="X251" i="11"/>
  <c r="Y250" i="11"/>
  <c r="Y251" i="11"/>
  <c r="X252" i="11"/>
  <c r="Y252" i="11"/>
  <c r="X253" i="11"/>
  <c r="Y253" i="11"/>
  <c r="X254" i="11"/>
  <c r="Y254" i="11"/>
  <c r="X255" i="11"/>
  <c r="X256" i="11"/>
  <c r="Y255" i="11"/>
  <c r="X257" i="11"/>
  <c r="Y256" i="11"/>
  <c r="Y257" i="11"/>
  <c r="X258" i="11"/>
  <c r="X259" i="11"/>
  <c r="Y258" i="11"/>
  <c r="X260" i="11"/>
  <c r="Y259" i="11"/>
  <c r="Y260" i="11"/>
  <c r="X261" i="11"/>
  <c r="Y261" i="11"/>
  <c r="X262" i="11"/>
  <c r="X263" i="11"/>
  <c r="Y262" i="11"/>
  <c r="X264" i="11"/>
  <c r="Y263" i="11"/>
  <c r="X265" i="11"/>
  <c r="Y264" i="11"/>
  <c r="Y265" i="11"/>
  <c r="X266" i="11"/>
  <c r="X267" i="11"/>
  <c r="Y266" i="11"/>
  <c r="Y267" i="11"/>
  <c r="X268" i="11"/>
  <c r="Y268" i="11"/>
  <c r="X269" i="11"/>
  <c r="Y269" i="11"/>
  <c r="X270" i="11"/>
  <c r="X271" i="11"/>
  <c r="Y270" i="11"/>
  <c r="X272" i="11"/>
  <c r="Y271" i="11"/>
  <c r="Y272" i="11"/>
  <c r="X273" i="11"/>
  <c r="Y273" i="11"/>
  <c r="X274" i="11"/>
  <c r="X275" i="11"/>
  <c r="Y274" i="11"/>
  <c r="X276" i="11"/>
  <c r="Y275" i="11"/>
  <c r="Y276" i="11"/>
  <c r="X277" i="11"/>
  <c r="X278" i="11"/>
  <c r="Y277" i="11"/>
  <c r="X279" i="11"/>
  <c r="Y278" i="11"/>
  <c r="X280" i="11"/>
  <c r="Y279" i="11"/>
  <c r="X281" i="11"/>
  <c r="Y280" i="11"/>
  <c r="Y281" i="11"/>
  <c r="X282" i="11"/>
  <c r="X283" i="11"/>
  <c r="Y282" i="11"/>
  <c r="Y283" i="11"/>
  <c r="X284" i="11"/>
  <c r="Y284" i="11"/>
  <c r="X285" i="11"/>
  <c r="Y285" i="11"/>
  <c r="X286" i="11"/>
  <c r="Y286" i="11"/>
  <c r="X287" i="11"/>
  <c r="X288" i="11"/>
  <c r="Y287" i="11"/>
  <c r="X289" i="11"/>
  <c r="Y288" i="11"/>
  <c r="Y289" i="11"/>
  <c r="X290" i="11"/>
  <c r="X291" i="11"/>
  <c r="Y290" i="11"/>
  <c r="X292" i="11"/>
  <c r="Y291" i="11"/>
  <c r="Y292" i="11"/>
  <c r="X293" i="11"/>
  <c r="Y293" i="11"/>
  <c r="X294" i="11"/>
  <c r="X295" i="11"/>
  <c r="Y294" i="11"/>
  <c r="X296" i="11"/>
  <c r="Y295" i="11"/>
  <c r="Y296" i="11"/>
  <c r="X297" i="11"/>
  <c r="Y297" i="11"/>
  <c r="X298" i="11"/>
  <c r="X299" i="11"/>
  <c r="Y298" i="11"/>
  <c r="Y299" i="11"/>
  <c r="X300" i="11"/>
  <c r="Y300" i="11"/>
  <c r="X301" i="11"/>
  <c r="Y301" i="11"/>
  <c r="X302" i="11"/>
  <c r="X303" i="11"/>
  <c r="Y302" i="11"/>
  <c r="X304" i="11"/>
  <c r="Y303" i="11"/>
  <c r="Y304" i="11"/>
  <c r="X305" i="11"/>
  <c r="Y305" i="11"/>
  <c r="X306" i="11"/>
  <c r="X307" i="11"/>
  <c r="Y306" i="11"/>
  <c r="X308" i="11"/>
  <c r="Y307" i="11"/>
  <c r="Y308" i="11"/>
  <c r="X309" i="11"/>
  <c r="X310" i="11"/>
  <c r="Y309" i="11"/>
  <c r="Y310" i="11"/>
  <c r="X311" i="11"/>
  <c r="X312" i="11"/>
  <c r="Y311" i="11"/>
  <c r="X313" i="11"/>
  <c r="Y312" i="11"/>
  <c r="Y313" i="11"/>
  <c r="X314" i="11"/>
  <c r="X315" i="11"/>
  <c r="Y314" i="11"/>
  <c r="Y315" i="11"/>
  <c r="X316" i="11"/>
  <c r="Y316" i="11"/>
  <c r="X317" i="11"/>
  <c r="Y317" i="11"/>
  <c r="X318" i="11"/>
  <c r="Y318" i="11"/>
  <c r="X319" i="11"/>
  <c r="X320" i="11"/>
  <c r="Y319" i="11"/>
  <c r="Y320" i="11"/>
  <c r="X321" i="11"/>
  <c r="Y321" i="11"/>
  <c r="X322" i="11"/>
  <c r="X323" i="11"/>
  <c r="Y322" i="11"/>
  <c r="X324" i="11"/>
  <c r="Y323" i="11"/>
  <c r="Y324" i="11"/>
  <c r="X325" i="11"/>
  <c r="X326" i="11"/>
  <c r="Y325" i="11"/>
  <c r="X327" i="11"/>
  <c r="Y326" i="11"/>
  <c r="X328" i="11"/>
  <c r="Y327" i="11"/>
  <c r="X329" i="11"/>
  <c r="Y328" i="11"/>
  <c r="Y329" i="11"/>
  <c r="X330" i="11"/>
  <c r="X331" i="11"/>
  <c r="Y330" i="11"/>
  <c r="Y331" i="11"/>
  <c r="X332" i="11"/>
  <c r="Y332" i="11"/>
  <c r="X333" i="11"/>
  <c r="Y333" i="11"/>
  <c r="X334" i="11"/>
  <c r="Y334" i="11"/>
  <c r="X335" i="11"/>
  <c r="X336" i="11"/>
  <c r="Y335" i="11"/>
  <c r="Y336" i="11"/>
  <c r="X337" i="11"/>
  <c r="Y337" i="11"/>
  <c r="X338" i="11"/>
  <c r="X339" i="11"/>
  <c r="Y338" i="11"/>
  <c r="X340" i="11"/>
  <c r="Y339" i="11"/>
  <c r="Y340" i="11"/>
  <c r="X341" i="11"/>
  <c r="X342" i="11"/>
  <c r="Y341" i="11"/>
  <c r="Y342" i="11"/>
  <c r="X343" i="11"/>
  <c r="X344" i="11"/>
  <c r="Y343" i="11"/>
  <c r="X345" i="11"/>
  <c r="Y344" i="11"/>
  <c r="Y345" i="11"/>
  <c r="X346" i="11"/>
  <c r="X347" i="11"/>
  <c r="Y346" i="11"/>
  <c r="Y347" i="11"/>
  <c r="X348" i="11"/>
  <c r="Y348" i="11"/>
  <c r="X349" i="11"/>
  <c r="X350" i="11"/>
  <c r="Y349" i="11"/>
  <c r="Y350" i="11"/>
  <c r="X351" i="11"/>
  <c r="X352" i="11"/>
  <c r="Y351" i="11"/>
  <c r="Y352" i="11"/>
  <c r="X353" i="11"/>
  <c r="Y353" i="11"/>
  <c r="X354" i="11"/>
  <c r="X355" i="11"/>
  <c r="Y354" i="11"/>
  <c r="X356" i="11"/>
  <c r="Y355" i="11"/>
  <c r="Y356" i="11"/>
  <c r="X357" i="11"/>
  <c r="Y357" i="11"/>
  <c r="X358" i="11"/>
  <c r="X359" i="11"/>
  <c r="Y358" i="11"/>
  <c r="X360" i="11"/>
  <c r="Y359" i="11"/>
  <c r="X361" i="11"/>
  <c r="Y360" i="11"/>
  <c r="Y361" i="11"/>
  <c r="X362" i="11"/>
  <c r="X363" i="11"/>
  <c r="Y362" i="11"/>
  <c r="X364" i="11"/>
  <c r="Y363" i="11"/>
  <c r="Y364" i="11"/>
  <c r="X365" i="11"/>
  <c r="Y365" i="11"/>
  <c r="X366" i="11"/>
  <c r="Y366" i="11"/>
  <c r="X367" i="11"/>
  <c r="X368" i="11"/>
  <c r="Y367" i="11"/>
  <c r="Y368" i="11"/>
  <c r="X369" i="11"/>
  <c r="Y369" i="11"/>
  <c r="X370" i="11"/>
  <c r="X371" i="11"/>
  <c r="Y370" i="11"/>
  <c r="Y371" i="11"/>
  <c r="X372" i="11"/>
  <c r="Y372" i="11"/>
  <c r="X373" i="11"/>
  <c r="X374" i="11"/>
  <c r="Y373" i="11"/>
  <c r="Y374" i="11"/>
  <c r="X375" i="11"/>
  <c r="X376" i="11"/>
  <c r="Y375" i="11"/>
  <c r="X377" i="11"/>
  <c r="Y376" i="11"/>
  <c r="Y377" i="11"/>
  <c r="X378" i="11"/>
  <c r="X379" i="11"/>
  <c r="Y378" i="11"/>
  <c r="Y379" i="11"/>
  <c r="X380" i="11"/>
  <c r="Y380" i="11"/>
  <c r="X381" i="11"/>
  <c r="Y381" i="11"/>
  <c r="X382" i="11"/>
  <c r="Y382" i="11"/>
  <c r="X383" i="11"/>
  <c r="X384" i="11"/>
  <c r="Y383" i="11"/>
  <c r="Y384" i="11"/>
  <c r="X385" i="11"/>
  <c r="Y385" i="11"/>
  <c r="X386" i="11"/>
  <c r="X387" i="11"/>
  <c r="Y386" i="11"/>
  <c r="X388" i="11"/>
  <c r="Y387" i="11"/>
  <c r="Y388" i="11"/>
  <c r="X389" i="11"/>
  <c r="X390" i="11"/>
  <c r="Y389" i="11"/>
  <c r="X391" i="11"/>
  <c r="Y390" i="11"/>
  <c r="X392" i="11"/>
  <c r="Y391" i="11"/>
  <c r="X393" i="11"/>
  <c r="Y392" i="11"/>
  <c r="Y393" i="11"/>
  <c r="X394" i="11"/>
  <c r="X395" i="11"/>
  <c r="Y394" i="11"/>
  <c r="Y395" i="11"/>
  <c r="X396" i="11"/>
  <c r="Y396" i="11"/>
  <c r="X397" i="11"/>
  <c r="Y397" i="11"/>
  <c r="X398" i="11"/>
  <c r="Y398" i="11"/>
  <c r="X399" i="11"/>
  <c r="X400" i="11"/>
  <c r="Y399" i="11"/>
  <c r="Y400" i="11"/>
  <c r="X401" i="11"/>
  <c r="Y401" i="11"/>
  <c r="X402" i="11"/>
  <c r="X403" i="11"/>
  <c r="Y402" i="11"/>
  <c r="Y403" i="11"/>
  <c r="X404" i="11"/>
  <c r="Y404" i="11"/>
  <c r="X405" i="11"/>
  <c r="X406" i="11"/>
  <c r="Y405" i="11"/>
  <c r="X407" i="11"/>
  <c r="Y406" i="11"/>
  <c r="X408" i="11"/>
  <c r="Y407" i="11"/>
  <c r="X409" i="11"/>
  <c r="Y408" i="11"/>
  <c r="Y409" i="11"/>
  <c r="X410" i="11"/>
  <c r="X411" i="11"/>
  <c r="Y410" i="11"/>
  <c r="Y411" i="11"/>
  <c r="X412" i="11"/>
  <c r="Y412" i="11"/>
  <c r="X413" i="11"/>
  <c r="Y413" i="11"/>
  <c r="X414" i="11"/>
  <c r="Y414" i="11"/>
  <c r="X415" i="11"/>
  <c r="X416" i="11"/>
  <c r="Y415" i="11"/>
  <c r="X417" i="11"/>
  <c r="Y416" i="11"/>
  <c r="Y417" i="11"/>
  <c r="X418" i="11"/>
  <c r="X419" i="11"/>
  <c r="Y418" i="11"/>
  <c r="X420" i="11"/>
  <c r="Y419" i="11"/>
  <c r="Y420" i="11"/>
  <c r="X421" i="11"/>
  <c r="X422" i="11"/>
  <c r="Y421" i="11"/>
  <c r="X423" i="11"/>
  <c r="Y422" i="11"/>
  <c r="X424" i="11"/>
  <c r="Y423" i="11"/>
  <c r="Y424" i="11"/>
  <c r="X425" i="11"/>
  <c r="Y425" i="11"/>
  <c r="X426" i="11"/>
  <c r="X427" i="11"/>
  <c r="Y426" i="11"/>
  <c r="X428" i="11"/>
  <c r="Y427" i="11"/>
  <c r="Y428" i="11"/>
  <c r="X429" i="11"/>
  <c r="Y429" i="11"/>
  <c r="X430" i="11"/>
  <c r="X431" i="11"/>
  <c r="Y430" i="11"/>
  <c r="X432" i="11"/>
  <c r="Y431" i="11"/>
  <c r="Y432" i="11"/>
  <c r="X433" i="11"/>
  <c r="Y433" i="11"/>
  <c r="X434" i="11"/>
  <c r="X435" i="11"/>
  <c r="Y434" i="11"/>
  <c r="X436" i="11"/>
  <c r="Y435" i="11"/>
  <c r="Y436" i="11"/>
  <c r="X437" i="11"/>
  <c r="X438" i="11"/>
  <c r="Y437" i="11"/>
  <c r="Y438" i="11"/>
  <c r="X439" i="11"/>
  <c r="X440" i="11"/>
  <c r="Y439" i="11"/>
  <c r="X441" i="11"/>
  <c r="Y440" i="11"/>
  <c r="Y441" i="11"/>
  <c r="X442" i="11"/>
  <c r="X443" i="11"/>
  <c r="Y442" i="11"/>
  <c r="Y443" i="11"/>
  <c r="X444" i="11"/>
  <c r="Y444" i="11"/>
  <c r="X445" i="11"/>
  <c r="Y445" i="11"/>
  <c r="X446" i="11"/>
  <c r="Y446" i="11"/>
  <c r="X447" i="11"/>
  <c r="X448" i="11"/>
  <c r="Y447" i="11"/>
  <c r="Y448" i="11"/>
  <c r="X449" i="11"/>
  <c r="Y449" i="11"/>
  <c r="X450" i="11"/>
  <c r="X451" i="11"/>
  <c r="Y450" i="11"/>
  <c r="X452" i="11"/>
  <c r="Y451" i="11"/>
  <c r="Y452" i="11"/>
  <c r="X453" i="11"/>
  <c r="X454" i="11"/>
  <c r="Y453" i="11"/>
  <c r="X455" i="11"/>
  <c r="Y454" i="11"/>
  <c r="X456" i="11"/>
  <c r="Y455" i="11"/>
  <c r="Y456" i="11"/>
  <c r="X457" i="11"/>
  <c r="Y457" i="11"/>
  <c r="X458" i="11"/>
  <c r="X459" i="11"/>
  <c r="Y458" i="11"/>
  <c r="X460" i="11"/>
  <c r="Y459" i="11"/>
  <c r="Y460" i="11"/>
  <c r="X461" i="11"/>
  <c r="Y461" i="11"/>
  <c r="X462" i="11"/>
  <c r="Y462" i="11"/>
  <c r="X463" i="11"/>
  <c r="X464" i="11"/>
  <c r="Y463" i="11"/>
  <c r="Y464" i="11"/>
  <c r="X465" i="11"/>
  <c r="Y465" i="11"/>
  <c r="X466" i="11"/>
  <c r="X467" i="11"/>
  <c r="Y466" i="11"/>
  <c r="X468" i="11"/>
  <c r="Y467" i="11"/>
  <c r="Y468" i="11"/>
  <c r="X469" i="11"/>
  <c r="X470" i="11"/>
  <c r="Y469" i="11"/>
  <c r="X471" i="11"/>
  <c r="Y470" i="11"/>
  <c r="X472" i="11"/>
  <c r="Y471" i="11"/>
  <c r="X473" i="11"/>
  <c r="Y472" i="11"/>
  <c r="Y473" i="11"/>
  <c r="X474" i="11"/>
  <c r="X475" i="11"/>
  <c r="Y474" i="11"/>
  <c r="Y475" i="11"/>
  <c r="X476" i="11"/>
  <c r="Y476" i="11"/>
  <c r="X477" i="11"/>
  <c r="X478" i="11"/>
  <c r="Y477" i="11"/>
  <c r="Y478" i="11"/>
  <c r="X479" i="11"/>
  <c r="X480" i="11"/>
  <c r="Y479" i="11"/>
  <c r="Y480" i="11"/>
  <c r="X481" i="11"/>
  <c r="Y481" i="11"/>
  <c r="X482" i="11"/>
  <c r="X483" i="11"/>
  <c r="Y482" i="11"/>
  <c r="X484" i="11"/>
  <c r="Y483" i="11"/>
  <c r="Y484" i="11"/>
  <c r="X485" i="11"/>
  <c r="Y485" i="11"/>
  <c r="X486" i="11"/>
  <c r="X487" i="11"/>
  <c r="Y486" i="11"/>
  <c r="X488" i="11"/>
  <c r="Y487" i="11"/>
  <c r="Y488" i="11"/>
  <c r="X489" i="11"/>
  <c r="Y489" i="11"/>
  <c r="X490" i="11"/>
  <c r="X491" i="11"/>
  <c r="Y490" i="11"/>
  <c r="X492" i="11"/>
  <c r="Y491" i="11"/>
  <c r="Y492" i="11"/>
  <c r="X493" i="11"/>
  <c r="Y493" i="11"/>
  <c r="X494" i="11"/>
  <c r="Y494" i="11"/>
  <c r="X495" i="11"/>
  <c r="X496" i="11"/>
  <c r="Y495" i="11"/>
  <c r="Y496" i="11"/>
  <c r="X497" i="11"/>
  <c r="Y497" i="11"/>
  <c r="X498" i="11"/>
  <c r="X499" i="11"/>
  <c r="Y498" i="11"/>
  <c r="Y499" i="11"/>
  <c r="X500" i="11"/>
  <c r="Y500" i="11"/>
  <c r="X501" i="11"/>
  <c r="X502" i="11"/>
  <c r="Y501" i="11"/>
  <c r="X503" i="11"/>
  <c r="Y502" i="11"/>
  <c r="X504" i="11"/>
  <c r="Y503" i="11"/>
  <c r="X505" i="11"/>
  <c r="Y504" i="11"/>
  <c r="Y505" i="11"/>
  <c r="X506" i="11"/>
  <c r="X507" i="11"/>
  <c r="Y506" i="11"/>
  <c r="Y507" i="11"/>
  <c r="X508" i="11"/>
  <c r="Y508" i="11"/>
  <c r="X509" i="11"/>
  <c r="Y509" i="11"/>
  <c r="X510" i="11"/>
  <c r="Y510" i="11"/>
  <c r="X511" i="11"/>
  <c r="X512" i="11"/>
  <c r="Y511" i="11"/>
  <c r="Y512" i="11"/>
  <c r="X513" i="11"/>
  <c r="Y513" i="11"/>
  <c r="X514" i="11"/>
  <c r="X515" i="11"/>
  <c r="Y514" i="11"/>
  <c r="X516" i="11"/>
  <c r="Y515" i="11"/>
  <c r="Y516" i="11"/>
  <c r="X517" i="11"/>
  <c r="Y517" i="11"/>
  <c r="X518" i="11"/>
  <c r="X519" i="11"/>
  <c r="Y518" i="11"/>
  <c r="X520" i="11"/>
  <c r="Y519" i="11"/>
  <c r="X521" i="11"/>
  <c r="Y520" i="11"/>
  <c r="Y521" i="11"/>
  <c r="X522" i="11"/>
  <c r="X523" i="11"/>
  <c r="Y522" i="11"/>
  <c r="Y523" i="11"/>
  <c r="X524" i="11"/>
  <c r="Y524" i="11"/>
  <c r="X525" i="11"/>
  <c r="Y525" i="11"/>
  <c r="X526" i="11"/>
  <c r="Y526" i="11"/>
  <c r="X527" i="11"/>
  <c r="X528" i="11"/>
  <c r="Y527" i="11"/>
  <c r="Y528" i="11"/>
  <c r="X529" i="11"/>
  <c r="Y529" i="11"/>
  <c r="X530" i="11"/>
  <c r="X531" i="11"/>
  <c r="Y530" i="11"/>
  <c r="Y531" i="11"/>
  <c r="X532" i="11"/>
  <c r="Y532" i="11"/>
  <c r="X533" i="11"/>
  <c r="X534" i="11"/>
  <c r="Y533" i="11"/>
  <c r="X535" i="11"/>
  <c r="Y534" i="11"/>
  <c r="X536" i="11"/>
  <c r="Y535" i="11"/>
  <c r="Y536" i="11"/>
  <c r="X537" i="11"/>
  <c r="Y537" i="11"/>
  <c r="X538" i="11"/>
  <c r="X539" i="11"/>
  <c r="Y538" i="11"/>
  <c r="Y539" i="11"/>
  <c r="X540" i="11"/>
  <c r="Y540" i="11"/>
  <c r="X541" i="11"/>
  <c r="X542" i="11"/>
  <c r="Y541" i="11"/>
  <c r="Y542" i="11"/>
  <c r="X543" i="11"/>
  <c r="Y543" i="11"/>
  <c r="X544" i="11"/>
  <c r="X545" i="11"/>
  <c r="Y544" i="11"/>
  <c r="Y545" i="11"/>
  <c r="X546" i="11"/>
  <c r="X547" i="11"/>
  <c r="Y546" i="11"/>
  <c r="X548" i="11"/>
  <c r="Y547" i="11"/>
  <c r="Y548" i="11"/>
  <c r="X549" i="11"/>
  <c r="X550" i="11"/>
  <c r="Y549" i="11"/>
  <c r="Y550" i="11"/>
  <c r="X551" i="11"/>
  <c r="Y551" i="11"/>
  <c r="X552" i="11"/>
  <c r="Y552" i="11"/>
  <c r="X553" i="11"/>
  <c r="Y553" i="11"/>
  <c r="X554" i="11"/>
  <c r="X555" i="11"/>
  <c r="Y554" i="11"/>
  <c r="X556" i="11"/>
  <c r="Y555" i="11"/>
  <c r="Y556" i="11"/>
  <c r="X557" i="11"/>
  <c r="X558" i="11"/>
  <c r="Y557" i="11"/>
  <c r="X559" i="11"/>
  <c r="Y558" i="11"/>
  <c r="Y559" i="11"/>
  <c r="X560" i="11"/>
  <c r="Y560" i="11"/>
  <c r="X561" i="11"/>
  <c r="X562" i="11"/>
  <c r="Y561" i="11"/>
  <c r="X563" i="11"/>
  <c r="Y562" i="11"/>
  <c r="X564" i="11"/>
  <c r="Y563" i="11"/>
  <c r="Y564" i="11"/>
  <c r="X565" i="11"/>
  <c r="X566" i="11"/>
  <c r="Y565" i="11"/>
  <c r="X567" i="11"/>
  <c r="Y566" i="11"/>
  <c r="Y567" i="11"/>
  <c r="X568" i="11"/>
  <c r="Y568" i="11"/>
  <c r="X569" i="11"/>
  <c r="Y569" i="11"/>
  <c r="X570" i="11"/>
  <c r="X571" i="11"/>
  <c r="Y570" i="11"/>
  <c r="Y571" i="11"/>
  <c r="X572" i="11"/>
  <c r="Y572" i="11"/>
  <c r="X573" i="11"/>
  <c r="X574" i="11"/>
  <c r="Y573" i="11"/>
  <c r="Y574" i="11"/>
  <c r="X575" i="11"/>
  <c r="Y575" i="11"/>
  <c r="X576" i="11"/>
  <c r="X577" i="11"/>
  <c r="Y576" i="11"/>
  <c r="X578" i="11"/>
  <c r="Y577" i="11"/>
  <c r="X579" i="11"/>
  <c r="Y578" i="11"/>
  <c r="X580" i="11"/>
  <c r="Y579" i="11"/>
  <c r="Y580" i="11"/>
  <c r="X581" i="11"/>
  <c r="X582" i="11"/>
  <c r="Y581" i="11"/>
  <c r="Y582" i="11"/>
  <c r="X583" i="11"/>
  <c r="Y583" i="11"/>
  <c r="X584" i="11"/>
  <c r="X585" i="11"/>
  <c r="Y584" i="11"/>
  <c r="Y585" i="11"/>
  <c r="X586" i="11"/>
  <c r="X587" i="11"/>
  <c r="Y586" i="11"/>
  <c r="X588" i="11"/>
  <c r="Y587" i="11"/>
  <c r="Y588" i="11"/>
  <c r="X589" i="11"/>
  <c r="X590" i="11"/>
  <c r="Y589" i="11"/>
  <c r="X591" i="11"/>
  <c r="Y590" i="11"/>
  <c r="Y591" i="11"/>
  <c r="X592" i="11"/>
  <c r="Y592" i="11"/>
  <c r="X593" i="11"/>
  <c r="X594" i="11"/>
  <c r="Y593" i="11"/>
  <c r="X595" i="11"/>
  <c r="Y594" i="11"/>
  <c r="X596" i="11"/>
  <c r="Y595" i="11"/>
  <c r="Y596" i="11"/>
  <c r="X597" i="11"/>
  <c r="X598" i="11"/>
  <c r="Y597" i="11"/>
  <c r="Y598" i="11"/>
  <c r="X599" i="11"/>
  <c r="Y599" i="11"/>
  <c r="X600" i="11"/>
  <c r="Y600" i="11"/>
  <c r="X601" i="11"/>
  <c r="X602" i="11"/>
  <c r="Y601" i="11"/>
  <c r="X603" i="11"/>
  <c r="Y602" i="11"/>
  <c r="Y603" i="11"/>
  <c r="X604" i="11"/>
  <c r="Y604" i="11"/>
  <c r="X605" i="11"/>
  <c r="X606" i="11"/>
  <c r="Y605" i="11"/>
  <c r="Y606" i="11"/>
  <c r="X607" i="11"/>
  <c r="Y607" i="11"/>
  <c r="X608" i="11"/>
  <c r="X609" i="11"/>
  <c r="Y608" i="11"/>
  <c r="Y609" i="11"/>
  <c r="X610" i="11"/>
  <c r="X611" i="11"/>
  <c r="Y610" i="11"/>
  <c r="X612" i="11"/>
  <c r="Y611" i="11"/>
  <c r="Y612" i="11"/>
  <c r="X613" i="11"/>
  <c r="X614" i="11"/>
  <c r="Y613" i="11"/>
  <c r="Y614" i="11"/>
  <c r="X615" i="11"/>
  <c r="Y615" i="11"/>
  <c r="X616" i="11"/>
  <c r="Y616" i="11"/>
  <c r="X617" i="11"/>
  <c r="Y617" i="11"/>
  <c r="X618" i="11"/>
  <c r="X619" i="11"/>
  <c r="Y618" i="11"/>
  <c r="Y619" i="11"/>
  <c r="X620" i="11"/>
  <c r="Y620" i="11"/>
  <c r="X621" i="11"/>
  <c r="X622" i="11"/>
  <c r="Y621" i="11"/>
  <c r="X623" i="11"/>
  <c r="Y622" i="11"/>
  <c r="Y623" i="11"/>
  <c r="X624" i="11"/>
  <c r="Y624" i="11"/>
  <c r="X625" i="11"/>
  <c r="X626" i="11"/>
  <c r="Y625" i="11"/>
  <c r="X627" i="11"/>
  <c r="Y626" i="11"/>
  <c r="Y627" i="11"/>
  <c r="X628" i="11"/>
  <c r="Y628" i="11"/>
  <c r="X629" i="11"/>
  <c r="X630" i="11"/>
  <c r="Y629" i="11"/>
  <c r="Y630" i="11"/>
  <c r="X631" i="11"/>
  <c r="Y631" i="11"/>
  <c r="X632" i="11"/>
  <c r="Y632" i="11"/>
  <c r="X633" i="11"/>
  <c r="Y633" i="11"/>
  <c r="X634" i="11"/>
  <c r="X635" i="11"/>
  <c r="Y634" i="11"/>
  <c r="Y635" i="11"/>
  <c r="X636" i="11"/>
  <c r="Y636" i="11"/>
  <c r="X637" i="11"/>
  <c r="X638" i="11"/>
  <c r="Y637" i="11"/>
  <c r="Y638" i="11"/>
  <c r="X639" i="11"/>
  <c r="Y639" i="11"/>
  <c r="X640" i="11"/>
  <c r="X641" i="11"/>
  <c r="Y640" i="11"/>
  <c r="X642" i="11"/>
  <c r="Y641" i="11"/>
  <c r="X643" i="11"/>
  <c r="Y642" i="11"/>
  <c r="X644" i="11"/>
  <c r="Y643" i="11"/>
  <c r="Y644" i="11"/>
  <c r="X645" i="11"/>
  <c r="X646" i="11"/>
  <c r="Y645" i="11"/>
  <c r="Y646" i="11"/>
  <c r="X647" i="11"/>
  <c r="Y647" i="11"/>
  <c r="X648" i="11"/>
  <c r="Y648" i="11"/>
  <c r="X649" i="11"/>
  <c r="Y649" i="11"/>
  <c r="X650" i="11"/>
  <c r="X651" i="11"/>
  <c r="Y650" i="11"/>
  <c r="Y651" i="11"/>
  <c r="X652" i="11"/>
  <c r="X653" i="11"/>
  <c r="Y652" i="11"/>
  <c r="X654" i="11"/>
  <c r="Y653" i="11"/>
  <c r="X655" i="11"/>
  <c r="Y654" i="11"/>
  <c r="Y655" i="11"/>
  <c r="X656" i="11"/>
  <c r="Y656" i="11"/>
  <c r="X657" i="11"/>
  <c r="Y657" i="11"/>
  <c r="X658" i="11"/>
  <c r="X659" i="11"/>
  <c r="Y658" i="11"/>
  <c r="Y659" i="11"/>
  <c r="X660" i="11"/>
  <c r="X661" i="11"/>
  <c r="Y660" i="11"/>
  <c r="Y661" i="11"/>
  <c r="X662" i="11"/>
  <c r="X663" i="11"/>
  <c r="Y662" i="11"/>
  <c r="X664" i="11"/>
  <c r="Y663" i="11"/>
  <c r="Y664" i="11"/>
  <c r="X665" i="11"/>
  <c r="Y665" i="11"/>
  <c r="X666" i="11"/>
  <c r="Y666" i="11"/>
  <c r="X667" i="11"/>
  <c r="Y667" i="11"/>
  <c r="X668" i="11"/>
  <c r="Y668" i="11"/>
  <c r="X669" i="11"/>
  <c r="Y669" i="11"/>
  <c r="X670" i="11"/>
  <c r="X671" i="11"/>
  <c r="Y670" i="11"/>
  <c r="Y671" i="11"/>
  <c r="X672" i="11"/>
  <c r="Y672" i="11"/>
  <c r="X673" i="11"/>
  <c r="Y673" i="11"/>
  <c r="X674" i="11"/>
  <c r="Y674" i="11"/>
  <c r="X675" i="11"/>
  <c r="X676" i="11"/>
  <c r="Y675" i="11"/>
  <c r="Y676" i="11"/>
  <c r="X677" i="11"/>
  <c r="Y677" i="11"/>
  <c r="X678" i="11"/>
  <c r="X679" i="11"/>
  <c r="Y678" i="11"/>
  <c r="X680" i="11"/>
  <c r="Y679" i="11"/>
  <c r="Y680" i="11"/>
  <c r="X681" i="11"/>
  <c r="X682" i="11"/>
  <c r="Y681" i="11"/>
  <c r="Y682" i="11"/>
  <c r="X683" i="11"/>
  <c r="Y683" i="11"/>
  <c r="X684" i="11"/>
  <c r="X685" i="11"/>
  <c r="Y684" i="11"/>
  <c r="Y685" i="11"/>
  <c r="X686" i="11"/>
  <c r="X687" i="11"/>
  <c r="Y686" i="11"/>
  <c r="X688" i="11"/>
  <c r="Y687" i="11"/>
  <c r="Y688" i="11"/>
  <c r="X689" i="11"/>
  <c r="Y689" i="11"/>
  <c r="X690" i="11"/>
  <c r="X691" i="11"/>
  <c r="Y690" i="11"/>
  <c r="X692" i="11"/>
  <c r="Y691" i="11"/>
  <c r="Y692" i="11"/>
  <c r="X693" i="11"/>
  <c r="X694" i="11"/>
  <c r="Y693" i="11"/>
  <c r="X695" i="11"/>
  <c r="Y694" i="11"/>
  <c r="Y695" i="11"/>
  <c r="X696" i="11"/>
  <c r="Y696" i="11"/>
  <c r="X697" i="11"/>
  <c r="X698" i="11"/>
  <c r="Y697" i="11"/>
  <c r="Y698" i="11"/>
  <c r="X699" i="11"/>
  <c r="X700" i="11"/>
  <c r="Y699" i="11"/>
  <c r="Y700" i="11"/>
  <c r="X701" i="11"/>
  <c r="Y701" i="11"/>
  <c r="X702" i="11"/>
  <c r="X703" i="11"/>
  <c r="Y702" i="11"/>
  <c r="X704" i="11"/>
  <c r="Y703" i="11"/>
  <c r="Y704" i="11"/>
  <c r="X705" i="11"/>
  <c r="X706" i="11"/>
  <c r="Y705" i="11"/>
  <c r="Y706" i="11"/>
  <c r="X707" i="11"/>
  <c r="X708" i="11"/>
  <c r="Y707" i="11"/>
  <c r="X709" i="11"/>
  <c r="Y708" i="11"/>
  <c r="Y709" i="11"/>
  <c r="X710" i="11"/>
  <c r="X711" i="11"/>
  <c r="Y710" i="11"/>
  <c r="X712" i="11"/>
  <c r="Y711" i="11"/>
  <c r="Y712" i="11"/>
  <c r="X713" i="11"/>
  <c r="Y713" i="11"/>
  <c r="X714" i="11"/>
  <c r="X715" i="11"/>
  <c r="Y714" i="11"/>
  <c r="Y715" i="11"/>
  <c r="X716" i="11"/>
  <c r="Y716" i="11"/>
  <c r="X717" i="11"/>
  <c r="X718" i="11"/>
  <c r="Y717" i="11"/>
  <c r="X719" i="11"/>
  <c r="Y718" i="11"/>
  <c r="X720" i="11"/>
  <c r="Y719" i="11"/>
  <c r="Y720" i="11"/>
  <c r="X721" i="11"/>
  <c r="X722" i="11"/>
  <c r="Y721" i="11"/>
  <c r="Y722" i="11"/>
  <c r="X723" i="11"/>
  <c r="Y723" i="11"/>
  <c r="X724" i="11"/>
  <c r="X725" i="11"/>
  <c r="Y724" i="11"/>
  <c r="Y725" i="11"/>
  <c r="X726" i="11"/>
  <c r="X727" i="11"/>
  <c r="Y726" i="11"/>
  <c r="Y727" i="11"/>
  <c r="X728" i="11"/>
  <c r="Y728" i="11"/>
  <c r="X729" i="11"/>
  <c r="Y729" i="11"/>
  <c r="X730" i="11"/>
  <c r="Y730" i="11"/>
  <c r="X731" i="11"/>
  <c r="Y731" i="11"/>
  <c r="X732" i="11"/>
  <c r="Y732" i="11"/>
  <c r="X733" i="11"/>
  <c r="X734" i="11"/>
  <c r="Y733" i="11"/>
  <c r="X735" i="11"/>
  <c r="Y734" i="11"/>
  <c r="Y735" i="11"/>
  <c r="X736" i="11"/>
  <c r="Y736" i="11"/>
  <c r="X737" i="11"/>
  <c r="X738" i="11"/>
  <c r="Y737" i="11"/>
  <c r="Y738" i="11"/>
  <c r="X739" i="11"/>
  <c r="Y739" i="11"/>
  <c r="X740" i="11"/>
  <c r="X741" i="11"/>
  <c r="Y740" i="11"/>
  <c r="Y741" i="11"/>
  <c r="X742" i="11"/>
  <c r="X743" i="11"/>
  <c r="Y742" i="11"/>
  <c r="Y743" i="11"/>
  <c r="X744" i="11"/>
  <c r="Y744" i="11"/>
  <c r="X745" i="11"/>
  <c r="X746" i="11"/>
  <c r="Y745" i="11"/>
  <c r="Y746" i="11"/>
  <c r="X747" i="11"/>
  <c r="Y747" i="11"/>
  <c r="X748" i="11"/>
  <c r="X749" i="11"/>
  <c r="Y748" i="11"/>
  <c r="X750" i="11"/>
  <c r="Y749" i="11"/>
  <c r="X751" i="11"/>
  <c r="Y750" i="11"/>
  <c r="X752" i="11"/>
  <c r="Y751" i="11"/>
  <c r="Y752" i="11"/>
  <c r="X753" i="11"/>
  <c r="Y753" i="11"/>
  <c r="X754" i="11"/>
  <c r="X755" i="11"/>
  <c r="Y754" i="11"/>
  <c r="Y755" i="11"/>
  <c r="X756" i="11"/>
  <c r="Y756" i="11"/>
  <c r="X757" i="11"/>
  <c r="X758" i="11"/>
  <c r="Y757" i="11"/>
  <c r="X759" i="11"/>
  <c r="Y758" i="11"/>
  <c r="Y759" i="11"/>
  <c r="X760" i="11"/>
  <c r="Y760" i="11"/>
  <c r="X761" i="11"/>
  <c r="Y761" i="11"/>
  <c r="X762" i="11"/>
  <c r="Y762" i="11"/>
  <c r="X763" i="11"/>
  <c r="X764" i="11"/>
  <c r="Y763" i="11"/>
  <c r="X765" i="11"/>
  <c r="Y764" i="11"/>
  <c r="Y765" i="11"/>
  <c r="X766" i="11"/>
  <c r="X767" i="11"/>
  <c r="Y766" i="11"/>
  <c r="Y767" i="11"/>
  <c r="X768" i="11"/>
  <c r="Y768" i="11"/>
  <c r="X769" i="11"/>
  <c r="X770" i="11"/>
  <c r="Y769" i="11"/>
  <c r="X771" i="11"/>
  <c r="Y770" i="11"/>
  <c r="Y771" i="11"/>
  <c r="X772" i="11"/>
  <c r="X773" i="11"/>
  <c r="Y772" i="11"/>
  <c r="X774" i="11"/>
  <c r="Y773" i="11"/>
  <c r="X775" i="11"/>
  <c r="Y774" i="11"/>
  <c r="X776" i="11"/>
  <c r="Y775" i="11"/>
  <c r="Y776" i="11"/>
  <c r="X777" i="11"/>
  <c r="X778" i="11"/>
  <c r="Y777" i="11"/>
  <c r="X779" i="11"/>
  <c r="Y778" i="11"/>
  <c r="Y779" i="11"/>
  <c r="X780" i="11"/>
  <c r="X781" i="11"/>
  <c r="Y780" i="11"/>
  <c r="X782" i="11"/>
  <c r="Y781" i="11"/>
  <c r="X783" i="11"/>
  <c r="Y782" i="11"/>
  <c r="Y783" i="11"/>
  <c r="X784" i="11"/>
  <c r="Y784" i="11"/>
  <c r="X785" i="11"/>
  <c r="X786" i="11"/>
  <c r="Y785" i="11"/>
  <c r="Y786" i="11"/>
  <c r="X787" i="11"/>
  <c r="X788" i="11"/>
  <c r="Y787" i="11"/>
  <c r="X789" i="11"/>
  <c r="Y788" i="11"/>
  <c r="Y789" i="11"/>
  <c r="X790" i="11"/>
  <c r="X791" i="11"/>
  <c r="Y790" i="11"/>
  <c r="X792" i="11"/>
  <c r="Y791" i="11"/>
  <c r="Y792" i="11"/>
  <c r="X793" i="11"/>
  <c r="Y793" i="11"/>
  <c r="X794" i="11"/>
  <c r="Y794" i="11"/>
  <c r="X795" i="11"/>
  <c r="X796" i="11"/>
  <c r="Y795" i="11"/>
  <c r="X797" i="11"/>
  <c r="Y796" i="11"/>
  <c r="Y797" i="11"/>
  <c r="X798" i="11"/>
  <c r="X799" i="11"/>
  <c r="Y798" i="11"/>
  <c r="X800" i="11"/>
  <c r="Y799" i="11"/>
  <c r="Y800" i="11"/>
  <c r="X801" i="11"/>
  <c r="Y801" i="11"/>
  <c r="X802" i="11"/>
  <c r="X803" i="11"/>
  <c r="Y802" i="11"/>
  <c r="X804" i="11"/>
  <c r="Y803" i="11"/>
  <c r="Y804" i="11"/>
  <c r="X805" i="11"/>
  <c r="Y805" i="11"/>
  <c r="X806" i="11"/>
  <c r="X807" i="11"/>
  <c r="Y806" i="11"/>
  <c r="X808" i="11"/>
  <c r="Y807" i="11"/>
  <c r="Y808" i="11"/>
  <c r="X809" i="11"/>
  <c r="X810" i="11"/>
  <c r="Y809" i="11"/>
  <c r="X811" i="11"/>
  <c r="Y810" i="11"/>
  <c r="X812" i="11"/>
  <c r="Y811" i="11"/>
  <c r="Y812" i="11"/>
  <c r="X813" i="11"/>
  <c r="Y813" i="11"/>
  <c r="X814" i="11"/>
  <c r="X815" i="11"/>
  <c r="Y814" i="11"/>
  <c r="Y815" i="11"/>
  <c r="X816" i="11"/>
  <c r="Y816" i="11"/>
  <c r="X817" i="11"/>
  <c r="Y817" i="11"/>
  <c r="X818" i="11"/>
  <c r="Y818" i="11"/>
  <c r="X819" i="11"/>
  <c r="X820" i="11"/>
  <c r="Y819" i="11"/>
  <c r="X821" i="11"/>
  <c r="Y820" i="11"/>
  <c r="Y821" i="11"/>
  <c r="X822" i="11"/>
  <c r="X823" i="11"/>
  <c r="Y822" i="11"/>
  <c r="X824" i="11"/>
  <c r="Y823" i="11"/>
  <c r="Y824" i="11"/>
  <c r="X825" i="11"/>
  <c r="X826" i="11"/>
  <c r="Y825" i="11"/>
  <c r="Y826" i="11"/>
  <c r="X827" i="11"/>
  <c r="X828" i="11"/>
  <c r="Y827" i="11"/>
  <c r="Y828" i="11"/>
  <c r="X829" i="11"/>
  <c r="Y829" i="11"/>
  <c r="X830" i="11"/>
  <c r="X831" i="11"/>
  <c r="Y830" i="11"/>
  <c r="X832" i="11"/>
  <c r="Y831" i="11"/>
  <c r="Y832" i="11"/>
  <c r="X833" i="11"/>
  <c r="Y833" i="11"/>
  <c r="X834" i="11"/>
  <c r="X835" i="11"/>
  <c r="Y834" i="11"/>
  <c r="X836" i="11"/>
  <c r="Y835" i="11"/>
  <c r="Y836" i="11"/>
  <c r="X837" i="11"/>
  <c r="Y837" i="11"/>
  <c r="X838" i="11"/>
  <c r="X839" i="11"/>
  <c r="Y838" i="11"/>
  <c r="Y839" i="11"/>
  <c r="X840" i="11"/>
  <c r="Y840" i="11"/>
  <c r="X841" i="11"/>
  <c r="X842" i="11"/>
  <c r="Y841" i="11"/>
  <c r="X843" i="11"/>
  <c r="Y842" i="11"/>
  <c r="X844" i="11"/>
  <c r="Y843" i="11"/>
  <c r="Y844" i="11"/>
  <c r="X845" i="11"/>
  <c r="Y845" i="11"/>
  <c r="X846" i="11"/>
  <c r="X847" i="11"/>
  <c r="Y846" i="11"/>
  <c r="Y847" i="11"/>
  <c r="X848" i="11"/>
  <c r="Y848" i="11"/>
  <c r="X849" i="11"/>
  <c r="X850" i="11"/>
  <c r="Y849" i="11"/>
  <c r="Y850" i="11"/>
  <c r="X851" i="11"/>
  <c r="X852" i="11"/>
  <c r="Y851" i="11"/>
  <c r="X853" i="11"/>
  <c r="Y852" i="11"/>
  <c r="Y853" i="11"/>
  <c r="X854" i="11"/>
  <c r="X855" i="11"/>
  <c r="Y854" i="11"/>
  <c r="X856" i="11"/>
  <c r="Y855" i="11"/>
  <c r="Y856" i="11"/>
  <c r="X857" i="11"/>
  <c r="Y857" i="11"/>
  <c r="X858" i="11"/>
  <c r="Y858" i="11"/>
  <c r="X859" i="11"/>
  <c r="X860" i="11"/>
  <c r="Y859" i="11"/>
  <c r="Y860" i="11"/>
  <c r="X861" i="11"/>
  <c r="Y861" i="11"/>
  <c r="X862" i="11"/>
  <c r="X863" i="11"/>
  <c r="Y862" i="11"/>
  <c r="Y863" i="11"/>
  <c r="X864" i="11"/>
  <c r="Y864" i="11"/>
  <c r="X865" i="11"/>
  <c r="Y865" i="11"/>
  <c r="X866" i="11"/>
  <c r="X867" i="11"/>
  <c r="Y866" i="11"/>
  <c r="X868" i="11"/>
  <c r="Y867" i="11"/>
  <c r="Y868" i="11"/>
  <c r="X869" i="11"/>
  <c r="Y869" i="11"/>
  <c r="X870" i="11"/>
  <c r="X871" i="11"/>
  <c r="Y870" i="11"/>
  <c r="Y871" i="11"/>
  <c r="X872" i="11"/>
  <c r="Y872" i="11"/>
  <c r="X873" i="11"/>
  <c r="X874" i="11"/>
  <c r="Y873" i="11"/>
  <c r="Y874" i="11"/>
  <c r="X875" i="11"/>
  <c r="X876" i="11"/>
  <c r="Y875" i="11"/>
  <c r="Y876" i="11"/>
  <c r="X877" i="11"/>
  <c r="Y877" i="11"/>
  <c r="X878" i="11"/>
  <c r="X879" i="11"/>
  <c r="Y878" i="11"/>
  <c r="Y879" i="11"/>
  <c r="X880" i="11"/>
  <c r="Y880" i="11"/>
  <c r="X881" i="11"/>
  <c r="Y881" i="11"/>
  <c r="X882" i="11"/>
  <c r="Y882" i="11"/>
  <c r="X883" i="11"/>
  <c r="X884" i="11"/>
  <c r="Y883" i="11"/>
  <c r="X885" i="11"/>
  <c r="Y884" i="11"/>
  <c r="Y885" i="11"/>
  <c r="X886" i="11"/>
  <c r="X887" i="11"/>
  <c r="Y886" i="11"/>
  <c r="X888" i="11"/>
  <c r="Y887" i="11"/>
  <c r="Y888" i="11"/>
  <c r="X889" i="11"/>
  <c r="Y889" i="11"/>
  <c r="X890" i="11"/>
  <c r="Y890" i="11"/>
  <c r="X891" i="11"/>
  <c r="X892" i="11"/>
  <c r="Y891" i="11"/>
  <c r="Y892" i="11"/>
  <c r="X893" i="11"/>
  <c r="Y893" i="11"/>
  <c r="X894" i="11"/>
  <c r="X895" i="11"/>
  <c r="Y894" i="11"/>
  <c r="Y895" i="11"/>
  <c r="X896" i="11"/>
  <c r="Y896" i="11"/>
  <c r="X897" i="11"/>
  <c r="Y897" i="11"/>
  <c r="X898" i="11"/>
  <c r="X899" i="11"/>
  <c r="Y898" i="11"/>
  <c r="X900" i="11"/>
  <c r="Y899" i="11"/>
  <c r="Y900" i="11"/>
  <c r="X901" i="11"/>
  <c r="Y901" i="11"/>
  <c r="X902" i="11"/>
  <c r="X903" i="11"/>
  <c r="Y902" i="11"/>
  <c r="Y903" i="11"/>
  <c r="X904" i="11"/>
  <c r="Y904" i="11"/>
  <c r="X905" i="11"/>
  <c r="X906" i="11"/>
  <c r="Y905" i="11"/>
  <c r="Y906" i="11"/>
  <c r="X907" i="11"/>
  <c r="X908" i="11"/>
  <c r="Y907" i="11"/>
  <c r="Y908" i="11"/>
  <c r="X909" i="11"/>
  <c r="Y909" i="11"/>
  <c r="X910" i="11"/>
  <c r="X911" i="11"/>
  <c r="Y910" i="11"/>
  <c r="Y911" i="11"/>
  <c r="X912" i="11"/>
  <c r="Y912" i="11"/>
  <c r="X913" i="11"/>
  <c r="Y913" i="11"/>
  <c r="X914" i="11"/>
  <c r="Y914" i="11"/>
  <c r="X915" i="11"/>
  <c r="X916" i="11"/>
  <c r="Y915" i="11"/>
  <c r="X917" i="11"/>
  <c r="Y916" i="11"/>
  <c r="Y917" i="11"/>
  <c r="X918" i="11"/>
  <c r="X919" i="11"/>
  <c r="Y918" i="11"/>
  <c r="X920" i="11"/>
  <c r="Y919" i="11"/>
  <c r="Y920" i="11"/>
  <c r="X921" i="11"/>
  <c r="X922" i="11"/>
  <c r="Y921" i="11"/>
  <c r="Y922" i="11"/>
  <c r="X923" i="11"/>
  <c r="X924" i="11"/>
  <c r="Y923" i="11"/>
  <c r="Y924" i="11"/>
  <c r="X925" i="11"/>
  <c r="Y925" i="11"/>
  <c r="X926" i="11"/>
  <c r="X927" i="11"/>
  <c r="Y926" i="11"/>
  <c r="X928" i="11"/>
  <c r="Y927" i="11"/>
  <c r="Y928" i="11"/>
  <c r="X929" i="11"/>
  <c r="Y929" i="11"/>
  <c r="X930" i="11"/>
  <c r="X931" i="11"/>
  <c r="Y930" i="11"/>
  <c r="X932" i="11"/>
  <c r="Y931" i="11"/>
  <c r="Y932" i="11"/>
  <c r="X933" i="11"/>
  <c r="Y933" i="11"/>
  <c r="X934" i="11"/>
  <c r="X935" i="11"/>
  <c r="Y934" i="11"/>
  <c r="X936" i="11"/>
  <c r="Y935" i="11"/>
  <c r="Y936" i="11"/>
  <c r="X937" i="11"/>
  <c r="X938" i="11"/>
  <c r="Y937" i="11"/>
  <c r="X939" i="11"/>
  <c r="Y938" i="11"/>
  <c r="X940" i="11"/>
  <c r="Y939" i="11"/>
  <c r="Y940" i="11"/>
  <c r="X941" i="11"/>
  <c r="Y941" i="11"/>
  <c r="X942" i="11"/>
  <c r="X943" i="11"/>
  <c r="Y942" i="11"/>
  <c r="Y943" i="11"/>
  <c r="X944" i="11"/>
  <c r="Y944" i="11"/>
  <c r="X945" i="11"/>
  <c r="X946" i="11"/>
  <c r="Y945" i="11"/>
  <c r="Y946" i="11"/>
  <c r="X947" i="11"/>
  <c r="X948" i="11"/>
  <c r="Y947" i="11"/>
  <c r="X949" i="11"/>
  <c r="Y948" i="11"/>
  <c r="Y949" i="11"/>
  <c r="X950" i="11"/>
  <c r="X951" i="11"/>
  <c r="Y950" i="11"/>
  <c r="X952" i="11"/>
  <c r="Y951" i="11"/>
  <c r="Y952" i="11"/>
  <c r="X953" i="11"/>
  <c r="Y953" i="11"/>
  <c r="X954" i="11"/>
  <c r="Y954" i="11"/>
  <c r="X955" i="11"/>
  <c r="X956" i="11"/>
  <c r="Y955" i="11"/>
  <c r="X957" i="11"/>
  <c r="Y956" i="11"/>
  <c r="Y957" i="11"/>
  <c r="X958" i="11"/>
  <c r="X959" i="11"/>
  <c r="Y958" i="11"/>
  <c r="Y959" i="11"/>
  <c r="X960" i="11"/>
  <c r="Y960" i="11"/>
  <c r="X961" i="11"/>
  <c r="Y961" i="11"/>
  <c r="X962" i="11"/>
  <c r="X963" i="11"/>
  <c r="Y962" i="11"/>
  <c r="X964" i="11"/>
  <c r="Y963" i="11"/>
  <c r="Y964" i="11"/>
  <c r="X965" i="11"/>
  <c r="Y965" i="11"/>
  <c r="X966" i="11"/>
  <c r="X967" i="11"/>
  <c r="Y966" i="11"/>
  <c r="X968" i="11"/>
  <c r="Y967" i="11"/>
  <c r="Y968" i="11"/>
  <c r="X969" i="11"/>
  <c r="X970" i="11"/>
  <c r="Y969" i="11"/>
  <c r="Y970" i="11"/>
  <c r="X971" i="11"/>
  <c r="X972" i="11"/>
  <c r="Y971" i="11"/>
  <c r="Y972" i="11"/>
  <c r="X973" i="11"/>
  <c r="Y973" i="11"/>
  <c r="X974" i="11"/>
  <c r="X975" i="11"/>
  <c r="Y974" i="11"/>
  <c r="Y975" i="11"/>
  <c r="X976" i="11"/>
  <c r="Y976" i="11"/>
  <c r="X977" i="11"/>
  <c r="Y977" i="11"/>
  <c r="X978" i="11"/>
  <c r="Y978" i="11"/>
  <c r="X979" i="11"/>
  <c r="X980" i="11"/>
  <c r="Y979" i="11"/>
  <c r="X981" i="11"/>
  <c r="Y980" i="11"/>
  <c r="Y981" i="11"/>
  <c r="X982" i="11"/>
  <c r="X983" i="11"/>
  <c r="Y982" i="11"/>
  <c r="X984" i="11"/>
  <c r="Y983" i="11"/>
  <c r="Y984" i="11"/>
  <c r="X985" i="11"/>
  <c r="Y985" i="11"/>
  <c r="X986" i="11"/>
  <c r="Y986" i="11"/>
  <c r="X987" i="11"/>
  <c r="X988" i="11"/>
  <c r="Y987" i="11"/>
  <c r="Y988" i="11"/>
  <c r="X989" i="11"/>
  <c r="Y989" i="11"/>
  <c r="X990" i="11"/>
  <c r="X991" i="11"/>
  <c r="Y990" i="11"/>
  <c r="X992" i="11"/>
  <c r="Y991" i="11"/>
  <c r="Y992" i="11"/>
  <c r="X993" i="11"/>
  <c r="Y993" i="11"/>
  <c r="X994" i="11"/>
  <c r="X995" i="11"/>
  <c r="Y994" i="11"/>
  <c r="X996" i="11"/>
  <c r="Y995" i="11"/>
  <c r="Y996" i="11"/>
  <c r="X997" i="11"/>
  <c r="Y997" i="11"/>
  <c r="X998" i="11"/>
  <c r="X999" i="11"/>
  <c r="Y998" i="11"/>
  <c r="Y999" i="11"/>
  <c r="X1000" i="11"/>
  <c r="Y1000" i="11"/>
  <c r="X1001" i="11"/>
  <c r="X1002" i="11"/>
  <c r="Y1001" i="11"/>
  <c r="X1003" i="11"/>
  <c r="Y1002" i="11"/>
  <c r="X1004" i="11"/>
  <c r="Y1003" i="11"/>
  <c r="Y1004" i="11"/>
  <c r="X1005" i="11"/>
  <c r="Y1005" i="11"/>
  <c r="X1006" i="11"/>
  <c r="X1007" i="11"/>
  <c r="Y1006" i="11"/>
  <c r="Y1007" i="11"/>
  <c r="X1008" i="11"/>
  <c r="Y1008" i="11"/>
  <c r="X1009" i="11"/>
  <c r="X1010" i="11"/>
  <c r="Y1009" i="11"/>
  <c r="Y1010" i="11"/>
  <c r="X1011" i="11"/>
  <c r="X1012" i="11"/>
  <c r="Y1011" i="11"/>
  <c r="X1013" i="11"/>
  <c r="Y1012" i="11"/>
  <c r="Y1013" i="11"/>
  <c r="X1014" i="11"/>
  <c r="X1015" i="11"/>
  <c r="Y1014" i="11"/>
  <c r="X1016" i="11"/>
  <c r="Y1015" i="11"/>
  <c r="Y1016" i="11"/>
  <c r="X1017" i="11"/>
  <c r="Y1017" i="11"/>
  <c r="X1018" i="11"/>
  <c r="Y1018" i="11"/>
  <c r="X1019" i="11"/>
  <c r="X1020" i="11"/>
  <c r="Y1019" i="11"/>
  <c r="X1021" i="11"/>
  <c r="Y1020" i="11"/>
  <c r="Y1021" i="11"/>
  <c r="X1022" i="11"/>
  <c r="X1023" i="11"/>
  <c r="Y1022" i="11"/>
  <c r="Y1023" i="11"/>
  <c r="X1024" i="11"/>
  <c r="Y1024" i="11"/>
  <c r="X1025" i="11"/>
  <c r="Y1025" i="11"/>
  <c r="X1026" i="11"/>
  <c r="X1027" i="11"/>
  <c r="Y1026" i="11"/>
  <c r="X1028" i="11"/>
  <c r="Y1027" i="11"/>
  <c r="Y1028" i="11"/>
  <c r="X1029" i="11"/>
  <c r="Y1029" i="11"/>
  <c r="X1030" i="11"/>
  <c r="X1031" i="11"/>
  <c r="Y1030" i="11"/>
  <c r="X1032" i="11"/>
  <c r="Y1031" i="11"/>
  <c r="Y1032" i="11"/>
  <c r="X1033" i="11"/>
  <c r="X1034" i="11"/>
  <c r="Y1033" i="11"/>
  <c r="Y1034" i="11"/>
  <c r="X1035" i="11"/>
  <c r="X1036" i="11"/>
  <c r="Y1035" i="11"/>
  <c r="Y1036" i="11"/>
  <c r="X1037" i="11"/>
  <c r="Y1037" i="11"/>
  <c r="X1038" i="11"/>
  <c r="X1039" i="11"/>
  <c r="Y1038" i="11"/>
  <c r="Y1039" i="11"/>
  <c r="X1040" i="11"/>
  <c r="Y1040" i="11"/>
  <c r="X1041" i="11"/>
  <c r="X1042" i="11"/>
  <c r="Y1041" i="11"/>
  <c r="Y1042" i="11"/>
  <c r="X1043" i="11"/>
  <c r="X1044" i="11"/>
  <c r="Y1043" i="11"/>
  <c r="X1045" i="11"/>
  <c r="Y1044" i="11"/>
  <c r="Y1045" i="11"/>
  <c r="X1046" i="11"/>
  <c r="X1047" i="11"/>
  <c r="Y1046" i="11"/>
  <c r="X1048" i="11"/>
  <c r="Y1047" i="11"/>
  <c r="Y1048" i="11"/>
  <c r="X1049" i="11"/>
  <c r="Y1049" i="11"/>
  <c r="X1050" i="11"/>
  <c r="Y1050" i="11"/>
  <c r="X1051" i="11"/>
  <c r="X1052" i="11"/>
  <c r="Y1051" i="11"/>
  <c r="X1053" i="11"/>
  <c r="Y1052" i="11"/>
  <c r="Y1053" i="11"/>
  <c r="X1054" i="11"/>
  <c r="X1055" i="11"/>
  <c r="Y1054" i="11"/>
  <c r="X1056" i="11"/>
  <c r="Y1055" i="11"/>
  <c r="Y1056" i="11"/>
  <c r="X1057" i="11"/>
  <c r="Y1057" i="11"/>
  <c r="X1058" i="11"/>
  <c r="X1059" i="11"/>
  <c r="Y1058" i="11"/>
  <c r="X1060" i="11"/>
  <c r="Y1059" i="11"/>
  <c r="Y1060" i="11"/>
  <c r="X1061" i="11"/>
  <c r="Y1061" i="11"/>
  <c r="X1062" i="11"/>
  <c r="X1063" i="11"/>
  <c r="Y1062" i="11"/>
  <c r="X1064" i="11"/>
  <c r="Y1063" i="11"/>
  <c r="Y1064" i="11"/>
  <c r="X1065" i="11"/>
  <c r="X1066" i="11"/>
  <c r="Y1065" i="11"/>
  <c r="Y1066" i="11"/>
  <c r="X1067" i="11"/>
  <c r="X1068" i="11"/>
  <c r="Y1067" i="11"/>
  <c r="Y1068" i="11"/>
  <c r="X1069" i="11"/>
  <c r="Y1069" i="11"/>
  <c r="X1070" i="11"/>
  <c r="X1071" i="11"/>
  <c r="Y1070" i="11"/>
  <c r="Y1071" i="11"/>
  <c r="X1072" i="11"/>
  <c r="Y1072" i="11"/>
  <c r="X1073" i="11"/>
  <c r="Y1073" i="11"/>
  <c r="X1074" i="11"/>
  <c r="Y1074" i="11"/>
  <c r="X1075" i="11"/>
  <c r="X1076" i="11"/>
  <c r="Y1075" i="11"/>
  <c r="X1077" i="11"/>
  <c r="Y1076" i="11"/>
  <c r="Y1077" i="11"/>
  <c r="X1078" i="11"/>
  <c r="X1079" i="11"/>
  <c r="Y1078" i="11"/>
  <c r="X1080" i="11"/>
  <c r="Y1079" i="11"/>
  <c r="Y1080" i="11"/>
  <c r="X1081" i="11"/>
  <c r="X1082" i="11"/>
  <c r="Y1081" i="11"/>
  <c r="Y1082" i="11"/>
  <c r="X1083" i="11"/>
  <c r="X1084" i="11"/>
  <c r="Y1083" i="11"/>
  <c r="Y1084" i="11"/>
  <c r="X1085" i="11"/>
  <c r="Y1085" i="11"/>
  <c r="X1086" i="11"/>
  <c r="X1087" i="11"/>
  <c r="Y1086" i="11"/>
  <c r="X1088" i="11"/>
  <c r="Y1087" i="11"/>
  <c r="Y1088" i="11"/>
  <c r="X1089" i="11"/>
  <c r="X1090" i="11"/>
  <c r="Y1089" i="11"/>
  <c r="X1091" i="11"/>
  <c r="Y1090" i="11"/>
  <c r="Y1091" i="11"/>
  <c r="X1092" i="11"/>
  <c r="X1093" i="11"/>
  <c r="Y1092" i="11"/>
  <c r="Y1093" i="11"/>
  <c r="X1094" i="11"/>
  <c r="X1095" i="11"/>
  <c r="Y1094" i="11"/>
  <c r="X1096" i="11"/>
  <c r="Y1095" i="11"/>
  <c r="Y1096" i="11"/>
  <c r="X1097" i="11"/>
  <c r="Y1097" i="11"/>
  <c r="X1098" i="11"/>
  <c r="X1099" i="11"/>
  <c r="Y1098" i="11"/>
  <c r="Y1099" i="11"/>
  <c r="X1100" i="11"/>
  <c r="Y1100" i="11"/>
  <c r="X1101" i="11"/>
  <c r="X1102" i="11"/>
  <c r="Y1101" i="11"/>
  <c r="X1103" i="11"/>
  <c r="Y1102" i="11"/>
  <c r="Y1103" i="11"/>
  <c r="X1104" i="11"/>
  <c r="Y1104" i="11"/>
  <c r="X1105" i="11"/>
  <c r="Y1105" i="11"/>
  <c r="X1106" i="11"/>
  <c r="Y1106" i="11"/>
  <c r="X1107" i="11"/>
  <c r="X1108" i="11"/>
  <c r="Y1107" i="11"/>
  <c r="Y1108" i="11"/>
  <c r="X1109" i="11"/>
  <c r="Y1109" i="11"/>
  <c r="X1110" i="11"/>
  <c r="X1111" i="11"/>
  <c r="Y1110" i="11"/>
  <c r="X1112" i="11"/>
  <c r="Y1111" i="11"/>
  <c r="Y1112" i="11"/>
  <c r="X1113" i="11"/>
  <c r="X1114" i="11"/>
  <c r="Y1113" i="11"/>
  <c r="Y1114" i="11"/>
  <c r="X1115" i="11"/>
  <c r="Y1115" i="11"/>
  <c r="X1116" i="11"/>
  <c r="X1117" i="11"/>
  <c r="Y1116" i="11"/>
  <c r="Y1117" i="11"/>
  <c r="X1118" i="11"/>
  <c r="X1119" i="11"/>
  <c r="Y1118" i="11"/>
  <c r="X1120" i="11"/>
  <c r="Y1119" i="11"/>
  <c r="Y1120" i="11"/>
  <c r="X1121" i="11"/>
  <c r="Y1121" i="11"/>
  <c r="X1122" i="11"/>
  <c r="X1123" i="11"/>
  <c r="Y1122" i="11"/>
  <c r="X1124" i="11"/>
  <c r="Y1123" i="11"/>
  <c r="Y1124" i="11"/>
  <c r="X1125" i="11"/>
  <c r="X1126" i="11"/>
  <c r="Y1125" i="11"/>
  <c r="X1127" i="11"/>
  <c r="Y1126" i="11"/>
  <c r="X1128" i="11"/>
  <c r="Y1127" i="11"/>
  <c r="Y1128" i="11"/>
  <c r="X1129" i="11"/>
  <c r="Y1129" i="11"/>
  <c r="X1130" i="11"/>
  <c r="Y1130" i="11"/>
  <c r="X1131" i="11"/>
  <c r="Y1131" i="11"/>
  <c r="X1132" i="11"/>
  <c r="X1133" i="11"/>
  <c r="Y1132" i="11"/>
  <c r="Y1133" i="11"/>
  <c r="X1134" i="11"/>
  <c r="X1135" i="11"/>
  <c r="Y1134" i="11"/>
  <c r="X1136" i="11"/>
  <c r="Y1135" i="11"/>
  <c r="Y1136" i="11"/>
  <c r="X1137" i="11"/>
  <c r="Y1137" i="11"/>
  <c r="X1138" i="11"/>
  <c r="Y1138" i="11"/>
  <c r="X1139" i="11"/>
  <c r="X1140" i="11"/>
  <c r="Y1139" i="11"/>
  <c r="Y1140" i="11"/>
  <c r="X1141" i="11"/>
  <c r="Y1141" i="11"/>
  <c r="X1142" i="11"/>
  <c r="X1143" i="11"/>
  <c r="Y1142" i="11"/>
  <c r="Y1143" i="11"/>
  <c r="X1144" i="11"/>
  <c r="Y1144" i="11"/>
  <c r="X1145" i="11"/>
  <c r="X1146" i="11"/>
  <c r="Y1145" i="11"/>
  <c r="Y1146" i="11"/>
  <c r="X1147" i="11"/>
  <c r="Y1147" i="11"/>
  <c r="X1148" i="11"/>
  <c r="Y1148" i="11"/>
  <c r="X1149" i="11"/>
  <c r="Y1149" i="11"/>
  <c r="X1150" i="11"/>
  <c r="X1151" i="11"/>
  <c r="Y1150" i="11"/>
  <c r="X1152" i="11"/>
  <c r="Y1151" i="11"/>
  <c r="Y1152" i="11"/>
  <c r="X1153" i="11"/>
  <c r="X1154" i="11"/>
  <c r="Y1153" i="11"/>
  <c r="Y1154" i="11"/>
  <c r="X1155" i="11"/>
  <c r="Y1155" i="11"/>
  <c r="X1156" i="11"/>
  <c r="X1157" i="11"/>
  <c r="Y1156" i="11"/>
  <c r="X1158" i="11"/>
  <c r="Y1157" i="11"/>
  <c r="X1159" i="11"/>
  <c r="Y1158" i="11"/>
  <c r="X1160" i="11"/>
  <c r="Y1159" i="11"/>
  <c r="Y1160" i="11"/>
  <c r="X1161" i="11"/>
  <c r="Y1161" i="11"/>
  <c r="X1162" i="11"/>
  <c r="X1163" i="11"/>
  <c r="Y1162" i="11"/>
  <c r="Y1163" i="11"/>
  <c r="X1164" i="11"/>
  <c r="Y1164" i="11"/>
  <c r="X1165" i="11"/>
  <c r="X1166" i="11"/>
  <c r="Y1165" i="11"/>
  <c r="X1167" i="11"/>
  <c r="Y1166" i="11"/>
  <c r="Y1167" i="11"/>
  <c r="X1168" i="11"/>
  <c r="Y1168" i="11"/>
  <c r="X1169" i="11"/>
  <c r="Y1169" i="11"/>
  <c r="X1170" i="11"/>
  <c r="Y1170" i="11"/>
  <c r="X1171" i="11"/>
  <c r="X1172" i="11"/>
  <c r="Y1171" i="11"/>
  <c r="X1173" i="11"/>
  <c r="Y1172" i="11"/>
  <c r="Y1173" i="11"/>
  <c r="X1174" i="11"/>
  <c r="X1175" i="11"/>
  <c r="Y1174" i="11"/>
  <c r="Y1175" i="11"/>
  <c r="X1176" i="11"/>
  <c r="Y1176" i="11"/>
  <c r="X1177" i="11"/>
  <c r="X1178" i="11"/>
  <c r="Y1177" i="11"/>
  <c r="Y1178" i="11"/>
  <c r="X1179" i="11"/>
  <c r="Y1179" i="11"/>
  <c r="X1180" i="11"/>
  <c r="X1181" i="11"/>
  <c r="Y1180" i="11"/>
  <c r="Y1181" i="11"/>
  <c r="X1182" i="11"/>
  <c r="X1183" i="11"/>
  <c r="Y1182" i="11"/>
  <c r="X1184" i="11"/>
  <c r="Y1183" i="11"/>
  <c r="Y1184" i="11"/>
  <c r="X1185" i="11"/>
  <c r="X1186" i="11"/>
  <c r="Y1185" i="11"/>
  <c r="X1187" i="11"/>
  <c r="Y1186" i="11"/>
  <c r="Y1187" i="11"/>
  <c r="X1188" i="11"/>
  <c r="X1189" i="11"/>
  <c r="Y1188" i="11"/>
  <c r="X1190" i="11"/>
  <c r="Y1189" i="11"/>
  <c r="X1191" i="11"/>
  <c r="Y1190" i="11"/>
  <c r="Y1191" i="11"/>
  <c r="X1192" i="11"/>
  <c r="Y1192" i="11"/>
  <c r="X1193" i="11"/>
  <c r="Y1193" i="11"/>
  <c r="X1194" i="11"/>
  <c r="Y1194" i="11"/>
  <c r="X1195" i="11"/>
  <c r="Y1195" i="11"/>
  <c r="X1196" i="11"/>
  <c r="X1197" i="11"/>
  <c r="Y1196" i="11"/>
  <c r="X1198" i="11"/>
  <c r="Y1197" i="11"/>
  <c r="X1199" i="11"/>
  <c r="Y1198" i="11"/>
  <c r="Y1199" i="11"/>
  <c r="X1200" i="11"/>
  <c r="Y1200" i="11"/>
  <c r="X1201" i="11"/>
  <c r="Y1201" i="11"/>
  <c r="X1202" i="11"/>
  <c r="Y1202" i="11"/>
  <c r="X1203" i="11"/>
  <c r="Y1203" i="11"/>
  <c r="X1204" i="11"/>
  <c r="Y1204" i="11"/>
  <c r="X1205" i="11"/>
  <c r="Y1205" i="11"/>
  <c r="X1206" i="11"/>
  <c r="X1207" i="11"/>
  <c r="Y1206" i="11"/>
  <c r="Y1207" i="11"/>
  <c r="X1208" i="11"/>
  <c r="Y1208" i="11"/>
  <c r="X1209" i="11"/>
  <c r="Y1209" i="11"/>
  <c r="X1210" i="11"/>
  <c r="Y1210" i="11"/>
  <c r="X1211" i="11"/>
  <c r="X1212" i="11"/>
  <c r="Y1211" i="11"/>
  <c r="Y1212" i="11"/>
  <c r="X1213" i="11"/>
  <c r="Y1213" i="11"/>
  <c r="X1214" i="11"/>
  <c r="X1215" i="11"/>
  <c r="Y1214" i="11"/>
  <c r="Y1215" i="11"/>
  <c r="X1216" i="11"/>
  <c r="Y1216" i="11"/>
  <c r="X1217" i="11"/>
  <c r="Y1217" i="11"/>
  <c r="X1218" i="11"/>
  <c r="X1219" i="11"/>
  <c r="Y1218" i="11"/>
  <c r="X1220" i="11"/>
  <c r="Y1219" i="11"/>
  <c r="Y1220" i="11"/>
  <c r="X1221" i="11"/>
  <c r="Y1221" i="11"/>
  <c r="X1222" i="11"/>
  <c r="X1223" i="11"/>
  <c r="Y1222" i="11"/>
  <c r="Y1223" i="11"/>
  <c r="X1224" i="11"/>
  <c r="Y1224" i="11"/>
  <c r="X1225" i="11"/>
  <c r="X1226" i="11"/>
  <c r="Y1225" i="11"/>
  <c r="Y1226" i="11"/>
  <c r="X1227" i="11"/>
  <c r="X1228" i="11"/>
  <c r="Y1227" i="11"/>
  <c r="Y1228" i="11"/>
  <c r="X1229" i="11"/>
  <c r="Y1229" i="11"/>
  <c r="X1230" i="11"/>
  <c r="X1231" i="11"/>
  <c r="Y1230" i="11"/>
  <c r="Y1231" i="11"/>
  <c r="X1232" i="11"/>
  <c r="Y1232" i="11"/>
  <c r="X1233" i="11"/>
  <c r="X1234" i="11"/>
  <c r="Y1233" i="11"/>
  <c r="Y1234" i="11"/>
  <c r="X1235" i="11"/>
  <c r="X1236" i="11"/>
  <c r="Y1235" i="11"/>
  <c r="X1237" i="11"/>
  <c r="Y1236" i="11"/>
  <c r="Y1237" i="11"/>
  <c r="X1238" i="11"/>
  <c r="X1239" i="11"/>
  <c r="Y1238" i="11"/>
  <c r="X1240" i="11"/>
  <c r="Y1239" i="11"/>
  <c r="Y1240" i="11"/>
  <c r="X1241" i="11"/>
  <c r="X1242" i="11"/>
  <c r="Y1241" i="11"/>
  <c r="Y1242" i="11"/>
  <c r="X1243" i="11"/>
  <c r="X1244" i="11"/>
  <c r="Y1243" i="11"/>
  <c r="Y1244" i="11"/>
  <c r="X1245" i="11"/>
  <c r="Y1245" i="11"/>
  <c r="X1246" i="11"/>
  <c r="X1247" i="11"/>
  <c r="Y1246" i="11"/>
  <c r="Y1247" i="11"/>
  <c r="X1248" i="11"/>
  <c r="Y1248" i="11"/>
  <c r="X1249" i="11"/>
  <c r="Y1249" i="11"/>
  <c r="X1250" i="11"/>
  <c r="X1251" i="11"/>
  <c r="Y1250" i="11"/>
  <c r="X1252" i="11"/>
  <c r="Y1251" i="11"/>
  <c r="Y1252" i="11"/>
  <c r="X1253" i="11"/>
  <c r="Y1253" i="11"/>
  <c r="X1254" i="11"/>
  <c r="X1255" i="11"/>
  <c r="Y1254" i="11"/>
  <c r="X1256" i="11"/>
  <c r="Y1255" i="11"/>
  <c r="Y1256" i="11"/>
  <c r="X1257" i="11"/>
  <c r="X1258" i="11"/>
  <c r="Y1257" i="11"/>
  <c r="Y1258" i="11"/>
  <c r="X1259" i="11"/>
  <c r="X1260" i="11"/>
  <c r="Y1259" i="11"/>
  <c r="Y1260" i="11"/>
  <c r="X1261" i="11"/>
  <c r="Y1261" i="11"/>
  <c r="X1262" i="11"/>
  <c r="X1263" i="11"/>
  <c r="Y1262" i="11"/>
  <c r="Y1263" i="11"/>
  <c r="X1264" i="11"/>
  <c r="Y1264" i="11"/>
  <c r="X1265" i="11"/>
  <c r="X1266" i="11"/>
  <c r="Y1265" i="11"/>
  <c r="Y1266" i="11"/>
  <c r="X1267" i="11"/>
  <c r="X1268" i="11"/>
  <c r="Y1267" i="11"/>
  <c r="X1269" i="11"/>
  <c r="Y1268" i="11"/>
  <c r="Y1269" i="11"/>
  <c r="X1270" i="11"/>
  <c r="X1271" i="11"/>
  <c r="Y1270" i="11"/>
  <c r="X1272" i="11"/>
  <c r="Y1271" i="11"/>
  <c r="Y1272" i="11"/>
  <c r="X1273" i="11"/>
  <c r="Y1273" i="11"/>
  <c r="X1274" i="11"/>
  <c r="Y1274" i="11"/>
  <c r="X1275" i="11"/>
  <c r="X1276" i="11"/>
  <c r="Y1275" i="11"/>
  <c r="Y1276" i="11"/>
  <c r="X1277" i="11"/>
  <c r="Y1277" i="11"/>
  <c r="X1278" i="11"/>
  <c r="X1279" i="11"/>
  <c r="Y1278" i="11"/>
  <c r="X1280" i="11"/>
  <c r="Y1279" i="11"/>
  <c r="Y1280" i="11"/>
  <c r="X1281" i="11"/>
  <c r="Y1281" i="11"/>
  <c r="X1282" i="11"/>
  <c r="X1283" i="11"/>
  <c r="Y1282" i="11"/>
  <c r="X1284" i="11"/>
  <c r="Y1283" i="11"/>
  <c r="X1285" i="11"/>
  <c r="Y1284" i="11"/>
  <c r="Y1285" i="11"/>
  <c r="X1286" i="11"/>
  <c r="X1287" i="11"/>
  <c r="Y1286" i="11"/>
  <c r="Y1287" i="11"/>
  <c r="X1288" i="11"/>
  <c r="Y1288" i="11"/>
  <c r="X1289" i="11"/>
  <c r="X1290" i="11"/>
  <c r="Y1289" i="11"/>
  <c r="Y1290" i="11"/>
  <c r="X1291" i="11"/>
  <c r="X1292" i="11"/>
  <c r="Y1291" i="11"/>
  <c r="Y1292" i="11"/>
  <c r="X1293" i="11"/>
  <c r="Y1293" i="11"/>
  <c r="X1294" i="11"/>
  <c r="X1295" i="11"/>
  <c r="Y1294" i="11"/>
  <c r="Y1295" i="11"/>
  <c r="X1296" i="11"/>
  <c r="Y1296" i="11"/>
  <c r="X1297" i="11"/>
  <c r="Y1297" i="11"/>
  <c r="X1298" i="11"/>
  <c r="X1299" i="11"/>
  <c r="Y1298" i="11"/>
  <c r="X1300" i="11"/>
  <c r="Y1299" i="11"/>
  <c r="X1301" i="11"/>
  <c r="Y1300" i="11"/>
  <c r="Y1301" i="11"/>
  <c r="X1302" i="11"/>
  <c r="X1303" i="11"/>
  <c r="Y1302" i="11"/>
  <c r="X1304" i="11"/>
  <c r="Y1303" i="11"/>
  <c r="Y1304" i="11"/>
  <c r="X1305" i="11"/>
  <c r="Y1305" i="11"/>
  <c r="X1306" i="11"/>
  <c r="Y1306" i="11"/>
  <c r="X1307" i="11"/>
  <c r="X1308" i="11"/>
  <c r="Y1307" i="11"/>
  <c r="X1309" i="11"/>
  <c r="Y1308" i="11"/>
  <c r="Y1309" i="11"/>
  <c r="X1310" i="11"/>
  <c r="X1311" i="11"/>
  <c r="Y1310" i="11"/>
  <c r="Y1311" i="11"/>
  <c r="X1312" i="11"/>
  <c r="Y1312" i="11"/>
  <c r="X1313" i="11"/>
  <c r="Y1313" i="11"/>
  <c r="X1314" i="11"/>
  <c r="X1315" i="11"/>
  <c r="Y1314" i="11"/>
  <c r="X1316" i="11"/>
  <c r="Y1315" i="11"/>
  <c r="Y1316" i="11"/>
  <c r="X1317" i="11"/>
  <c r="Y1317" i="11"/>
  <c r="X1318" i="11"/>
  <c r="X1319" i="11"/>
  <c r="Y1318" i="11"/>
  <c r="Y1319" i="11"/>
  <c r="X1320" i="11"/>
  <c r="Y1320" i="11"/>
  <c r="X1321" i="11"/>
  <c r="X1322" i="11"/>
  <c r="Y1321" i="11"/>
  <c r="X1323" i="11"/>
  <c r="Y1322" i="11"/>
  <c r="X1324" i="11"/>
  <c r="Y1323" i="11"/>
  <c r="Y1324" i="11"/>
  <c r="X1325" i="11"/>
  <c r="Y1325" i="11"/>
  <c r="X1326" i="11"/>
  <c r="X1327" i="11"/>
  <c r="Y1326" i="11"/>
  <c r="Y1327" i="11"/>
  <c r="X1328" i="11"/>
  <c r="Y1328" i="11"/>
  <c r="X1329" i="11"/>
  <c r="Y1329" i="11"/>
  <c r="X1330" i="11"/>
  <c r="Y1330" i="11"/>
  <c r="X1331" i="11"/>
  <c r="X1332" i="11"/>
  <c r="Y1331" i="11"/>
  <c r="X1333" i="11"/>
  <c r="Y1332" i="11"/>
  <c r="Y1333" i="11"/>
  <c r="X1334" i="11"/>
  <c r="X1335" i="11"/>
  <c r="Y1334" i="11"/>
  <c r="X1336" i="11"/>
  <c r="Y1335" i="11"/>
  <c r="Y1336" i="11"/>
  <c r="X1337" i="11"/>
  <c r="Y1337" i="11"/>
  <c r="X1338" i="11"/>
  <c r="Y1338" i="11"/>
  <c r="X1339" i="11"/>
  <c r="X1340" i="11"/>
  <c r="Y1339" i="11"/>
  <c r="Y1340" i="11"/>
  <c r="X1341" i="11"/>
  <c r="Y1341" i="11"/>
  <c r="X1342" i="11"/>
  <c r="X1343" i="11"/>
  <c r="Y1342" i="11"/>
  <c r="Y1343" i="11"/>
  <c r="X1344" i="11"/>
  <c r="Y1344" i="11"/>
  <c r="X1345" i="11"/>
  <c r="Y1345" i="11"/>
  <c r="X1346" i="11"/>
  <c r="X1347" i="11"/>
  <c r="Y1346" i="11"/>
  <c r="X1348" i="11"/>
  <c r="Y1347" i="11"/>
  <c r="Y1348" i="11"/>
  <c r="X1349" i="11"/>
  <c r="Y1349" i="11"/>
  <c r="X1350" i="11"/>
  <c r="X1351" i="11"/>
  <c r="Y1350" i="11"/>
  <c r="Y1351" i="11"/>
  <c r="X1352" i="11"/>
  <c r="Y1352" i="11"/>
  <c r="X1353" i="11"/>
  <c r="X1354" i="11"/>
  <c r="Y1353" i="11"/>
  <c r="Y1354" i="11"/>
  <c r="X1355" i="11"/>
  <c r="X1356" i="11"/>
  <c r="Y1355" i="11"/>
  <c r="Y1356" i="11"/>
  <c r="X1357" i="11"/>
  <c r="Y1357" i="11"/>
  <c r="X1358" i="11"/>
  <c r="X1359" i="11"/>
  <c r="Y1358" i="11"/>
  <c r="Y1359" i="11"/>
  <c r="X1360" i="11"/>
  <c r="Y1360" i="11"/>
  <c r="X1361" i="11"/>
  <c r="Y1361" i="11"/>
  <c r="X1362" i="11"/>
  <c r="Y1362" i="11"/>
  <c r="X1363" i="11"/>
  <c r="X1364" i="11"/>
  <c r="Y1363" i="11"/>
  <c r="X1365" i="11"/>
  <c r="Y1364" i="11"/>
  <c r="Y1365" i="11"/>
  <c r="X1366" i="11"/>
  <c r="X1367" i="11"/>
  <c r="Y1366" i="11"/>
  <c r="X1368" i="11"/>
  <c r="Y1367" i="11"/>
  <c r="Y1368" i="11"/>
  <c r="X1369" i="11"/>
  <c r="X1370" i="11"/>
  <c r="Y1369" i="11"/>
  <c r="Y1370" i="11"/>
  <c r="X1371" i="11"/>
  <c r="X1372" i="11"/>
  <c r="Y1371" i="11"/>
  <c r="Y1372" i="11"/>
  <c r="X1373" i="11"/>
  <c r="Y1373" i="11"/>
  <c r="X1374" i="11"/>
  <c r="X1375" i="11"/>
  <c r="Y1374" i="11"/>
  <c r="Y1375" i="11"/>
  <c r="X1376" i="11"/>
  <c r="Y1376" i="11"/>
  <c r="X1377" i="11"/>
  <c r="Y1377" i="11"/>
  <c r="X1378" i="11"/>
  <c r="X1379" i="11"/>
  <c r="Y1378" i="11"/>
  <c r="X1380" i="11"/>
  <c r="Y1379" i="11"/>
  <c r="X1381" i="11"/>
  <c r="Y1380" i="11"/>
  <c r="Y1381" i="11"/>
  <c r="X1382" i="11"/>
  <c r="X1383" i="11"/>
  <c r="Y1382" i="11"/>
  <c r="X1384" i="11"/>
  <c r="Y1383" i="11"/>
  <c r="Y1384" i="11"/>
  <c r="X1385" i="11"/>
  <c r="X1386" i="11"/>
  <c r="Y1385" i="11"/>
  <c r="Y1386" i="11"/>
  <c r="X1387" i="11"/>
  <c r="X1388" i="11"/>
  <c r="Y1387" i="11"/>
  <c r="Y1388" i="11"/>
  <c r="X1389" i="11"/>
  <c r="Y1389" i="11"/>
  <c r="X1390" i="11"/>
  <c r="X1391" i="11"/>
  <c r="Y1390" i="11"/>
  <c r="Y1391" i="11"/>
  <c r="X1392" i="11"/>
  <c r="Y1392" i="11"/>
  <c r="X1393" i="11"/>
  <c r="X1394" i="11"/>
  <c r="Y1393" i="11"/>
  <c r="Y1394" i="11"/>
  <c r="X1395" i="11"/>
  <c r="X1396" i="11"/>
  <c r="Y1395" i="11"/>
  <c r="X1397" i="11"/>
  <c r="Y1396" i="11"/>
  <c r="Y1397" i="11"/>
  <c r="X1398" i="11"/>
  <c r="X1399" i="11"/>
  <c r="Y1398" i="11"/>
  <c r="X1400" i="11"/>
  <c r="Y1399" i="11"/>
  <c r="Y1400" i="11"/>
  <c r="X1401" i="11"/>
  <c r="X1402" i="11"/>
  <c r="Y1401" i="11"/>
  <c r="Y1402" i="11"/>
  <c r="X1403" i="11"/>
  <c r="X1404" i="11"/>
  <c r="Y1403" i="11"/>
  <c r="X1405" i="11"/>
  <c r="Y1404" i="11"/>
  <c r="Y1405" i="11"/>
  <c r="X1406" i="11"/>
  <c r="X1407" i="11"/>
  <c r="Y1406" i="11"/>
  <c r="X1408" i="11"/>
  <c r="Y1407" i="11"/>
  <c r="Y1408" i="11"/>
  <c r="X1409" i="11"/>
  <c r="Y1409" i="11"/>
  <c r="X1410" i="11"/>
  <c r="X1411" i="11"/>
  <c r="Y1410" i="11"/>
  <c r="X1412" i="11"/>
  <c r="Y1411" i="11"/>
  <c r="Y1412" i="11"/>
  <c r="X1413" i="11"/>
  <c r="Y1413" i="11"/>
  <c r="X1414" i="11"/>
  <c r="X1415" i="11"/>
  <c r="Y1414" i="11"/>
  <c r="X1416" i="11"/>
  <c r="Y1415" i="11"/>
  <c r="Y1416" i="11"/>
  <c r="X1417" i="11"/>
  <c r="X1418" i="11"/>
  <c r="Y1417" i="11"/>
  <c r="X1419" i="11"/>
  <c r="Y1418" i="11"/>
  <c r="X1420" i="11"/>
  <c r="Y1419" i="11"/>
  <c r="Y1420" i="11"/>
  <c r="X1421" i="11"/>
  <c r="Y1421" i="11"/>
  <c r="X1422" i="11"/>
  <c r="X1423" i="11"/>
  <c r="Y1422" i="11"/>
  <c r="Y1423" i="11"/>
  <c r="X1424" i="11"/>
  <c r="Y1424" i="11"/>
  <c r="X1425" i="11"/>
  <c r="Y1425" i="11"/>
  <c r="X1426" i="11"/>
  <c r="Y1426" i="11"/>
  <c r="X1427" i="11"/>
  <c r="X1428" i="11"/>
  <c r="Y1427" i="11"/>
  <c r="X1429" i="11"/>
  <c r="Y1428" i="11"/>
  <c r="Y1429" i="11"/>
  <c r="X1430" i="11"/>
  <c r="X1431" i="11"/>
  <c r="Y1430" i="11"/>
  <c r="X1432" i="11"/>
  <c r="Y1431" i="11"/>
  <c r="Y1432" i="11"/>
  <c r="X1433" i="11"/>
  <c r="X1434" i="11"/>
  <c r="Y1433" i="11"/>
  <c r="Y1434" i="11"/>
  <c r="X1435" i="11"/>
  <c r="X1436" i="11"/>
  <c r="Y1435" i="11"/>
  <c r="Y1436" i="11"/>
  <c r="X1437" i="11"/>
  <c r="Y1437" i="11"/>
  <c r="X1438" i="11"/>
  <c r="X1439" i="11"/>
  <c r="Y1438" i="11"/>
  <c r="X1440" i="11"/>
  <c r="Y1439" i="11"/>
  <c r="Y1440" i="11"/>
  <c r="X1441" i="11"/>
  <c r="Y1441" i="11"/>
  <c r="X1442" i="11"/>
  <c r="X1443" i="11"/>
  <c r="Y1442" i="11"/>
  <c r="X1444" i="11"/>
  <c r="Y1443" i="11"/>
  <c r="Y1444" i="11"/>
  <c r="X1445" i="11"/>
  <c r="Y1445" i="11"/>
  <c r="X1446" i="11"/>
  <c r="X1447" i="11"/>
  <c r="Y1446" i="11"/>
  <c r="Y1447" i="11"/>
  <c r="X1448" i="11"/>
  <c r="Y1448" i="11"/>
  <c r="X1449" i="11"/>
  <c r="X1450" i="11"/>
  <c r="Y1449" i="11"/>
  <c r="X1451" i="11"/>
  <c r="Y1450" i="11"/>
  <c r="X1452" i="11"/>
  <c r="Y1451" i="11"/>
  <c r="Y1452" i="11"/>
  <c r="X1453" i="11"/>
  <c r="Y1453" i="11"/>
  <c r="X1454" i="11"/>
  <c r="X1455" i="11"/>
  <c r="Y1454" i="11"/>
  <c r="Y1455" i="11"/>
  <c r="X1456" i="11"/>
  <c r="Y1456" i="11"/>
  <c r="X1457" i="11"/>
  <c r="Y1457" i="11"/>
  <c r="X1458" i="11"/>
  <c r="Y1458" i="11"/>
  <c r="X1459" i="11"/>
  <c r="X1460" i="11"/>
  <c r="Y1459" i="11"/>
  <c r="X1461" i="11"/>
  <c r="Y1460" i="11"/>
  <c r="Y1461" i="11"/>
  <c r="X1462" i="11"/>
  <c r="X1463" i="11"/>
  <c r="Y1462" i="11"/>
  <c r="X1464" i="11"/>
  <c r="Y1463" i="11"/>
  <c r="Y1464" i="11"/>
  <c r="X1465" i="11"/>
  <c r="Y1465" i="11"/>
  <c r="X1466" i="11"/>
  <c r="Y1466" i="11"/>
  <c r="X1467" i="11"/>
  <c r="X1468" i="11"/>
  <c r="Y1467" i="11"/>
  <c r="Y1468" i="11"/>
  <c r="X1469" i="11"/>
  <c r="Y1469" i="11"/>
  <c r="X1470" i="11"/>
  <c r="X1471" i="11"/>
  <c r="Y1470" i="11"/>
  <c r="Y1471" i="11"/>
  <c r="X1472" i="11"/>
  <c r="Y1472" i="11"/>
  <c r="X1473" i="11"/>
  <c r="Y1473" i="11"/>
  <c r="X1474" i="11"/>
  <c r="X1475" i="11"/>
  <c r="Y1474" i="11"/>
  <c r="X1476" i="11"/>
  <c r="Y1475" i="11"/>
  <c r="Y1476" i="11"/>
  <c r="X1477" i="11"/>
  <c r="Y1477" i="11"/>
  <c r="X1478" i="11"/>
  <c r="X1479" i="11"/>
  <c r="Y1478" i="11"/>
  <c r="Y1479" i="11"/>
  <c r="X1480" i="11"/>
  <c r="Y1480" i="11"/>
  <c r="X1481" i="11"/>
  <c r="X1482" i="11"/>
  <c r="Y1481" i="11"/>
  <c r="Y1482" i="11"/>
  <c r="X1483" i="11"/>
  <c r="X1484" i="11"/>
  <c r="Y1483" i="11"/>
  <c r="Y1484" i="11"/>
  <c r="X1485" i="11"/>
  <c r="Y1485" i="11"/>
  <c r="X1486" i="11"/>
  <c r="X1487" i="11"/>
  <c r="Y1486" i="11"/>
  <c r="Y1487" i="11"/>
  <c r="X1488" i="11"/>
  <c r="Y1488" i="11"/>
  <c r="X1489" i="11"/>
  <c r="Y1489" i="11"/>
  <c r="X1490" i="11"/>
  <c r="Y1490" i="11"/>
  <c r="X1491" i="11"/>
  <c r="X1492" i="11"/>
  <c r="Y1491" i="11"/>
  <c r="X1493" i="11"/>
  <c r="Y1492" i="11"/>
  <c r="Y1493" i="11"/>
  <c r="X1494" i="11"/>
  <c r="X1495" i="11"/>
  <c r="Y1494" i="11"/>
  <c r="X1496" i="11"/>
  <c r="Y1495" i="11"/>
  <c r="Y1496" i="11"/>
  <c r="X1497" i="11"/>
  <c r="Y1497" i="11"/>
  <c r="X1498" i="11"/>
  <c r="Y1498" i="11"/>
  <c r="X1499" i="11"/>
  <c r="X1500" i="11"/>
  <c r="Y1499" i="11"/>
  <c r="Y1500" i="11"/>
  <c r="X1501" i="11"/>
  <c r="Y1501" i="11"/>
  <c r="X1502" i="11"/>
  <c r="X1503" i="11"/>
  <c r="Y1502" i="11"/>
  <c r="Y1503" i="11"/>
  <c r="X1504" i="11"/>
  <c r="Y1504" i="11"/>
  <c r="X1505" i="11"/>
  <c r="Y1505" i="11"/>
  <c r="X1506" i="11"/>
  <c r="X1507" i="11"/>
  <c r="Y1506" i="11"/>
  <c r="X1508" i="11"/>
  <c r="Y1507" i="11"/>
  <c r="Y1508" i="11"/>
  <c r="X1509" i="11"/>
  <c r="Y1509" i="11"/>
  <c r="X1510" i="11"/>
  <c r="X1511" i="11"/>
  <c r="Y1510" i="11"/>
  <c r="Y1511" i="11"/>
  <c r="X1512" i="11"/>
  <c r="Y1512" i="11"/>
  <c r="X1513" i="11"/>
  <c r="X1514" i="11"/>
  <c r="Y1513" i="11"/>
  <c r="Y1514" i="11"/>
  <c r="X1515" i="11"/>
  <c r="X1516" i="11"/>
  <c r="Y1515" i="11"/>
  <c r="Y1516" i="11"/>
  <c r="X1517" i="11"/>
  <c r="Y1517" i="11"/>
  <c r="X1518" i="11"/>
  <c r="X1519" i="11"/>
  <c r="Y1518" i="11"/>
  <c r="Y1519" i="11"/>
  <c r="X1520" i="11"/>
  <c r="Y1520" i="11"/>
  <c r="X1521" i="11"/>
  <c r="Y1521" i="11"/>
  <c r="X1522" i="11"/>
  <c r="Y1522" i="11"/>
  <c r="X1523" i="11"/>
  <c r="X1524" i="11"/>
  <c r="Y1523" i="11"/>
  <c r="X1525" i="11"/>
  <c r="Y1524" i="11"/>
  <c r="Y1525" i="11"/>
  <c r="X1526" i="11"/>
  <c r="X1527" i="11"/>
  <c r="Y1526" i="11"/>
  <c r="X1528" i="11"/>
  <c r="Y1527" i="11"/>
  <c r="Y1528" i="11"/>
  <c r="X1529" i="11"/>
  <c r="X1530" i="11"/>
  <c r="Y1529" i="11"/>
  <c r="Y1530" i="11"/>
  <c r="X1531" i="11"/>
  <c r="X1532" i="11"/>
  <c r="Y1531" i="11"/>
  <c r="Y1532" i="11"/>
  <c r="X1533" i="11"/>
  <c r="Y1533" i="11"/>
  <c r="X1534" i="11"/>
  <c r="X1535" i="11"/>
  <c r="Y1534" i="11"/>
  <c r="X1536" i="11"/>
  <c r="Y1535" i="11"/>
  <c r="Y1536" i="11"/>
  <c r="X1537" i="11"/>
  <c r="Y1537" i="11"/>
  <c r="X1538" i="11"/>
  <c r="X1539" i="11"/>
  <c r="Y1538" i="11"/>
  <c r="X1540" i="11"/>
  <c r="Y1539" i="11"/>
  <c r="Y1540" i="11"/>
  <c r="X1541" i="11"/>
  <c r="Y1541" i="11"/>
  <c r="X1542" i="11"/>
  <c r="X1543" i="11"/>
  <c r="Y1542" i="11"/>
  <c r="Y1543" i="11"/>
  <c r="X1544" i="11"/>
  <c r="Y1544" i="11"/>
  <c r="X1545" i="11"/>
  <c r="X1546" i="11"/>
  <c r="Y1545" i="11"/>
  <c r="X1547" i="11"/>
  <c r="Y1546" i="11"/>
  <c r="X1548" i="11"/>
  <c r="Y1547" i="11"/>
  <c r="Y1548" i="11"/>
  <c r="X1549" i="11"/>
  <c r="Y1549" i="11"/>
  <c r="X1550" i="11"/>
  <c r="X1551" i="11"/>
  <c r="Y1550" i="11"/>
  <c r="Y1551" i="11"/>
  <c r="X1552" i="11"/>
  <c r="Y1552" i="11"/>
  <c r="X1553" i="11"/>
  <c r="X1554" i="11"/>
  <c r="Y1553" i="11"/>
  <c r="Y1554" i="11"/>
  <c r="X1555" i="11"/>
  <c r="X1556" i="11"/>
  <c r="Y1555" i="11"/>
  <c r="X1557" i="11"/>
  <c r="Y1556" i="11"/>
  <c r="Y1557" i="11"/>
  <c r="X1558" i="11"/>
  <c r="X1559" i="11"/>
  <c r="Y1558" i="11"/>
  <c r="X1560" i="11"/>
  <c r="Y1559" i="11"/>
  <c r="Y1560" i="11"/>
  <c r="X1561" i="11"/>
  <c r="Y1561" i="11"/>
  <c r="X1562" i="11"/>
  <c r="Y1562" i="11"/>
  <c r="X1563" i="11"/>
  <c r="X1564" i="11"/>
  <c r="Y1563" i="11"/>
  <c r="X1565" i="11"/>
  <c r="Y1564" i="11"/>
  <c r="Y1565" i="11"/>
  <c r="X1566" i="11"/>
  <c r="X1567" i="11"/>
  <c r="Y1566" i="11"/>
  <c r="Y1567" i="11"/>
  <c r="X1568" i="11"/>
  <c r="Y1568" i="11"/>
  <c r="X1569" i="11"/>
  <c r="Y1569" i="11"/>
  <c r="X1570" i="11"/>
  <c r="X1571" i="11"/>
  <c r="Y1570" i="11"/>
  <c r="X1572" i="11"/>
  <c r="Y1571" i="11"/>
  <c r="Y1572" i="11"/>
  <c r="X1573" i="11"/>
  <c r="Y1573" i="11"/>
  <c r="X1574" i="11"/>
  <c r="X1575" i="11"/>
  <c r="Y1574" i="11"/>
  <c r="X1576" i="11"/>
  <c r="Y1575" i="11"/>
  <c r="Y1576" i="11"/>
  <c r="X1577" i="11"/>
  <c r="X1578" i="11"/>
  <c r="Y1577" i="11"/>
  <c r="Y1578" i="11"/>
  <c r="X1579" i="11"/>
  <c r="X1580" i="11"/>
  <c r="Y1579" i="11"/>
  <c r="Y1580" i="11"/>
  <c r="X1581" i="11"/>
  <c r="Y1581" i="11"/>
  <c r="X1582" i="11"/>
  <c r="X1583" i="11"/>
  <c r="Y1582" i="11"/>
  <c r="Y1583" i="11"/>
  <c r="X1584" i="11"/>
  <c r="Y1584" i="11"/>
  <c r="X1585" i="11"/>
  <c r="Y1585" i="11"/>
  <c r="X1586" i="11"/>
  <c r="Y1586" i="11"/>
  <c r="X1587" i="11"/>
  <c r="X1588" i="11"/>
  <c r="Y1587" i="11"/>
  <c r="X1589" i="11"/>
  <c r="Y1588" i="11"/>
  <c r="Y1589" i="11"/>
  <c r="X1590" i="11"/>
  <c r="X1591" i="11"/>
  <c r="Y1590" i="11"/>
  <c r="X1592" i="11"/>
  <c r="Y1591" i="11"/>
  <c r="Y1592" i="11"/>
  <c r="X1593" i="11"/>
  <c r="Y1593" i="11"/>
  <c r="X1594" i="11"/>
  <c r="Y1594" i="11"/>
  <c r="X1595" i="11"/>
  <c r="X1596" i="11"/>
  <c r="Y1595" i="11"/>
  <c r="Y1596" i="11"/>
  <c r="X1597" i="11"/>
  <c r="Y1597" i="11"/>
  <c r="X1598" i="11"/>
  <c r="X1599" i="11"/>
  <c r="Y1598" i="11"/>
  <c r="Y1599" i="11"/>
  <c r="X1600" i="11"/>
  <c r="Y1600" i="11"/>
  <c r="X1601" i="11"/>
  <c r="Y1601" i="11"/>
  <c r="X1602" i="11"/>
  <c r="X1603" i="11"/>
  <c r="Y1602" i="11"/>
  <c r="X1604" i="11"/>
  <c r="Y1603" i="11"/>
  <c r="Y1604" i="11"/>
  <c r="X1605" i="11"/>
  <c r="Y1605" i="11"/>
  <c r="X1606" i="11"/>
  <c r="X1607" i="11"/>
  <c r="Y1606" i="11"/>
  <c r="Y1607" i="11"/>
  <c r="X1608" i="11"/>
  <c r="Y1608" i="11"/>
  <c r="X1609" i="11"/>
  <c r="X1610" i="11"/>
  <c r="Y1609" i="11"/>
  <c r="Y1610" i="11"/>
  <c r="X1611" i="11"/>
  <c r="X1612" i="11"/>
  <c r="Y1611" i="11"/>
  <c r="Y1612" i="11"/>
  <c r="X1613" i="11"/>
  <c r="Y1613" i="11"/>
  <c r="X1614" i="11"/>
  <c r="X1615" i="11"/>
  <c r="Y1614" i="11"/>
  <c r="Y1615" i="11"/>
  <c r="X1616" i="11"/>
  <c r="Y1616" i="11"/>
  <c r="X1617" i="11"/>
  <c r="Y1617" i="11"/>
  <c r="X1618" i="11"/>
  <c r="Y1618" i="11"/>
  <c r="X1619" i="11"/>
  <c r="X1620" i="11"/>
  <c r="Y1619" i="11"/>
  <c r="X1621" i="11"/>
  <c r="Y1620" i="11"/>
  <c r="Y1621" i="11"/>
  <c r="X1622" i="11"/>
  <c r="X1623" i="11"/>
  <c r="Y1622" i="11"/>
  <c r="X1624" i="11"/>
  <c r="Y1623" i="11"/>
  <c r="Y1624" i="11"/>
  <c r="X1625" i="11"/>
  <c r="Y1625" i="11"/>
  <c r="X1626" i="11"/>
  <c r="Y1626" i="11"/>
  <c r="X1627" i="11"/>
  <c r="X1628" i="11"/>
  <c r="Y1627" i="11"/>
  <c r="Y1628" i="11"/>
  <c r="X1629" i="11"/>
  <c r="Y1629" i="11"/>
  <c r="X1630" i="11"/>
  <c r="X1631" i="11"/>
  <c r="Y1630" i="11"/>
  <c r="Y1631" i="11"/>
  <c r="X1632" i="11"/>
  <c r="Y1632" i="11"/>
  <c r="X1633" i="11"/>
  <c r="Y1633" i="11"/>
  <c r="X1634" i="11"/>
  <c r="X1635" i="11"/>
  <c r="Y1634" i="11"/>
  <c r="X1636" i="11"/>
  <c r="Y1635" i="11"/>
  <c r="Y1636" i="11"/>
  <c r="X1637" i="11"/>
  <c r="Y1637" i="11"/>
  <c r="X1638" i="11"/>
  <c r="X1639" i="11"/>
  <c r="Y1638" i="11"/>
  <c r="Y1639" i="11"/>
  <c r="X1640" i="11"/>
  <c r="Y1640" i="11"/>
  <c r="X1641" i="11"/>
  <c r="X1642" i="11"/>
  <c r="Y1641" i="11"/>
  <c r="Y1642" i="11"/>
  <c r="X1643" i="11"/>
  <c r="X1644" i="11"/>
  <c r="Y1643" i="11"/>
  <c r="Y1644" i="11"/>
  <c r="X1645" i="11"/>
  <c r="Y1645" i="11"/>
  <c r="X1646" i="11"/>
  <c r="X1647" i="11"/>
  <c r="Y1646" i="11"/>
  <c r="Y1647" i="11"/>
  <c r="X1648" i="11"/>
  <c r="Y1648" i="11"/>
  <c r="X1649" i="11"/>
  <c r="X1650" i="11"/>
  <c r="Y1649" i="11"/>
  <c r="Y1650" i="11"/>
  <c r="X1651" i="11"/>
  <c r="Y1651" i="11"/>
  <c r="X1652" i="11"/>
  <c r="X1653" i="11"/>
  <c r="Y1652" i="11"/>
  <c r="Y1653" i="11"/>
  <c r="X1654" i="11"/>
  <c r="Y1654" i="11"/>
  <c r="X1655" i="11"/>
  <c r="Y1655" i="11"/>
  <c r="X1656" i="11"/>
  <c r="X1657" i="11"/>
  <c r="Y1656" i="11"/>
  <c r="Y1657" i="11"/>
  <c r="X1658" i="11"/>
  <c r="Y1658" i="11"/>
  <c r="X1659" i="11"/>
  <c r="Y1659" i="11"/>
  <c r="X1660" i="11"/>
  <c r="Y1660" i="11"/>
  <c r="X1661" i="11"/>
  <c r="Y1661" i="11"/>
  <c r="X1662" i="11"/>
  <c r="X1663" i="11"/>
  <c r="Y1662" i="11"/>
  <c r="Y1663" i="11"/>
  <c r="X1664" i="11"/>
  <c r="X1665" i="11"/>
  <c r="Y1664" i="11"/>
  <c r="Y1665" i="11"/>
  <c r="X1666" i="11"/>
  <c r="Y1666" i="11"/>
  <c r="X1667" i="11"/>
  <c r="X1668" i="11"/>
  <c r="Y1667" i="11"/>
  <c r="X1669" i="11"/>
  <c r="Y1668" i="11"/>
  <c r="Y1669" i="11"/>
  <c r="X1670" i="11"/>
  <c r="X1671" i="11"/>
  <c r="Y1670" i="11"/>
  <c r="Y1671" i="11"/>
  <c r="X1672" i="11"/>
  <c r="X1673" i="11"/>
  <c r="Y1672" i="11"/>
  <c r="X1674" i="11"/>
  <c r="Y1673" i="11"/>
  <c r="Y1674" i="11"/>
  <c r="X1675" i="11"/>
  <c r="Y1675" i="11"/>
  <c r="X1676" i="11"/>
  <c r="X1677" i="11"/>
  <c r="Y1676" i="11"/>
  <c r="Y1677" i="11"/>
  <c r="X1678" i="11"/>
  <c r="Y1678" i="11"/>
  <c r="X1679" i="11"/>
  <c r="X1680" i="11"/>
  <c r="Y1679" i="11"/>
  <c r="X1681" i="11"/>
  <c r="Y1680" i="11"/>
  <c r="Y1681" i="11"/>
  <c r="X1682" i="11"/>
  <c r="Y1682" i="11"/>
  <c r="X1683" i="11"/>
  <c r="Y1683" i="11"/>
  <c r="X1684" i="11"/>
  <c r="Y1684" i="11"/>
  <c r="X1685" i="11"/>
  <c r="X1686" i="11"/>
  <c r="Y1685" i="11"/>
  <c r="Y1686" i="11"/>
  <c r="X1687" i="11"/>
  <c r="Y1687" i="11"/>
  <c r="X1688" i="11"/>
  <c r="X1689" i="11"/>
  <c r="Y1688" i="11"/>
  <c r="X1690" i="11"/>
  <c r="Y1689" i="11"/>
  <c r="Y1690" i="11"/>
  <c r="X1691" i="11"/>
  <c r="X1692" i="11"/>
  <c r="Y1691" i="11"/>
  <c r="Y1692" i="11"/>
  <c r="X1693" i="11"/>
  <c r="Y1693" i="11"/>
  <c r="X1694" i="11"/>
  <c r="X1695" i="11"/>
  <c r="Y1694" i="11"/>
  <c r="Y1695" i="11"/>
  <c r="X1696" i="11"/>
  <c r="X1697" i="11"/>
  <c r="Y1696" i="11"/>
  <c r="X1698" i="11"/>
  <c r="Y1697" i="11"/>
  <c r="Y1698" i="11"/>
  <c r="X1699" i="11"/>
  <c r="Y1699" i="11"/>
  <c r="X1700" i="11"/>
  <c r="X1701" i="11"/>
  <c r="Y1700" i="11"/>
  <c r="X1702" i="11"/>
  <c r="Y1701" i="11"/>
  <c r="Y1702" i="11"/>
  <c r="X1703" i="11"/>
  <c r="X1704" i="11"/>
  <c r="Y1703" i="11"/>
  <c r="X1705" i="11"/>
  <c r="Y1704" i="11"/>
  <c r="X1706" i="11"/>
  <c r="Y1705" i="11"/>
  <c r="Y1706" i="11"/>
  <c r="X1707" i="11"/>
  <c r="X1708" i="11"/>
  <c r="Y1707" i="11"/>
  <c r="Y1708" i="11"/>
  <c r="X1709" i="11"/>
  <c r="Y1709" i="11"/>
  <c r="X1710" i="11"/>
  <c r="Y1710" i="11"/>
  <c r="X1711" i="11"/>
  <c r="Y1711" i="11"/>
  <c r="X1712" i="11"/>
  <c r="X1713" i="11"/>
  <c r="Y1712" i="11"/>
  <c r="X1714" i="11"/>
  <c r="Y1713" i="11"/>
  <c r="Y1714" i="11"/>
  <c r="X1715" i="11"/>
  <c r="Y1715" i="11"/>
  <c r="X1716" i="11"/>
  <c r="Y1716" i="11"/>
  <c r="X1717" i="11"/>
  <c r="X1718" i="11"/>
  <c r="Y1717" i="11"/>
  <c r="Y1718" i="11"/>
  <c r="X1719" i="11"/>
  <c r="Y1719" i="11"/>
  <c r="X1720" i="11"/>
  <c r="X1721" i="11"/>
  <c r="Y1720" i="11"/>
  <c r="Y1721" i="11"/>
  <c r="X1722" i="11"/>
  <c r="Y1722" i="11"/>
  <c r="X1723" i="11"/>
  <c r="Y1723" i="11"/>
  <c r="X1724" i="11"/>
  <c r="Y1724" i="11"/>
  <c r="X1725" i="11"/>
  <c r="Y1725" i="11"/>
  <c r="X1726" i="11"/>
  <c r="Y1726" i="11"/>
  <c r="X1727" i="11"/>
  <c r="Y1727" i="11"/>
  <c r="X1728" i="11"/>
  <c r="X1729" i="11"/>
  <c r="Y1728" i="11"/>
  <c r="X1730" i="11"/>
  <c r="Y1729" i="11"/>
  <c r="Y1730" i="11"/>
  <c r="X1731" i="11"/>
  <c r="X1732" i="11"/>
  <c r="Y1731" i="11"/>
  <c r="Y1732" i="11"/>
  <c r="X1733" i="11"/>
  <c r="X1734" i="11"/>
  <c r="Y1733" i="11"/>
  <c r="X1735" i="11"/>
  <c r="Y1734" i="11"/>
  <c r="Y1735" i="11"/>
  <c r="X1736" i="11"/>
  <c r="X1737" i="11"/>
  <c r="Y1736" i="11"/>
  <c r="Y1737" i="11"/>
  <c r="X1738" i="11"/>
  <c r="Y1738" i="11"/>
  <c r="X1739" i="11"/>
  <c r="X1740" i="11"/>
  <c r="Y1739" i="11"/>
  <c r="Y1740" i="11"/>
  <c r="X1741" i="11"/>
  <c r="X1742" i="11"/>
  <c r="Y1741" i="11"/>
  <c r="Y1742" i="11"/>
  <c r="X1743" i="11"/>
  <c r="Y1743" i="11"/>
  <c r="X1744" i="11"/>
  <c r="X1745" i="11"/>
  <c r="Y1744" i="11"/>
  <c r="X1746" i="11"/>
  <c r="Y1745" i="11"/>
  <c r="Y1746" i="11"/>
  <c r="X1747" i="11"/>
  <c r="Y1747" i="11"/>
  <c r="X1748" i="11"/>
  <c r="X1749" i="11"/>
  <c r="Y1748" i="11"/>
  <c r="X1750" i="11"/>
  <c r="Y1749" i="11"/>
  <c r="Y1750" i="11"/>
  <c r="X1751" i="11"/>
  <c r="Y1751" i="11"/>
  <c r="X1752" i="11"/>
  <c r="X1753" i="11"/>
  <c r="Y1752" i="11"/>
  <c r="X1754" i="11"/>
  <c r="Y1753" i="11"/>
  <c r="Y1754" i="11"/>
  <c r="X1755" i="11"/>
  <c r="Y1755" i="11"/>
  <c r="X1756" i="11"/>
  <c r="Y1756" i="11"/>
  <c r="X1757" i="11"/>
  <c r="X1758" i="11"/>
  <c r="Y1757" i="11"/>
  <c r="Y1758" i="11"/>
  <c r="X1759" i="11"/>
  <c r="Y1759" i="11"/>
  <c r="X1760" i="11"/>
  <c r="X1761" i="11"/>
  <c r="Y1760" i="11"/>
  <c r="Y1761" i="11"/>
  <c r="X1762" i="11"/>
  <c r="Y1762" i="11"/>
  <c r="X1763" i="11"/>
  <c r="X1764" i="11"/>
  <c r="Y1763" i="11"/>
  <c r="X1765" i="11"/>
  <c r="Y1764" i="11"/>
  <c r="X1766" i="11"/>
  <c r="Y1765" i="11"/>
  <c r="X1767" i="11"/>
  <c r="Y1766" i="11"/>
  <c r="Y1767" i="11"/>
  <c r="X1768" i="11"/>
  <c r="X1769" i="11"/>
  <c r="Y1768" i="11"/>
  <c r="Y1769" i="11"/>
  <c r="X1770" i="11"/>
  <c r="Y1770" i="11"/>
  <c r="X1771" i="11"/>
  <c r="Y1771" i="11"/>
  <c r="X1772" i="11"/>
  <c r="Y1772" i="11"/>
  <c r="X1773" i="11"/>
  <c r="X1774" i="11"/>
  <c r="Y1773" i="11"/>
  <c r="Y1774" i="11"/>
  <c r="X1775" i="11"/>
  <c r="Y1775" i="11"/>
  <c r="X1776" i="11"/>
  <c r="X1777" i="11"/>
  <c r="Y1776" i="11"/>
  <c r="X1778" i="11"/>
  <c r="Y1777" i="11"/>
  <c r="Y1778" i="11"/>
  <c r="X1779" i="11"/>
  <c r="Y1779" i="11"/>
  <c r="X1780" i="11"/>
  <c r="X1781" i="11"/>
  <c r="Y1780" i="11"/>
  <c r="X1782" i="11"/>
  <c r="Y1781" i="11"/>
  <c r="Y1782" i="11"/>
  <c r="X1783" i="11"/>
  <c r="Y1783" i="11"/>
  <c r="X1784" i="11"/>
  <c r="X1785" i="11"/>
  <c r="Y1784" i="11"/>
  <c r="Y1785" i="11"/>
  <c r="X1786" i="11"/>
  <c r="Y1786" i="11"/>
  <c r="X1787" i="11"/>
  <c r="Y1787" i="11"/>
  <c r="X1788" i="11"/>
  <c r="Y1788" i="11"/>
  <c r="X1789" i="11"/>
  <c r="X1790" i="11"/>
  <c r="Y1789" i="11"/>
  <c r="Y1790" i="11"/>
  <c r="X1791" i="11"/>
  <c r="Y1791" i="11"/>
  <c r="X1792" i="11"/>
  <c r="X1793" i="11"/>
  <c r="Y1792" i="11"/>
  <c r="Y1793" i="11"/>
  <c r="X1794" i="11"/>
  <c r="Y1794" i="11"/>
  <c r="X1795" i="11"/>
  <c r="X1796" i="11"/>
  <c r="Y1795" i="11"/>
  <c r="Y1796" i="11"/>
  <c r="X1797" i="11"/>
  <c r="X1798" i="11"/>
  <c r="Y1797" i="11"/>
  <c r="X1799" i="11"/>
  <c r="Y1798" i="11"/>
  <c r="Y1799" i="11"/>
  <c r="X1800" i="11"/>
  <c r="X1801" i="11"/>
  <c r="Y1800" i="11"/>
  <c r="Y1801" i="11"/>
  <c r="X1802" i="11"/>
  <c r="Y1802" i="11"/>
  <c r="X1803" i="11"/>
  <c r="Y1803" i="11"/>
  <c r="X1804" i="11"/>
  <c r="Y1804" i="11"/>
  <c r="X1805" i="11"/>
  <c r="X1806" i="11"/>
  <c r="Y1805" i="11"/>
  <c r="Y1806" i="11"/>
  <c r="X1807" i="11"/>
  <c r="Y1807" i="11"/>
  <c r="X1808" i="11"/>
  <c r="X1809" i="11"/>
  <c r="Y1808" i="11"/>
  <c r="X1810" i="11"/>
  <c r="Y1809" i="11"/>
  <c r="Y1810" i="11"/>
  <c r="X1811" i="11"/>
  <c r="Y1811" i="11"/>
  <c r="X1812" i="11"/>
  <c r="X1813" i="11"/>
  <c r="Y1812" i="11"/>
  <c r="X1814" i="11"/>
  <c r="Y1813" i="11"/>
  <c r="X1815" i="11"/>
  <c r="Y1814" i="11"/>
  <c r="Y1815" i="11"/>
  <c r="X1816" i="11"/>
  <c r="X1817" i="11"/>
  <c r="Y1816" i="11"/>
  <c r="Y1817" i="11"/>
  <c r="X1818" i="11"/>
  <c r="Y1818" i="11"/>
  <c r="X1819" i="11"/>
  <c r="Y1819" i="11"/>
  <c r="X1820" i="11"/>
  <c r="Y1820" i="11"/>
  <c r="X1821" i="11"/>
  <c r="X1822" i="11"/>
  <c r="Y1821" i="11"/>
  <c r="Y1822" i="11"/>
  <c r="X1823" i="11"/>
  <c r="Y1823" i="11"/>
  <c r="X1824" i="11"/>
  <c r="X1825" i="11"/>
  <c r="Y1824" i="11"/>
  <c r="X1826" i="11"/>
  <c r="Y1825" i="11"/>
  <c r="Y1826" i="11"/>
  <c r="X1827" i="11"/>
  <c r="X1828" i="11"/>
  <c r="Y1827" i="11"/>
  <c r="X1829" i="11"/>
  <c r="Y1828" i="11"/>
  <c r="X1830" i="11"/>
  <c r="Y1829" i="11"/>
  <c r="X1831" i="11"/>
  <c r="Y1830" i="11"/>
  <c r="Y1831" i="11"/>
  <c r="X1832" i="11"/>
  <c r="X1833" i="11"/>
  <c r="Y1832" i="11"/>
  <c r="Y1833" i="11"/>
  <c r="X1834" i="11"/>
  <c r="Y1834" i="11"/>
  <c r="X1835" i="11"/>
  <c r="Y1835" i="11"/>
  <c r="X1836" i="11"/>
  <c r="Y1836" i="11"/>
  <c r="X1837" i="11"/>
  <c r="X1838" i="11"/>
  <c r="Y1837" i="11"/>
  <c r="X1839" i="11"/>
  <c r="Y1838" i="11"/>
  <c r="Y1839" i="11"/>
  <c r="X1840" i="11"/>
  <c r="X1841" i="11"/>
  <c r="Y1840" i="11"/>
  <c r="X1842" i="11"/>
  <c r="Y1841" i="11"/>
  <c r="Y1842" i="11"/>
  <c r="X1843" i="11"/>
  <c r="Y1843" i="11"/>
  <c r="X1844" i="11"/>
  <c r="X1845" i="11"/>
  <c r="Y1844" i="11"/>
  <c r="X1846" i="11"/>
  <c r="Y1845" i="11"/>
  <c r="Y1846" i="11"/>
  <c r="X1847" i="11"/>
  <c r="Y1847" i="11"/>
  <c r="X1848" i="11"/>
  <c r="X1849" i="11"/>
  <c r="Y1848" i="11"/>
  <c r="X1850" i="11"/>
  <c r="Y1849" i="11"/>
  <c r="Y1850" i="11"/>
  <c r="X1851" i="11"/>
  <c r="Y1851" i="11"/>
  <c r="X1852" i="11"/>
  <c r="Y1852" i="11"/>
  <c r="X1853" i="11"/>
  <c r="X1854" i="11"/>
  <c r="Y1853" i="11"/>
  <c r="Y1854" i="11"/>
  <c r="X1855" i="11"/>
  <c r="Y1855" i="11"/>
  <c r="X1856" i="11"/>
  <c r="X1857" i="11"/>
  <c r="Y1856" i="11"/>
  <c r="Y1857" i="11"/>
  <c r="X1858" i="11"/>
  <c r="Y1858" i="11"/>
  <c r="X1859" i="11"/>
  <c r="X1860" i="11"/>
  <c r="Y1859" i="11"/>
  <c r="X1861" i="11"/>
  <c r="Y1860" i="11"/>
  <c r="X1862" i="11"/>
  <c r="Y1861" i="11"/>
  <c r="X1863" i="11"/>
  <c r="Y1862" i="11"/>
  <c r="Y1863" i="11"/>
  <c r="X1864" i="11"/>
  <c r="X1865" i="11"/>
  <c r="Y1864" i="11"/>
  <c r="Y1865" i="11"/>
  <c r="X1866" i="11"/>
  <c r="Y1866" i="11"/>
  <c r="X1867" i="11"/>
  <c r="X1868" i="11"/>
  <c r="Y1867" i="11"/>
  <c r="Y1868" i="11"/>
  <c r="X1869" i="11"/>
  <c r="X1870" i="11"/>
  <c r="Y1869" i="11"/>
  <c r="Y1870" i="11"/>
  <c r="X1871" i="11"/>
  <c r="Y1871" i="11"/>
  <c r="X1872" i="11"/>
  <c r="X1873" i="11"/>
  <c r="Y1872" i="11"/>
  <c r="X1874" i="11"/>
  <c r="Y1873" i="11"/>
  <c r="Y1874" i="11"/>
  <c r="X1875" i="11"/>
  <c r="Y1875" i="11"/>
  <c r="X1876" i="11"/>
  <c r="X1877" i="11"/>
  <c r="Y1876" i="11"/>
  <c r="X1878" i="11"/>
  <c r="Y1877" i="11"/>
  <c r="Y1878" i="11"/>
  <c r="X1879" i="11"/>
  <c r="Y1879" i="11"/>
  <c r="X1880" i="11"/>
  <c r="X1881" i="11"/>
  <c r="Y1880" i="11"/>
  <c r="Y1881" i="11"/>
  <c r="X1882" i="11"/>
  <c r="Y1882" i="11"/>
  <c r="X1883" i="11"/>
  <c r="Y1883" i="11"/>
  <c r="X1884" i="11"/>
  <c r="Y1884" i="11"/>
  <c r="X1885" i="11"/>
  <c r="X1886" i="11"/>
  <c r="Y1885" i="11"/>
  <c r="Y1886" i="11"/>
  <c r="X1887" i="11"/>
  <c r="Y1887" i="11"/>
  <c r="X1888" i="11"/>
  <c r="X1889" i="11"/>
  <c r="Y1888" i="11"/>
  <c r="Y1889" i="11"/>
  <c r="X1890" i="11"/>
  <c r="Y1890" i="11"/>
  <c r="X1891" i="11"/>
  <c r="X1892" i="11"/>
  <c r="Y1891" i="11"/>
  <c r="Y1892" i="11"/>
  <c r="X1893" i="11"/>
  <c r="X1894" i="11"/>
  <c r="Y1893" i="11"/>
  <c r="X1895" i="11"/>
  <c r="Y1894" i="11"/>
  <c r="Y1895" i="11"/>
  <c r="X1896" i="11"/>
  <c r="X1897" i="11"/>
  <c r="Y1896" i="11"/>
  <c r="Y1897" i="11"/>
  <c r="X1898" i="11"/>
  <c r="Y1898" i="11"/>
  <c r="X1899" i="11"/>
  <c r="Y1899" i="11"/>
  <c r="X1900" i="11"/>
  <c r="Y1900" i="11"/>
  <c r="X1901" i="11"/>
  <c r="X1902" i="11"/>
  <c r="Y1901" i="11"/>
  <c r="Y1902" i="11"/>
  <c r="X1903" i="11"/>
  <c r="Y1903" i="11"/>
  <c r="X1904" i="11"/>
  <c r="X1905" i="11"/>
  <c r="Y1904" i="11"/>
  <c r="X1906" i="11"/>
  <c r="Y1905" i="11"/>
  <c r="Y1906" i="11"/>
  <c r="X1907" i="11"/>
  <c r="Y1907" i="11"/>
  <c r="X1908" i="11"/>
  <c r="X1909" i="11"/>
  <c r="Y1908" i="11"/>
  <c r="X1910" i="11"/>
  <c r="Y1909" i="11"/>
  <c r="Y1910" i="11"/>
  <c r="X1911" i="11"/>
  <c r="Y1911" i="11"/>
  <c r="X1912" i="11"/>
  <c r="X1913" i="11"/>
  <c r="Y1912" i="11"/>
  <c r="X1914" i="11"/>
  <c r="Y1913" i="11"/>
  <c r="Y1914" i="11"/>
  <c r="X1915" i="11"/>
  <c r="Y1915" i="11"/>
  <c r="X1916" i="11"/>
  <c r="Y1916" i="11"/>
  <c r="X1917" i="11"/>
  <c r="X1918" i="11"/>
  <c r="Y1917" i="11"/>
  <c r="Y1918" i="11"/>
  <c r="X1919" i="11"/>
  <c r="Y1919" i="11"/>
  <c r="X1920" i="11"/>
  <c r="X1921" i="11"/>
  <c r="Y1920" i="11"/>
  <c r="Y1921" i="11"/>
  <c r="X1922" i="11"/>
  <c r="Y1922" i="11"/>
  <c r="X1923" i="11"/>
  <c r="X1924" i="11"/>
  <c r="Y1923" i="11"/>
  <c r="Y1924" i="11"/>
  <c r="X1925" i="11"/>
  <c r="X1926" i="11"/>
  <c r="Y1925" i="11"/>
  <c r="X1927" i="11"/>
  <c r="Y1926" i="11"/>
  <c r="Y1927" i="11"/>
  <c r="X1928" i="11"/>
  <c r="X1929" i="11"/>
  <c r="Y1928" i="11"/>
  <c r="Y1929" i="11"/>
  <c r="X1930" i="11"/>
  <c r="Y1930" i="11"/>
  <c r="X1931" i="11"/>
  <c r="X1932" i="11"/>
  <c r="Y1931" i="11"/>
  <c r="Y1932" i="11"/>
  <c r="X1933" i="11"/>
  <c r="X1934" i="11"/>
  <c r="Y1933" i="11"/>
  <c r="X1935" i="11"/>
  <c r="Y1934" i="11"/>
  <c r="Y1935" i="11"/>
  <c r="X1936" i="11"/>
  <c r="X1937" i="11"/>
  <c r="Y1936" i="11"/>
  <c r="X1938" i="11"/>
  <c r="Y1937" i="11"/>
  <c r="Y1938" i="11"/>
  <c r="X1939" i="11"/>
  <c r="Y1939" i="11"/>
  <c r="X1940" i="11"/>
  <c r="X1941" i="11"/>
  <c r="Y1940" i="11"/>
  <c r="X1942" i="11"/>
  <c r="Y1941" i="11"/>
  <c r="Y1942" i="11"/>
  <c r="X1943" i="11"/>
  <c r="Y1943" i="11"/>
  <c r="X1944" i="11"/>
  <c r="X1945" i="11"/>
  <c r="Y1944" i="11"/>
  <c r="X1946" i="11"/>
  <c r="Y1945" i="11"/>
  <c r="Y1946" i="11"/>
  <c r="X1947" i="11"/>
  <c r="Y1947" i="11"/>
  <c r="X1948" i="11"/>
  <c r="X1949" i="11"/>
  <c r="Y1948" i="11"/>
  <c r="X1950" i="11"/>
  <c r="Y1949" i="11"/>
  <c r="Y1950" i="11"/>
  <c r="X1951" i="11"/>
  <c r="Y1951" i="11"/>
  <c r="X1952" i="11"/>
  <c r="X1953" i="11"/>
  <c r="Y1952" i="11"/>
  <c r="Y1953" i="11"/>
  <c r="X1954" i="11"/>
  <c r="Y1954" i="11"/>
  <c r="X1955" i="11"/>
  <c r="X1956" i="11"/>
  <c r="Y1955" i="11"/>
  <c r="X1957" i="11"/>
  <c r="Y1956" i="11"/>
  <c r="X1958" i="11"/>
  <c r="Y1957" i="11"/>
  <c r="X1959" i="11"/>
  <c r="Y1958" i="11"/>
  <c r="Y1959" i="11"/>
  <c r="X1960" i="11"/>
  <c r="X1961" i="11"/>
  <c r="Y1960" i="11"/>
  <c r="Y1961" i="11"/>
  <c r="X1962" i="11"/>
  <c r="Y1962" i="11"/>
  <c r="X1963" i="11"/>
  <c r="X1964" i="11"/>
  <c r="Y1963" i="11"/>
  <c r="Y1964" i="11"/>
  <c r="X1965" i="11"/>
  <c r="X1966" i="11"/>
  <c r="Y1965" i="11"/>
  <c r="Y1966" i="11"/>
  <c r="X1967" i="11"/>
  <c r="Y1967" i="11"/>
  <c r="X1968" i="11"/>
  <c r="X1969" i="11"/>
  <c r="Y1968" i="11"/>
  <c r="X1970" i="11"/>
  <c r="Y1969" i="11"/>
  <c r="Y1970" i="11"/>
  <c r="X1971" i="11"/>
  <c r="Y1971" i="11"/>
  <c r="X1972" i="11"/>
  <c r="X1973" i="11"/>
  <c r="Y1972" i="11"/>
  <c r="X1974" i="11"/>
  <c r="Y1973" i="11"/>
  <c r="X1975" i="11"/>
  <c r="Y1974" i="11"/>
  <c r="Y1975" i="11"/>
  <c r="X1976" i="11"/>
  <c r="X1977" i="11"/>
  <c r="Y1976" i="11"/>
  <c r="Y1977" i="11"/>
  <c r="X1978" i="11"/>
  <c r="Y1978" i="11"/>
  <c r="X1979" i="11"/>
  <c r="Y1979" i="11"/>
  <c r="X1980" i="11"/>
  <c r="X1981" i="11"/>
  <c r="Y1980" i="11"/>
  <c r="X1982" i="11"/>
  <c r="Y1981" i="11"/>
  <c r="Y1982" i="11"/>
  <c r="X1983" i="11"/>
  <c r="Y1983" i="11"/>
  <c r="X1984" i="11"/>
  <c r="X1985" i="11"/>
  <c r="Y1984" i="11"/>
  <c r="Y1985" i="11"/>
  <c r="X1986" i="11"/>
  <c r="Y1986" i="11"/>
  <c r="X1987" i="11"/>
  <c r="X1988" i="11"/>
  <c r="Y1987" i="11"/>
  <c r="Y1988" i="11"/>
  <c r="X1989" i="11"/>
  <c r="X1990" i="11"/>
  <c r="Y1989" i="11"/>
  <c r="X1991" i="11"/>
  <c r="Y1990" i="11"/>
  <c r="Y1991" i="11"/>
  <c r="X1992" i="11"/>
  <c r="X1993" i="11"/>
  <c r="Y1992" i="11"/>
  <c r="Y1993" i="11"/>
  <c r="X1994" i="11"/>
  <c r="Y1994" i="11"/>
  <c r="X1995" i="11"/>
  <c r="Y1995" i="11"/>
  <c r="X1996" i="11"/>
  <c r="Y1996" i="11"/>
  <c r="X1997" i="11"/>
  <c r="X1998" i="11"/>
  <c r="Y1997" i="11"/>
  <c r="Y1998" i="11"/>
  <c r="X1999" i="11"/>
  <c r="Y1999" i="11"/>
  <c r="X2000" i="11"/>
  <c r="X2001" i="11"/>
  <c r="Y2000" i="11"/>
  <c r="X2002" i="11"/>
  <c r="Y2001" i="11"/>
  <c r="Y2002" i="11"/>
  <c r="X2003" i="11"/>
  <c r="Y2003" i="11"/>
  <c r="X2004" i="11"/>
  <c r="X2005" i="11"/>
  <c r="Y2004" i="11"/>
  <c r="X2006" i="11"/>
  <c r="Y2005" i="11"/>
  <c r="Y2006" i="11"/>
  <c r="X2007" i="11"/>
  <c r="Y2007" i="11"/>
  <c r="X2008" i="11"/>
  <c r="X2009" i="11"/>
  <c r="Y2008" i="11"/>
  <c r="Y2009" i="11"/>
  <c r="X2010" i="11"/>
  <c r="Y2010" i="11"/>
  <c r="X2011" i="11"/>
  <c r="Y2011" i="11"/>
  <c r="X2012" i="11"/>
  <c r="Y2012" i="11"/>
  <c r="X2013" i="11"/>
  <c r="X2014" i="11"/>
  <c r="Y2013" i="11"/>
  <c r="Y2014" i="11"/>
  <c r="X2015" i="11"/>
  <c r="Y2015" i="11"/>
  <c r="X2016" i="11"/>
  <c r="X2017" i="11"/>
  <c r="Y2016" i="11"/>
  <c r="Y2017" i="11"/>
  <c r="X2018" i="11"/>
  <c r="Y2018" i="11"/>
  <c r="X2019" i="11"/>
  <c r="X2020" i="11"/>
  <c r="Y2019" i="11"/>
  <c r="Y2020" i="11"/>
  <c r="X2021" i="11"/>
  <c r="X2022" i="11"/>
  <c r="Y2021" i="11"/>
  <c r="X2023" i="11"/>
  <c r="Y2022" i="11"/>
  <c r="Y2023" i="11"/>
  <c r="X2024" i="11"/>
  <c r="X2025" i="11"/>
  <c r="Y2024" i="11"/>
  <c r="Y2025" i="11"/>
  <c r="X2026" i="11"/>
  <c r="Y2026" i="11"/>
  <c r="X2027" i="11"/>
  <c r="Y2027" i="11"/>
  <c r="X2028" i="11"/>
  <c r="Y2028" i="11"/>
  <c r="X2029" i="11"/>
  <c r="X2030" i="11"/>
  <c r="Y2029" i="11"/>
  <c r="Y2030" i="11"/>
  <c r="X2031" i="11"/>
  <c r="Y2031" i="11"/>
  <c r="X2032" i="11"/>
  <c r="X2033" i="11"/>
  <c r="Y2032" i="11"/>
  <c r="X2034" i="11"/>
  <c r="Y2033" i="11"/>
  <c r="Y2034" i="11"/>
  <c r="X2035" i="11"/>
  <c r="Y2035" i="11"/>
  <c r="X2036" i="11"/>
  <c r="X2037" i="11"/>
  <c r="Y2036" i="11"/>
  <c r="X2038" i="11"/>
  <c r="Y2037" i="11"/>
  <c r="Y2038" i="11"/>
  <c r="X2039" i="11"/>
  <c r="Y2039" i="11"/>
  <c r="X2040" i="11"/>
  <c r="X2041" i="11"/>
  <c r="Y2040" i="11"/>
  <c r="Y2041" i="11"/>
  <c r="X2042" i="11"/>
  <c r="Y2042" i="11"/>
  <c r="X2043" i="11"/>
  <c r="Y2043" i="11"/>
  <c r="X2044" i="11"/>
  <c r="Y2044" i="11"/>
  <c r="X2045" i="11"/>
  <c r="X2046" i="11"/>
  <c r="Y2045" i="11"/>
  <c r="Y2046" i="11"/>
  <c r="X2047" i="11"/>
  <c r="Y2047" i="11"/>
  <c r="X2048" i="11"/>
  <c r="X2049" i="11"/>
  <c r="Y2048" i="11"/>
  <c r="Y2049" i="11"/>
  <c r="X2050" i="11"/>
  <c r="Y2050" i="11"/>
  <c r="X2051" i="11"/>
  <c r="X2052" i="11"/>
  <c r="Y2051" i="11"/>
  <c r="Y2052" i="11"/>
  <c r="X2053" i="11"/>
  <c r="X2054" i="11"/>
  <c r="Y2053" i="11"/>
  <c r="X2055" i="11"/>
  <c r="Y2054" i="11"/>
  <c r="Y2055" i="11"/>
  <c r="X2056" i="11"/>
  <c r="X2057" i="11"/>
  <c r="Y2056" i="11"/>
  <c r="Y2057" i="11"/>
  <c r="X2058" i="11"/>
  <c r="Y2058" i="11"/>
  <c r="X2059" i="11"/>
  <c r="X2060" i="11"/>
  <c r="Y2059" i="11"/>
  <c r="Y2060" i="11"/>
  <c r="X2061" i="11"/>
  <c r="X2062" i="11"/>
  <c r="Y2061" i="11"/>
  <c r="Y2062" i="11"/>
  <c r="X2063" i="11"/>
  <c r="Y2063" i="11"/>
  <c r="X2064" i="11"/>
  <c r="X2065" i="11"/>
  <c r="Y2064" i="11"/>
  <c r="X2066" i="11"/>
  <c r="Y2065" i="11"/>
  <c r="Y2066" i="11"/>
  <c r="X2067" i="11"/>
  <c r="Y2067" i="11"/>
  <c r="X2068" i="11"/>
  <c r="X2069" i="11"/>
  <c r="Y2068" i="11"/>
  <c r="X2070" i="11"/>
  <c r="Y2069" i="11"/>
  <c r="X2071" i="11"/>
  <c r="Y2070" i="11"/>
  <c r="Y2071" i="11"/>
  <c r="X2072" i="11"/>
  <c r="X2073" i="11"/>
  <c r="Y2072" i="11"/>
  <c r="Y2073" i="11"/>
  <c r="X2074" i="11"/>
  <c r="Y2074" i="11"/>
  <c r="X2075" i="11"/>
  <c r="Y2075" i="11"/>
  <c r="X2076" i="11"/>
  <c r="X2077" i="11"/>
  <c r="Y2076" i="11"/>
  <c r="X2078" i="11"/>
  <c r="Y2077" i="11"/>
  <c r="Y2078" i="11"/>
  <c r="X2079" i="11"/>
  <c r="Y2079" i="11"/>
  <c r="X2080" i="11"/>
  <c r="X2081" i="11"/>
  <c r="Y2080" i="11"/>
  <c r="Y2081" i="11"/>
  <c r="X2082" i="11"/>
  <c r="Y2082" i="11"/>
  <c r="X2083" i="11"/>
  <c r="X2084" i="11"/>
  <c r="Y2083" i="11"/>
  <c r="Y2084" i="11"/>
  <c r="X2085" i="11"/>
  <c r="X2086" i="11"/>
  <c r="Y2085" i="11"/>
  <c r="X2087" i="11"/>
  <c r="Y2086" i="11"/>
  <c r="Y2087" i="11"/>
  <c r="X2088" i="11"/>
  <c r="X2089" i="11"/>
  <c r="Y2088" i="11"/>
  <c r="Y2089" i="11"/>
  <c r="X2090" i="11"/>
  <c r="Y2090" i="11"/>
  <c r="X2091" i="11"/>
  <c r="Y2091" i="11"/>
  <c r="X2092" i="11"/>
  <c r="Y2092" i="11"/>
  <c r="X2093" i="11"/>
  <c r="X2094" i="11"/>
  <c r="Y2093" i="11"/>
  <c r="X2095" i="11"/>
  <c r="Y2094" i="11"/>
  <c r="Y2095" i="11"/>
  <c r="X2096" i="11"/>
  <c r="X2097" i="11"/>
  <c r="Y2096" i="11"/>
  <c r="X2098" i="11"/>
  <c r="Y2097" i="11"/>
  <c r="Y2098" i="11"/>
  <c r="X2099" i="11"/>
  <c r="Y2099" i="11"/>
  <c r="X2100" i="11"/>
  <c r="X2101" i="11"/>
  <c r="Y2100" i="11"/>
  <c r="X2102" i="11"/>
  <c r="Y2101" i="11"/>
  <c r="Y2102" i="11"/>
  <c r="X2103" i="11"/>
  <c r="Y2103" i="11"/>
  <c r="X2104" i="11"/>
  <c r="X2105" i="11"/>
  <c r="Y2104" i="11"/>
  <c r="X2106" i="11"/>
  <c r="Y2105" i="11"/>
  <c r="Y2106" i="11"/>
  <c r="X2107" i="11"/>
  <c r="Y2107" i="11"/>
  <c r="X2108" i="11"/>
  <c r="Y2108" i="11"/>
  <c r="X2109" i="11"/>
  <c r="X2110" i="11"/>
  <c r="Y2109" i="11"/>
  <c r="Y2110" i="11"/>
  <c r="X2111" i="11"/>
  <c r="Y2111" i="11"/>
  <c r="X2112" i="11"/>
  <c r="X2113" i="11"/>
  <c r="Y2112" i="11"/>
  <c r="Y2113" i="11"/>
  <c r="X2114" i="11"/>
  <c r="Y2114" i="11"/>
  <c r="X2115" i="11"/>
  <c r="X2116" i="11"/>
  <c r="Y2115" i="11"/>
  <c r="X2117" i="11"/>
  <c r="Y2116" i="11"/>
  <c r="X2118" i="11"/>
  <c r="Y2117" i="11"/>
  <c r="X2119" i="11"/>
  <c r="Y2118" i="11"/>
  <c r="Y2119" i="11"/>
  <c r="X2120" i="11"/>
  <c r="X2121" i="11"/>
  <c r="Y2120" i="11"/>
  <c r="Y2121" i="11"/>
  <c r="X2122" i="11"/>
  <c r="Y2122" i="11"/>
  <c r="X2123" i="11"/>
  <c r="Y2123" i="11"/>
  <c r="X2124" i="11"/>
  <c r="Y2124" i="11"/>
  <c r="X2125" i="11"/>
  <c r="X2126" i="11"/>
  <c r="Y2125" i="11"/>
  <c r="Y2126" i="11"/>
  <c r="X2127" i="11"/>
  <c r="Y2127" i="11"/>
  <c r="X2128" i="11"/>
  <c r="X2129" i="11"/>
  <c r="Y2128" i="11"/>
  <c r="X2130" i="11"/>
  <c r="Y2129" i="11"/>
  <c r="Y2130" i="11"/>
  <c r="X2131" i="11"/>
  <c r="Y2131" i="11"/>
  <c r="X2132" i="11"/>
  <c r="X2133" i="11"/>
  <c r="Y2132" i="11"/>
  <c r="X2134" i="11"/>
  <c r="Y2133" i="11"/>
  <c r="Y2134" i="11"/>
  <c r="X2135" i="11"/>
  <c r="Y2135" i="11"/>
  <c r="X2136" i="11"/>
  <c r="X2137" i="11"/>
  <c r="Y2136" i="11"/>
  <c r="Y2137" i="11"/>
  <c r="X2138" i="11"/>
  <c r="Y2138" i="11"/>
  <c r="X2139" i="11"/>
  <c r="Y2139" i="11"/>
  <c r="X2140" i="11"/>
  <c r="Y2140" i="11"/>
  <c r="X2141" i="11"/>
  <c r="X2142" i="11"/>
  <c r="Y2141" i="11"/>
  <c r="Y2142" i="11"/>
  <c r="X2143" i="11"/>
  <c r="Y2143" i="11"/>
  <c r="X2144" i="11"/>
  <c r="X2145" i="11"/>
  <c r="Y2144" i="11"/>
  <c r="Y2145" i="11"/>
  <c r="X2146" i="11"/>
  <c r="Y2146" i="11"/>
  <c r="X2147" i="11"/>
  <c r="X2148" i="11"/>
  <c r="Y2147" i="11"/>
  <c r="Y2148" i="11"/>
  <c r="X2149" i="11"/>
  <c r="X2150" i="11"/>
  <c r="Y2149" i="11"/>
  <c r="X2151" i="11"/>
  <c r="Y2150" i="11"/>
  <c r="Y2151" i="11"/>
  <c r="X2152" i="11"/>
  <c r="X2153" i="11"/>
  <c r="Y2152" i="11"/>
  <c r="Y2153" i="11"/>
  <c r="X2154" i="11"/>
  <c r="Y2154" i="11"/>
  <c r="X2155" i="11"/>
  <c r="Y2155" i="11"/>
  <c r="X2156" i="11"/>
  <c r="Y2156" i="11"/>
  <c r="X2157" i="11"/>
  <c r="X2158" i="11"/>
  <c r="Y2157" i="11"/>
  <c r="Y2158" i="11"/>
  <c r="X2159" i="11"/>
  <c r="Y2159" i="11"/>
  <c r="X2160" i="11"/>
  <c r="X2161" i="11"/>
  <c r="Y2160" i="11"/>
  <c r="X2162" i="11"/>
  <c r="Y2161" i="11"/>
  <c r="Y2162" i="11"/>
  <c r="X2163" i="11"/>
  <c r="Y2163" i="11"/>
  <c r="X2164" i="11"/>
  <c r="X2165" i="11"/>
  <c r="Y2164" i="11"/>
  <c r="X2166" i="11"/>
  <c r="Y2165" i="11"/>
  <c r="Y2166" i="11"/>
  <c r="X2167" i="11"/>
  <c r="Y2167" i="11"/>
  <c r="X2168" i="11"/>
  <c r="X2169" i="11"/>
  <c r="Y2168" i="11"/>
  <c r="Y2169" i="11"/>
  <c r="X2170" i="11"/>
  <c r="Y2170" i="11"/>
  <c r="X2171" i="11"/>
  <c r="Y2171" i="11"/>
  <c r="X2172" i="11"/>
  <c r="Y2172" i="11"/>
  <c r="X2173" i="11"/>
  <c r="X2174" i="11"/>
  <c r="Y2173" i="11"/>
  <c r="Y2174" i="11"/>
  <c r="X2175" i="11"/>
  <c r="Y2175" i="11"/>
  <c r="X2176" i="11"/>
  <c r="X2177" i="11"/>
  <c r="Y2176" i="11"/>
  <c r="Y2177" i="11"/>
  <c r="X2178" i="11"/>
  <c r="Y2178" i="11"/>
  <c r="X2179" i="11"/>
  <c r="X2180" i="11"/>
  <c r="Y2179" i="11"/>
  <c r="Y2180" i="11"/>
  <c r="X2181" i="11"/>
  <c r="X2182" i="11"/>
  <c r="Y2181" i="11"/>
  <c r="X2183" i="11"/>
  <c r="Y2182" i="11"/>
  <c r="Y2183" i="11"/>
  <c r="X2184" i="11"/>
  <c r="X2185" i="11"/>
  <c r="Y2184" i="11"/>
  <c r="Y2185" i="11"/>
  <c r="X2186" i="11"/>
  <c r="Y2186" i="11"/>
  <c r="X2187" i="11"/>
  <c r="Y2187" i="11"/>
  <c r="X2188" i="11"/>
  <c r="Y2188" i="11"/>
  <c r="X2189" i="11"/>
  <c r="X2190" i="11"/>
  <c r="Y2189" i="11"/>
  <c r="X2191" i="11"/>
  <c r="Y2190" i="11"/>
  <c r="Y2191" i="11"/>
  <c r="X2192" i="11"/>
  <c r="X2193" i="11"/>
  <c r="Y2192" i="11"/>
  <c r="X2194" i="11"/>
  <c r="Y2193" i="11"/>
  <c r="Y2194" i="11"/>
  <c r="X2195" i="11"/>
  <c r="Y2195" i="11"/>
  <c r="X2196" i="11"/>
  <c r="X2197" i="11"/>
  <c r="Y2196" i="11"/>
  <c r="X2198" i="11"/>
  <c r="Y2197" i="11"/>
  <c r="Y2198" i="11"/>
  <c r="X2199" i="11"/>
  <c r="Y2199" i="11"/>
  <c r="X2200" i="11"/>
  <c r="X2201" i="11"/>
  <c r="Y2200" i="11"/>
  <c r="X2202" i="11"/>
  <c r="Y2201" i="11"/>
  <c r="Y2202" i="11"/>
  <c r="X2203" i="11"/>
  <c r="Y2203" i="11"/>
  <c r="X2204" i="11"/>
  <c r="Y2204" i="11"/>
  <c r="X2205" i="11"/>
  <c r="X2206" i="11"/>
  <c r="Y2205" i="11"/>
  <c r="Y2206" i="11"/>
  <c r="X2207" i="11"/>
  <c r="Y2207" i="11"/>
  <c r="X2208" i="11"/>
  <c r="X2209" i="11"/>
  <c r="Y2208" i="11"/>
  <c r="Y2209" i="11"/>
  <c r="X2210" i="11"/>
  <c r="Y2210" i="11"/>
  <c r="X2211" i="11"/>
  <c r="X2212" i="11"/>
  <c r="Y2211" i="11"/>
  <c r="X2213" i="11"/>
  <c r="Y2212" i="11"/>
  <c r="X2214" i="11"/>
  <c r="Y2213" i="11"/>
  <c r="X2215" i="11"/>
  <c r="Y2214" i="11"/>
  <c r="Y2215" i="11"/>
  <c r="X2216" i="11"/>
  <c r="X2217" i="11"/>
  <c r="Y2216" i="11"/>
  <c r="Y2217" i="11"/>
  <c r="X2218" i="11"/>
  <c r="Y2218" i="11"/>
  <c r="X2219" i="11"/>
  <c r="X2220" i="11"/>
  <c r="Y2219" i="11"/>
  <c r="Y2220" i="11"/>
  <c r="X2221" i="11"/>
  <c r="X2222" i="11"/>
  <c r="Y2221" i="11"/>
  <c r="Y2222" i="11"/>
  <c r="X2223" i="11"/>
  <c r="Y2223" i="11"/>
  <c r="X2224" i="11"/>
  <c r="X2225" i="11"/>
  <c r="Y2224" i="11"/>
  <c r="X2226" i="11"/>
  <c r="Y2225" i="11"/>
  <c r="Y2226" i="11"/>
  <c r="X2227" i="11"/>
  <c r="Y2227" i="11"/>
  <c r="X2228" i="11"/>
  <c r="X2229" i="11"/>
  <c r="Y2228" i="11"/>
  <c r="X2230" i="11"/>
  <c r="Y2229" i="11"/>
  <c r="X2231" i="11"/>
  <c r="Y2230" i="11"/>
  <c r="Y2231" i="11"/>
  <c r="X2232" i="11"/>
  <c r="X2233" i="11"/>
  <c r="Y2232" i="11"/>
  <c r="Y2233" i="11"/>
  <c r="X2234" i="11"/>
  <c r="Y2234" i="11"/>
  <c r="X2235" i="11"/>
  <c r="Y2235" i="11"/>
  <c r="X2236" i="11"/>
  <c r="X2237" i="11"/>
  <c r="Y2236" i="11"/>
  <c r="X2238" i="11"/>
  <c r="Y2237" i="11"/>
  <c r="Y2238" i="11"/>
  <c r="X2239" i="11"/>
  <c r="Y2239" i="11"/>
  <c r="X2240" i="11"/>
  <c r="X2241" i="11"/>
  <c r="Y2240" i="11"/>
  <c r="Y2241" i="11"/>
  <c r="X2242" i="11"/>
  <c r="Y2242" i="11"/>
  <c r="X2243" i="11"/>
  <c r="X2244" i="11"/>
  <c r="Y2243" i="11"/>
  <c r="Y2244" i="11"/>
  <c r="X2245" i="11"/>
  <c r="X2246" i="11"/>
  <c r="Y2245" i="11"/>
  <c r="X2247" i="11"/>
  <c r="Y2246" i="11"/>
  <c r="Y2247" i="11"/>
  <c r="X2248" i="11"/>
  <c r="X2249" i="11"/>
  <c r="Y2248" i="11"/>
  <c r="Y2249" i="11"/>
  <c r="X2250" i="11"/>
  <c r="Y2250" i="11"/>
  <c r="X2251" i="11"/>
  <c r="Y2251" i="11"/>
  <c r="X2252" i="11"/>
  <c r="Y2252" i="11"/>
  <c r="X2253" i="11"/>
  <c r="X2254" i="11"/>
  <c r="Y2253" i="11"/>
  <c r="Y2254" i="11"/>
  <c r="X2255" i="11"/>
  <c r="Y2255" i="11"/>
  <c r="X2256" i="11"/>
  <c r="X2257" i="11"/>
  <c r="Y2256" i="11"/>
  <c r="X2258" i="11"/>
  <c r="Y2257" i="11"/>
  <c r="Y2258" i="11"/>
  <c r="X2259" i="11"/>
  <c r="Y2259" i="11"/>
  <c r="X2260" i="11"/>
  <c r="X2261" i="11"/>
  <c r="Y2260" i="11"/>
  <c r="X2262" i="11"/>
  <c r="Y2261" i="11"/>
  <c r="Y2262" i="11"/>
  <c r="X2263" i="11"/>
  <c r="Y2263" i="11"/>
  <c r="X2264" i="11"/>
  <c r="X2265" i="11"/>
  <c r="Y2264" i="11"/>
  <c r="Y2265" i="11"/>
  <c r="X2266" i="11"/>
  <c r="Y2266" i="11"/>
  <c r="X2267" i="11"/>
  <c r="Y2267" i="11"/>
  <c r="X2268" i="11"/>
  <c r="Y2268" i="11"/>
  <c r="X2269" i="11"/>
  <c r="X2270" i="11"/>
  <c r="Y2269" i="11"/>
  <c r="Y2270" i="11"/>
  <c r="X2271" i="11"/>
  <c r="Y2271" i="11"/>
  <c r="X2272" i="11"/>
  <c r="X2273" i="11"/>
  <c r="Y2272" i="11"/>
  <c r="Y2273" i="11"/>
  <c r="X2274" i="11"/>
  <c r="Y2274" i="11"/>
  <c r="X2275" i="11"/>
  <c r="X2276" i="11"/>
  <c r="Y2275" i="11"/>
  <c r="Y2276" i="11"/>
  <c r="X2277" i="11"/>
  <c r="X2278" i="11"/>
  <c r="Y2277" i="11"/>
  <c r="Y2278" i="11"/>
  <c r="X2279" i="11"/>
  <c r="Y2279" i="11"/>
  <c r="X2280" i="11"/>
  <c r="X2281" i="11"/>
  <c r="Y2280" i="11"/>
  <c r="Y2281" i="11"/>
  <c r="X2282" i="11"/>
  <c r="Y2282" i="11"/>
  <c r="X2283" i="11"/>
  <c r="Y2283" i="11"/>
  <c r="X2284" i="11"/>
  <c r="Y2284" i="11"/>
  <c r="X2285" i="11"/>
  <c r="X2286" i="11"/>
  <c r="Y2285" i="11"/>
  <c r="Y2286" i="11"/>
  <c r="X2287" i="11"/>
  <c r="Y2287" i="11"/>
  <c r="X2288" i="11"/>
  <c r="X2289" i="11"/>
  <c r="Y2288" i="11"/>
  <c r="X2290" i="11"/>
  <c r="Y2289" i="11"/>
  <c r="Y2290" i="11"/>
  <c r="X2291" i="11"/>
  <c r="Y2291" i="11"/>
  <c r="X2292" i="11"/>
  <c r="Y2292" i="11"/>
  <c r="X2293" i="11"/>
  <c r="X2294" i="11"/>
  <c r="Y2293" i="11"/>
  <c r="Y2294" i="11"/>
  <c r="X2295" i="11"/>
  <c r="Y2295" i="11"/>
  <c r="X2296" i="11"/>
  <c r="X2297" i="11"/>
  <c r="Y2296" i="11"/>
  <c r="X2298" i="11"/>
  <c r="Y2297" i="11"/>
  <c r="Y2298" i="11"/>
  <c r="X2299" i="11"/>
  <c r="Y2299" i="11"/>
  <c r="X2300" i="11"/>
  <c r="Y2300" i="11"/>
  <c r="X2301" i="11"/>
  <c r="X2302" i="11"/>
  <c r="Y2301" i="11"/>
  <c r="Y2302" i="11"/>
  <c r="X2303" i="11"/>
  <c r="Y2303" i="11"/>
  <c r="X2304" i="11"/>
  <c r="X2305" i="11"/>
  <c r="Y2304" i="11"/>
  <c r="X2306" i="11"/>
  <c r="Y2305" i="11"/>
  <c r="Y2306" i="11"/>
  <c r="X2307" i="11"/>
  <c r="Y2307" i="11"/>
  <c r="X2308" i="11"/>
  <c r="Y2308" i="11"/>
  <c r="X2309" i="11"/>
  <c r="X2310" i="11"/>
  <c r="Y2309" i="11"/>
  <c r="X2311" i="11"/>
  <c r="Y2310" i="11"/>
  <c r="Y2311" i="11"/>
  <c r="X2312" i="11"/>
  <c r="X2313" i="11"/>
  <c r="Y2312" i="11"/>
  <c r="X2314" i="11"/>
  <c r="Y2313" i="11"/>
  <c r="Y2314" i="11"/>
  <c r="X2315" i="11"/>
  <c r="Y2315" i="11"/>
  <c r="X2316" i="11"/>
  <c r="Y2316" i="11"/>
  <c r="X2317" i="11"/>
  <c r="X2318" i="11"/>
  <c r="Y2317" i="11"/>
  <c r="X2319" i="11"/>
  <c r="Y2318" i="11"/>
  <c r="Y2319" i="11"/>
  <c r="X2320" i="11"/>
  <c r="X2321" i="11"/>
  <c r="Y2320" i="11"/>
  <c r="Y2321" i="11"/>
  <c r="X2322" i="11"/>
  <c r="Y2322" i="11"/>
  <c r="X2323" i="11"/>
  <c r="X2324" i="11"/>
  <c r="Y2323" i="11"/>
  <c r="X2325" i="11"/>
  <c r="Y2324" i="11"/>
  <c r="Y2325" i="11"/>
  <c r="X2326" i="11"/>
  <c r="X2327" i="11"/>
  <c r="Y2326" i="11"/>
  <c r="X2328" i="11"/>
  <c r="Y2327" i="11"/>
  <c r="X2329" i="11"/>
  <c r="Y2328" i="11"/>
  <c r="X2330" i="11"/>
  <c r="Y2329" i="11"/>
  <c r="Y2330" i="11"/>
  <c r="X2331" i="11"/>
  <c r="Y2331" i="11"/>
  <c r="X2332" i="11"/>
  <c r="X2333" i="11"/>
  <c r="Y2332" i="11"/>
  <c r="Y2333" i="11"/>
  <c r="X2334" i="11"/>
  <c r="Y2334" i="11"/>
  <c r="X2335" i="11"/>
  <c r="X2336" i="11"/>
  <c r="Y2335" i="11"/>
  <c r="X2337" i="11"/>
  <c r="Y2336" i="11"/>
  <c r="Y2337" i="11"/>
  <c r="X2338" i="11"/>
  <c r="Y2338" i="11"/>
  <c r="X2339" i="11"/>
  <c r="Y2339" i="11"/>
  <c r="X2340" i="11"/>
  <c r="Y2340" i="11"/>
  <c r="X2341" i="11"/>
  <c r="Y2341" i="11"/>
  <c r="X2342" i="11"/>
  <c r="X2343" i="11"/>
  <c r="Y2342" i="11"/>
  <c r="Y2343" i="11"/>
  <c r="X2344" i="11"/>
  <c r="X2345" i="11"/>
  <c r="Y2344" i="11"/>
  <c r="Y2345" i="11"/>
  <c r="X2346" i="11"/>
  <c r="Y2346" i="11"/>
  <c r="X2347" i="11"/>
  <c r="Y2347" i="11"/>
  <c r="X2348" i="11"/>
  <c r="X2349" i="11"/>
  <c r="Y2348" i="11"/>
  <c r="Y2349" i="11"/>
  <c r="X2350" i="11"/>
  <c r="Y2350" i="11"/>
  <c r="X2351" i="11"/>
  <c r="Y2351" i="11"/>
  <c r="X2352" i="11"/>
  <c r="X2353" i="11"/>
  <c r="Y2352" i="11"/>
  <c r="Y2353" i="11"/>
  <c r="X2354" i="11"/>
  <c r="Y2354" i="11"/>
  <c r="X2355" i="11"/>
  <c r="Y2355" i="11"/>
  <c r="X2356" i="11"/>
  <c r="Y2356" i="11"/>
  <c r="X2357" i="11"/>
  <c r="X2358" i="11"/>
  <c r="Y2357" i="11"/>
  <c r="Y2358" i="11"/>
  <c r="X2359" i="11"/>
  <c r="Y2359" i="11"/>
  <c r="X2360" i="11"/>
  <c r="X2361" i="11"/>
  <c r="Y2360" i="11"/>
  <c r="X2362" i="11"/>
  <c r="Y2361" i="11"/>
  <c r="Y2362" i="11"/>
  <c r="X2363" i="11"/>
  <c r="X2364" i="11"/>
  <c r="Y2363" i="11"/>
  <c r="Y2364" i="11"/>
  <c r="X2365" i="11"/>
  <c r="Y2365" i="11"/>
  <c r="X2366" i="11"/>
  <c r="X2367" i="11"/>
  <c r="Y2366" i="11"/>
  <c r="Y2367" i="11"/>
  <c r="X2368" i="11"/>
  <c r="X2369" i="11"/>
  <c r="Y2368" i="11"/>
  <c r="X2370" i="11"/>
  <c r="Y2369" i="11"/>
  <c r="Y2370" i="11"/>
  <c r="X2371" i="11"/>
  <c r="Y2371" i="11"/>
  <c r="X2372" i="11"/>
  <c r="X2373" i="11"/>
  <c r="Y2372" i="11"/>
  <c r="Y2373" i="11"/>
  <c r="X2374" i="11"/>
  <c r="Y2374" i="11"/>
  <c r="X2375" i="11"/>
  <c r="X2376" i="11"/>
  <c r="Y2375" i="11"/>
  <c r="X2377" i="11"/>
  <c r="Y2376" i="11"/>
  <c r="Y2377" i="11"/>
  <c r="X2378" i="11"/>
  <c r="Y2378" i="11"/>
  <c r="X2379" i="11"/>
  <c r="Y2379" i="11"/>
  <c r="X2380" i="11"/>
  <c r="Y2380" i="11"/>
  <c r="X2381" i="11"/>
  <c r="X2382" i="11"/>
  <c r="Y2381" i="11"/>
  <c r="Y2382" i="11"/>
  <c r="X2383" i="11"/>
  <c r="Y2383" i="11"/>
  <c r="X2384" i="11"/>
  <c r="X2385" i="11"/>
  <c r="Y2384" i="11"/>
  <c r="Y2385" i="11"/>
  <c r="X2386" i="11"/>
  <c r="Y2386" i="11"/>
  <c r="X2387" i="11"/>
  <c r="X2388" i="11"/>
  <c r="Y2387" i="11"/>
  <c r="Y2388" i="11"/>
  <c r="X2389" i="11"/>
  <c r="Y2389" i="11"/>
  <c r="X2390" i="11"/>
  <c r="X2391" i="11"/>
  <c r="Y2390" i="11"/>
  <c r="X2392" i="11"/>
  <c r="Y2391" i="11"/>
  <c r="X2393" i="11"/>
  <c r="Y2392" i="11"/>
  <c r="X2394" i="11"/>
  <c r="Y2393" i="11"/>
  <c r="Y2394" i="11"/>
  <c r="X2395" i="11"/>
  <c r="Y2395" i="11"/>
  <c r="X2396" i="11"/>
  <c r="X2397" i="11"/>
  <c r="Y2396" i="11"/>
  <c r="Y2397" i="11"/>
  <c r="X2398" i="11"/>
  <c r="Y2398" i="11"/>
  <c r="X2399" i="11"/>
  <c r="X2400" i="11"/>
  <c r="Y2399" i="11"/>
  <c r="X2401" i="11"/>
  <c r="Y2400" i="11"/>
  <c r="Y2401" i="11"/>
  <c r="X2402" i="11"/>
  <c r="Y2402" i="11"/>
  <c r="X2403" i="11"/>
  <c r="Y2403" i="11"/>
  <c r="X2404" i="11"/>
  <c r="Y2404" i="11"/>
  <c r="X2405" i="11"/>
  <c r="Y2405" i="11"/>
  <c r="X2406" i="11"/>
  <c r="X2407" i="11"/>
  <c r="Y2406" i="11"/>
  <c r="Y2407" i="11"/>
  <c r="X2408" i="11"/>
  <c r="X2409" i="11"/>
  <c r="Y2408" i="11"/>
  <c r="Y2409" i="11"/>
  <c r="X2410" i="11"/>
  <c r="Y2410" i="11"/>
  <c r="X2411" i="11"/>
  <c r="Y2411" i="11"/>
  <c r="X2412" i="11"/>
  <c r="Y2412" i="11"/>
  <c r="X2413" i="11"/>
  <c r="Y2413" i="11"/>
  <c r="X2414" i="11"/>
  <c r="Y2414" i="11"/>
  <c r="X2415" i="11"/>
  <c r="X2416" i="11"/>
  <c r="Y2415" i="11"/>
  <c r="X2417" i="11"/>
  <c r="Y2416" i="11"/>
  <c r="Y2417" i="11"/>
  <c r="X2418" i="11"/>
  <c r="Y2418" i="11"/>
  <c r="X2419" i="11"/>
  <c r="Y2419" i="11"/>
  <c r="X2420" i="11"/>
  <c r="Y2420" i="11"/>
  <c r="X2421" i="11"/>
  <c r="Y2421" i="11"/>
  <c r="X2422" i="11"/>
  <c r="Y2422" i="11"/>
  <c r="X2423" i="11"/>
  <c r="Y2423" i="11"/>
  <c r="X2424" i="11"/>
  <c r="X2425" i="11"/>
  <c r="Y2424" i="11"/>
  <c r="X2426" i="11"/>
  <c r="Y2425" i="11"/>
  <c r="Y2426" i="11"/>
  <c r="X2427" i="11"/>
  <c r="X2428" i="11"/>
  <c r="Y2427" i="11"/>
  <c r="Y2428" i="11"/>
  <c r="X2429" i="11"/>
  <c r="Y2429" i="11"/>
  <c r="X2430" i="11"/>
  <c r="X2431" i="11"/>
  <c r="Y2430" i="11"/>
  <c r="Y2431" i="11"/>
  <c r="X2432" i="11"/>
  <c r="X2433" i="11"/>
  <c r="Y2432" i="11"/>
  <c r="X2434" i="11"/>
  <c r="Y2433" i="11"/>
  <c r="Y2434" i="11"/>
  <c r="X2435" i="11"/>
  <c r="Y2435" i="11"/>
  <c r="X2436" i="11"/>
  <c r="X2437" i="11"/>
  <c r="Y2436" i="11"/>
  <c r="Y2437" i="11"/>
  <c r="X2438" i="11"/>
  <c r="Y2438" i="11"/>
  <c r="X2439" i="11"/>
  <c r="X2440" i="11"/>
  <c r="Y2439" i="11"/>
  <c r="X2441" i="11"/>
  <c r="Y2440" i="11"/>
  <c r="Y2441" i="11"/>
  <c r="X2442" i="11"/>
  <c r="Y2442" i="11"/>
  <c r="X2443" i="11"/>
  <c r="Y2443" i="11"/>
  <c r="X2444" i="11"/>
  <c r="Y2444" i="11"/>
  <c r="X2445" i="11"/>
  <c r="X2446" i="11"/>
  <c r="Y2445" i="11"/>
  <c r="Y2446" i="11"/>
  <c r="X2447" i="11"/>
  <c r="Y2447" i="11"/>
  <c r="X2448" i="11"/>
  <c r="X2449" i="11"/>
  <c r="Y2448" i="11"/>
  <c r="Y2449" i="11"/>
  <c r="X2450" i="11"/>
  <c r="Y2450" i="11"/>
  <c r="X2451" i="11"/>
  <c r="Y2451" i="11"/>
  <c r="X2452" i="11"/>
  <c r="X2453" i="11"/>
  <c r="Y2452" i="11"/>
  <c r="X2454" i="11"/>
  <c r="Y2453" i="11"/>
  <c r="Y2454" i="11"/>
  <c r="X2455" i="11"/>
  <c r="Y2455" i="11"/>
  <c r="X2456" i="11"/>
  <c r="X2457" i="11"/>
  <c r="Y2456" i="11"/>
  <c r="Y2457" i="11"/>
  <c r="X2458" i="11"/>
  <c r="Y2458" i="11"/>
  <c r="X2459" i="11"/>
  <c r="X2460" i="11"/>
  <c r="Y2459" i="11"/>
  <c r="Y2460" i="11"/>
  <c r="X2461" i="11"/>
  <c r="X2462" i="11"/>
  <c r="Y2461" i="11"/>
  <c r="Y2462" i="11"/>
  <c r="X2463" i="11"/>
  <c r="Y2463" i="11"/>
  <c r="X2464" i="11"/>
  <c r="X2465" i="11"/>
  <c r="Y2464" i="11"/>
  <c r="Y2465" i="11"/>
  <c r="X2466" i="11"/>
  <c r="Y2466" i="11"/>
  <c r="X2467" i="11"/>
  <c r="X2468" i="11"/>
  <c r="Y2467" i="11"/>
  <c r="Y2468" i="11"/>
  <c r="X2469" i="11"/>
  <c r="X2470" i="11"/>
  <c r="Y2469" i="11"/>
  <c r="X2471" i="11"/>
  <c r="Y2470" i="11"/>
  <c r="Y2471" i="11"/>
  <c r="X2472" i="11"/>
  <c r="X2473" i="11"/>
  <c r="Y2472" i="11"/>
  <c r="X2474" i="11"/>
  <c r="Y2473" i="11"/>
  <c r="Y2474" i="11"/>
  <c r="X2475" i="11"/>
  <c r="Y2475" i="11"/>
  <c r="X2476" i="11"/>
  <c r="Y2476" i="11"/>
  <c r="X2477" i="11"/>
  <c r="X2478" i="11"/>
  <c r="Y2477" i="11"/>
  <c r="X2479" i="11"/>
  <c r="Y2478" i="11"/>
  <c r="Y2479" i="11"/>
  <c r="X2480" i="11"/>
  <c r="X2481" i="11"/>
  <c r="Y2480" i="11"/>
  <c r="Y2481" i="11"/>
  <c r="X2482" i="11"/>
  <c r="Y2482" i="11"/>
  <c r="X2483" i="11"/>
  <c r="Y2483" i="11"/>
  <c r="X2484" i="11"/>
  <c r="X2485" i="11"/>
  <c r="Y2484" i="11"/>
  <c r="X2486" i="11"/>
  <c r="Y2485" i="11"/>
  <c r="Y2486" i="11"/>
  <c r="X2487" i="11"/>
  <c r="Y2487" i="11"/>
  <c r="X2488" i="11"/>
  <c r="X2489" i="11"/>
  <c r="Y2488" i="11"/>
  <c r="X2490" i="11"/>
  <c r="Y2489" i="11"/>
  <c r="Y2490" i="11"/>
  <c r="X2491" i="11"/>
  <c r="X2492" i="11"/>
  <c r="Y2491" i="11"/>
  <c r="Y2492" i="11"/>
  <c r="X2493" i="11"/>
  <c r="X2494" i="11"/>
  <c r="Y2493" i="11"/>
  <c r="Y2494" i="11"/>
  <c r="X2495" i="11"/>
  <c r="Y2495" i="11"/>
  <c r="X2496" i="11"/>
  <c r="X2497" i="11"/>
  <c r="Y2496" i="11"/>
  <c r="Y2497" i="11"/>
  <c r="X2498" i="11"/>
  <c r="Y2498" i="11"/>
  <c r="X2499" i="11"/>
  <c r="Y2499" i="11"/>
  <c r="X2500" i="11"/>
  <c r="Y2500" i="11"/>
  <c r="X2501" i="11"/>
  <c r="X2502" i="11"/>
  <c r="Y2501" i="11"/>
  <c r="X2503" i="11"/>
  <c r="Y2502" i="11"/>
  <c r="Y2503" i="11"/>
  <c r="X2504" i="11"/>
  <c r="X2505" i="11"/>
  <c r="Y2504" i="11"/>
  <c r="X2506" i="11"/>
  <c r="Y2505" i="11"/>
  <c r="Y2506" i="11"/>
  <c r="X2507" i="11"/>
  <c r="X2508" i="11"/>
  <c r="Y2507" i="11"/>
  <c r="Y2508" i="11"/>
  <c r="X2509" i="11"/>
  <c r="X2510" i="11"/>
  <c r="Y2509" i="11"/>
  <c r="Y2510" i="11"/>
  <c r="X2511" i="11"/>
  <c r="Y2511" i="11"/>
  <c r="X2512" i="11"/>
  <c r="X2513" i="11"/>
  <c r="Y2512" i="11"/>
  <c r="X2514" i="11"/>
  <c r="Y2513" i="11"/>
  <c r="Y2514" i="11"/>
  <c r="X2515" i="11"/>
  <c r="Y2515" i="11"/>
  <c r="X2516" i="11"/>
  <c r="X2517" i="11"/>
  <c r="Y2516" i="11"/>
  <c r="X2518" i="11"/>
  <c r="Y2517" i="11"/>
  <c r="Y2518" i="11"/>
  <c r="X2519" i="11"/>
  <c r="Y2519" i="11"/>
  <c r="X2520" i="11"/>
  <c r="X2521" i="11"/>
  <c r="Y2520" i="11"/>
  <c r="Y2521" i="11"/>
  <c r="X2522" i="11"/>
  <c r="Y2522" i="11"/>
  <c r="X2523" i="11"/>
  <c r="X2524" i="11"/>
  <c r="Y2523" i="11"/>
  <c r="X2525" i="11"/>
  <c r="Y2524" i="11"/>
  <c r="X2526" i="11"/>
  <c r="Y2525" i="11"/>
  <c r="Y2526" i="11"/>
  <c r="X2527" i="11"/>
  <c r="Y2527" i="11"/>
  <c r="X2528" i="11"/>
  <c r="X2529" i="11"/>
  <c r="Y2528" i="11"/>
  <c r="Y2529" i="11"/>
  <c r="X2530" i="11"/>
  <c r="Y2530" i="11"/>
  <c r="X2531" i="11"/>
  <c r="Y2531" i="11"/>
  <c r="X2532" i="11"/>
  <c r="Y2532" i="11"/>
  <c r="X2533" i="11"/>
  <c r="X2534" i="11"/>
  <c r="Y2533" i="11"/>
  <c r="X2535" i="11"/>
  <c r="Y2534" i="11"/>
  <c r="Y2535" i="11"/>
  <c r="X2536" i="11"/>
  <c r="X2537" i="11"/>
  <c r="Y2536" i="11"/>
  <c r="X2538" i="11"/>
  <c r="Y2537" i="11"/>
  <c r="Y2538" i="11"/>
  <c r="X2539" i="11"/>
  <c r="Y2539" i="11"/>
  <c r="X2540" i="11"/>
  <c r="Y2540" i="11"/>
  <c r="X2541" i="11"/>
  <c r="X2542" i="11"/>
  <c r="Y2541" i="11"/>
  <c r="Y2542" i="11"/>
  <c r="X2543" i="11"/>
  <c r="Y2543" i="11"/>
  <c r="X2544" i="11"/>
  <c r="X2545" i="11"/>
  <c r="Y2544" i="11"/>
  <c r="Y2545" i="11"/>
  <c r="X2546" i="11"/>
  <c r="Y2546" i="11"/>
  <c r="X2547" i="11"/>
  <c r="Y2547" i="11"/>
  <c r="X2548" i="11"/>
  <c r="X2549" i="11"/>
  <c r="Y2548" i="11"/>
  <c r="X2550" i="11"/>
  <c r="Y2549" i="11"/>
  <c r="Y2550" i="11"/>
  <c r="X2551" i="11"/>
  <c r="Y2551" i="11"/>
  <c r="X2552" i="11"/>
  <c r="X2553" i="11"/>
  <c r="Y2552" i="11"/>
  <c r="Y2553" i="11"/>
  <c r="X2554" i="11"/>
  <c r="Y2554" i="11"/>
  <c r="X2555" i="11"/>
  <c r="X2556" i="11"/>
  <c r="Y2555" i="11"/>
  <c r="Y2556" i="11"/>
  <c r="X2557" i="11"/>
  <c r="X2558" i="11"/>
  <c r="Y2557" i="11"/>
  <c r="Y2558" i="11"/>
  <c r="X2559" i="11"/>
  <c r="Y2559" i="11"/>
  <c r="X2560" i="11"/>
  <c r="X2561" i="11"/>
  <c r="Y2560" i="11"/>
  <c r="Y2561" i="11"/>
  <c r="X2562" i="11"/>
  <c r="Y2562" i="11"/>
  <c r="X2563" i="11"/>
  <c r="Y2563" i="11"/>
  <c r="X2564" i="11"/>
  <c r="Y2564" i="11"/>
  <c r="X2565" i="11"/>
  <c r="X2566" i="11"/>
  <c r="Y2565" i="11"/>
  <c r="X2567" i="11"/>
  <c r="Y2566" i="11"/>
  <c r="Y2567" i="11"/>
  <c r="X2568" i="11"/>
  <c r="X2569" i="11"/>
  <c r="Y2568" i="11"/>
  <c r="X2570" i="11"/>
  <c r="Y2569" i="11"/>
  <c r="Y2570" i="11"/>
  <c r="X2571" i="11"/>
  <c r="Y2571" i="11"/>
  <c r="X2572" i="11"/>
  <c r="Y2572" i="11"/>
  <c r="X2573" i="11"/>
  <c r="X2574" i="11"/>
  <c r="Y2573" i="11"/>
  <c r="Y2574" i="11"/>
  <c r="X2575" i="11"/>
  <c r="Y2575" i="11"/>
  <c r="X2576" i="11"/>
  <c r="X2577" i="11"/>
  <c r="Y2576" i="11"/>
  <c r="Y2577" i="11"/>
  <c r="X2578" i="11"/>
  <c r="Y2578" i="11"/>
  <c r="X2579" i="11"/>
  <c r="Y2579" i="11"/>
  <c r="X2580" i="11"/>
  <c r="X2581" i="11"/>
  <c r="Y2580" i="11"/>
  <c r="X2582" i="11"/>
  <c r="Y2581" i="11"/>
  <c r="Y2582" i="11"/>
  <c r="X2583" i="11"/>
  <c r="Y2583" i="11"/>
  <c r="X2584" i="11"/>
  <c r="X2585" i="11"/>
  <c r="Y2584" i="11"/>
  <c r="Y2585" i="11"/>
  <c r="X2586" i="11"/>
  <c r="Y2586" i="11"/>
  <c r="X2587" i="11"/>
  <c r="X2588" i="11"/>
  <c r="Y2587" i="11"/>
  <c r="Y2588" i="11"/>
  <c r="X2589" i="11"/>
  <c r="X2590" i="11"/>
  <c r="Y2589" i="11"/>
  <c r="Y2590" i="11"/>
  <c r="X2591" i="11"/>
  <c r="Y2591" i="11"/>
  <c r="X2592" i="11"/>
  <c r="X2593" i="11"/>
  <c r="Y2592" i="11"/>
  <c r="Y2593" i="11"/>
  <c r="X2594" i="11"/>
  <c r="Y2594" i="11"/>
  <c r="X2595" i="11"/>
  <c r="Y2595" i="11"/>
  <c r="X2596" i="11"/>
  <c r="Y2596" i="11"/>
  <c r="X2597" i="11"/>
  <c r="X2598" i="11"/>
  <c r="Y2597" i="11"/>
  <c r="X2599" i="11"/>
  <c r="Y2598" i="11"/>
  <c r="Y2599" i="11"/>
  <c r="X2600" i="11"/>
  <c r="X2601" i="11"/>
  <c r="Y2600" i="11"/>
  <c r="X2602" i="11"/>
  <c r="Y2601" i="11"/>
  <c r="Y2602" i="11"/>
  <c r="X2603" i="11"/>
  <c r="X2604" i="11"/>
  <c r="Y2603" i="11"/>
  <c r="Y2604" i="11"/>
  <c r="X2605" i="11"/>
  <c r="X2606" i="11"/>
  <c r="Y2605" i="11"/>
  <c r="Y2606" i="11"/>
  <c r="X2607" i="11"/>
  <c r="Y2607" i="11"/>
  <c r="X2608" i="11"/>
  <c r="X2609" i="11"/>
  <c r="Y2608" i="11"/>
  <c r="X2610" i="11"/>
  <c r="Y2609" i="11"/>
  <c r="Y2610" i="11"/>
  <c r="X2611" i="11"/>
  <c r="Y2611" i="11"/>
  <c r="X2612" i="11"/>
  <c r="X2613" i="11"/>
  <c r="Y2612" i="11"/>
  <c r="X2614" i="11"/>
  <c r="Y2613" i="11"/>
  <c r="Y2614" i="11"/>
  <c r="X2615" i="11"/>
  <c r="Y2615" i="11"/>
  <c r="X2616" i="11"/>
  <c r="X2617" i="11"/>
  <c r="Y2616" i="11"/>
  <c r="Y2617" i="11"/>
  <c r="X2618" i="11"/>
  <c r="Y2618" i="11"/>
  <c r="X2619" i="11"/>
  <c r="X2620" i="11"/>
  <c r="Y2619" i="11"/>
  <c r="X2621" i="11"/>
  <c r="Y2620" i="11"/>
  <c r="X2622" i="11"/>
  <c r="Y2621" i="11"/>
  <c r="Y2622" i="11"/>
  <c r="X2623" i="11"/>
  <c r="Y2623" i="11"/>
  <c r="X2624" i="11"/>
  <c r="X2625" i="11"/>
  <c r="Y2624" i="11"/>
  <c r="Y2625" i="11"/>
  <c r="X2626" i="11"/>
  <c r="Y2626" i="11"/>
  <c r="X2627" i="11"/>
  <c r="X2628" i="11"/>
  <c r="Y2627" i="11"/>
  <c r="Y2628" i="11"/>
  <c r="X2629" i="11"/>
  <c r="Y2629" i="11"/>
  <c r="X2630" i="11"/>
  <c r="X2631" i="11"/>
  <c r="Y2630" i="11"/>
  <c r="X2632" i="11"/>
  <c r="Y2631" i="11"/>
  <c r="Y2632" i="11"/>
  <c r="X2633" i="11"/>
  <c r="Y2633" i="11"/>
  <c r="X2634" i="11"/>
  <c r="X2635" i="11"/>
  <c r="Y2634" i="11"/>
  <c r="Y2635" i="11"/>
  <c r="X2636" i="11"/>
  <c r="Y2636" i="11"/>
  <c r="X2637" i="11"/>
  <c r="Y2637" i="11"/>
  <c r="X2638" i="11"/>
  <c r="Y2638" i="11"/>
  <c r="X2639" i="11"/>
  <c r="X2640" i="11"/>
  <c r="Y2639" i="11"/>
  <c r="Y2640" i="11"/>
  <c r="X2641" i="11"/>
  <c r="Y2641" i="11"/>
  <c r="X2642" i="11"/>
  <c r="X2643" i="11"/>
  <c r="Y2642" i="11"/>
  <c r="Y2643" i="11"/>
  <c r="X2644" i="11"/>
  <c r="Y2644" i="11"/>
  <c r="X2645" i="11"/>
  <c r="X2646" i="11"/>
  <c r="Y2645" i="11"/>
  <c r="X2647" i="11"/>
  <c r="Y2646" i="11"/>
  <c r="X2648" i="11"/>
  <c r="Y2647" i="11"/>
  <c r="X2649" i="11"/>
  <c r="Y2648" i="11"/>
  <c r="Y2649" i="11"/>
  <c r="X2650" i="11"/>
  <c r="Y2650" i="11"/>
  <c r="X2651" i="11"/>
  <c r="X2652" i="11"/>
  <c r="Y2651" i="11"/>
  <c r="X2653" i="11"/>
  <c r="Y2652" i="11"/>
  <c r="Y2653" i="11"/>
  <c r="X2654" i="11"/>
  <c r="X2655" i="11"/>
  <c r="Y2654" i="11"/>
  <c r="X2656" i="11"/>
  <c r="Y2655" i="11"/>
  <c r="Y2656" i="11"/>
  <c r="X2657" i="11"/>
  <c r="Y2657" i="11"/>
  <c r="X2658" i="11"/>
  <c r="Y2658" i="11"/>
  <c r="X2659" i="11"/>
  <c r="Y2659" i="11"/>
  <c r="X2660" i="11"/>
  <c r="X2661" i="11"/>
  <c r="Y2660" i="11"/>
  <c r="Y2661" i="11"/>
  <c r="X2662" i="11"/>
  <c r="Y2662" i="11"/>
  <c r="X2663" i="11"/>
  <c r="X2664" i="11"/>
  <c r="Y2663" i="11"/>
  <c r="Y2664" i="11"/>
  <c r="X2665" i="11"/>
  <c r="Y2665" i="11"/>
  <c r="X2666" i="11"/>
  <c r="X2667" i="11"/>
  <c r="Y2666" i="11"/>
  <c r="X2668" i="11"/>
  <c r="Y2667" i="11"/>
  <c r="Y2668" i="11"/>
  <c r="X2669" i="11"/>
  <c r="X2670" i="11"/>
  <c r="Y2669" i="11"/>
  <c r="Y2670" i="11"/>
  <c r="X2671" i="11"/>
  <c r="X2672" i="11"/>
  <c r="Y2671" i="11"/>
  <c r="X2673" i="11"/>
  <c r="Y2672" i="11"/>
  <c r="Y2673" i="11"/>
  <c r="X2674" i="11"/>
  <c r="Y2674" i="11"/>
  <c r="X2675" i="11"/>
  <c r="X2676" i="11"/>
  <c r="Y2675" i="11"/>
  <c r="Y2676" i="11"/>
  <c r="X2677" i="11"/>
  <c r="Y2677" i="11"/>
  <c r="X2678" i="11"/>
  <c r="X2679" i="11"/>
  <c r="Y2678" i="11"/>
  <c r="X2680" i="11"/>
  <c r="Y2679" i="11"/>
  <c r="Y2680" i="11"/>
  <c r="X2681" i="11"/>
  <c r="Y2681" i="11"/>
  <c r="X2682" i="11"/>
  <c r="Y2682" i="11"/>
  <c r="X2683" i="11"/>
  <c r="X2684" i="11"/>
  <c r="Y2683" i="11"/>
  <c r="Y2684" i="11"/>
  <c r="X2685" i="11"/>
  <c r="Y2685" i="11"/>
  <c r="X2686" i="11"/>
  <c r="Y2686" i="11"/>
  <c r="X2687" i="11"/>
  <c r="X2688" i="11"/>
  <c r="Y2687" i="11"/>
  <c r="X2689" i="11"/>
  <c r="Y2688" i="11"/>
  <c r="Y2689" i="11"/>
  <c r="X2690" i="11"/>
  <c r="Y2690" i="11"/>
  <c r="X2691" i="11"/>
  <c r="X2692" i="11"/>
  <c r="Y2691" i="11"/>
  <c r="Y2692" i="11"/>
  <c r="X2693" i="11"/>
  <c r="Y2693" i="11"/>
  <c r="X2694" i="11"/>
  <c r="Y2694" i="11"/>
  <c r="X2695" i="11"/>
  <c r="X2696" i="11"/>
  <c r="Y2695" i="11"/>
  <c r="Y2696" i="11"/>
  <c r="X2697" i="11"/>
  <c r="Y2697" i="11"/>
  <c r="X2698" i="11"/>
  <c r="Y2698" i="11"/>
  <c r="X2699" i="11"/>
  <c r="Y2699" i="11"/>
  <c r="X2700" i="11"/>
  <c r="Y2700" i="11"/>
  <c r="X2701" i="11"/>
  <c r="Y2701" i="11"/>
  <c r="X2702" i="11"/>
  <c r="Y2702" i="11"/>
  <c r="X2703" i="11"/>
  <c r="X2704" i="11"/>
  <c r="Y2703" i="11"/>
  <c r="X2705" i="11"/>
  <c r="Y2704" i="11"/>
  <c r="Y2705" i="11"/>
  <c r="X2706" i="11"/>
  <c r="Y2706" i="11"/>
  <c r="X2707" i="11"/>
  <c r="Y2707" i="11"/>
  <c r="X2708" i="11"/>
  <c r="X2709" i="11"/>
  <c r="Y2708" i="11"/>
  <c r="Y2709" i="11"/>
  <c r="X2710" i="11"/>
  <c r="Y2710" i="11"/>
  <c r="X2711" i="11"/>
  <c r="X2712" i="11"/>
  <c r="Y2711" i="11"/>
  <c r="Y2712" i="11"/>
  <c r="X2713" i="11"/>
  <c r="Y2713" i="11"/>
  <c r="X2714" i="11"/>
  <c r="X2715" i="11"/>
  <c r="Y2714" i="11"/>
  <c r="Y2715" i="11"/>
  <c r="X2716" i="11"/>
  <c r="X2717" i="11"/>
  <c r="Y2716" i="11"/>
  <c r="X2718" i="11"/>
  <c r="Y2717" i="11"/>
  <c r="Y2718" i="11"/>
  <c r="X2719" i="11"/>
  <c r="X2720" i="11"/>
  <c r="Y2719" i="11"/>
  <c r="Y2720" i="11"/>
  <c r="X2721" i="11"/>
  <c r="Y2721" i="11"/>
  <c r="X2722" i="11"/>
  <c r="Y2722" i="11"/>
  <c r="X2723" i="11"/>
  <c r="Y2723" i="11"/>
  <c r="X2724" i="11"/>
  <c r="X2725" i="11"/>
  <c r="Y2724" i="11"/>
  <c r="Y2725" i="11"/>
  <c r="X2726" i="11"/>
  <c r="Y2726" i="11"/>
  <c r="X2727" i="11"/>
  <c r="X2728" i="11"/>
  <c r="Y2727" i="11"/>
  <c r="X2729" i="11"/>
  <c r="Y2728" i="11"/>
  <c r="Y2729" i="11"/>
  <c r="X2730" i="11"/>
  <c r="Y2730" i="11"/>
  <c r="X2731" i="11"/>
  <c r="X2732" i="11"/>
  <c r="Y2731" i="11"/>
  <c r="X2733" i="11"/>
  <c r="Y2732" i="11"/>
  <c r="Y2733" i="11"/>
  <c r="X2734" i="11"/>
  <c r="Y2734" i="11"/>
  <c r="X2735" i="11"/>
  <c r="X2736" i="11"/>
  <c r="Y2735" i="11"/>
  <c r="Y2736" i="11"/>
  <c r="X2737" i="11"/>
  <c r="Y2737" i="11"/>
  <c r="X2738" i="11"/>
  <c r="Y2738" i="11"/>
  <c r="X2739" i="11"/>
  <c r="Y2739" i="11"/>
  <c r="X2740" i="11"/>
  <c r="X2741" i="11"/>
  <c r="Y2740" i="11"/>
  <c r="Y2741" i="11"/>
  <c r="X2742" i="11"/>
  <c r="Y2742" i="11"/>
  <c r="X2743" i="11"/>
  <c r="X2744" i="11"/>
  <c r="Y2743" i="11"/>
  <c r="Y2744" i="11"/>
  <c r="X2745" i="11"/>
  <c r="Y2745" i="11"/>
  <c r="X2746" i="11"/>
  <c r="X2747" i="11"/>
  <c r="Y2746" i="11"/>
  <c r="Y2747" i="11"/>
  <c r="X2748" i="11"/>
  <c r="X2749" i="11"/>
  <c r="Y2748" i="11"/>
  <c r="X2750" i="11"/>
  <c r="Y2749" i="11"/>
  <c r="Y2750" i="11"/>
  <c r="X2751" i="11"/>
  <c r="X2752" i="11"/>
  <c r="Y2751" i="11"/>
  <c r="Y2752" i="11"/>
  <c r="X2753" i="11"/>
  <c r="Y2753" i="11"/>
  <c r="X2754" i="11"/>
  <c r="Y2754" i="11"/>
  <c r="X2755" i="11"/>
  <c r="Y2755" i="11"/>
  <c r="X2756" i="11"/>
  <c r="X2757" i="11"/>
  <c r="Y2756" i="11"/>
  <c r="Y2757" i="11"/>
  <c r="X2758" i="11"/>
  <c r="Y2758" i="11"/>
  <c r="X2759" i="11"/>
  <c r="X2760" i="11"/>
  <c r="Y2759" i="11"/>
  <c r="X2761" i="11"/>
  <c r="Y2760" i="11"/>
  <c r="Y2761" i="11"/>
  <c r="X2762" i="11"/>
  <c r="Y2762" i="11"/>
  <c r="X2763" i="11"/>
  <c r="X2764" i="11"/>
  <c r="Y2763" i="11"/>
  <c r="X2765" i="11"/>
  <c r="Y2764" i="11"/>
  <c r="X2766" i="11"/>
  <c r="Y2765" i="11"/>
  <c r="Y2766" i="11"/>
  <c r="X2767" i="11"/>
  <c r="X2768" i="11"/>
  <c r="Y2767" i="11"/>
  <c r="Y2768" i="11"/>
  <c r="X2769" i="11"/>
  <c r="Y2769" i="11"/>
  <c r="X2770" i="11"/>
  <c r="Y2770" i="11"/>
  <c r="X2771" i="11"/>
  <c r="X2772" i="11"/>
  <c r="Y2771" i="11"/>
  <c r="X2773" i="11"/>
  <c r="Y2772" i="11"/>
  <c r="Y2773" i="11"/>
  <c r="X2774" i="11"/>
  <c r="Y2774" i="11"/>
  <c r="X2775" i="11"/>
  <c r="X2776" i="11"/>
  <c r="Y2775" i="11"/>
  <c r="Y2776" i="11"/>
  <c r="X2777" i="11"/>
  <c r="Y2777" i="11"/>
  <c r="X2778" i="11"/>
  <c r="X2779" i="11"/>
  <c r="Y2778" i="11"/>
  <c r="Y2779" i="11"/>
  <c r="X2780" i="11"/>
  <c r="X2781" i="11"/>
  <c r="Y2780" i="11"/>
  <c r="X2782" i="11"/>
  <c r="Y2781" i="11"/>
  <c r="Y2782" i="11"/>
  <c r="X2783" i="11"/>
  <c r="X2784" i="11"/>
  <c r="Y2783" i="11"/>
  <c r="Y2784" i="11"/>
  <c r="X2785" i="11"/>
  <c r="Y2785" i="11"/>
  <c r="X2786" i="11"/>
  <c r="Y2786" i="11"/>
  <c r="X2787" i="11"/>
  <c r="Y2787" i="11"/>
  <c r="X2788" i="11"/>
  <c r="X2789" i="11"/>
  <c r="Y2788" i="11"/>
  <c r="X2790" i="11"/>
  <c r="Y2789" i="11"/>
  <c r="Y2790" i="11"/>
  <c r="X2791" i="11"/>
  <c r="X2792" i="11"/>
  <c r="Y2791" i="11"/>
  <c r="X2793" i="11"/>
  <c r="Y2792" i="11"/>
  <c r="Y2793" i="11"/>
  <c r="X2794" i="11"/>
  <c r="Y2794" i="11"/>
  <c r="X2795" i="11"/>
  <c r="X2796" i="11"/>
  <c r="Y2795" i="11"/>
  <c r="X2797" i="11"/>
  <c r="Y2796" i="11"/>
  <c r="Y2797" i="11"/>
  <c r="X2798" i="11"/>
  <c r="Y2798" i="11"/>
  <c r="X2799" i="11"/>
  <c r="X2800" i="11"/>
  <c r="Y2799" i="11"/>
  <c r="X2801" i="11"/>
  <c r="Y2800" i="11"/>
  <c r="Y2801" i="11"/>
  <c r="X2802" i="11"/>
  <c r="Y2802" i="11"/>
  <c r="X2803" i="11"/>
  <c r="Y2803" i="11"/>
  <c r="X2804" i="11"/>
  <c r="X2805" i="11"/>
  <c r="Y2804" i="11"/>
  <c r="Y2805" i="11"/>
  <c r="X2806" i="11"/>
  <c r="Y2806" i="11"/>
  <c r="X2807" i="11"/>
  <c r="X2808" i="11"/>
  <c r="Y2807" i="11"/>
  <c r="Y2808" i="11"/>
  <c r="X2809" i="11"/>
  <c r="Y2809" i="11"/>
  <c r="X2810" i="11"/>
  <c r="X2811" i="11"/>
  <c r="Y2810" i="11"/>
  <c r="X2812" i="11"/>
  <c r="Y2811" i="11"/>
  <c r="X2813" i="11"/>
  <c r="Y2812" i="11"/>
  <c r="X2814" i="11"/>
  <c r="Y2813" i="11"/>
  <c r="Y2814" i="11"/>
  <c r="X2815" i="11"/>
  <c r="X2816" i="11"/>
  <c r="Y2815" i="11"/>
  <c r="Y2816" i="11"/>
  <c r="X2817" i="11"/>
  <c r="Y2817" i="11"/>
  <c r="X2818" i="11"/>
  <c r="Y2818" i="11"/>
  <c r="X2819" i="11"/>
  <c r="Y2819" i="11"/>
  <c r="X2820" i="11"/>
  <c r="X2821" i="11"/>
  <c r="Y2820" i="11"/>
  <c r="Y2821" i="11"/>
  <c r="X2822" i="11"/>
  <c r="Y2822" i="11"/>
  <c r="X2823" i="11"/>
  <c r="X2824" i="11"/>
  <c r="Y2823" i="11"/>
  <c r="X2825" i="11"/>
  <c r="Y2824" i="11"/>
  <c r="Y2825" i="11"/>
  <c r="X2826" i="11"/>
  <c r="Y2826" i="11"/>
  <c r="X2827" i="11"/>
  <c r="X2828" i="11"/>
  <c r="Y2827" i="11"/>
  <c r="X2829" i="11"/>
  <c r="Y2828" i="11"/>
  <c r="Y2829" i="11"/>
  <c r="X2830" i="11"/>
  <c r="Y2830" i="11"/>
  <c r="X2831" i="11"/>
  <c r="X2832" i="11"/>
  <c r="Y2831" i="11"/>
  <c r="Y2832" i="11"/>
  <c r="X2833" i="11"/>
  <c r="Y2833" i="11"/>
  <c r="X2834" i="11"/>
  <c r="X2835" i="11"/>
  <c r="Y2834" i="11"/>
  <c r="X2836" i="11"/>
  <c r="Y2835" i="11"/>
  <c r="Y2836" i="11"/>
  <c r="X2837" i="11"/>
  <c r="X2838" i="11"/>
  <c r="Y2837" i="11"/>
  <c r="Y2838" i="11"/>
  <c r="X2839" i="11"/>
  <c r="Y2839" i="11"/>
  <c r="X2840" i="11"/>
  <c r="X2841" i="11"/>
  <c r="Y2840" i="11"/>
  <c r="Y2841" i="11"/>
  <c r="X2842" i="11"/>
  <c r="X2843" i="11"/>
  <c r="Y2842" i="11"/>
  <c r="X2844" i="11"/>
  <c r="Y2843" i="11"/>
  <c r="Y2844" i="11"/>
  <c r="X2845" i="11"/>
  <c r="Y2845" i="11"/>
  <c r="X2846" i="11"/>
  <c r="X2847" i="11"/>
  <c r="Y2846" i="11"/>
  <c r="X2848" i="11"/>
  <c r="Y2847" i="11"/>
  <c r="Y2848" i="11"/>
  <c r="X2849" i="11"/>
  <c r="X2850" i="11"/>
  <c r="Y2849" i="11"/>
  <c r="X2851" i="11"/>
  <c r="Y2850" i="11"/>
  <c r="Y2851" i="11"/>
  <c r="X2852" i="11"/>
  <c r="Y2852" i="11"/>
  <c r="X2853" i="11"/>
  <c r="X2854" i="11"/>
  <c r="Y2853" i="11"/>
  <c r="Y2854" i="11"/>
  <c r="X2855" i="11"/>
  <c r="X2856" i="11"/>
  <c r="Y2855" i="11"/>
  <c r="Y2856" i="11"/>
  <c r="X2857" i="11"/>
  <c r="Y2857" i="11"/>
  <c r="X2858" i="11"/>
  <c r="X2859" i="11"/>
  <c r="Y2858" i="11"/>
  <c r="X2860" i="11"/>
  <c r="Y2859" i="11"/>
  <c r="Y2860" i="11"/>
  <c r="X2861" i="11"/>
  <c r="X2862" i="11"/>
  <c r="Y2861" i="11"/>
  <c r="Y2862" i="11"/>
  <c r="X2863" i="11"/>
  <c r="X2864" i="11"/>
  <c r="Y2863" i="11"/>
  <c r="X2865" i="11"/>
  <c r="Y2864" i="11"/>
  <c r="Y2865" i="11"/>
  <c r="X2866" i="11"/>
  <c r="X2867" i="11"/>
  <c r="Y2866" i="11"/>
  <c r="X2868" i="11"/>
  <c r="Y2867" i="11"/>
  <c r="Y2868" i="11"/>
  <c r="X2869" i="11"/>
  <c r="Y2869" i="11"/>
  <c r="X2870" i="11"/>
  <c r="X2871" i="11"/>
  <c r="Y2870" i="11"/>
  <c r="Y2871" i="11"/>
  <c r="X2872" i="11"/>
  <c r="Y2872" i="11"/>
  <c r="X2873" i="11"/>
  <c r="X2874" i="11"/>
  <c r="Y2873" i="11"/>
  <c r="X2875" i="11"/>
  <c r="Y2874" i="11"/>
  <c r="X2876" i="11"/>
  <c r="Y2875" i="11"/>
  <c r="Y2876" i="11"/>
  <c r="X2877" i="11"/>
  <c r="Y2877" i="11"/>
  <c r="X2878" i="11"/>
  <c r="Y2878" i="11"/>
  <c r="X2879" i="11"/>
  <c r="Y2879" i="11"/>
  <c r="X2880" i="11"/>
  <c r="X2881" i="11"/>
  <c r="Y2880" i="11"/>
  <c r="Y2881" i="11"/>
  <c r="X2882" i="11"/>
  <c r="X2883" i="11"/>
  <c r="Y2882" i="11"/>
  <c r="Y2883" i="11"/>
  <c r="X2884" i="11"/>
  <c r="Y2884" i="11"/>
  <c r="X2885" i="11"/>
  <c r="Y2885" i="11"/>
  <c r="X2886" i="11"/>
  <c r="Y2886" i="11"/>
  <c r="X2887" i="11"/>
  <c r="Y2887" i="11"/>
  <c r="X2888" i="11"/>
  <c r="Y2888" i="11"/>
  <c r="X2889" i="11"/>
  <c r="Y2889" i="11"/>
  <c r="X2890" i="11"/>
  <c r="X2891" i="11"/>
  <c r="Y2890" i="11"/>
  <c r="Y2891" i="11"/>
  <c r="X2892" i="11"/>
  <c r="Y2892" i="11"/>
  <c r="X2893" i="11"/>
  <c r="X2894" i="11"/>
  <c r="Y2893" i="11"/>
  <c r="Y2894" i="11"/>
  <c r="X2895" i="11"/>
  <c r="Y2895" i="11"/>
  <c r="X2896" i="11"/>
  <c r="X2897" i="11"/>
  <c r="Y2896" i="11"/>
  <c r="Y2897" i="11"/>
  <c r="X2898" i="11"/>
  <c r="X2899" i="11"/>
  <c r="Y2898" i="11"/>
  <c r="Y2899" i="11"/>
  <c r="X2900" i="11"/>
  <c r="Y2900" i="11"/>
  <c r="X2901" i="11"/>
  <c r="X2902" i="11"/>
  <c r="Y2901" i="11"/>
  <c r="Y2902" i="11"/>
  <c r="X2903" i="11"/>
  <c r="Y2903" i="11"/>
  <c r="X2904" i="11"/>
  <c r="X2905" i="11"/>
  <c r="Y2904" i="11"/>
  <c r="X2906" i="11"/>
  <c r="Y2905" i="11"/>
  <c r="X2907" i="11"/>
  <c r="Y2906" i="11"/>
  <c r="X2908" i="11"/>
  <c r="Y2907" i="11"/>
  <c r="Y2908" i="11"/>
  <c r="X2909" i="11"/>
  <c r="Y2909" i="11"/>
  <c r="X2910" i="11"/>
  <c r="X2911" i="11"/>
  <c r="Y2910" i="11"/>
  <c r="Y2911" i="11"/>
  <c r="X2912" i="11"/>
  <c r="Y2912" i="11"/>
  <c r="X2913" i="11"/>
  <c r="X2914" i="11"/>
  <c r="Y2913" i="11"/>
  <c r="X2915" i="11"/>
  <c r="Y2914" i="11"/>
  <c r="Y2915" i="11"/>
  <c r="X2916" i="11"/>
  <c r="Y2916" i="11"/>
  <c r="X2917" i="11"/>
  <c r="Y2917" i="11"/>
  <c r="X2918" i="11"/>
  <c r="Y2918" i="11"/>
  <c r="X2919" i="11"/>
  <c r="X2920" i="11"/>
  <c r="Y2919" i="11"/>
  <c r="X2921" i="11"/>
  <c r="Y2920" i="11"/>
  <c r="Y2921" i="11"/>
  <c r="X2922" i="11"/>
  <c r="X2923" i="11"/>
  <c r="Y2922" i="11"/>
  <c r="Y2923" i="11"/>
  <c r="X2924" i="11"/>
  <c r="Y2924" i="11"/>
  <c r="X2925" i="11"/>
  <c r="X2926" i="11"/>
  <c r="Y2925" i="11"/>
  <c r="X2927" i="11"/>
  <c r="Y2926" i="11"/>
  <c r="Y2927" i="11"/>
  <c r="X2928" i="11"/>
  <c r="X2929" i="11"/>
  <c r="Y2928" i="11"/>
  <c r="X2930" i="11"/>
  <c r="Y2929" i="11"/>
  <c r="X2931" i="11"/>
  <c r="Y2930" i="11"/>
  <c r="X2932" i="11"/>
  <c r="Y2931" i="11"/>
  <c r="Y2932" i="11"/>
  <c r="X2933" i="11"/>
  <c r="Y2933" i="11"/>
  <c r="X2934" i="11"/>
  <c r="X2935" i="11"/>
  <c r="Y2934" i="11"/>
  <c r="X2936" i="11"/>
  <c r="Y2935" i="11"/>
  <c r="Y2936" i="11"/>
  <c r="X2937" i="11"/>
  <c r="Y2937" i="11"/>
  <c r="X2938" i="11"/>
  <c r="X2939" i="11"/>
  <c r="Y2938" i="11"/>
  <c r="X2940" i="11"/>
  <c r="Y2939" i="11"/>
  <c r="Y2940" i="11"/>
  <c r="X2941" i="11"/>
  <c r="X2942" i="11"/>
  <c r="Y2941" i="11"/>
  <c r="X2943" i="11"/>
  <c r="Y2942" i="11"/>
  <c r="X2944" i="11"/>
  <c r="Y2943" i="11"/>
  <c r="Y2944" i="11"/>
  <c r="X2945" i="11"/>
  <c r="Y2945" i="11"/>
  <c r="X2946" i="11"/>
  <c r="X2947" i="11"/>
  <c r="Y2946" i="11"/>
  <c r="Y2947" i="11"/>
  <c r="X2948" i="11"/>
  <c r="Y2948" i="11"/>
  <c r="X2949" i="11"/>
  <c r="Y2949" i="11"/>
  <c r="X2950" i="11"/>
  <c r="Y2950" i="11"/>
  <c r="X2951" i="11"/>
  <c r="X2952" i="11"/>
  <c r="Y2951" i="11"/>
  <c r="X2953" i="11"/>
  <c r="Y2952" i="11"/>
  <c r="Y2953" i="11"/>
  <c r="X2954" i="11"/>
  <c r="X2955" i="11"/>
  <c r="Y2954" i="11"/>
  <c r="X2956" i="11"/>
  <c r="Y2955" i="11"/>
  <c r="Y2956" i="11"/>
  <c r="X2957" i="11"/>
  <c r="X2958" i="11"/>
  <c r="Y2957" i="11"/>
  <c r="Y2958" i="11"/>
  <c r="X2959" i="11"/>
  <c r="X2960" i="11"/>
  <c r="Y2959" i="11"/>
  <c r="Y2960" i="11"/>
  <c r="X2961" i="11"/>
  <c r="Y2961" i="11"/>
  <c r="X2962" i="11"/>
  <c r="X2963" i="11"/>
  <c r="Y2962" i="11"/>
  <c r="X2964" i="11"/>
  <c r="Y2963" i="11"/>
  <c r="Y2964" i="11"/>
  <c r="X2965" i="11"/>
  <c r="Y2965" i="11"/>
  <c r="X2966" i="11"/>
  <c r="X2967" i="11"/>
  <c r="Y2966" i="11"/>
  <c r="X2968" i="11"/>
  <c r="Y2967" i="11"/>
  <c r="Y2968" i="11"/>
  <c r="X2969" i="11"/>
  <c r="Y2969" i="11"/>
  <c r="X2970" i="11"/>
  <c r="X2971" i="11"/>
  <c r="Y2970" i="11"/>
  <c r="Y2971" i="11"/>
  <c r="X2972" i="11"/>
  <c r="Y2972" i="11"/>
  <c r="X2973" i="11"/>
  <c r="X2974" i="11"/>
  <c r="Y2973" i="11"/>
  <c r="X2975" i="11"/>
  <c r="Y2974" i="11"/>
  <c r="X2976" i="11"/>
  <c r="Y2975" i="11"/>
  <c r="Y2976" i="11"/>
  <c r="X2977" i="11"/>
  <c r="Y2977" i="11"/>
  <c r="X2978" i="11"/>
  <c r="X2979" i="11"/>
  <c r="Y2978" i="11"/>
  <c r="Y2979" i="11"/>
  <c r="X2980" i="11"/>
  <c r="Y2980" i="11"/>
  <c r="X2981" i="11"/>
  <c r="Y2981" i="11"/>
  <c r="X2982" i="11"/>
  <c r="Y2982" i="11"/>
  <c r="X2983" i="11"/>
  <c r="X2984" i="11"/>
  <c r="Y2983" i="11"/>
  <c r="X2985" i="11"/>
  <c r="Y2984" i="11"/>
  <c r="Y2985" i="11"/>
  <c r="X2986" i="11"/>
  <c r="X2987" i="11"/>
  <c r="Y2986" i="11"/>
  <c r="X2988" i="11"/>
  <c r="Y2987" i="11"/>
  <c r="Y2988" i="11"/>
  <c r="X2989" i="11"/>
  <c r="Y2989" i="11"/>
  <c r="X2990" i="11"/>
  <c r="Y2990" i="11"/>
  <c r="X2991" i="11"/>
  <c r="X2992" i="11"/>
  <c r="Y2991" i="11"/>
  <c r="Y2992" i="11"/>
  <c r="X2993" i="11"/>
  <c r="Y2993" i="11"/>
  <c r="X2994" i="11"/>
  <c r="X2995" i="11"/>
  <c r="Y2994" i="11"/>
  <c r="Y2995" i="11"/>
  <c r="X2996" i="11"/>
  <c r="Y2996" i="11"/>
  <c r="X2997" i="11"/>
  <c r="Y2997" i="11"/>
  <c r="X2998" i="11"/>
  <c r="X2999" i="11"/>
  <c r="Y2998" i="11"/>
  <c r="X3000" i="11"/>
  <c r="Y2999" i="11"/>
  <c r="Y3000" i="11"/>
  <c r="X3001" i="11"/>
  <c r="Y3001" i="11"/>
  <c r="X3002" i="11"/>
  <c r="X3003" i="11"/>
  <c r="Y3002" i="11"/>
  <c r="Y3003" i="11"/>
  <c r="X3004" i="11"/>
  <c r="Y3004" i="11"/>
  <c r="X3005" i="11"/>
  <c r="X3006" i="11"/>
  <c r="Y3005" i="11"/>
  <c r="Y3006" i="11"/>
  <c r="X3007" i="11"/>
  <c r="X3008" i="11"/>
  <c r="Y3007" i="11"/>
  <c r="Y3008" i="11"/>
  <c r="X3009" i="11"/>
  <c r="Y3009" i="11"/>
  <c r="X3010" i="11"/>
  <c r="X3011" i="11"/>
  <c r="Y3010" i="11"/>
  <c r="Y3011" i="11"/>
  <c r="X3012" i="11"/>
  <c r="Y3012" i="11"/>
  <c r="X3013" i="11"/>
  <c r="Y3013" i="11"/>
  <c r="X3014" i="11"/>
  <c r="Y3014" i="11"/>
  <c r="X3015" i="11"/>
  <c r="X3016" i="11"/>
  <c r="Y3015" i="11"/>
  <c r="X3017" i="11"/>
  <c r="Y3016" i="11"/>
  <c r="Y3017" i="11"/>
  <c r="X3018" i="11"/>
  <c r="X3019" i="11"/>
  <c r="Y3018" i="11"/>
  <c r="X3020" i="11"/>
  <c r="Y3019" i="11"/>
  <c r="Y3020" i="11"/>
  <c r="X3021" i="11"/>
  <c r="Y3021" i="11"/>
  <c r="X3022" i="11"/>
  <c r="Y3022" i="11"/>
  <c r="X3023" i="11"/>
  <c r="X3024" i="11"/>
  <c r="Y3023" i="11"/>
  <c r="Y3024" i="11"/>
  <c r="X3025" i="11"/>
  <c r="Y3025" i="11"/>
  <c r="X3026" i="11"/>
  <c r="X3027" i="11"/>
  <c r="Y3026" i="11"/>
  <c r="Y3027" i="11"/>
  <c r="X3028" i="11"/>
  <c r="Y3028" i="11"/>
  <c r="X3029" i="11"/>
  <c r="Y3029" i="11"/>
  <c r="X3030" i="11"/>
  <c r="X3031" i="11"/>
  <c r="Y3030" i="11"/>
  <c r="X3032" i="11"/>
  <c r="Y3031" i="11"/>
  <c r="Y3032" i="11"/>
  <c r="X3033" i="11"/>
  <c r="Y3033" i="11"/>
  <c r="X3034" i="11"/>
  <c r="X3035" i="11"/>
  <c r="Y3034" i="11"/>
  <c r="Y3035" i="11"/>
  <c r="X3036" i="11"/>
  <c r="Y3036" i="11"/>
  <c r="X3037" i="11"/>
  <c r="X3038" i="11"/>
  <c r="Y3037" i="11"/>
  <c r="Y3038" i="11"/>
  <c r="X3039" i="11"/>
  <c r="X3040" i="11"/>
  <c r="Y3039" i="11"/>
  <c r="Y3040" i="11"/>
  <c r="X3041" i="11"/>
  <c r="Y3041" i="11"/>
  <c r="X3042" i="11"/>
  <c r="X3043" i="11"/>
  <c r="Y3042" i="11"/>
  <c r="Y3043" i="11"/>
  <c r="X3044" i="11"/>
  <c r="Y3044" i="11"/>
  <c r="X3045" i="11"/>
  <c r="Y3045" i="11"/>
  <c r="X3046" i="11"/>
  <c r="Y3046" i="11"/>
  <c r="X3047" i="11"/>
  <c r="X3048" i="11"/>
  <c r="Y3047" i="11"/>
  <c r="X3049" i="11"/>
  <c r="Y3048" i="11"/>
  <c r="Y3049" i="11"/>
  <c r="X3050" i="11"/>
  <c r="X3051" i="11"/>
  <c r="Y3050" i="11"/>
  <c r="X3052" i="11"/>
  <c r="Y3051" i="11"/>
  <c r="Y3052" i="11"/>
  <c r="X3053" i="11"/>
  <c r="X3054" i="11"/>
  <c r="Y3053" i="11"/>
  <c r="Y3054" i="11"/>
  <c r="X3055" i="11"/>
  <c r="X3056" i="11"/>
  <c r="Y3055" i="11"/>
  <c r="Y3056" i="11"/>
  <c r="X3057" i="11"/>
  <c r="Y3057" i="11"/>
  <c r="X3058" i="11"/>
  <c r="X3059" i="11"/>
  <c r="Y3058" i="11"/>
  <c r="X3060" i="11"/>
  <c r="Y3059" i="11"/>
  <c r="Y3060" i="11"/>
  <c r="X3061" i="11"/>
  <c r="Y3061" i="11"/>
  <c r="X3062" i="11"/>
  <c r="X3063" i="11"/>
  <c r="Y3062" i="11"/>
  <c r="X3064" i="11"/>
  <c r="Y3063" i="11"/>
  <c r="Y3064" i="11"/>
  <c r="X3065" i="11"/>
  <c r="Y3065" i="11"/>
  <c r="X3066" i="11"/>
  <c r="X3067" i="11"/>
  <c r="Y3066" i="11"/>
  <c r="Y3067" i="11"/>
  <c r="X3068" i="11"/>
  <c r="Y3068" i="11"/>
  <c r="X3069" i="11"/>
  <c r="X3070" i="11"/>
  <c r="Y3069" i="11"/>
  <c r="X3071" i="11"/>
  <c r="Y3070" i="11"/>
  <c r="X3072" i="11"/>
  <c r="Y3071" i="11"/>
  <c r="Y3072" i="11"/>
  <c r="X3073" i="11"/>
  <c r="Y3073" i="11"/>
  <c r="X3074" i="11"/>
  <c r="X3075" i="11"/>
  <c r="Y3074" i="11"/>
  <c r="Y3075" i="11"/>
  <c r="X3076" i="11"/>
  <c r="Y3076" i="11"/>
  <c r="X3077" i="11"/>
  <c r="X3078" i="11"/>
  <c r="Y3077" i="11"/>
  <c r="Y3078" i="11"/>
  <c r="X3079" i="11"/>
  <c r="X3080" i="11"/>
  <c r="Y3079" i="11"/>
  <c r="X3081" i="11"/>
  <c r="Y3080" i="11"/>
  <c r="Y3081" i="11"/>
  <c r="X3082" i="11"/>
  <c r="X3083" i="11"/>
  <c r="Y3082" i="11"/>
  <c r="X3084" i="11"/>
  <c r="Y3083" i="11"/>
  <c r="Y3084" i="11"/>
  <c r="X3085" i="11"/>
  <c r="Y3085" i="11"/>
  <c r="X3086" i="11"/>
  <c r="Y3086" i="11"/>
  <c r="X3087" i="11"/>
  <c r="X3088" i="11"/>
  <c r="Y3087" i="11"/>
  <c r="X3089" i="11"/>
  <c r="Y3088" i="11"/>
  <c r="Y3089" i="11"/>
  <c r="X3090" i="11"/>
  <c r="X3091" i="11"/>
  <c r="Y3090" i="11"/>
  <c r="Y3091" i="11"/>
  <c r="X3092" i="11"/>
  <c r="Y3092" i="11"/>
  <c r="X3093" i="11"/>
  <c r="X3094" i="11"/>
  <c r="Y3093" i="11"/>
  <c r="X3095" i="11"/>
  <c r="Y3094" i="11"/>
  <c r="Y3095" i="11"/>
  <c r="X3096" i="11"/>
  <c r="X3097" i="11"/>
  <c r="Y3096" i="11"/>
  <c r="Y3097" i="11"/>
  <c r="X3098" i="11"/>
  <c r="Y3098" i="11"/>
  <c r="X3099" i="11"/>
  <c r="X3100" i="11"/>
  <c r="Y3099" i="11"/>
  <c r="X3101" i="11"/>
  <c r="Y3100" i="11"/>
  <c r="X3102" i="11"/>
  <c r="Y3101" i="11"/>
  <c r="X3103" i="11"/>
  <c r="Y3102" i="11"/>
  <c r="Y3103" i="11"/>
  <c r="X3104" i="11"/>
  <c r="Y3104" i="11"/>
  <c r="X3105" i="11"/>
  <c r="X3106" i="11"/>
  <c r="Y3105" i="11"/>
  <c r="Y3106" i="11"/>
  <c r="X3107" i="11"/>
  <c r="Y3107" i="11"/>
  <c r="X3108" i="11"/>
  <c r="X3109" i="11"/>
  <c r="Y3108" i="11"/>
  <c r="X3110" i="11"/>
  <c r="Y3109" i="11"/>
  <c r="Y3110" i="11"/>
  <c r="X3111" i="11"/>
  <c r="Y3111" i="11"/>
  <c r="X3112" i="11"/>
  <c r="Y3112" i="11"/>
  <c r="X3113" i="11"/>
  <c r="Y3113" i="11"/>
  <c r="X3114" i="11"/>
  <c r="X3115" i="11"/>
  <c r="Y3114" i="11"/>
  <c r="X3116" i="11"/>
  <c r="Y3115" i="11"/>
  <c r="Y3116" i="11"/>
  <c r="X3117" i="11"/>
  <c r="X3118" i="11"/>
  <c r="Y3117" i="11"/>
  <c r="X3119" i="11"/>
  <c r="Y3118" i="11"/>
  <c r="Y3119" i="11"/>
  <c r="X3120" i="11"/>
  <c r="X3121" i="11"/>
  <c r="Y3120" i="11"/>
  <c r="Y3121" i="11"/>
  <c r="X3122" i="11"/>
  <c r="Y3122" i="11"/>
  <c r="X3123" i="11"/>
  <c r="X3124" i="11"/>
  <c r="Y3123" i="11"/>
  <c r="X3125" i="11"/>
  <c r="Y3124" i="11"/>
  <c r="X3126" i="11"/>
  <c r="Y3125" i="11"/>
  <c r="X3127" i="11"/>
  <c r="Y3126" i="11"/>
  <c r="Y3127" i="11"/>
  <c r="X3128" i="11"/>
  <c r="Y3128" i="11"/>
  <c r="X3129" i="11"/>
  <c r="X3130" i="11"/>
  <c r="Y3129" i="11"/>
  <c r="Y3130" i="11"/>
  <c r="X3131" i="11"/>
  <c r="Y3131" i="11"/>
  <c r="X3132" i="11"/>
  <c r="X3133" i="11"/>
  <c r="Y3132" i="11"/>
  <c r="X3134" i="11"/>
  <c r="Y3133" i="11"/>
  <c r="Y3134" i="11"/>
  <c r="X3135" i="11"/>
  <c r="Y3135" i="11"/>
  <c r="X3136" i="11"/>
  <c r="Y3136" i="11"/>
  <c r="X3137" i="11"/>
  <c r="Y3137" i="11"/>
  <c r="X3138" i="11"/>
  <c r="Y3138" i="11"/>
  <c r="X3139" i="11"/>
  <c r="X3140" i="11"/>
  <c r="Y3139" i="11"/>
  <c r="Y3140" i="11"/>
  <c r="X3141" i="11"/>
  <c r="X3142" i="11"/>
  <c r="Y3141" i="11"/>
  <c r="X3143" i="11"/>
  <c r="Y3142" i="11"/>
  <c r="Y3143" i="11"/>
  <c r="X3144" i="11"/>
  <c r="Y3144" i="11"/>
  <c r="X3145" i="11"/>
  <c r="Y3145" i="11"/>
  <c r="X3146" i="11"/>
  <c r="Y3146" i="11"/>
  <c r="X3147" i="11"/>
  <c r="Y3147" i="11"/>
  <c r="X3148" i="11"/>
  <c r="X3149" i="11"/>
  <c r="Y3148" i="11"/>
  <c r="X3150" i="11"/>
  <c r="Y3149" i="11"/>
  <c r="Y3150" i="11"/>
  <c r="X3151" i="11"/>
  <c r="Y3151" i="11"/>
  <c r="X3152" i="11"/>
  <c r="X3153" i="11"/>
  <c r="Y3152" i="11"/>
  <c r="Y3153" i="11"/>
  <c r="X3154" i="11"/>
  <c r="Y3154" i="11"/>
  <c r="X3155" i="11"/>
  <c r="Y3155" i="11"/>
  <c r="X3156" i="11"/>
  <c r="Y3156" i="11"/>
  <c r="X3157" i="11"/>
  <c r="X3158" i="11"/>
  <c r="Y3157" i="11"/>
  <c r="Y3158" i="11"/>
  <c r="X3159" i="11"/>
  <c r="Y3159" i="11"/>
  <c r="X3160" i="11"/>
  <c r="X3161" i="11"/>
  <c r="Y3160" i="11"/>
  <c r="X3162" i="11"/>
  <c r="Y3161" i="11"/>
  <c r="Y3162" i="11"/>
  <c r="X3163" i="11"/>
  <c r="X3164" i="11"/>
  <c r="Y3163" i="11"/>
  <c r="Y3164" i="11"/>
  <c r="X3165" i="11"/>
  <c r="X3166" i="11"/>
  <c r="Y3165" i="11"/>
  <c r="X3167" i="11"/>
  <c r="Y3166" i="11"/>
  <c r="Y3167" i="11"/>
  <c r="X3168" i="11"/>
  <c r="Y3168" i="11"/>
  <c r="X3169" i="11"/>
  <c r="X3170" i="11"/>
  <c r="Y3169" i="11"/>
  <c r="Y3170" i="11"/>
  <c r="X3171" i="11"/>
  <c r="Y3171" i="11"/>
  <c r="X3172" i="11"/>
  <c r="X3173" i="11"/>
  <c r="Y3172" i="11"/>
  <c r="X3174" i="11"/>
  <c r="Y3173" i="11"/>
  <c r="Y3174" i="11"/>
  <c r="X3175" i="11"/>
  <c r="Y3175" i="11"/>
  <c r="X3176" i="11"/>
  <c r="X3177" i="11"/>
  <c r="Y3176" i="11"/>
  <c r="Y3177" i="11"/>
  <c r="X3178" i="11"/>
  <c r="X3179" i="11"/>
  <c r="Y3178" i="11"/>
  <c r="Y3179" i="11"/>
  <c r="X3180" i="11"/>
  <c r="Y3180" i="11"/>
  <c r="X3181" i="11"/>
  <c r="X3182" i="11"/>
  <c r="Y3181" i="11"/>
  <c r="Y3182" i="11"/>
  <c r="X3183" i="11"/>
  <c r="Y3183" i="11"/>
  <c r="X3184" i="11"/>
  <c r="X3185" i="11"/>
  <c r="Y3184" i="11"/>
  <c r="Y3185" i="11"/>
  <c r="X3186" i="11"/>
  <c r="Y3186" i="11"/>
  <c r="X3187" i="11"/>
  <c r="X3188" i="11"/>
  <c r="Y3187" i="11"/>
  <c r="Y3188" i="11"/>
  <c r="X3189" i="11"/>
  <c r="X3190" i="11"/>
  <c r="Y3189" i="11"/>
  <c r="X3191" i="11"/>
  <c r="Y3190" i="11"/>
  <c r="Y3191" i="11"/>
  <c r="X3192" i="11"/>
  <c r="Y3192" i="11"/>
  <c r="X3193" i="11"/>
  <c r="X3194" i="11"/>
  <c r="Y3193" i="11"/>
  <c r="Y3194" i="11"/>
  <c r="X3195" i="11"/>
  <c r="Y3195" i="11"/>
  <c r="X3196" i="11"/>
  <c r="X3197" i="11"/>
  <c r="Y3196" i="11"/>
  <c r="X3198" i="11"/>
  <c r="Y3197" i="11"/>
  <c r="Y3198" i="11"/>
  <c r="X3199" i="11"/>
  <c r="Y3199" i="11"/>
  <c r="X3200" i="11"/>
  <c r="Y3200" i="11"/>
  <c r="X3201" i="11"/>
  <c r="Y3201" i="11"/>
  <c r="X3202" i="11"/>
  <c r="Y3202" i="11"/>
  <c r="X3203" i="11"/>
  <c r="Y3203" i="11"/>
  <c r="X3204" i="11"/>
  <c r="Y3204" i="11"/>
  <c r="X3205" i="11"/>
  <c r="X3206" i="11"/>
  <c r="Y3205" i="11"/>
  <c r="X3207" i="11"/>
  <c r="Y3206" i="11"/>
  <c r="Y3207" i="11"/>
  <c r="X3208" i="11"/>
  <c r="Y3208" i="11"/>
  <c r="X3209" i="11"/>
  <c r="X3210" i="11"/>
  <c r="Y3209" i="11"/>
  <c r="X3211" i="11"/>
  <c r="Y3210" i="11"/>
  <c r="Y3211" i="11"/>
  <c r="X3212" i="11"/>
  <c r="Y3212" i="11"/>
  <c r="X3213" i="11"/>
  <c r="X3214" i="11"/>
  <c r="Y3213" i="11"/>
  <c r="Y3214" i="11"/>
  <c r="X3215" i="11"/>
  <c r="Y3215" i="11"/>
  <c r="X3216" i="11"/>
  <c r="X3217" i="11"/>
  <c r="Y3216" i="11"/>
  <c r="X3218" i="11"/>
  <c r="Y3217" i="11"/>
  <c r="X3219" i="11"/>
  <c r="Y3218" i="11"/>
  <c r="Y3219" i="11"/>
  <c r="X3220" i="11"/>
  <c r="Y3220" i="11"/>
  <c r="X3221" i="11"/>
  <c r="X3222" i="11"/>
  <c r="Y3221" i="11"/>
  <c r="Y3222" i="11"/>
  <c r="X3223" i="11"/>
  <c r="Y3223" i="11"/>
  <c r="X3224" i="11"/>
  <c r="Y3224" i="11"/>
  <c r="X3225" i="11"/>
  <c r="Y3225" i="11"/>
  <c r="X3226" i="11"/>
  <c r="X3227" i="11"/>
  <c r="Y3226" i="11"/>
  <c r="X3228" i="11"/>
  <c r="Y3227" i="11"/>
  <c r="Y3228" i="11"/>
  <c r="X3229" i="11"/>
  <c r="X3230" i="11"/>
  <c r="Y3229" i="11"/>
  <c r="X3231" i="11"/>
  <c r="Y3230" i="11"/>
  <c r="Y3231" i="11"/>
  <c r="X3232" i="11"/>
  <c r="Y3232" i="11"/>
  <c r="X3233" i="11"/>
  <c r="Y3233" i="11"/>
  <c r="X3234" i="11"/>
  <c r="X3235" i="11"/>
  <c r="Y3234" i="11"/>
  <c r="Y3235" i="11"/>
  <c r="X3236" i="11"/>
  <c r="Y3236" i="11"/>
  <c r="X3237" i="11"/>
  <c r="X3238" i="11"/>
  <c r="Y3237" i="11"/>
  <c r="Y3238" i="11"/>
  <c r="X3239" i="11"/>
  <c r="Y3239" i="11"/>
  <c r="X3240" i="11"/>
  <c r="Y3240" i="11"/>
  <c r="X3241" i="11"/>
  <c r="X3242" i="11"/>
  <c r="Y3241" i="11"/>
  <c r="X3243" i="11"/>
  <c r="Y3242" i="11"/>
  <c r="Y3243" i="11"/>
  <c r="X3244" i="11"/>
  <c r="Y3244" i="11"/>
  <c r="X3245" i="11"/>
  <c r="X3246" i="11"/>
  <c r="Y3245" i="11"/>
  <c r="X3247" i="11"/>
  <c r="Y3246" i="11"/>
  <c r="Y3247" i="11"/>
  <c r="X3248" i="11"/>
  <c r="X3249" i="11"/>
  <c r="Y3248" i="11"/>
  <c r="Y3249" i="11"/>
  <c r="X3250" i="11"/>
  <c r="X3251" i="11"/>
  <c r="Y3250" i="11"/>
  <c r="Y3251" i="11"/>
  <c r="X3252" i="11"/>
  <c r="Y3252" i="11"/>
  <c r="X3253" i="11"/>
  <c r="X3254" i="11"/>
  <c r="Y3253" i="11"/>
  <c r="Y3254" i="11"/>
  <c r="X3255" i="11"/>
  <c r="Y3255" i="11"/>
  <c r="X3256" i="11"/>
  <c r="Y3256" i="11"/>
  <c r="X3257" i="11"/>
  <c r="Y3257" i="11"/>
  <c r="X3258" i="11"/>
  <c r="X3259" i="11"/>
  <c r="Y3258" i="11"/>
  <c r="X3260" i="11"/>
  <c r="Y3259" i="11"/>
  <c r="Y3260" i="11"/>
  <c r="X3261" i="11"/>
  <c r="X3262" i="11"/>
  <c r="Y3261" i="11"/>
  <c r="X3263" i="11"/>
  <c r="Y3262" i="11"/>
  <c r="Y3263" i="11"/>
  <c r="X3264" i="11"/>
  <c r="X3265" i="11"/>
  <c r="Y3264" i="11"/>
  <c r="Y3265" i="11"/>
  <c r="X3266" i="11"/>
  <c r="Y3266" i="11"/>
  <c r="X3267" i="11"/>
  <c r="X3268" i="11"/>
  <c r="Y3267" i="11"/>
  <c r="X3269" i="11"/>
  <c r="Y3268" i="11"/>
  <c r="Y3269" i="11"/>
  <c r="X3270" i="11"/>
  <c r="X3271" i="11"/>
  <c r="Y3270" i="11"/>
  <c r="Y3271" i="11"/>
  <c r="X3272" i="11"/>
  <c r="X3273" i="11"/>
  <c r="Y3272" i="11"/>
  <c r="X3274" i="11"/>
  <c r="Y3273" i="11"/>
  <c r="Y3274" i="11"/>
  <c r="X3275" i="11"/>
  <c r="Y3275" i="11"/>
  <c r="X3276" i="11"/>
  <c r="X3277" i="11"/>
  <c r="Y3276" i="11"/>
  <c r="Y3277" i="11"/>
  <c r="X3278" i="11"/>
  <c r="Y3278" i="11"/>
  <c r="X3279" i="11"/>
  <c r="X3280" i="11"/>
  <c r="Y3279" i="11"/>
  <c r="X3281" i="11"/>
  <c r="Y3280" i="11"/>
  <c r="Y3281" i="11"/>
  <c r="X3282" i="11"/>
  <c r="Y3282" i="11"/>
  <c r="X3283" i="11"/>
  <c r="X3284" i="11"/>
  <c r="Y3283" i="11"/>
  <c r="Y3284" i="11"/>
  <c r="X3285" i="11"/>
  <c r="X3286" i="11"/>
  <c r="Y3285" i="11"/>
  <c r="Y3286" i="11"/>
  <c r="X3287" i="11"/>
  <c r="Y3287" i="11"/>
  <c r="X3288" i="11"/>
  <c r="X3289" i="11"/>
  <c r="Y3288" i="11"/>
  <c r="Y3289" i="11"/>
  <c r="X3290" i="11"/>
  <c r="Y3290" i="11"/>
  <c r="X3291" i="11"/>
  <c r="X3292" i="11"/>
  <c r="Y3291" i="11"/>
  <c r="Y3292" i="11"/>
  <c r="X3293" i="11"/>
  <c r="Y3293" i="11"/>
  <c r="X3294" i="11"/>
  <c r="X3295" i="11"/>
  <c r="Y3294" i="11"/>
  <c r="X3296" i="11"/>
  <c r="Y3295" i="11"/>
  <c r="X3297" i="11"/>
  <c r="Y3296" i="11"/>
  <c r="X3298" i="11"/>
  <c r="Y3297" i="11"/>
  <c r="Y3298" i="11"/>
  <c r="X3299" i="11"/>
  <c r="X3300" i="11"/>
  <c r="Y3299" i="11"/>
  <c r="X3301" i="11"/>
  <c r="Y3300" i="11"/>
  <c r="X3302" i="11"/>
  <c r="Y3301" i="11"/>
  <c r="Y3302" i="11"/>
  <c r="X3303" i="11"/>
  <c r="X3304" i="11"/>
  <c r="Y3303" i="11"/>
  <c r="X3305" i="11"/>
  <c r="Y3304" i="11"/>
  <c r="Y3305" i="11"/>
  <c r="X3306" i="11"/>
  <c r="Y3306" i="11"/>
  <c r="X3307" i="11"/>
  <c r="X3308" i="11"/>
  <c r="Y3307" i="11"/>
  <c r="X3309" i="11"/>
  <c r="Y3308" i="11"/>
  <c r="Y3309" i="11"/>
  <c r="X3310" i="11"/>
  <c r="Y3310" i="11"/>
  <c r="X3311" i="11"/>
  <c r="X3312" i="11"/>
  <c r="Y3311" i="11"/>
  <c r="X3313" i="11"/>
  <c r="Y3312" i="11"/>
  <c r="Y3313" i="11"/>
  <c r="X3314" i="11"/>
  <c r="Y3314" i="11"/>
  <c r="X3315" i="11"/>
  <c r="Y3315" i="11"/>
  <c r="X3316" i="11"/>
  <c r="Y3316" i="11"/>
  <c r="X3317" i="11"/>
  <c r="Y3317" i="11"/>
  <c r="X3318" i="11"/>
  <c r="Y3318" i="11"/>
  <c r="X3319" i="11"/>
  <c r="X3320" i="11"/>
  <c r="Y3319" i="11"/>
  <c r="X3321" i="11"/>
  <c r="Y3320" i="11"/>
  <c r="Y3321" i="11"/>
  <c r="X3322" i="11"/>
  <c r="Y3322" i="11"/>
  <c r="X3323" i="11"/>
  <c r="X3324" i="11"/>
  <c r="Y3323" i="11"/>
  <c r="Y3324" i="11"/>
  <c r="X3325" i="11"/>
  <c r="Y3325" i="11"/>
  <c r="X3326" i="11"/>
  <c r="Y3326" i="11"/>
  <c r="X3327" i="11"/>
  <c r="Y3327" i="11"/>
  <c r="X3328" i="11"/>
  <c r="X3329" i="11"/>
  <c r="Y3328" i="11"/>
  <c r="Y3329" i="11"/>
  <c r="X3330" i="11"/>
  <c r="Y3330" i="11"/>
  <c r="X3331" i="11"/>
  <c r="X3332" i="11"/>
  <c r="Y3331" i="11"/>
  <c r="X3333" i="11"/>
  <c r="Y3332" i="11"/>
  <c r="Y3333" i="11"/>
  <c r="X3334" i="11"/>
  <c r="X3335" i="11"/>
  <c r="Y3334" i="11"/>
  <c r="Y3335" i="11"/>
  <c r="X3336" i="11"/>
  <c r="X3337" i="11"/>
  <c r="Y3336" i="11"/>
  <c r="X3338" i="11"/>
  <c r="Y3337" i="11"/>
  <c r="Y3338" i="11"/>
  <c r="X3339" i="11"/>
  <c r="Y3339" i="11"/>
  <c r="X3340" i="11"/>
  <c r="X3341" i="11"/>
  <c r="Y3340" i="11"/>
  <c r="Y3341" i="11"/>
  <c r="X3342" i="11"/>
  <c r="Y3342" i="11"/>
  <c r="X3343" i="11"/>
  <c r="X3344" i="11"/>
  <c r="Y3343" i="11"/>
  <c r="X3345" i="11"/>
  <c r="Y3344" i="11"/>
  <c r="Y3345" i="11"/>
  <c r="X3346" i="11"/>
  <c r="Y3346" i="11"/>
  <c r="X3347" i="11"/>
  <c r="X3348" i="11"/>
  <c r="Y3347" i="11"/>
  <c r="Y3348" i="11"/>
  <c r="X3349" i="11"/>
  <c r="X3350" i="11"/>
  <c r="Y3349" i="11"/>
  <c r="Y3350" i="11"/>
  <c r="X3351" i="11"/>
  <c r="Y3351" i="11"/>
  <c r="X3352" i="11"/>
  <c r="X3353" i="11"/>
  <c r="Y3352" i="11"/>
  <c r="X3354" i="11"/>
  <c r="Y3353" i="11"/>
  <c r="Y3354" i="11"/>
  <c r="X3355" i="11"/>
  <c r="X3356" i="11"/>
  <c r="Y3355" i="11"/>
  <c r="Y3356" i="11"/>
  <c r="X3357" i="11"/>
  <c r="Y3357" i="11"/>
  <c r="X3358" i="11"/>
  <c r="X3359" i="11"/>
  <c r="Y3358" i="11"/>
  <c r="X3360" i="11"/>
  <c r="Y3359" i="11"/>
  <c r="X3361" i="11"/>
  <c r="Y3360" i="11"/>
  <c r="X3362" i="11"/>
  <c r="Y3361" i="11"/>
  <c r="Y3362" i="11"/>
  <c r="X3363" i="11"/>
  <c r="Y3363" i="11"/>
  <c r="X3364" i="11"/>
  <c r="X3365" i="11"/>
  <c r="Y3364" i="11"/>
  <c r="Y3365" i="11"/>
  <c r="X3366" i="11"/>
  <c r="Y3366" i="11"/>
  <c r="X3367" i="11"/>
  <c r="X3368" i="11"/>
  <c r="Y3367" i="11"/>
  <c r="X3369" i="11"/>
  <c r="Y3368" i="11"/>
  <c r="Y3369" i="11"/>
  <c r="X3370" i="11"/>
  <c r="Y3370" i="11"/>
  <c r="X3371" i="11"/>
  <c r="Y3371" i="11"/>
  <c r="X3372" i="11"/>
  <c r="Y3372" i="11"/>
  <c r="X3373" i="11"/>
  <c r="Y3373" i="11"/>
  <c r="X3374" i="11"/>
  <c r="X3375" i="11"/>
  <c r="Y3374" i="11"/>
  <c r="Y3375" i="11"/>
  <c r="X3376" i="11"/>
  <c r="X3377" i="11"/>
  <c r="Y3376" i="11"/>
  <c r="X3378" i="11"/>
  <c r="Y3377" i="11"/>
  <c r="Y3378" i="11"/>
  <c r="X3379" i="11"/>
  <c r="Y3379" i="11"/>
  <c r="X3380" i="11"/>
  <c r="Y3380" i="11"/>
  <c r="X3381" i="11"/>
  <c r="X3382" i="11"/>
  <c r="Y3381" i="11"/>
  <c r="Y3382" i="11"/>
  <c r="X3383" i="11"/>
  <c r="X3384" i="11"/>
  <c r="Y3383" i="11"/>
  <c r="X3385" i="11"/>
  <c r="Y3384" i="11"/>
  <c r="Y3385" i="11"/>
  <c r="X3386" i="11"/>
  <c r="Y3386" i="11"/>
  <c r="X3387" i="11"/>
  <c r="Y3387" i="11"/>
  <c r="X3388" i="11"/>
  <c r="Y3388" i="11"/>
  <c r="X3389" i="11"/>
  <c r="Y3389" i="11"/>
  <c r="X3390" i="11"/>
  <c r="Y3390" i="11"/>
  <c r="X3391" i="11"/>
  <c r="Y3391" i="11"/>
  <c r="X3392" i="11"/>
  <c r="X3393" i="11"/>
  <c r="Y3392" i="11"/>
  <c r="Y3393" i="11"/>
  <c r="X3394" i="11"/>
  <c r="Y3394" i="11"/>
  <c r="X3395" i="11"/>
  <c r="X3396" i="11"/>
  <c r="Y3395" i="11"/>
  <c r="X3397" i="11"/>
  <c r="Y3396" i="11"/>
  <c r="Y3397" i="11"/>
  <c r="X3398" i="11"/>
  <c r="X3399" i="11"/>
  <c r="Y3398" i="11"/>
  <c r="Y3399" i="11"/>
  <c r="X3400" i="11"/>
  <c r="X3401" i="11"/>
  <c r="Y3400" i="11"/>
  <c r="X3402" i="11"/>
  <c r="Y3401" i="11"/>
  <c r="Y3402" i="11"/>
  <c r="X3403" i="11"/>
  <c r="Y3403" i="11"/>
  <c r="X3404" i="11"/>
  <c r="X3405" i="11"/>
  <c r="Y3404" i="11"/>
  <c r="Y3405" i="11"/>
  <c r="X3406" i="11"/>
  <c r="Y3406" i="11"/>
  <c r="X3407" i="11"/>
  <c r="X3408" i="11"/>
  <c r="Y3407" i="11"/>
  <c r="X3409" i="11"/>
  <c r="Y3408" i="11"/>
  <c r="Y3409" i="11"/>
  <c r="X3410" i="11"/>
  <c r="Y3410" i="11"/>
  <c r="X3411" i="11"/>
  <c r="X3412" i="11"/>
  <c r="Y3411" i="11"/>
  <c r="Y3412" i="11"/>
  <c r="X3413" i="11"/>
  <c r="X3414" i="11"/>
  <c r="Y3413" i="11"/>
  <c r="Y3414" i="11"/>
  <c r="X3415" i="11"/>
  <c r="Y3415" i="11"/>
  <c r="X3416" i="11"/>
  <c r="X3417" i="11"/>
  <c r="Y3416" i="11"/>
  <c r="X3418" i="11"/>
  <c r="Y3417" i="11"/>
  <c r="Y3418" i="11"/>
  <c r="X3419" i="11"/>
  <c r="X3420" i="11"/>
  <c r="Y3419" i="11"/>
  <c r="X3421" i="11"/>
  <c r="Y3420" i="11"/>
  <c r="Y3421" i="11"/>
  <c r="X3422" i="11"/>
  <c r="X3423" i="11"/>
  <c r="Y3422" i="11"/>
  <c r="Y3423" i="11"/>
  <c r="X3424" i="11"/>
  <c r="X3425" i="11"/>
  <c r="Y3424" i="11"/>
  <c r="X3426" i="11"/>
  <c r="Y3425" i="11"/>
  <c r="Y3426" i="11"/>
  <c r="X3427" i="11"/>
  <c r="Y3427" i="11"/>
  <c r="X3428" i="11"/>
  <c r="X3429" i="11"/>
  <c r="Y3428" i="11"/>
  <c r="Y3429" i="11"/>
  <c r="X3430" i="11"/>
  <c r="Y3430" i="11"/>
  <c r="X3431" i="11"/>
  <c r="X3432" i="11"/>
  <c r="Y3431" i="11"/>
  <c r="X3433" i="11"/>
  <c r="Y3432" i="11"/>
  <c r="Y3433" i="11"/>
  <c r="X3434" i="11"/>
  <c r="Y3434" i="11"/>
  <c r="X3435" i="11"/>
  <c r="X3436" i="11"/>
  <c r="Y3435" i="11"/>
  <c r="Y3436" i="11"/>
  <c r="X3437" i="11"/>
  <c r="X3438" i="11"/>
  <c r="Y3437" i="11"/>
  <c r="X3439" i="11"/>
  <c r="Y3438" i="11"/>
  <c r="Y3439" i="11"/>
  <c r="X3440" i="11"/>
  <c r="X3441" i="11"/>
  <c r="Y3440" i="11"/>
  <c r="X3442" i="11"/>
  <c r="Y3441" i="11"/>
  <c r="Y3442" i="11"/>
  <c r="X3443" i="11"/>
  <c r="Y3443" i="11"/>
  <c r="X3444" i="11"/>
  <c r="Y3444" i="11"/>
  <c r="X3445" i="11"/>
  <c r="X3446" i="11"/>
  <c r="Y3445" i="11"/>
  <c r="X3447" i="11"/>
  <c r="Y3446" i="11"/>
  <c r="Y3447" i="11"/>
  <c r="X3448" i="11"/>
  <c r="X3449" i="11"/>
  <c r="Y3448" i="11"/>
  <c r="Y3449" i="11"/>
  <c r="X3450" i="11"/>
  <c r="Y3450" i="11"/>
  <c r="X3451" i="11"/>
  <c r="Y3451" i="11"/>
  <c r="X3452" i="11"/>
  <c r="X3453" i="11"/>
  <c r="Y3452" i="11"/>
  <c r="X3454" i="11"/>
  <c r="Y3453" i="11"/>
  <c r="Y3454" i="11"/>
  <c r="X3455" i="11"/>
  <c r="Y3455" i="11"/>
  <c r="X3456" i="11"/>
  <c r="X3457" i="11"/>
  <c r="Y3456" i="11"/>
  <c r="X3458" i="11"/>
  <c r="Y3457" i="11"/>
  <c r="Y3458" i="11"/>
  <c r="X3459" i="11"/>
  <c r="X3460" i="11"/>
  <c r="Y3459" i="11"/>
  <c r="Y3460" i="11"/>
  <c r="X3461" i="11"/>
  <c r="X3462" i="11"/>
  <c r="Y3461" i="11"/>
  <c r="Y3462" i="11"/>
  <c r="X3463" i="11"/>
  <c r="Y3463" i="11"/>
  <c r="X3464" i="11"/>
  <c r="X3465" i="11"/>
  <c r="Y3464" i="11"/>
  <c r="Y3465" i="11"/>
  <c r="X3466" i="11"/>
  <c r="Y3466" i="11"/>
  <c r="X3467" i="11"/>
  <c r="Y3467" i="11"/>
  <c r="X3468" i="11"/>
  <c r="Y3468" i="11"/>
  <c r="X3469" i="11"/>
  <c r="X3470" i="11"/>
  <c r="Y3469" i="11"/>
  <c r="X3471" i="11"/>
  <c r="Y3470" i="11"/>
  <c r="Y3471" i="11"/>
  <c r="X3472" i="11"/>
  <c r="X3473" i="11"/>
  <c r="Y3472" i="11"/>
  <c r="X3474" i="11"/>
  <c r="Y3473" i="11"/>
  <c r="Y3474" i="11"/>
  <c r="X3475" i="11"/>
  <c r="X3476" i="11"/>
  <c r="Y3475" i="11"/>
  <c r="Y3476" i="11"/>
  <c r="X3477" i="11"/>
  <c r="X3478" i="11"/>
  <c r="Y3477" i="11"/>
  <c r="Y3478" i="11"/>
  <c r="X3479" i="11"/>
  <c r="Y3479" i="11"/>
  <c r="X3480" i="11"/>
  <c r="X3481" i="11"/>
  <c r="Y3480" i="11"/>
  <c r="X3482" i="11"/>
  <c r="Y3481" i="11"/>
  <c r="Y3482" i="11"/>
  <c r="X3483" i="11"/>
  <c r="Y3483" i="11"/>
  <c r="X3484" i="11"/>
  <c r="X3485" i="11"/>
  <c r="Y3484" i="11"/>
  <c r="X3486" i="11"/>
  <c r="Y3485" i="11"/>
  <c r="Y3486" i="11"/>
  <c r="X3487" i="11"/>
  <c r="Y3487" i="11"/>
  <c r="X3488" i="11"/>
  <c r="X3489" i="11"/>
  <c r="Y3488" i="11"/>
  <c r="Y3489" i="11"/>
  <c r="X3490" i="11"/>
  <c r="Y3490" i="11"/>
  <c r="X3491" i="11"/>
  <c r="X3492" i="11"/>
  <c r="Y3491" i="11"/>
  <c r="X3493" i="11"/>
  <c r="Y3492" i="11"/>
  <c r="X3494" i="11"/>
  <c r="Y3493" i="11"/>
  <c r="Y3494" i="11"/>
  <c r="X3495" i="11"/>
  <c r="Y3495" i="11"/>
  <c r="X3496" i="11"/>
  <c r="X3497" i="11"/>
  <c r="Y3496" i="11"/>
  <c r="Y3497" i="11"/>
  <c r="X3498" i="11"/>
  <c r="Y3498" i="11"/>
  <c r="X3499" i="11"/>
  <c r="Y3499" i="11"/>
  <c r="X3500" i="11"/>
  <c r="Y3500" i="11"/>
  <c r="X3501" i="11"/>
  <c r="X3502" i="11"/>
  <c r="Y3501" i="11"/>
  <c r="X3503" i="11"/>
  <c r="Y3502" i="11"/>
  <c r="Y3503" i="11"/>
  <c r="X3504" i="11"/>
  <c r="X3505" i="11"/>
  <c r="Y3504" i="11"/>
  <c r="X3506" i="11"/>
  <c r="Y3505" i="11"/>
  <c r="Y3506" i="11"/>
  <c r="X3507" i="11"/>
  <c r="Y3507" i="11"/>
  <c r="X3508" i="11"/>
  <c r="Y3508" i="11"/>
  <c r="X3509" i="11"/>
  <c r="X3510" i="11"/>
  <c r="Y3509" i="11"/>
  <c r="Y3510" i="11"/>
  <c r="X3511" i="11"/>
  <c r="Y3511" i="11"/>
  <c r="X3512" i="11"/>
  <c r="X3513" i="11"/>
  <c r="Y3512" i="11"/>
  <c r="Y3513" i="11"/>
  <c r="X3514" i="11"/>
  <c r="Y3514" i="11"/>
  <c r="X3515" i="11"/>
  <c r="Y3515" i="11"/>
  <c r="X3516" i="11"/>
  <c r="X3517" i="11"/>
  <c r="Y3516" i="11"/>
  <c r="X3518" i="11"/>
  <c r="Y3517" i="11"/>
  <c r="Y3518" i="11"/>
  <c r="X3519" i="11"/>
  <c r="Y3519" i="11"/>
  <c r="X3520" i="11"/>
  <c r="X3521" i="11"/>
  <c r="Y3520" i="11"/>
  <c r="Y3521" i="11"/>
  <c r="X3522" i="11"/>
  <c r="Y3522" i="11"/>
  <c r="X3523" i="11"/>
  <c r="X3524" i="11"/>
  <c r="Y3523" i="11"/>
  <c r="Y3524" i="11"/>
  <c r="X3525" i="11"/>
  <c r="X3526" i="11"/>
  <c r="Y3525" i="11"/>
  <c r="Y3526" i="11"/>
  <c r="X3527" i="11"/>
  <c r="Y3527" i="11"/>
  <c r="X3528" i="11"/>
  <c r="X3529" i="11"/>
  <c r="Y3528" i="11"/>
  <c r="Y3529" i="11"/>
  <c r="X3530" i="11"/>
  <c r="Y3530" i="11"/>
  <c r="X3531" i="11"/>
  <c r="Y3531" i="11"/>
  <c r="X3532" i="11"/>
  <c r="Y3532" i="11"/>
  <c r="X3533" i="11"/>
  <c r="X3534" i="11"/>
  <c r="Y3533" i="11"/>
  <c r="X3535" i="11"/>
  <c r="Y3534" i="11"/>
  <c r="Y3535" i="11"/>
  <c r="X3536" i="11"/>
  <c r="X3537" i="11"/>
  <c r="Y3536" i="11"/>
  <c r="X3538" i="11"/>
  <c r="Y3537" i="11"/>
  <c r="Y3538" i="11"/>
  <c r="X3539" i="11"/>
  <c r="Y3539" i="11"/>
  <c r="X3540" i="11"/>
  <c r="Y3540" i="11"/>
  <c r="X3541" i="11"/>
  <c r="X3542" i="11"/>
  <c r="Y3541" i="11"/>
  <c r="Y3542" i="11"/>
  <c r="X3543" i="11"/>
  <c r="Y3543" i="11"/>
  <c r="X3544" i="11"/>
  <c r="X3545" i="11"/>
  <c r="Y3544" i="11"/>
  <c r="Y3545" i="11"/>
  <c r="X3546" i="11"/>
  <c r="Y3546" i="11"/>
  <c r="X3547" i="11"/>
  <c r="Y3547" i="11"/>
  <c r="X3548" i="11"/>
  <c r="X3549" i="11"/>
  <c r="Y3548" i="11"/>
  <c r="X3550" i="11"/>
  <c r="Y3549" i="11"/>
  <c r="Y3550" i="11"/>
  <c r="X3551" i="11"/>
  <c r="Y3551" i="11"/>
  <c r="X3552" i="11"/>
  <c r="Y3552" i="11" s="1"/>
  <c r="E15" i="11" l="1"/>
  <c r="E8" i="11"/>
  <c r="E16" i="11"/>
  <c r="E14" i="11"/>
  <c r="E7" i="11"/>
  <c r="E6" i="11"/>
  <c r="E10" i="11"/>
  <c r="E9" i="11"/>
  <c r="E4" i="11"/>
  <c r="E3" i="11"/>
  <c r="E5" i="11"/>
  <c r="E11" i="11"/>
  <c r="E13" i="11"/>
  <c r="E12" i="11"/>
  <c r="C10" i="11"/>
  <c r="C11" i="11"/>
  <c r="C6" i="11"/>
  <c r="C12" i="11"/>
  <c r="F9" i="11"/>
  <c r="N19" i="11"/>
  <c r="O19" i="11"/>
  <c r="P19" i="11"/>
  <c r="C13" i="11" l="1"/>
  <c r="C7" i="11"/>
  <c r="C8" i="11" l="1"/>
  <c r="C14" i="11"/>
  <c r="C9" i="11" l="1"/>
  <c r="C16" i="11" s="1"/>
  <c r="C15" i="11"/>
  <c r="D31" i="2" l="1"/>
  <c r="D32" i="2"/>
  <c r="D33" i="2"/>
  <c r="D34" i="2"/>
  <c r="D35" i="2"/>
  <c r="D36" i="2"/>
  <c r="D37" i="2"/>
  <c r="D38" i="2"/>
  <c r="D39" i="2"/>
  <c r="D40" i="2"/>
  <c r="C3" i="8" l="1"/>
  <c r="K3" i="10"/>
  <c r="E22" i="3" l="1"/>
  <c r="D22" i="3"/>
  <c r="B6" i="10" l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E5" i="10"/>
  <c r="E6" i="10" s="1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D5" i="10"/>
  <c r="J5" i="10" s="1"/>
  <c r="J1" i="10"/>
  <c r="K1" i="10" s="1"/>
  <c r="H5" i="10" l="1"/>
  <c r="D6" i="10"/>
  <c r="L3" i="10"/>
  <c r="D7" i="10" l="1"/>
  <c r="J6" i="10"/>
  <c r="H6" i="10"/>
  <c r="F6" i="10"/>
  <c r="J7" i="10" l="1"/>
  <c r="F7" i="10"/>
  <c r="D8" i="10"/>
  <c r="H7" i="10"/>
  <c r="J8" i="10" l="1"/>
  <c r="D9" i="10"/>
  <c r="H8" i="10"/>
  <c r="F8" i="10"/>
  <c r="D10" i="10" l="1"/>
  <c r="F9" i="10"/>
  <c r="J9" i="10"/>
  <c r="H9" i="10"/>
  <c r="H10" i="10" l="1"/>
  <c r="J10" i="10"/>
  <c r="F10" i="10"/>
  <c r="D11" i="10"/>
  <c r="J11" i="10" l="1"/>
  <c r="D12" i="10"/>
  <c r="H11" i="10"/>
  <c r="F11" i="10"/>
  <c r="J12" i="10" l="1"/>
  <c r="H12" i="10"/>
  <c r="F12" i="10"/>
  <c r="D13" i="10"/>
  <c r="H13" i="10" l="1"/>
  <c r="F13" i="10"/>
  <c r="D14" i="10"/>
  <c r="J13" i="10"/>
  <c r="H14" i="10" l="1"/>
  <c r="D15" i="10"/>
  <c r="F14" i="10"/>
  <c r="J14" i="10"/>
  <c r="J15" i="10" l="1"/>
  <c r="H15" i="10"/>
  <c r="F15" i="10"/>
  <c r="D16" i="10"/>
  <c r="H16" i="10" l="1"/>
  <c r="F16" i="10"/>
  <c r="D17" i="10"/>
  <c r="J16" i="10"/>
  <c r="J17" i="10" l="1"/>
  <c r="H17" i="10"/>
  <c r="F17" i="10"/>
  <c r="D18" i="10"/>
  <c r="D19" i="10" l="1"/>
  <c r="J18" i="10"/>
  <c r="H18" i="10"/>
  <c r="F18" i="10"/>
  <c r="F19" i="10" l="1"/>
  <c r="J19" i="10"/>
  <c r="H19" i="10"/>
  <c r="D20" i="10"/>
  <c r="D21" i="10" l="1"/>
  <c r="J20" i="10"/>
  <c r="H20" i="10"/>
  <c r="F20" i="10"/>
  <c r="J21" i="10" l="1"/>
  <c r="H21" i="10"/>
  <c r="D22" i="10"/>
  <c r="F21" i="10"/>
  <c r="D23" i="10" l="1"/>
  <c r="J22" i="10"/>
  <c r="F22" i="10"/>
  <c r="H22" i="10"/>
  <c r="F23" i="10" l="1"/>
  <c r="J23" i="10"/>
  <c r="D24" i="10"/>
  <c r="H23" i="10"/>
  <c r="J24" i="10" l="1"/>
  <c r="D25" i="10"/>
  <c r="H24" i="10"/>
  <c r="F24" i="10"/>
  <c r="F25" i="10" l="1"/>
  <c r="D26" i="10"/>
  <c r="J25" i="10"/>
  <c r="H25" i="10"/>
  <c r="H26" i="10" l="1"/>
  <c r="D27" i="10"/>
  <c r="F26" i="10"/>
  <c r="J26" i="10"/>
  <c r="D28" i="10" l="1"/>
  <c r="J27" i="10"/>
  <c r="H27" i="10"/>
  <c r="F27" i="10"/>
  <c r="J28" i="10" l="1"/>
  <c r="F28" i="10"/>
  <c r="H28" i="10"/>
  <c r="D29" i="10"/>
  <c r="D30" i="10" l="1"/>
  <c r="H29" i="10"/>
  <c r="F29" i="10"/>
  <c r="J29" i="10"/>
  <c r="D31" i="10" l="1"/>
  <c r="J30" i="10"/>
  <c r="H30" i="10"/>
  <c r="F30" i="10"/>
  <c r="J31" i="10" l="1"/>
  <c r="D32" i="10"/>
  <c r="H31" i="10"/>
  <c r="F31" i="10"/>
  <c r="F32" i="10" l="1"/>
  <c r="H32" i="10"/>
  <c r="D33" i="10"/>
  <c r="J32" i="10"/>
  <c r="J33" i="10" l="1"/>
  <c r="H33" i="10"/>
  <c r="F33" i="10"/>
  <c r="D34" i="10"/>
  <c r="D35" i="10" l="1"/>
  <c r="J34" i="10"/>
  <c r="H34" i="10"/>
  <c r="F34" i="10"/>
  <c r="F35" i="10" l="1"/>
  <c r="H35" i="10"/>
  <c r="D36" i="10"/>
  <c r="J35" i="10"/>
  <c r="D37" i="10" l="1"/>
  <c r="H36" i="10"/>
  <c r="J36" i="10"/>
  <c r="F36" i="10"/>
  <c r="J37" i="10" l="1"/>
  <c r="H37" i="10"/>
  <c r="F37" i="10"/>
  <c r="D38" i="10"/>
  <c r="J38" i="10" l="1"/>
  <c r="H38" i="10"/>
  <c r="F38" i="10"/>
  <c r="K2" i="10"/>
  <c r="L2" i="10"/>
  <c r="D47" i="9" l="1"/>
  <c r="B47" i="9"/>
  <c r="D46" i="9"/>
  <c r="B46" i="9"/>
  <c r="D45" i="9"/>
  <c r="B45" i="9"/>
  <c r="D44" i="9"/>
  <c r="B44" i="9"/>
  <c r="D43" i="9"/>
  <c r="B43" i="9"/>
  <c r="D42" i="9"/>
  <c r="B42" i="9"/>
  <c r="D41" i="9"/>
  <c r="B41" i="9"/>
  <c r="D40" i="9"/>
  <c r="B40" i="9"/>
  <c r="D39" i="9"/>
  <c r="B39" i="9"/>
  <c r="D38" i="9"/>
  <c r="B38" i="9"/>
  <c r="D37" i="9"/>
  <c r="B37" i="9"/>
  <c r="D36" i="9"/>
  <c r="B36" i="9"/>
  <c r="D35" i="9"/>
  <c r="B35" i="9"/>
  <c r="D34" i="9"/>
  <c r="B34" i="9"/>
  <c r="D33" i="9"/>
  <c r="B33" i="9"/>
  <c r="D32" i="9"/>
  <c r="B32" i="9"/>
  <c r="D31" i="9"/>
  <c r="B31" i="9"/>
  <c r="D30" i="9"/>
  <c r="B30" i="9"/>
  <c r="D29" i="9"/>
  <c r="B29" i="9"/>
  <c r="D28" i="9"/>
  <c r="B28" i="9"/>
  <c r="D27" i="9"/>
  <c r="B27" i="9"/>
  <c r="D26" i="9"/>
  <c r="B26" i="9"/>
  <c r="D25" i="9"/>
  <c r="B25" i="9"/>
  <c r="D24" i="9"/>
  <c r="B24" i="9"/>
  <c r="D23" i="9"/>
  <c r="B23" i="9"/>
  <c r="D22" i="9"/>
  <c r="B22" i="9"/>
  <c r="D21" i="9"/>
  <c r="B21" i="9"/>
  <c r="D20" i="9"/>
  <c r="B20" i="9"/>
  <c r="D19" i="9"/>
  <c r="B19" i="9"/>
  <c r="D18" i="9"/>
  <c r="B18" i="9"/>
  <c r="D17" i="9"/>
  <c r="B17" i="9"/>
  <c r="D16" i="9"/>
  <c r="B16" i="9"/>
  <c r="D15" i="9"/>
  <c r="B15" i="9"/>
  <c r="D14" i="9"/>
  <c r="G14" i="9" s="1"/>
  <c r="B14" i="9"/>
  <c r="D13" i="9"/>
  <c r="B13" i="9"/>
  <c r="D12" i="9"/>
  <c r="B12" i="9"/>
  <c r="D11" i="9"/>
  <c r="B11" i="9"/>
  <c r="D10" i="9"/>
  <c r="B10" i="9"/>
  <c r="D9" i="9"/>
  <c r="B9" i="9"/>
  <c r="D8" i="9"/>
  <c r="B8" i="9"/>
  <c r="D7" i="9"/>
  <c r="B7" i="9"/>
  <c r="D6" i="9"/>
  <c r="B6" i="9"/>
  <c r="D5" i="9"/>
  <c r="B5" i="9"/>
  <c r="D4" i="9"/>
  <c r="B4" i="9"/>
  <c r="D3" i="9"/>
  <c r="B3" i="9"/>
  <c r="E1" i="9"/>
  <c r="E43" i="9" l="1"/>
  <c r="G36" i="9"/>
  <c r="E27" i="9"/>
  <c r="G20" i="9"/>
  <c r="E11" i="9"/>
  <c r="G4" i="9"/>
  <c r="E31" i="9"/>
  <c r="E40" i="9"/>
  <c r="E33" i="9"/>
  <c r="G26" i="9"/>
  <c r="E17" i="9"/>
  <c r="G10" i="9"/>
  <c r="E14" i="9"/>
  <c r="E25" i="9"/>
  <c r="E36" i="9"/>
  <c r="E20" i="9"/>
  <c r="E4" i="9"/>
  <c r="E13" i="9"/>
  <c r="E38" i="9"/>
  <c r="E6" i="9"/>
  <c r="G33" i="9"/>
  <c r="G42" i="9"/>
  <c r="E39" i="9"/>
  <c r="E23" i="9"/>
  <c r="E7" i="9"/>
  <c r="E41" i="9"/>
  <c r="G34" i="9"/>
  <c r="E9" i="9"/>
  <c r="G27" i="9"/>
  <c r="E45" i="9"/>
  <c r="E29" i="9"/>
  <c r="E22" i="9"/>
  <c r="G17" i="9"/>
  <c r="E30" i="9"/>
  <c r="E16" i="9"/>
  <c r="G18" i="9"/>
  <c r="G11" i="9"/>
  <c r="E47" i="9"/>
  <c r="E15" i="9"/>
  <c r="E24" i="9"/>
  <c r="E34" i="9"/>
  <c r="E8" i="9"/>
  <c r="E21" i="9"/>
  <c r="E32" i="9"/>
  <c r="E18" i="9"/>
  <c r="E42" i="9"/>
  <c r="E26" i="9"/>
  <c r="E10" i="9"/>
  <c r="E35" i="9"/>
  <c r="E19" i="9"/>
  <c r="E3" i="9"/>
  <c r="E44" i="9"/>
  <c r="E28" i="9"/>
  <c r="E12" i="9"/>
  <c r="E37" i="9"/>
  <c r="E5" i="9"/>
  <c r="G1" i="9"/>
  <c r="E46" i="9"/>
  <c r="G43" i="9"/>
  <c r="G7" i="9"/>
  <c r="G23" i="9"/>
  <c r="G8" i="9"/>
  <c r="G24" i="9"/>
  <c r="G40" i="9"/>
  <c r="G9" i="9"/>
  <c r="G25" i="9"/>
  <c r="G41" i="9"/>
  <c r="G3" i="9"/>
  <c r="G19" i="9"/>
  <c r="G35" i="9"/>
  <c r="G5" i="9"/>
  <c r="G31" i="9"/>
  <c r="G15" i="9"/>
  <c r="G39" i="9"/>
  <c r="G16" i="9"/>
  <c r="G32" i="9"/>
  <c r="G12" i="9"/>
  <c r="G28" i="9"/>
  <c r="G44" i="9"/>
  <c r="G13" i="9"/>
  <c r="G21" i="9"/>
  <c r="G29" i="9"/>
  <c r="G37" i="9"/>
  <c r="G45" i="9"/>
  <c r="G6" i="9"/>
  <c r="G22" i="9"/>
  <c r="G30" i="9"/>
  <c r="G38" i="9"/>
  <c r="G46" i="9"/>
  <c r="G47" i="9"/>
  <c r="H17" i="9"/>
  <c r="H9" i="9"/>
  <c r="H15" i="9"/>
  <c r="H21" i="9"/>
  <c r="H46" i="9"/>
  <c r="H32" i="9"/>
  <c r="H14" i="9"/>
  <c r="H11" i="9"/>
  <c r="H12" i="9"/>
  <c r="H8" i="9"/>
  <c r="H44" i="9"/>
  <c r="H38" i="9"/>
  <c r="H36" i="9"/>
  <c r="H26" i="9"/>
  <c r="H25" i="9"/>
  <c r="H39" i="9"/>
  <c r="H29" i="9"/>
  <c r="H47" i="9"/>
  <c r="H37" i="9"/>
  <c r="H10" i="9"/>
  <c r="H18" i="9"/>
  <c r="H3" i="9"/>
  <c r="H27" i="9"/>
  <c r="H19" i="9"/>
  <c r="H4" i="9"/>
  <c r="H28" i="9"/>
  <c r="H24" i="9"/>
  <c r="H30" i="9"/>
  <c r="H13" i="9"/>
  <c r="H34" i="9"/>
  <c r="H43" i="9"/>
  <c r="H41" i="9"/>
  <c r="H16" i="9"/>
  <c r="H20" i="9"/>
  <c r="H7" i="9"/>
  <c r="H45" i="9"/>
  <c r="H33" i="9"/>
  <c r="H23" i="9"/>
  <c r="H6" i="9"/>
  <c r="H42" i="9"/>
  <c r="H35" i="9"/>
  <c r="H22" i="9"/>
  <c r="H5" i="9"/>
  <c r="H40" i="9"/>
  <c r="H31" i="9"/>
  <c r="E19" i="2" l="1"/>
  <c r="E36" i="2"/>
  <c r="E20" i="2"/>
  <c r="E37" i="2"/>
  <c r="E21" i="2"/>
  <c r="E34" i="2"/>
  <c r="E30" i="2"/>
  <c r="E27" i="2"/>
  <c r="E38" i="2"/>
  <c r="E18" i="2"/>
  <c r="E33" i="2"/>
  <c r="E17" i="2"/>
  <c r="E32" i="2"/>
  <c r="E24" i="2"/>
  <c r="E39" i="2"/>
  <c r="E40" i="2"/>
  <c r="E22" i="2"/>
  <c r="E26" i="2"/>
  <c r="E25" i="2"/>
  <c r="E28" i="2"/>
  <c r="E35" i="2"/>
  <c r="E29" i="2"/>
  <c r="E23" i="2"/>
  <c r="E31" i="2"/>
  <c r="H1" i="9"/>
  <c r="H2" i="9"/>
  <c r="G22" i="2"/>
  <c r="L22" i="2"/>
  <c r="M22" i="2"/>
  <c r="F38" i="2"/>
  <c r="M25" i="2"/>
  <c r="F36" i="2"/>
  <c r="G39" i="2"/>
  <c r="L39" i="2"/>
  <c r="M39" i="2"/>
  <c r="G21" i="2"/>
  <c r="L21" i="2"/>
  <c r="M21" i="2"/>
  <c r="M23" i="2"/>
  <c r="G36" i="2"/>
  <c r="L36" i="2"/>
  <c r="M36" i="2"/>
  <c r="F37" i="2"/>
  <c r="G40" i="2"/>
  <c r="L40" i="2"/>
  <c r="M40" i="2"/>
  <c r="G20" i="2"/>
  <c r="L20" i="2"/>
  <c r="M20" i="2"/>
  <c r="M24" i="2"/>
  <c r="G35" i="2"/>
  <c r="L35" i="2"/>
  <c r="M35" i="2"/>
  <c r="F35" i="2"/>
  <c r="G38" i="2"/>
  <c r="L38" i="2"/>
  <c r="M38" i="2"/>
  <c r="F34" i="2"/>
  <c r="G37" i="2"/>
  <c r="L37" i="2"/>
  <c r="M37" i="2"/>
  <c r="F39" i="2"/>
  <c r="F40" i="2"/>
  <c r="G34" i="2"/>
  <c r="L34" i="2"/>
  <c r="M34" i="2"/>
  <c r="I2" i="9"/>
  <c r="M16" i="3" l="1"/>
  <c r="M15" i="3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1" i="8"/>
  <c r="E3" i="8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I43" i="9"/>
  <c r="I18" i="9"/>
  <c r="C7" i="8"/>
  <c r="E7" i="8" s="1"/>
  <c r="I25" i="9"/>
  <c r="I11" i="9"/>
  <c r="I31" i="9"/>
  <c r="I5" i="9"/>
  <c r="I14" i="9"/>
  <c r="I28" i="9"/>
  <c r="I16" i="9"/>
  <c r="I3" i="9"/>
  <c r="C12" i="8"/>
  <c r="E12" i="8" s="1"/>
  <c r="C14" i="8"/>
  <c r="E14" i="8" s="1"/>
  <c r="I12" i="9"/>
  <c r="C11" i="8"/>
  <c r="E11" i="8" s="1"/>
  <c r="I8" i="9"/>
  <c r="C15" i="8"/>
  <c r="E15" i="8" s="1"/>
  <c r="C5" i="8"/>
  <c r="E5" i="8" s="1"/>
  <c r="I35" i="9"/>
  <c r="I27" i="9"/>
  <c r="I24" i="9"/>
  <c r="I22" i="9"/>
  <c r="I20" i="9"/>
  <c r="C4" i="8"/>
  <c r="E4" i="8" s="1"/>
  <c r="I46" i="9"/>
  <c r="I19" i="9"/>
  <c r="I44" i="9"/>
  <c r="I4" i="9"/>
  <c r="I42" i="9"/>
  <c r="I13" i="9"/>
  <c r="C16" i="8"/>
  <c r="E16" i="8" s="1"/>
  <c r="I7" i="9"/>
  <c r="I32" i="9"/>
  <c r="I38" i="9"/>
  <c r="I30" i="9"/>
  <c r="I9" i="9"/>
  <c r="I21" i="9"/>
  <c r="I40" i="9"/>
  <c r="I23" i="9"/>
  <c r="C6" i="8"/>
  <c r="E6" i="8" s="1"/>
  <c r="C10" i="8"/>
  <c r="E10" i="8" s="1"/>
  <c r="I45" i="9"/>
  <c r="C13" i="8"/>
  <c r="E13" i="8" s="1"/>
  <c r="C17" i="8"/>
  <c r="E17" i="8" s="1"/>
  <c r="C8" i="8"/>
  <c r="E8" i="8" s="1"/>
  <c r="I17" i="9"/>
  <c r="I33" i="9"/>
  <c r="I6" i="9"/>
  <c r="I26" i="9"/>
  <c r="I47" i="9"/>
  <c r="I10" i="9"/>
  <c r="I36" i="9"/>
  <c r="C9" i="8"/>
  <c r="E9" i="8" s="1"/>
  <c r="I39" i="9"/>
  <c r="I41" i="9"/>
  <c r="I15" i="9"/>
  <c r="I34" i="9"/>
  <c r="I37" i="9"/>
  <c r="I29" i="9"/>
  <c r="L5" i="10"/>
  <c r="E8" i="2" l="1"/>
  <c r="E7" i="2"/>
  <c r="E16" i="2"/>
  <c r="E12" i="2"/>
  <c r="E9" i="2"/>
  <c r="E5" i="2"/>
  <c r="E15" i="2"/>
  <c r="E3" i="2"/>
  <c r="E4" i="2"/>
  <c r="E14" i="2"/>
  <c r="E10" i="2"/>
  <c r="E13" i="2"/>
  <c r="E11" i="2"/>
  <c r="E6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2" i="2"/>
  <c r="E1" i="8"/>
  <c r="E2" i="8"/>
  <c r="F8" i="2"/>
  <c r="G8" i="2"/>
  <c r="L8" i="2"/>
  <c r="M8" i="2"/>
  <c r="F4" i="2"/>
  <c r="G4" i="2"/>
  <c r="L4" i="2"/>
  <c r="M4" i="2"/>
  <c r="F43" i="2"/>
  <c r="F51" i="2"/>
  <c r="F59" i="2"/>
  <c r="F67" i="2"/>
  <c r="F2" i="2"/>
  <c r="G2" i="2"/>
  <c r="L2" i="2"/>
  <c r="M2" i="2"/>
  <c r="F7" i="2"/>
  <c r="G7" i="2"/>
  <c r="L7" i="2"/>
  <c r="M7" i="2"/>
  <c r="F14" i="2"/>
  <c r="G14" i="2"/>
  <c r="L14" i="2"/>
  <c r="M14" i="2"/>
  <c r="G17" i="2"/>
  <c r="L17" i="2"/>
  <c r="M17" i="2"/>
  <c r="F44" i="2"/>
  <c r="F52" i="2"/>
  <c r="F60" i="2"/>
  <c r="F68" i="2"/>
  <c r="F16" i="2"/>
  <c r="G16" i="2"/>
  <c r="L16" i="2"/>
  <c r="M16" i="2"/>
  <c r="G19" i="2"/>
  <c r="L19" i="2"/>
  <c r="M19" i="2"/>
  <c r="F10" i="2"/>
  <c r="G10" i="2"/>
  <c r="L10" i="2"/>
  <c r="M10" i="2"/>
  <c r="F45" i="2"/>
  <c r="F53" i="2"/>
  <c r="F61" i="2"/>
  <c r="F69" i="2"/>
  <c r="F12" i="2"/>
  <c r="G12" i="2"/>
  <c r="L12" i="2"/>
  <c r="M12" i="2"/>
  <c r="F13" i="2"/>
  <c r="G13" i="2"/>
  <c r="L13" i="2"/>
  <c r="M13" i="2"/>
  <c r="F46" i="2"/>
  <c r="F54" i="2"/>
  <c r="F62" i="2"/>
  <c r="F70" i="2"/>
  <c r="F9" i="2"/>
  <c r="G9" i="2"/>
  <c r="L9" i="2"/>
  <c r="M9" i="2"/>
  <c r="F11" i="2"/>
  <c r="G11" i="2"/>
  <c r="L11" i="2"/>
  <c r="M11" i="2"/>
  <c r="F47" i="2"/>
  <c r="F55" i="2"/>
  <c r="F63" i="2"/>
  <c r="F71" i="2"/>
  <c r="F5" i="2"/>
  <c r="G5" i="2"/>
  <c r="L5" i="2"/>
  <c r="M5" i="2"/>
  <c r="F6" i="2"/>
  <c r="G6" i="2"/>
  <c r="L6" i="2"/>
  <c r="M6" i="2"/>
  <c r="F48" i="2"/>
  <c r="F56" i="2"/>
  <c r="F64" i="2"/>
  <c r="F72" i="2"/>
  <c r="F15" i="2"/>
  <c r="G15" i="2"/>
  <c r="L15" i="2"/>
  <c r="M15" i="2"/>
  <c r="G18" i="2"/>
  <c r="L18" i="2"/>
  <c r="M18" i="2"/>
  <c r="F41" i="2"/>
  <c r="F49" i="2"/>
  <c r="F57" i="2"/>
  <c r="F65" i="2"/>
  <c r="F73" i="2"/>
  <c r="F3" i="2"/>
  <c r="G3" i="2"/>
  <c r="L3" i="2"/>
  <c r="M3" i="2"/>
  <c r="F42" i="2"/>
  <c r="F50" i="2"/>
  <c r="F58" i="2"/>
  <c r="F66" i="2"/>
  <c r="F74" i="2"/>
  <c r="F2" i="8"/>
  <c r="F10" i="8"/>
  <c r="F11" i="8"/>
  <c r="F15" i="8"/>
  <c r="F4" i="8"/>
  <c r="F8" i="8"/>
  <c r="F14" i="8"/>
  <c r="F16" i="8"/>
  <c r="D17" i="2" l="1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8" i="3"/>
  <c r="D7" i="3"/>
  <c r="D6" i="3"/>
  <c r="F6" i="8"/>
  <c r="B1" i="3"/>
  <c r="F17" i="8"/>
  <c r="D21" i="3"/>
  <c r="F5" i="8"/>
  <c r="F9" i="8"/>
  <c r="F3" i="8"/>
  <c r="F13" i="8"/>
  <c r="F12" i="8"/>
  <c r="F7" i="8"/>
  <c r="D20" i="3" l="1"/>
  <c r="E20" i="3"/>
  <c r="D9" i="3"/>
  <c r="D16" i="3"/>
  <c r="E21" i="3"/>
  <c r="F22" i="2"/>
  <c r="F28" i="2"/>
  <c r="F30" i="2"/>
  <c r="F18" i="2"/>
  <c r="F19" i="2"/>
  <c r="F25" i="2"/>
  <c r="F17" i="2"/>
  <c r="F21" i="2"/>
  <c r="F27" i="2"/>
  <c r="F20" i="2"/>
  <c r="F32" i="2"/>
  <c r="F26" i="2"/>
  <c r="F33" i="2"/>
  <c r="F31" i="2"/>
  <c r="F29" i="2"/>
  <c r="F24" i="2"/>
  <c r="F23" i="2"/>
  <c r="L52" i="2"/>
  <c r="G29" i="2"/>
  <c r="H66" i="2"/>
  <c r="H41" i="2"/>
  <c r="M33" i="2"/>
  <c r="G26" i="2"/>
  <c r="H71" i="2"/>
  <c r="M74" i="2"/>
  <c r="H53" i="2"/>
  <c r="L56" i="2"/>
  <c r="H62" i="2"/>
  <c r="H73" i="2"/>
  <c r="H45" i="2"/>
  <c r="L27" i="2"/>
  <c r="H63" i="2"/>
  <c r="G61" i="2"/>
  <c r="L23" i="2"/>
  <c r="G33" i="2"/>
  <c r="G54" i="2"/>
  <c r="M47" i="2"/>
  <c r="M46" i="2"/>
  <c r="G72" i="2"/>
  <c r="M64" i="2"/>
  <c r="G30" i="2"/>
  <c r="G66" i="2"/>
  <c r="M28" i="2"/>
  <c r="H69" i="2"/>
  <c r="G63" i="2"/>
  <c r="H51" i="2"/>
  <c r="M65" i="2"/>
  <c r="G49" i="2"/>
  <c r="M42" i="2"/>
  <c r="L48" i="2"/>
  <c r="M48" i="2"/>
  <c r="M70" i="2"/>
  <c r="L43" i="2"/>
  <c r="L64" i="2"/>
  <c r="L57" i="2"/>
  <c r="L49" i="2"/>
  <c r="G47" i="2"/>
  <c r="H46" i="2"/>
  <c r="L60" i="2"/>
  <c r="L32" i="2"/>
  <c r="M55" i="2"/>
  <c r="G46" i="2"/>
  <c r="L44" i="2"/>
  <c r="M26" i="2"/>
  <c r="L51" i="2"/>
  <c r="L67" i="2"/>
  <c r="H49" i="2"/>
  <c r="G69" i="2"/>
  <c r="M63" i="2"/>
  <c r="H58" i="2"/>
  <c r="L59" i="2"/>
  <c r="L72" i="2"/>
  <c r="H47" i="2"/>
  <c r="G67" i="2"/>
  <c r="H44" i="2"/>
  <c r="H68" i="2"/>
  <c r="L69" i="2"/>
  <c r="G45" i="2"/>
  <c r="L30" i="2"/>
  <c r="H57" i="2"/>
  <c r="G51" i="2"/>
  <c r="G31" i="2"/>
  <c r="L58" i="2"/>
  <c r="G48" i="2"/>
  <c r="L45" i="2"/>
  <c r="G73" i="2"/>
  <c r="G44" i="2"/>
  <c r="M30" i="2"/>
  <c r="G23" i="2"/>
  <c r="G65" i="2"/>
  <c r="M66" i="2"/>
  <c r="L55" i="2"/>
  <c r="L42" i="2"/>
  <c r="G50" i="2"/>
  <c r="L62" i="2"/>
  <c r="L31" i="2"/>
  <c r="G58" i="2"/>
  <c r="G70" i="2"/>
  <c r="M44" i="2"/>
  <c r="H43" i="2"/>
  <c r="M73" i="2"/>
  <c r="L71" i="2"/>
  <c r="L46" i="2"/>
  <c r="H74" i="2"/>
  <c r="M50" i="2"/>
  <c r="M27" i="2"/>
  <c r="L29" i="2"/>
  <c r="G55" i="2"/>
  <c r="G52" i="2"/>
  <c r="L25" i="2"/>
  <c r="G64" i="2"/>
  <c r="M31" i="2"/>
  <c r="M43" i="2"/>
  <c r="M60" i="2"/>
  <c r="M71" i="2"/>
  <c r="H56" i="2"/>
  <c r="M72" i="2"/>
  <c r="M67" i="2"/>
  <c r="L47" i="2"/>
  <c r="L54" i="2"/>
  <c r="L28" i="2"/>
  <c r="G25" i="2"/>
  <c r="G74" i="2"/>
  <c r="H64" i="2"/>
  <c r="G43" i="2"/>
  <c r="M41" i="2"/>
  <c r="M68" i="2"/>
  <c r="G41" i="2"/>
  <c r="L70" i="2"/>
  <c r="G56" i="2"/>
  <c r="G57" i="2"/>
  <c r="M57" i="2"/>
  <c r="H50" i="2"/>
  <c r="G62" i="2"/>
  <c r="H54" i="2"/>
  <c r="H55" i="2"/>
  <c r="H67" i="2"/>
  <c r="M62" i="2"/>
  <c r="M54" i="2"/>
  <c r="G68" i="2"/>
  <c r="M52" i="2"/>
  <c r="L68" i="2"/>
  <c r="M69" i="2"/>
  <c r="M32" i="2"/>
  <c r="M51" i="2"/>
  <c r="L24" i="2"/>
  <c r="G60" i="2"/>
  <c r="H59" i="2"/>
  <c r="M61" i="2"/>
  <c r="G27" i="2"/>
  <c r="G24" i="2"/>
  <c r="H60" i="2"/>
  <c r="L41" i="2"/>
  <c r="M45" i="2"/>
  <c r="L63" i="2"/>
  <c r="H48" i="2"/>
  <c r="G42" i="2"/>
  <c r="L65" i="2"/>
  <c r="H42" i="2"/>
  <c r="L66" i="2"/>
  <c r="G28" i="2"/>
  <c r="G59" i="2"/>
  <c r="L73" i="2"/>
  <c r="M59" i="2"/>
  <c r="H72" i="2"/>
  <c r="M58" i="2"/>
  <c r="H61" i="2"/>
  <c r="M49" i="2"/>
  <c r="M29" i="2"/>
  <c r="H70" i="2"/>
  <c r="G32" i="2"/>
  <c r="M53" i="2"/>
  <c r="L26" i="2"/>
  <c r="M56" i="2"/>
  <c r="H65" i="2"/>
  <c r="L33" i="2"/>
  <c r="L53" i="2"/>
  <c r="H52" i="2"/>
  <c r="G71" i="2"/>
  <c r="L50" i="2"/>
  <c r="G53" i="2"/>
  <c r="L61" i="2"/>
  <c r="L74" i="2"/>
  <c r="D2" i="4" a="1"/>
  <c r="D15" i="4" l="1"/>
  <c r="D72" i="4"/>
  <c r="D37" i="4"/>
  <c r="D107" i="4"/>
  <c r="D54" i="4"/>
  <c r="D33" i="4"/>
  <c r="D121" i="4"/>
  <c r="D112" i="4"/>
  <c r="D49" i="4"/>
  <c r="D68" i="4"/>
  <c r="D75" i="4"/>
  <c r="D97" i="4"/>
  <c r="D39" i="4"/>
  <c r="D79" i="4"/>
  <c r="D52" i="4"/>
  <c r="D95" i="4"/>
  <c r="D123" i="4"/>
  <c r="D120" i="4"/>
  <c r="D89" i="4"/>
  <c r="D104" i="4"/>
  <c r="D106" i="4"/>
  <c r="D67" i="4"/>
  <c r="D91" i="4"/>
  <c r="D113" i="4"/>
  <c r="D14" i="4"/>
  <c r="D2" i="4"/>
  <c r="D114" i="4"/>
  <c r="D6" i="4"/>
  <c r="D5" i="4"/>
  <c r="D86" i="4"/>
  <c r="D100" i="4"/>
  <c r="D103" i="4"/>
  <c r="D80" i="4"/>
  <c r="D124" i="4"/>
  <c r="D62" i="4"/>
  <c r="D32" i="4"/>
  <c r="D102" i="4"/>
  <c r="D21" i="4"/>
  <c r="D71" i="4"/>
  <c r="D90" i="4"/>
  <c r="D83" i="4"/>
  <c r="D84" i="4"/>
  <c r="D51" i="4"/>
  <c r="D105" i="4"/>
  <c r="D34" i="4"/>
  <c r="D28" i="4"/>
  <c r="D31" i="4"/>
  <c r="D76" i="4"/>
  <c r="D87" i="4"/>
  <c r="D78" i="4"/>
  <c r="D65" i="4"/>
  <c r="D24" i="4"/>
  <c r="D115" i="4"/>
  <c r="D116" i="4"/>
  <c r="D82" i="4"/>
  <c r="D41" i="4"/>
  <c r="D88" i="4"/>
  <c r="D8" i="4"/>
  <c r="D63" i="4"/>
  <c r="D40" i="4"/>
  <c r="D44" i="4"/>
  <c r="D48" i="4"/>
  <c r="D38" i="4"/>
  <c r="D29" i="4"/>
  <c r="D26" i="4"/>
  <c r="D36" i="4"/>
  <c r="D111" i="4"/>
  <c r="D9" i="4"/>
  <c r="D27" i="4"/>
  <c r="D70" i="4"/>
  <c r="D126" i="4"/>
  <c r="D85" i="4"/>
  <c r="D43" i="4"/>
  <c r="D45" i="4"/>
  <c r="D11" i="4"/>
  <c r="D98" i="4"/>
  <c r="D12" i="4"/>
  <c r="D118" i="4"/>
  <c r="D4" i="4"/>
  <c r="D81" i="4"/>
  <c r="D66" i="4"/>
  <c r="D92" i="4"/>
  <c r="D16" i="4"/>
  <c r="D108" i="4"/>
  <c r="D42" i="4"/>
  <c r="D3" i="4"/>
  <c r="D93" i="4"/>
  <c r="D23" i="4"/>
  <c r="D22" i="4"/>
  <c r="D20" i="4"/>
  <c r="D117" i="4"/>
  <c r="D74" i="4"/>
  <c r="D7" i="4"/>
  <c r="D13" i="4"/>
  <c r="D60" i="4"/>
  <c r="D25" i="4"/>
  <c r="D125" i="4"/>
  <c r="D30" i="4"/>
  <c r="D122" i="4"/>
  <c r="D110" i="4"/>
  <c r="D64" i="4"/>
  <c r="D59" i="4"/>
  <c r="D101" i="4"/>
  <c r="D55" i="4"/>
  <c r="D53" i="4"/>
  <c r="D58" i="4"/>
  <c r="D50" i="4"/>
  <c r="D10" i="4"/>
  <c r="D109" i="4"/>
  <c r="D73" i="4"/>
  <c r="D99" i="4"/>
  <c r="D69" i="4"/>
  <c r="D61" i="4"/>
  <c r="D57" i="4"/>
  <c r="D17" i="4"/>
  <c r="D35" i="4"/>
  <c r="D46" i="4"/>
  <c r="D18" i="4"/>
  <c r="D77" i="4"/>
  <c r="D19" i="4"/>
  <c r="D56" i="4"/>
  <c r="D119" i="4"/>
  <c r="D47" i="4"/>
  <c r="D96" i="4"/>
  <c r="D94" i="4"/>
  <c r="E15" i="4"/>
  <c r="E49" i="4"/>
  <c r="E123" i="4"/>
  <c r="E14" i="4"/>
  <c r="E80" i="4"/>
  <c r="E83" i="4"/>
  <c r="E87" i="4"/>
  <c r="E88" i="4"/>
  <c r="E26" i="4"/>
  <c r="E43" i="4"/>
  <c r="E66" i="4"/>
  <c r="E22" i="4"/>
  <c r="E125" i="4"/>
  <c r="E53" i="4"/>
  <c r="E61" i="4"/>
  <c r="E56" i="4"/>
  <c r="E72" i="4"/>
  <c r="E68" i="4"/>
  <c r="E120" i="4"/>
  <c r="E2" i="4"/>
  <c r="E124" i="4"/>
  <c r="E84" i="4"/>
  <c r="E78" i="4"/>
  <c r="E8" i="4"/>
  <c r="E36" i="4"/>
  <c r="E45" i="4"/>
  <c r="E92" i="4"/>
  <c r="E20" i="4"/>
  <c r="E30" i="4"/>
  <c r="E58" i="4"/>
  <c r="E57" i="4"/>
  <c r="E119" i="4"/>
  <c r="E37" i="4"/>
  <c r="E75" i="4"/>
  <c r="E89" i="4"/>
  <c r="E114" i="4"/>
  <c r="E62" i="4"/>
  <c r="E51" i="4"/>
  <c r="E65" i="4"/>
  <c r="E63" i="4"/>
  <c r="E111" i="4"/>
  <c r="E11" i="4"/>
  <c r="E16" i="4"/>
  <c r="E117" i="4"/>
  <c r="E122" i="4"/>
  <c r="E50" i="4"/>
  <c r="E17" i="4"/>
  <c r="E47" i="4"/>
  <c r="E107" i="4"/>
  <c r="E97" i="4"/>
  <c r="E104" i="4"/>
  <c r="E6" i="4"/>
  <c r="E32" i="4"/>
  <c r="E105" i="4"/>
  <c r="E24" i="4"/>
  <c r="E40" i="4"/>
  <c r="E9" i="4"/>
  <c r="E98" i="4"/>
  <c r="E108" i="4"/>
  <c r="E74" i="4"/>
  <c r="E110" i="4"/>
  <c r="E10" i="4"/>
  <c r="E35" i="4"/>
  <c r="E96" i="4"/>
  <c r="E54" i="4"/>
  <c r="E39" i="4"/>
  <c r="E106" i="4"/>
  <c r="E5" i="4"/>
  <c r="E102" i="4"/>
  <c r="E34" i="4"/>
  <c r="E115" i="4"/>
  <c r="E44" i="4"/>
  <c r="E27" i="4"/>
  <c r="E12" i="4"/>
  <c r="E42" i="4"/>
  <c r="E7" i="4"/>
  <c r="E64" i="4"/>
  <c r="E109" i="4"/>
  <c r="E46" i="4"/>
  <c r="E94" i="4"/>
  <c r="E33" i="4"/>
  <c r="E79" i="4"/>
  <c r="E67" i="4"/>
  <c r="E86" i="4"/>
  <c r="E21" i="4"/>
  <c r="E28" i="4"/>
  <c r="E116" i="4"/>
  <c r="E48" i="4"/>
  <c r="E70" i="4"/>
  <c r="E118" i="4"/>
  <c r="E3" i="4"/>
  <c r="E13" i="4"/>
  <c r="E59" i="4"/>
  <c r="E73" i="4"/>
  <c r="E18" i="4"/>
  <c r="E121" i="4"/>
  <c r="E52" i="4"/>
  <c r="E91" i="4"/>
  <c r="E100" i="4"/>
  <c r="E71" i="4"/>
  <c r="E31" i="4"/>
  <c r="E82" i="4"/>
  <c r="E38" i="4"/>
  <c r="E126" i="4"/>
  <c r="E4" i="4"/>
  <c r="E93" i="4"/>
  <c r="E60" i="4"/>
  <c r="E101" i="4"/>
  <c r="E99" i="4"/>
  <c r="E77" i="4"/>
  <c r="E112" i="4"/>
  <c r="E95" i="4"/>
  <c r="E113" i="4"/>
  <c r="E103" i="4"/>
  <c r="E90" i="4"/>
  <c r="E76" i="4"/>
  <c r="E41" i="4"/>
  <c r="E29" i="4"/>
  <c r="E85" i="4"/>
  <c r="E81" i="4"/>
  <c r="E23" i="4"/>
  <c r="E25" i="4"/>
  <c r="E55" i="4"/>
  <c r="E69" i="4"/>
  <c r="E19" i="4"/>
  <c r="F15" i="4"/>
  <c r="G80" i="4"/>
  <c r="H26" i="4"/>
  <c r="H125" i="4"/>
  <c r="I89" i="4"/>
  <c r="F122" i="4"/>
  <c r="G24" i="4"/>
  <c r="H35" i="4"/>
  <c r="I115" i="4"/>
  <c r="I82" i="4"/>
  <c r="F90" i="4"/>
  <c r="I55" i="4"/>
  <c r="F43" i="4"/>
  <c r="H20" i="4"/>
  <c r="G75" i="4"/>
  <c r="F6" i="4"/>
  <c r="F10" i="4"/>
  <c r="I44" i="4"/>
  <c r="I94" i="4"/>
  <c r="H48" i="4"/>
  <c r="F52" i="4"/>
  <c r="I103" i="4"/>
  <c r="I69" i="4"/>
  <c r="F120" i="4"/>
  <c r="I78" i="4"/>
  <c r="F92" i="4"/>
  <c r="F57" i="4"/>
  <c r="H62" i="4"/>
  <c r="H16" i="4"/>
  <c r="I107" i="4"/>
  <c r="H9" i="4"/>
  <c r="I106" i="4"/>
  <c r="H27" i="4"/>
  <c r="G64" i="4"/>
  <c r="I33" i="4"/>
  <c r="H21" i="4"/>
  <c r="H70" i="4"/>
  <c r="H59" i="4"/>
  <c r="H121" i="4"/>
  <c r="H126" i="4"/>
  <c r="I77" i="4"/>
  <c r="H23" i="4"/>
  <c r="F53" i="4"/>
  <c r="F58" i="4"/>
  <c r="F50" i="4"/>
  <c r="I96" i="4"/>
  <c r="F109" i="4"/>
  <c r="F13" i="4"/>
  <c r="I95" i="4"/>
  <c r="F51" i="4"/>
  <c r="H73" i="4"/>
  <c r="F4" i="4"/>
  <c r="H41" i="4"/>
  <c r="H49" i="4"/>
  <c r="F22" i="4"/>
  <c r="I8" i="4"/>
  <c r="F47" i="4"/>
  <c r="G40" i="4"/>
  <c r="I39" i="4"/>
  <c r="H86" i="4"/>
  <c r="G99" i="4"/>
  <c r="G81" i="4"/>
  <c r="G87" i="4"/>
  <c r="I104" i="4"/>
  <c r="G54" i="4"/>
  <c r="F93" i="4"/>
  <c r="H85" i="4"/>
  <c r="G56" i="4"/>
  <c r="F2" i="4"/>
  <c r="F75" i="4"/>
  <c r="G6" i="4"/>
  <c r="G44" i="4"/>
  <c r="F94" i="4"/>
  <c r="I52" i="4"/>
  <c r="F69" i="4"/>
  <c r="I120" i="4"/>
  <c r="H92" i="4"/>
  <c r="H57" i="4"/>
  <c r="F16" i="4"/>
  <c r="H107" i="4"/>
  <c r="F106" i="4"/>
  <c r="F64" i="4"/>
  <c r="G21" i="4"/>
  <c r="I59" i="4"/>
  <c r="I126" i="4"/>
  <c r="I23" i="4"/>
  <c r="H58" i="4"/>
  <c r="H96" i="4"/>
  <c r="G13" i="4"/>
  <c r="I51" i="4"/>
  <c r="I4" i="4"/>
  <c r="G49" i="4"/>
  <c r="G8" i="4"/>
  <c r="H40" i="4"/>
  <c r="F86" i="4"/>
  <c r="F81" i="4"/>
  <c r="F66" i="4"/>
  <c r="H104" i="4"/>
  <c r="I54" i="4"/>
  <c r="I93" i="4"/>
  <c r="G14" i="4"/>
  <c r="I45" i="4"/>
  <c r="H117" i="4"/>
  <c r="I5" i="4"/>
  <c r="H79" i="4"/>
  <c r="H38" i="4"/>
  <c r="I72" i="4"/>
  <c r="G36" i="4"/>
  <c r="G37" i="4"/>
  <c r="F17" i="4"/>
  <c r="F110" i="4"/>
  <c r="H42" i="4"/>
  <c r="H116" i="4"/>
  <c r="H18" i="4"/>
  <c r="H101" i="4"/>
  <c r="H83" i="4"/>
  <c r="H114" i="4"/>
  <c r="F34" i="4"/>
  <c r="I31" i="4"/>
  <c r="G11" i="4"/>
  <c r="G112" i="4"/>
  <c r="G68" i="4"/>
  <c r="F105" i="4"/>
  <c r="H12" i="4"/>
  <c r="I76" i="4"/>
  <c r="I87" i="4"/>
  <c r="I61" i="4"/>
  <c r="G104" i="4"/>
  <c r="H54" i="4"/>
  <c r="H93" i="4"/>
  <c r="F14" i="4"/>
  <c r="G45" i="4"/>
  <c r="F117" i="4"/>
  <c r="H5" i="4"/>
  <c r="F79" i="4"/>
  <c r="I38" i="4"/>
  <c r="F72" i="4"/>
  <c r="F36" i="4"/>
  <c r="I37" i="4"/>
  <c r="I17" i="4"/>
  <c r="G110" i="4"/>
  <c r="F42" i="4"/>
  <c r="H67" i="4"/>
  <c r="I3" i="4"/>
  <c r="G71" i="4"/>
  <c r="H113" i="4"/>
  <c r="I84" i="4"/>
  <c r="F97" i="4"/>
  <c r="H28" i="4"/>
  <c r="G25" i="4"/>
  <c r="H60" i="4"/>
  <c r="G19" i="4"/>
  <c r="F68" i="4"/>
  <c r="H105" i="4"/>
  <c r="F12" i="4"/>
  <c r="G76" i="4"/>
  <c r="H87" i="4"/>
  <c r="G66" i="4"/>
  <c r="G65" i="4"/>
  <c r="I108" i="4"/>
  <c r="F91" i="4"/>
  <c r="G85" i="4"/>
  <c r="I56" i="4"/>
  <c r="F119" i="4"/>
  <c r="G5" i="4"/>
  <c r="I79" i="4"/>
  <c r="F38" i="4"/>
  <c r="H72" i="4"/>
  <c r="H36" i="4"/>
  <c r="F30" i="4"/>
  <c r="F111" i="4"/>
  <c r="F32" i="4"/>
  <c r="I42" i="4"/>
  <c r="F116" i="4"/>
  <c r="H71" i="4"/>
  <c r="G113" i="4"/>
  <c r="I114" i="4"/>
  <c r="G28" i="4"/>
  <c r="I11" i="4"/>
  <c r="F19" i="4"/>
  <c r="G105" i="4"/>
  <c r="G100" i="4"/>
  <c r="H80" i="4"/>
  <c r="I35" i="4"/>
  <c r="G55" i="4"/>
  <c r="I123" i="4"/>
  <c r="H66" i="4"/>
  <c r="F61" i="4"/>
  <c r="F65" i="4"/>
  <c r="G108" i="4"/>
  <c r="G91" i="4"/>
  <c r="I14" i="4"/>
  <c r="F20" i="4"/>
  <c r="G10" i="4"/>
  <c r="I48" i="4"/>
  <c r="F103" i="4"/>
  <c r="F78" i="4"/>
  <c r="G62" i="4"/>
  <c r="F9" i="4"/>
  <c r="I27" i="4"/>
  <c r="H33" i="4"/>
  <c r="I70" i="4"/>
  <c r="I121" i="4"/>
  <c r="G77" i="4"/>
  <c r="I53" i="4"/>
  <c r="I50" i="4"/>
  <c r="G109" i="4"/>
  <c r="F95" i="4"/>
  <c r="G73" i="4"/>
  <c r="G41" i="4"/>
  <c r="I22" i="4"/>
  <c r="H47" i="4"/>
  <c r="G39" i="4"/>
  <c r="F99" i="4"/>
  <c r="G123" i="4"/>
  <c r="F87" i="4"/>
  <c r="G61" i="4"/>
  <c r="I65" i="4"/>
  <c r="F108" i="4"/>
  <c r="I91" i="4"/>
  <c r="F85" i="4"/>
  <c r="H56" i="4"/>
  <c r="I119" i="4"/>
  <c r="H98" i="4"/>
  <c r="G7" i="4"/>
  <c r="H118" i="4"/>
  <c r="H29" i="4"/>
  <c r="F124" i="4"/>
  <c r="G30" i="4"/>
  <c r="H111" i="4"/>
  <c r="G32" i="4"/>
  <c r="I102" i="4"/>
  <c r="F46" i="4"/>
  <c r="G67" i="4"/>
  <c r="F3" i="4"/>
  <c r="I71" i="4"/>
  <c r="F113" i="4"/>
  <c r="H84" i="4"/>
  <c r="I97" i="4"/>
  <c r="I28" i="4"/>
  <c r="I25" i="4"/>
  <c r="F60" i="4"/>
  <c r="H19" i="4"/>
  <c r="G88" i="4"/>
  <c r="H63" i="4"/>
  <c r="F74" i="4"/>
  <c r="F100" i="4"/>
  <c r="F123" i="4"/>
  <c r="I66" i="4"/>
  <c r="H65" i="4"/>
  <c r="H108" i="4"/>
  <c r="H91" i="4"/>
  <c r="I85" i="4"/>
  <c r="F56" i="4"/>
  <c r="G119" i="4"/>
  <c r="G98" i="4"/>
  <c r="H7" i="4"/>
  <c r="F118" i="4"/>
  <c r="I29" i="4"/>
  <c r="I124" i="4"/>
  <c r="I30" i="4"/>
  <c r="G111" i="4"/>
  <c r="I32" i="4"/>
  <c r="G102" i="4"/>
  <c r="I46" i="4"/>
  <c r="G116" i="4"/>
  <c r="I18" i="4"/>
  <c r="G101" i="4"/>
  <c r="F83" i="4"/>
  <c r="F114" i="4"/>
  <c r="I34" i="4"/>
  <c r="G31" i="4"/>
  <c r="H11" i="4"/>
  <c r="F112" i="4"/>
  <c r="F88" i="4"/>
  <c r="F63" i="4"/>
  <c r="H74" i="4"/>
  <c r="H100" i="4"/>
  <c r="H123" i="4"/>
  <c r="H61" i="4"/>
  <c r="F104" i="4"/>
  <c r="F54" i="4"/>
  <c r="G93" i="4"/>
  <c r="H14" i="4"/>
  <c r="H45" i="4"/>
  <c r="F98" i="4"/>
  <c r="I7" i="4"/>
  <c r="I118" i="4"/>
  <c r="G29" i="4"/>
  <c r="H124" i="4"/>
  <c r="F37" i="4"/>
  <c r="H17" i="4"/>
  <c r="F102" i="4"/>
  <c r="H46" i="4"/>
  <c r="F67" i="4"/>
  <c r="G3" i="4"/>
  <c r="I101" i="4"/>
  <c r="G83" i="4"/>
  <c r="G97" i="4"/>
  <c r="F31" i="4"/>
  <c r="I60" i="4"/>
  <c r="H88" i="4"/>
  <c r="G63" i="4"/>
  <c r="G74" i="4"/>
  <c r="H76" i="4"/>
  <c r="I15" i="4"/>
  <c r="F125" i="4"/>
  <c r="H89" i="4"/>
  <c r="H122" i="4"/>
  <c r="F24" i="4"/>
  <c r="G115" i="4"/>
  <c r="I90" i="4"/>
  <c r="I117" i="4"/>
  <c r="I110" i="4"/>
  <c r="G18" i="4"/>
  <c r="G84" i="4"/>
  <c r="G34" i="4"/>
  <c r="F25" i="4"/>
  <c r="I112" i="4"/>
  <c r="I68" i="4"/>
  <c r="I12" i="4"/>
  <c r="G26" i="4"/>
  <c r="G82" i="4"/>
  <c r="G43" i="4"/>
  <c r="G15" i="4"/>
  <c r="G89" i="4"/>
  <c r="H115" i="4"/>
  <c r="H43" i="4"/>
  <c r="I75" i="4"/>
  <c r="F5" i="4"/>
  <c r="F48" i="4"/>
  <c r="G69" i="4"/>
  <c r="I36" i="4"/>
  <c r="F62" i="4"/>
  <c r="G9" i="4"/>
  <c r="G42" i="4"/>
  <c r="F21" i="4"/>
  <c r="F121" i="4"/>
  <c r="I113" i="4"/>
  <c r="I58" i="4"/>
  <c r="I109" i="4"/>
  <c r="H25" i="4"/>
  <c r="G4" i="4"/>
  <c r="H22" i="4"/>
  <c r="I105" i="4"/>
  <c r="G86" i="4"/>
  <c r="H82" i="4"/>
  <c r="H44" i="4"/>
  <c r="G72" i="4"/>
  <c r="H110" i="4"/>
  <c r="F70" i="4"/>
  <c r="F23" i="4"/>
  <c r="F28" i="4"/>
  <c r="F41" i="4"/>
  <c r="I40" i="4"/>
  <c r="F26" i="4"/>
  <c r="G90" i="4"/>
  <c r="F7" i="4"/>
  <c r="G120" i="4"/>
  <c r="I16" i="4"/>
  <c r="G46" i="4"/>
  <c r="F126" i="4"/>
  <c r="G50" i="4"/>
  <c r="F11" i="4"/>
  <c r="I74" i="4"/>
  <c r="I26" i="4"/>
  <c r="F45" i="4"/>
  <c r="G94" i="4"/>
  <c r="H120" i="4"/>
  <c r="G106" i="4"/>
  <c r="H3" i="4"/>
  <c r="H53" i="4"/>
  <c r="H13" i="4"/>
  <c r="I19" i="4"/>
  <c r="F39" i="4"/>
  <c r="G35" i="4"/>
  <c r="I20" i="4"/>
  <c r="H94" i="4"/>
  <c r="G124" i="4"/>
  <c r="H102" i="4"/>
  <c r="F59" i="4"/>
  <c r="G53" i="4"/>
  <c r="H31" i="4"/>
  <c r="I63" i="4"/>
  <c r="H81" i="4"/>
  <c r="F35" i="4"/>
  <c r="G20" i="4"/>
  <c r="G103" i="4"/>
  <c r="H37" i="4"/>
  <c r="G27" i="4"/>
  <c r="F77" i="4"/>
  <c r="H95" i="4"/>
  <c r="I47" i="4"/>
  <c r="F89" i="4"/>
  <c r="H119" i="4"/>
  <c r="F29" i="4"/>
  <c r="I62" i="4"/>
  <c r="I21" i="4"/>
  <c r="G58" i="4"/>
  <c r="I88" i="4"/>
  <c r="I80" i="4"/>
  <c r="I122" i="4"/>
  <c r="F82" i="4"/>
  <c r="G2" i="4"/>
  <c r="H75" i="4"/>
  <c r="F44" i="4"/>
  <c r="G118" i="4"/>
  <c r="H69" i="4"/>
  <c r="G92" i="4"/>
  <c r="I111" i="4"/>
  <c r="I9" i="4"/>
  <c r="I64" i="4"/>
  <c r="I116" i="4"/>
  <c r="G121" i="4"/>
  <c r="G23" i="4"/>
  <c r="G114" i="4"/>
  <c r="H109" i="4"/>
  <c r="H51" i="4"/>
  <c r="H112" i="4"/>
  <c r="G22" i="4"/>
  <c r="F40" i="4"/>
  <c r="I100" i="4"/>
  <c r="F80" i="4"/>
  <c r="G122" i="4"/>
  <c r="I2" i="4"/>
  <c r="G117" i="4"/>
  <c r="G52" i="4"/>
  <c r="I92" i="4"/>
  <c r="G16" i="4"/>
  <c r="H64" i="4"/>
  <c r="F71" i="4"/>
  <c r="H50" i="4"/>
  <c r="G51" i="4"/>
  <c r="H68" i="4"/>
  <c r="H99" i="4"/>
  <c r="I24" i="4"/>
  <c r="H2" i="4"/>
  <c r="I6" i="4"/>
  <c r="H52" i="4"/>
  <c r="H30" i="4"/>
  <c r="H106" i="4"/>
  <c r="G70" i="4"/>
  <c r="I83" i="4"/>
  <c r="I13" i="4"/>
  <c r="I41" i="4"/>
  <c r="H8" i="4"/>
  <c r="I99" i="4"/>
  <c r="H24" i="4"/>
  <c r="H90" i="4"/>
  <c r="H6" i="4"/>
  <c r="G38" i="4"/>
  <c r="I57" i="4"/>
  <c r="G17" i="4"/>
  <c r="G33" i="4"/>
  <c r="G126" i="4"/>
  <c r="H97" i="4"/>
  <c r="I73" i="4"/>
  <c r="F8" i="4"/>
  <c r="F76" i="4"/>
  <c r="I125" i="4"/>
  <c r="H55" i="4"/>
  <c r="I98" i="4"/>
  <c r="H103" i="4"/>
  <c r="G57" i="4"/>
  <c r="G107" i="4"/>
  <c r="F33" i="4"/>
  <c r="F101" i="4"/>
  <c r="G96" i="4"/>
  <c r="F49" i="4"/>
  <c r="H39" i="4"/>
  <c r="G125" i="4"/>
  <c r="F55" i="4"/>
  <c r="G79" i="4"/>
  <c r="G78" i="4"/>
  <c r="F107" i="4"/>
  <c r="G59" i="4"/>
  <c r="F96" i="4"/>
  <c r="I49" i="4"/>
  <c r="G12" i="4"/>
  <c r="H15" i="4"/>
  <c r="I43" i="4"/>
  <c r="H10" i="4"/>
  <c r="H78" i="4"/>
  <c r="H32" i="4"/>
  <c r="F18" i="4"/>
  <c r="H34" i="4"/>
  <c r="H4" i="4"/>
  <c r="G47" i="4"/>
  <c r="F73" i="4"/>
  <c r="I10" i="4"/>
  <c r="I67" i="4"/>
  <c r="F84" i="4"/>
  <c r="G60" i="4"/>
  <c r="I81" i="4"/>
  <c r="F115" i="4"/>
  <c r="G48" i="4"/>
  <c r="F27" i="4"/>
  <c r="H77" i="4"/>
  <c r="G95" i="4"/>
  <c r="I86" i="4"/>
  <c r="C28" i="3" l="1"/>
  <c r="D14" i="3" l="1"/>
  <c r="C27" i="3"/>
  <c r="J1" i="4" a="1"/>
  <c r="D30" i="3"/>
  <c r="D15" i="3"/>
  <c r="AA19" i="11" a="1"/>
  <c r="Z19" i="11" a="1"/>
  <c r="R19" i="11"/>
  <c r="S19" i="11" s="1"/>
  <c r="T19" i="11" l="1"/>
  <c r="U19" i="11" s="1" a="1"/>
  <c r="U19" i="11" s="1"/>
  <c r="Z152" i="11"/>
  <c r="Z1832" i="11"/>
  <c r="Z371" i="11"/>
  <c r="Z2096" i="11"/>
  <c r="Z396" i="11"/>
  <c r="Z2124" i="11"/>
  <c r="Z419" i="11"/>
  <c r="Z2153" i="11"/>
  <c r="Z444" i="11"/>
  <c r="Z2181" i="11"/>
  <c r="Z469" i="11"/>
  <c r="Z2210" i="11"/>
  <c r="Z492" i="11"/>
  <c r="Z2242" i="11"/>
  <c r="Z517" i="11"/>
  <c r="Z2271" i="11"/>
  <c r="Z1927" i="11"/>
  <c r="Z479" i="11"/>
  <c r="Z940" i="11"/>
  <c r="Z2920" i="11"/>
  <c r="Z3331" i="11"/>
  <c r="Z307" i="11"/>
  <c r="Z794" i="11"/>
  <c r="Z185" i="11"/>
  <c r="Z697" i="11"/>
  <c r="Z1109" i="11"/>
  <c r="Z2162" i="11"/>
  <c r="Z2916" i="11"/>
  <c r="Z1021" i="11"/>
  <c r="Z1813" i="11"/>
  <c r="Z2456" i="11"/>
  <c r="Z3056" i="11"/>
  <c r="Z212" i="11"/>
  <c r="Z1140" i="11"/>
  <c r="Z652" i="11"/>
  <c r="Z452" i="11"/>
  <c r="Z1138" i="11"/>
  <c r="Z1695" i="11"/>
  <c r="Z2365" i="11"/>
  <c r="Z3055" i="11"/>
  <c r="Z1111" i="11"/>
  <c r="Z1871" i="11"/>
  <c r="Z2573" i="11"/>
  <c r="Z3500" i="11"/>
  <c r="Z578" i="11"/>
  <c r="Z1026" i="11"/>
  <c r="Z1551" i="11"/>
  <c r="Z2343" i="11"/>
  <c r="Z188" i="11"/>
  <c r="Z1584" i="11"/>
  <c r="Z3482" i="11"/>
  <c r="Z599" i="11"/>
  <c r="Z1341" i="11"/>
  <c r="Z2073" i="11"/>
  <c r="Z2779" i="11"/>
  <c r="Z113" i="11"/>
  <c r="Z1578" i="11"/>
  <c r="Z2516" i="11"/>
  <c r="Z3396" i="11"/>
  <c r="Z480" i="11"/>
  <c r="Z994" i="11"/>
  <c r="Z1493" i="11"/>
  <c r="Z2018" i="11"/>
  <c r="Z2282" i="11"/>
  <c r="Z2692" i="11"/>
  <c r="Z213" i="11"/>
  <c r="Z481" i="11"/>
  <c r="Z725" i="11"/>
  <c r="Z971" i="11"/>
  <c r="Z1231" i="11"/>
  <c r="Z1466" i="11"/>
  <c r="Z1730" i="11"/>
  <c r="Z1962" i="11"/>
  <c r="Z2255" i="11"/>
  <c r="Z2490" i="11"/>
  <c r="Z2722" i="11"/>
  <c r="Z3025" i="11"/>
  <c r="Z3299" i="11"/>
  <c r="Z25" i="11"/>
  <c r="Z221" i="11"/>
  <c r="Z416" i="11"/>
  <c r="Z610" i="11"/>
  <c r="Z807" i="11"/>
  <c r="Z1008" i="11"/>
  <c r="Z1240" i="11"/>
  <c r="Z346" i="11"/>
  <c r="Z2064" i="11"/>
  <c r="Z565" i="11"/>
  <c r="Z2328" i="11"/>
  <c r="Z591" i="11"/>
  <c r="Z2356" i="11"/>
  <c r="Z616" i="11"/>
  <c r="Z2388" i="11"/>
  <c r="Z639" i="11"/>
  <c r="Z2417" i="11"/>
  <c r="Z664" i="11"/>
  <c r="Z2445" i="11"/>
  <c r="Z689" i="11"/>
  <c r="Z2474" i="11"/>
  <c r="Z712" i="11"/>
  <c r="Z2503" i="11"/>
  <c r="Z63" i="11"/>
  <c r="Z527" i="11"/>
  <c r="Z1082" i="11"/>
  <c r="Z2991" i="11"/>
  <c r="Z3364" i="11"/>
  <c r="Z355" i="11"/>
  <c r="Z844" i="11"/>
  <c r="Z233" i="11"/>
  <c r="Z720" i="11"/>
  <c r="Z1195" i="11"/>
  <c r="Z2251" i="11"/>
  <c r="Z3020" i="11"/>
  <c r="Z1168" i="11"/>
  <c r="Z1899" i="11"/>
  <c r="Z2545" i="11"/>
  <c r="Z3160" i="11"/>
  <c r="Z285" i="11"/>
  <c r="Z1522" i="11"/>
  <c r="Z2051" i="11"/>
  <c r="Z500" i="11"/>
  <c r="Z1227" i="11"/>
  <c r="Z1780" i="11"/>
  <c r="Z2426" i="11"/>
  <c r="Z3154" i="11"/>
  <c r="Z1200" i="11"/>
  <c r="Z1960" i="11"/>
  <c r="Z2691" i="11"/>
  <c r="Z89" i="11"/>
  <c r="Z626" i="11"/>
  <c r="Z1083" i="11"/>
  <c r="Z1611" i="11"/>
  <c r="Z2603" i="11"/>
  <c r="Z261" i="11"/>
  <c r="Z2108" i="11"/>
  <c r="Z3548" i="11"/>
  <c r="Z672" i="11"/>
  <c r="Z1431" i="11"/>
  <c r="Z2133" i="11"/>
  <c r="Z2883" i="11"/>
  <c r="Z648" i="11"/>
  <c r="Z1667" i="11"/>
  <c r="Z2631" i="11"/>
  <c r="Z3464" i="11"/>
  <c r="Z528" i="11"/>
  <c r="Z1055" i="11"/>
  <c r="Z1579" i="11"/>
  <c r="Z2050" i="11"/>
  <c r="Z2311" i="11"/>
  <c r="Z2819" i="11"/>
  <c r="Z236" i="11"/>
  <c r="Z506" i="11"/>
  <c r="Z748" i="11"/>
  <c r="Z999" i="11"/>
  <c r="Z1259" i="11"/>
  <c r="Z1495" i="11"/>
  <c r="Z1759" i="11"/>
  <c r="Z1991" i="11"/>
  <c r="Z2283" i="11"/>
  <c r="Z2519" i="11"/>
  <c r="Z2754" i="11"/>
  <c r="Z3058" i="11"/>
  <c r="Z3332" i="11"/>
  <c r="Z50" i="11"/>
  <c r="Z244" i="11"/>
  <c r="Z441" i="11"/>
  <c r="Z635" i="11"/>
  <c r="Z829" i="11"/>
  <c r="Z1036" i="11"/>
  <c r="Z1268" i="11"/>
  <c r="Z543" i="11"/>
  <c r="Z2299" i="11"/>
  <c r="Z762" i="11"/>
  <c r="Z2563" i="11"/>
  <c r="Z785" i="11"/>
  <c r="Z2592" i="11"/>
  <c r="Z810" i="11"/>
  <c r="Z2620" i="11"/>
  <c r="Z835" i="11"/>
  <c r="Z2649" i="11"/>
  <c r="Z858" i="11"/>
  <c r="Z2681" i="11"/>
  <c r="Z883" i="11"/>
  <c r="Z2709" i="11"/>
  <c r="Z908" i="11"/>
  <c r="Z2738" i="11"/>
  <c r="Z161" i="11"/>
  <c r="Z552" i="11"/>
  <c r="Z1785" i="11"/>
  <c r="Z3024" i="11"/>
  <c r="Z3399" i="11"/>
  <c r="Z405" i="11"/>
  <c r="Z867" i="11"/>
  <c r="Z281" i="11"/>
  <c r="Z770" i="11"/>
  <c r="Z1284" i="11"/>
  <c r="Z2337" i="11"/>
  <c r="Z3121" i="11"/>
  <c r="Z1257" i="11"/>
  <c r="Z1988" i="11"/>
  <c r="Z2602" i="11"/>
  <c r="Z3259" i="11"/>
  <c r="Z359" i="11"/>
  <c r="Z1989" i="11"/>
  <c r="Z1447" i="11"/>
  <c r="Z573" i="11"/>
  <c r="Z1313" i="11"/>
  <c r="Z1841" i="11"/>
  <c r="Z2483" i="11"/>
  <c r="Z3291" i="11"/>
  <c r="Z1285" i="11"/>
  <c r="Z2045" i="11"/>
  <c r="Z2818" i="11"/>
  <c r="Z162" i="11"/>
  <c r="Z699" i="11"/>
  <c r="Z1172" i="11"/>
  <c r="Z1668" i="11"/>
  <c r="Z2721" i="11"/>
  <c r="Z335" i="11"/>
  <c r="Z2855" i="11"/>
  <c r="Z61" i="11"/>
  <c r="Z793" i="11"/>
  <c r="Z1520" i="11"/>
  <c r="Z2219" i="11"/>
  <c r="Z2984" i="11"/>
  <c r="Z993" i="11"/>
  <c r="Z1842" i="11"/>
  <c r="Z2748" i="11"/>
  <c r="Z41" i="11"/>
  <c r="Z601" i="11"/>
  <c r="Z1112" i="11"/>
  <c r="Z1640" i="11"/>
  <c r="Z2107" i="11"/>
  <c r="Z2371" i="11"/>
  <c r="Z3057" i="11"/>
  <c r="Z287" i="11"/>
  <c r="Z529" i="11"/>
  <c r="Z799" i="11"/>
  <c r="Z1027" i="11"/>
  <c r="Z1291" i="11"/>
  <c r="Z1523" i="11"/>
  <c r="Z1787" i="11"/>
  <c r="Z2023" i="11"/>
  <c r="Z2315" i="11"/>
  <c r="Z2547" i="11"/>
  <c r="Z2787" i="11"/>
  <c r="Z3096" i="11"/>
  <c r="Z3367" i="11"/>
  <c r="Z75" i="11"/>
  <c r="Z269" i="11"/>
  <c r="Z464" i="11"/>
  <c r="Z660" i="11"/>
  <c r="Z855" i="11"/>
  <c r="Z1065" i="11"/>
  <c r="Z1300" i="11"/>
  <c r="Z737" i="11"/>
  <c r="Z2535" i="11"/>
  <c r="Z956" i="11"/>
  <c r="Z2802" i="11"/>
  <c r="Z983" i="11"/>
  <c r="Z2840" i="11"/>
  <c r="Z1011" i="11"/>
  <c r="Z2873" i="11"/>
  <c r="Z1040" i="11"/>
  <c r="Z2906" i="11"/>
  <c r="Z1072" i="11"/>
  <c r="Z2939" i="11"/>
  <c r="Z1100" i="11"/>
  <c r="Z2972" i="11"/>
  <c r="Z1129" i="11"/>
  <c r="Z3010" i="11"/>
  <c r="Z234" i="11"/>
  <c r="Z600" i="11"/>
  <c r="Z1725" i="11"/>
  <c r="Z3090" i="11"/>
  <c r="Z3468" i="11"/>
  <c r="Z453" i="11"/>
  <c r="Z917" i="11"/>
  <c r="Z354" i="11"/>
  <c r="Z818" i="11"/>
  <c r="Z1402" i="11"/>
  <c r="Z2455" i="11"/>
  <c r="Z3225" i="11"/>
  <c r="Z1346" i="11"/>
  <c r="Z2077" i="11"/>
  <c r="Z2663" i="11"/>
  <c r="Z3330" i="11"/>
  <c r="Z455" i="11"/>
  <c r="Z2546" i="11"/>
  <c r="Z3002" i="11"/>
  <c r="Z647" i="11"/>
  <c r="Z1373" i="11"/>
  <c r="Z1959" i="11"/>
  <c r="Z2544" i="11"/>
  <c r="Z3395" i="11"/>
  <c r="Z1375" i="11"/>
  <c r="Z2135" i="11"/>
  <c r="Z2919" i="11"/>
  <c r="Z235" i="11"/>
  <c r="Z747" i="11"/>
  <c r="Z1229" i="11"/>
  <c r="Z1757" i="11"/>
  <c r="Z2887" i="11"/>
  <c r="Z456" i="11"/>
  <c r="Z1943" i="11"/>
  <c r="Z160" i="11"/>
  <c r="Z891" i="11"/>
  <c r="Z1634" i="11"/>
  <c r="Z2308" i="11"/>
  <c r="Z3088" i="11"/>
  <c r="Z1139" i="11"/>
  <c r="Z1931" i="11"/>
  <c r="Z2884" i="11"/>
  <c r="Z114" i="11"/>
  <c r="Z674" i="11"/>
  <c r="Z1201" i="11"/>
  <c r="Z1697" i="11"/>
  <c r="Z2136" i="11"/>
  <c r="Z2400" i="11"/>
  <c r="Z3432" i="11"/>
  <c r="Z309" i="11"/>
  <c r="Z554" i="11"/>
  <c r="Z821" i="11"/>
  <c r="Z1056" i="11"/>
  <c r="Z1320" i="11"/>
  <c r="Z1552" i="11"/>
  <c r="Z1816" i="11"/>
  <c r="Z2080" i="11"/>
  <c r="Z2344" i="11"/>
  <c r="Z2576" i="11"/>
  <c r="Z2820" i="11"/>
  <c r="Z3129" i="11"/>
  <c r="Z3400" i="11"/>
  <c r="Z98" i="11"/>
  <c r="Z295" i="11"/>
  <c r="Z931" i="11"/>
  <c r="Z2769" i="11"/>
  <c r="Z1186" i="11"/>
  <c r="Z3076" i="11"/>
  <c r="Z1218" i="11"/>
  <c r="Z3111" i="11"/>
  <c r="Z1247" i="11"/>
  <c r="Z3144" i="11"/>
  <c r="Z1275" i="11"/>
  <c r="Z3180" i="11"/>
  <c r="Z1304" i="11"/>
  <c r="Z3215" i="11"/>
  <c r="Z1332" i="11"/>
  <c r="Z3248" i="11"/>
  <c r="Z1364" i="11"/>
  <c r="Z3281" i="11"/>
  <c r="Z282" i="11"/>
  <c r="Z673" i="11"/>
  <c r="Z2489" i="11"/>
  <c r="Z3161" i="11"/>
  <c r="Z3536" i="11"/>
  <c r="Z501" i="11"/>
  <c r="Z1053" i="11"/>
  <c r="Z404" i="11"/>
  <c r="Z866" i="11"/>
  <c r="Z1577" i="11"/>
  <c r="Z2572" i="11"/>
  <c r="Z3362" i="11"/>
  <c r="Z1432" i="11"/>
  <c r="Z2163" i="11"/>
  <c r="Z2720" i="11"/>
  <c r="Z3431" i="11"/>
  <c r="Z553" i="11"/>
  <c r="Z2664" i="11"/>
  <c r="Z112" i="11"/>
  <c r="Z745" i="11"/>
  <c r="Z1459" i="11"/>
  <c r="Z2016" i="11"/>
  <c r="Z2629" i="11"/>
  <c r="Z3496" i="11"/>
  <c r="Z1460" i="11"/>
  <c r="Z2224" i="11"/>
  <c r="Z3023" i="11"/>
  <c r="Z308" i="11"/>
  <c r="Z772" i="11"/>
  <c r="Z1287" i="11"/>
  <c r="Z1815" i="11"/>
  <c r="Z3128" i="11"/>
  <c r="Z579" i="11"/>
  <c r="Z1387" i="11"/>
  <c r="Z258" i="11"/>
  <c r="Z992" i="11"/>
  <c r="Z1723" i="11"/>
  <c r="Z2397" i="11"/>
  <c r="Z3192" i="11"/>
  <c r="Z1228" i="11"/>
  <c r="Z2017" i="11"/>
  <c r="Z2988" i="11"/>
  <c r="Z187" i="11"/>
  <c r="Z724" i="11"/>
  <c r="Z1258" i="11"/>
  <c r="Z1786" i="11"/>
  <c r="Z2164" i="11"/>
  <c r="Z2428" i="11"/>
  <c r="Z42" i="11"/>
  <c r="Z360" i="11"/>
  <c r="Z602" i="11"/>
  <c r="Z847" i="11"/>
  <c r="Z1084" i="11"/>
  <c r="Z1348" i="11"/>
  <c r="Z1612" i="11"/>
  <c r="Z1844" i="11"/>
  <c r="Z2137" i="11"/>
  <c r="Z2372" i="11"/>
  <c r="Z2608" i="11"/>
  <c r="Z2888" i="11"/>
  <c r="Z3162" i="11"/>
  <c r="Z3436" i="11"/>
  <c r="Z123" i="11"/>
  <c r="Z317" i="11"/>
  <c r="Z1157" i="11"/>
  <c r="Z3043" i="11"/>
  <c r="Z1421" i="11"/>
  <c r="Z3352" i="11"/>
  <c r="Z1450" i="11"/>
  <c r="Z3385" i="11"/>
  <c r="Z1479" i="11"/>
  <c r="Z3418" i="11"/>
  <c r="Z1488" i="11"/>
  <c r="Z3451" i="11"/>
  <c r="Z1511" i="11"/>
  <c r="Z3484" i="11"/>
  <c r="Z1539" i="11"/>
  <c r="Z3522" i="11"/>
  <c r="Z1568" i="11"/>
  <c r="Z3258" i="11"/>
  <c r="Z332" i="11"/>
  <c r="Z746" i="11"/>
  <c r="Z2635" i="11"/>
  <c r="Z3194" i="11"/>
  <c r="Z40" i="11"/>
  <c r="Z575" i="11"/>
  <c r="Z1724" i="11"/>
  <c r="Z477" i="11"/>
  <c r="Z916" i="11"/>
  <c r="Z1752" i="11"/>
  <c r="Z2690" i="11"/>
  <c r="Z3463" i="11"/>
  <c r="Z1521" i="11"/>
  <c r="Z2252" i="11"/>
  <c r="Z2780" i="11"/>
  <c r="Z3535" i="11"/>
  <c r="Z651" i="11"/>
  <c r="Z2786" i="11"/>
  <c r="Z208" i="11"/>
  <c r="Z843" i="11"/>
  <c r="Z1548" i="11"/>
  <c r="Z2105" i="11"/>
  <c r="Z2719" i="11"/>
  <c r="Z186" i="11"/>
  <c r="Z1549" i="11"/>
  <c r="Z2281" i="11"/>
  <c r="Z3122" i="11"/>
  <c r="Z381" i="11"/>
  <c r="Z845" i="11"/>
  <c r="Z1347" i="11"/>
  <c r="Z1872" i="11"/>
  <c r="Z3503" i="11"/>
  <c r="Z773" i="11"/>
  <c r="Z2411" i="11"/>
  <c r="Z331" i="11"/>
  <c r="Z1081" i="11"/>
  <c r="Z1812" i="11"/>
  <c r="Z2512" i="11"/>
  <c r="Z3324" i="11"/>
  <c r="Z1314" i="11"/>
  <c r="Z2106" i="11"/>
  <c r="Z3089" i="11"/>
  <c r="Z260" i="11"/>
  <c r="Z797" i="11"/>
  <c r="Z1319" i="11"/>
  <c r="Z1843" i="11"/>
  <c r="Z2196" i="11"/>
  <c r="Z2457" i="11"/>
  <c r="Z90" i="11"/>
  <c r="Z383" i="11"/>
  <c r="Z627" i="11"/>
  <c r="Z872" i="11"/>
  <c r="Z1113" i="11"/>
  <c r="Z1377" i="11"/>
  <c r="Z1641" i="11"/>
  <c r="Z1876" i="11"/>
  <c r="Z2169" i="11"/>
  <c r="Z2401" i="11"/>
  <c r="Z2636" i="11"/>
  <c r="Z2924" i="11"/>
  <c r="Z3195" i="11"/>
  <c r="Z3471" i="11"/>
  <c r="Z148" i="11"/>
  <c r="Z1393" i="11"/>
  <c r="Z3314" i="11"/>
  <c r="Z1625" i="11"/>
  <c r="Z31" i="11"/>
  <c r="Z1657" i="11"/>
  <c r="Z39" i="11"/>
  <c r="Z1685" i="11"/>
  <c r="Z53" i="11"/>
  <c r="Z1714" i="11"/>
  <c r="Z79" i="11"/>
  <c r="Z1743" i="11"/>
  <c r="Z104" i="11"/>
  <c r="Z1771" i="11"/>
  <c r="Z127" i="11"/>
  <c r="Z1803" i="11"/>
  <c r="Z88" i="11"/>
  <c r="Z380" i="11"/>
  <c r="Z819" i="11"/>
  <c r="Z2749" i="11"/>
  <c r="Z3227" i="11"/>
  <c r="Z136" i="11"/>
  <c r="Z625" i="11"/>
  <c r="Z87" i="11"/>
  <c r="Z551" i="11"/>
  <c r="Z964" i="11"/>
  <c r="Z1898" i="11"/>
  <c r="Z2747" i="11"/>
  <c r="Z259" i="11"/>
  <c r="Z1607" i="11"/>
  <c r="Z2309" i="11"/>
  <c r="Z2851" i="11"/>
  <c r="Z66" i="11"/>
  <c r="Z820" i="11"/>
  <c r="Z2956" i="11"/>
  <c r="Z306" i="11"/>
  <c r="Z939" i="11"/>
  <c r="Z1605" i="11"/>
  <c r="Z2191" i="11"/>
  <c r="Z2850" i="11"/>
  <c r="Z698" i="11"/>
  <c r="Z1639" i="11"/>
  <c r="Z2399" i="11"/>
  <c r="Z3226" i="11"/>
  <c r="Z432" i="11"/>
  <c r="Z893" i="11"/>
  <c r="Z1404" i="11"/>
  <c r="Z1932" i="11"/>
  <c r="Z67" i="11"/>
  <c r="Z945" i="11"/>
  <c r="Z3003" i="11"/>
  <c r="Z427" i="11"/>
  <c r="Z1167" i="11"/>
  <c r="Z1869" i="11"/>
  <c r="Z2601" i="11"/>
  <c r="Z3428" i="11"/>
  <c r="Z1403" i="11"/>
  <c r="Z2192" i="11"/>
  <c r="Z3193" i="11"/>
  <c r="Z333" i="11"/>
  <c r="Z871" i="11"/>
  <c r="Z1376" i="11"/>
  <c r="Z1904" i="11"/>
  <c r="Z2225" i="11"/>
  <c r="Z2517" i="11"/>
  <c r="Z115" i="11"/>
  <c r="Z408" i="11"/>
  <c r="Z675" i="11"/>
  <c r="Z895" i="11"/>
  <c r="Z1145" i="11"/>
  <c r="Z1405" i="11"/>
  <c r="Z1669" i="11"/>
  <c r="Z1905" i="11"/>
  <c r="Z2197" i="11"/>
  <c r="Z2429" i="11"/>
  <c r="Z2665" i="11"/>
  <c r="Z2959" i="11"/>
  <c r="Z3228" i="11"/>
  <c r="Z3504" i="11"/>
  <c r="Z171" i="11"/>
  <c r="Z1596" i="11"/>
  <c r="Z177" i="11"/>
  <c r="Z1860" i="11"/>
  <c r="Z200" i="11"/>
  <c r="Z1889" i="11"/>
  <c r="Z225" i="11"/>
  <c r="Z1917" i="11"/>
  <c r="Z250" i="11"/>
  <c r="Z1949" i="11"/>
  <c r="Z273" i="11"/>
  <c r="Z1978" i="11"/>
  <c r="Z298" i="11"/>
  <c r="Z2007" i="11"/>
  <c r="Z323" i="11"/>
  <c r="Z2035" i="11"/>
  <c r="Z2427" i="11"/>
  <c r="Z428" i="11"/>
  <c r="Z892" i="11"/>
  <c r="Z2852" i="11"/>
  <c r="Z3298" i="11"/>
  <c r="Z209" i="11"/>
  <c r="Z721" i="11"/>
  <c r="Z135" i="11"/>
  <c r="Z624" i="11"/>
  <c r="Z1020" i="11"/>
  <c r="Z2044" i="11"/>
  <c r="Z2812" i="11"/>
  <c r="Z771" i="11"/>
  <c r="Z1696" i="11"/>
  <c r="Z2370" i="11"/>
  <c r="Z2952" i="11"/>
  <c r="Z139" i="11"/>
  <c r="Z944" i="11"/>
  <c r="Z3260" i="11"/>
  <c r="Z379" i="11"/>
  <c r="Z1049" i="11"/>
  <c r="Z1666" i="11"/>
  <c r="Z2280" i="11"/>
  <c r="Z2951" i="11"/>
  <c r="Z965" i="11"/>
  <c r="Z1753" i="11"/>
  <c r="Z2484" i="11"/>
  <c r="Z3363" i="11"/>
  <c r="Z505" i="11"/>
  <c r="Z967" i="11"/>
  <c r="Z1465" i="11"/>
  <c r="Z2079" i="11"/>
  <c r="Z140" i="11"/>
  <c r="Z1202" i="11"/>
  <c r="Z3345" i="11"/>
  <c r="Z525" i="11"/>
  <c r="Z1256" i="11"/>
  <c r="Z1987" i="11"/>
  <c r="Z2658" i="11"/>
  <c r="Z3532" i="11"/>
  <c r="Z1492" i="11"/>
  <c r="Z2338" i="11"/>
  <c r="Z3292" i="11"/>
  <c r="Z407" i="11"/>
  <c r="Z919" i="11"/>
  <c r="Z1433" i="11"/>
  <c r="Z1961" i="11"/>
  <c r="Z2253" i="11"/>
  <c r="Z2575" i="11"/>
  <c r="Z163" i="11"/>
  <c r="Z433" i="11"/>
  <c r="Z700" i="11"/>
  <c r="Z920" i="11"/>
  <c r="Z1173" i="11"/>
  <c r="Z1437" i="11"/>
  <c r="Z1698" i="11"/>
  <c r="Z1933" i="11"/>
  <c r="Z2226" i="11"/>
  <c r="Z2461" i="11"/>
  <c r="Z2693" i="11"/>
  <c r="Z2992" i="11"/>
  <c r="Z3266" i="11"/>
  <c r="Z3537" i="11"/>
  <c r="Z196" i="11"/>
  <c r="Z391" i="11"/>
  <c r="Z587" i="11"/>
  <c r="Z781" i="11"/>
  <c r="Z977" i="11"/>
  <c r="Z1211" i="11"/>
  <c r="Z1475" i="11"/>
  <c r="Z343" i="11"/>
  <c r="Z733" i="11"/>
  <c r="Z1154" i="11"/>
  <c r="Z1561" i="11"/>
  <c r="Z1796" i="11"/>
  <c r="Z2060" i="11"/>
  <c r="Z2292" i="11"/>
  <c r="Z2528" i="11"/>
  <c r="Z2764" i="11"/>
  <c r="Z3068" i="11"/>
  <c r="Z3344" i="11"/>
  <c r="Z51" i="11"/>
  <c r="Z245" i="11"/>
  <c r="Z442" i="11"/>
  <c r="Z636" i="11"/>
  <c r="Z831" i="11"/>
  <c r="Z1037" i="11"/>
  <c r="Z1273" i="11"/>
  <c r="Z1533" i="11"/>
  <c r="Z1769" i="11"/>
  <c r="Z2004" i="11"/>
  <c r="Z2236" i="11"/>
  <c r="Z2500" i="11"/>
  <c r="Z2736" i="11"/>
  <c r="Z3036" i="11"/>
  <c r="Z3312" i="11"/>
  <c r="Z103" i="11"/>
  <c r="Z297" i="11"/>
  <c r="Z491" i="11"/>
  <c r="Z688" i="11"/>
  <c r="Z882" i="11"/>
  <c r="Z1099" i="11"/>
  <c r="Z1331" i="11"/>
  <c r="Z1567" i="11"/>
  <c r="Z1799" i="11"/>
  <c r="Z2034" i="11"/>
  <c r="Z2269" i="11"/>
  <c r="Z2501" i="11"/>
  <c r="Z2737" i="11"/>
  <c r="Z3004" i="11"/>
  <c r="Z3280" i="11"/>
  <c r="Z32" i="11"/>
  <c r="Z240" i="11"/>
  <c r="Z445" i="11"/>
  <c r="Z679" i="11"/>
  <c r="Z873" i="11"/>
  <c r="Z1117" i="11"/>
  <c r="Z1365" i="11"/>
  <c r="Z1658" i="11"/>
  <c r="Z1935" i="11"/>
  <c r="Z2199" i="11"/>
  <c r="Z2463" i="11"/>
  <c r="Z2770" i="11"/>
  <c r="Z3097" i="11"/>
  <c r="Z3439" i="11"/>
  <c r="Z545" i="11"/>
  <c r="Z1119" i="11"/>
  <c r="Z1863" i="11"/>
  <c r="Z2626" i="11"/>
  <c r="Z3202" i="11"/>
  <c r="Z3372" i="11"/>
  <c r="Z3524" i="11"/>
  <c r="Z324" i="11"/>
  <c r="Z665" i="11"/>
  <c r="Z1044" i="11"/>
  <c r="Z1451" i="11"/>
  <c r="Z1744" i="11"/>
  <c r="Z2154" i="11"/>
  <c r="Z2564" i="11"/>
  <c r="Z2978" i="11"/>
  <c r="Z3452" i="11"/>
  <c r="Z204" i="11"/>
  <c r="Z435" i="11"/>
  <c r="Z666" i="11"/>
  <c r="Z911" i="11"/>
  <c r="Z1220" i="11"/>
  <c r="Z1484" i="11"/>
  <c r="Z1761" i="11"/>
  <c r="Z2069" i="11"/>
  <c r="Z2346" i="11"/>
  <c r="Z2610" i="11"/>
  <c r="Z2928" i="11"/>
  <c r="Z3184" i="11"/>
  <c r="Z253" i="11"/>
  <c r="Z596" i="11"/>
  <c r="Z875" i="11"/>
  <c r="Z368" i="11"/>
  <c r="Z756" i="11"/>
  <c r="Z1183" i="11"/>
  <c r="Z1593" i="11"/>
  <c r="Z1825" i="11"/>
  <c r="Z2089" i="11"/>
  <c r="Z2324" i="11"/>
  <c r="Z2556" i="11"/>
  <c r="Z2799" i="11"/>
  <c r="Z3106" i="11"/>
  <c r="Z3377" i="11"/>
  <c r="Z76" i="11"/>
  <c r="Z271" i="11"/>
  <c r="Z465" i="11"/>
  <c r="Z661" i="11"/>
  <c r="Z856" i="11"/>
  <c r="Z1066" i="11"/>
  <c r="Z1301" i="11"/>
  <c r="Z1565" i="11"/>
  <c r="Z1797" i="11"/>
  <c r="Z2033" i="11"/>
  <c r="Z2265" i="11"/>
  <c r="Z2529" i="11"/>
  <c r="Z2767" i="11"/>
  <c r="Z3074" i="11"/>
  <c r="Z3378" i="11"/>
  <c r="Z125" i="11"/>
  <c r="Z322" i="11"/>
  <c r="Z516" i="11"/>
  <c r="Z711" i="11"/>
  <c r="Z907" i="11"/>
  <c r="Z1128" i="11"/>
  <c r="Z1360" i="11"/>
  <c r="Z1595" i="11"/>
  <c r="Z1831" i="11"/>
  <c r="Z2063" i="11"/>
  <c r="Z2298" i="11"/>
  <c r="Z2530" i="11"/>
  <c r="Z2768" i="11"/>
  <c r="Z3042" i="11"/>
  <c r="Z3313" i="11"/>
  <c r="Z68" i="11"/>
  <c r="Z251" i="11"/>
  <c r="Z482" i="11"/>
  <c r="Z701" i="11"/>
  <c r="Z898" i="11"/>
  <c r="Z1146" i="11"/>
  <c r="Z1394" i="11"/>
  <c r="Z1687" i="11"/>
  <c r="Z1963" i="11"/>
  <c r="Z2227" i="11"/>
  <c r="Z2507" i="11"/>
  <c r="Z2808" i="11"/>
  <c r="Z3130" i="11"/>
  <c r="Z3490" i="11"/>
  <c r="Z618" i="11"/>
  <c r="Z1204" i="11"/>
  <c r="Z1952" i="11"/>
  <c r="Z2712" i="11"/>
  <c r="Z3235" i="11"/>
  <c r="Z3407" i="11"/>
  <c r="Z3544" i="11"/>
  <c r="Z372" i="11"/>
  <c r="Z715" i="11"/>
  <c r="Z1085" i="11"/>
  <c r="Z1483" i="11"/>
  <c r="Z1788" i="11"/>
  <c r="Z2215" i="11"/>
  <c r="Z2621" i="11"/>
  <c r="Z3044" i="11"/>
  <c r="Z3523" i="11"/>
  <c r="Z241" i="11"/>
  <c r="Z472" i="11"/>
  <c r="Z691" i="11"/>
  <c r="Z947" i="11"/>
  <c r="Z1249" i="11"/>
  <c r="Z1513" i="11"/>
  <c r="Z1805" i="11"/>
  <c r="Z2098" i="11"/>
  <c r="Z2375" i="11"/>
  <c r="Z2655" i="11"/>
  <c r="Z2979" i="11"/>
  <c r="Z3250" i="11"/>
  <c r="Z304" i="11"/>
  <c r="Z633" i="11"/>
  <c r="Z489" i="11"/>
  <c r="Z880" i="11"/>
  <c r="Z1329" i="11"/>
  <c r="Z1621" i="11"/>
  <c r="Z1853" i="11"/>
  <c r="Z2117" i="11"/>
  <c r="Z2353" i="11"/>
  <c r="Z2585" i="11"/>
  <c r="Z2832" i="11"/>
  <c r="Z3139" i="11"/>
  <c r="Z3410" i="11"/>
  <c r="Z99" i="11"/>
  <c r="Z296" i="11"/>
  <c r="Z490" i="11"/>
  <c r="Z684" i="11"/>
  <c r="Z881" i="11"/>
  <c r="Z1095" i="11"/>
  <c r="Z1330" i="11"/>
  <c r="Z1594" i="11"/>
  <c r="Z1826" i="11"/>
  <c r="Z2061" i="11"/>
  <c r="Z2297" i="11"/>
  <c r="Z2557" i="11"/>
  <c r="Z2800" i="11"/>
  <c r="Z3107" i="11"/>
  <c r="Z3416" i="11"/>
  <c r="Z151" i="11"/>
  <c r="Z345" i="11"/>
  <c r="Z541" i="11"/>
  <c r="Z736" i="11"/>
  <c r="Z930" i="11"/>
  <c r="Z1156" i="11"/>
  <c r="Z1392" i="11"/>
  <c r="Z1624" i="11"/>
  <c r="Z1859" i="11"/>
  <c r="Z2091" i="11"/>
  <c r="Z2327" i="11"/>
  <c r="Z2562" i="11"/>
  <c r="Z2801" i="11"/>
  <c r="Z3075" i="11"/>
  <c r="Z3346" i="11"/>
  <c r="Z93" i="11"/>
  <c r="Z288" i="11"/>
  <c r="Z496" i="11"/>
  <c r="Z727" i="11"/>
  <c r="Z935" i="11"/>
  <c r="Z1191" i="11"/>
  <c r="Z1423" i="11"/>
  <c r="Z1731" i="11"/>
  <c r="Z1995" i="11"/>
  <c r="Z2256" i="11"/>
  <c r="Z2536" i="11"/>
  <c r="Z2841" i="11"/>
  <c r="Z3163" i="11"/>
  <c r="Z3538" i="11"/>
  <c r="Z703" i="11"/>
  <c r="Z1309" i="11"/>
  <c r="Z2041" i="11"/>
  <c r="Z2791" i="11"/>
  <c r="Z3268" i="11"/>
  <c r="Z3420" i="11"/>
  <c r="Z43" i="11"/>
  <c r="Z409" i="11"/>
  <c r="Z763" i="11"/>
  <c r="Z1130" i="11"/>
  <c r="Z1524" i="11"/>
  <c r="Z1849" i="11"/>
  <c r="Z2272" i="11"/>
  <c r="Z2666" i="11"/>
  <c r="Z3112" i="11"/>
  <c r="Z33" i="11"/>
  <c r="Z277" i="11"/>
  <c r="Z497" i="11"/>
  <c r="Z728" i="11"/>
  <c r="Z985" i="11"/>
  <c r="Z1277" i="11"/>
  <c r="Z1557" i="11"/>
  <c r="Z1850" i="11"/>
  <c r="Z2143" i="11"/>
  <c r="Z2407" i="11"/>
  <c r="Z2683" i="11"/>
  <c r="Z3012" i="11"/>
  <c r="Z3387" i="11"/>
  <c r="Z327" i="11"/>
  <c r="Z669" i="11"/>
  <c r="Z514" i="11"/>
  <c r="Z903" i="11"/>
  <c r="Z1357" i="11"/>
  <c r="Z1650" i="11"/>
  <c r="Z1885" i="11"/>
  <c r="Z2146" i="11"/>
  <c r="Z2381" i="11"/>
  <c r="Z2617" i="11"/>
  <c r="Z2865" i="11"/>
  <c r="Z3172" i="11"/>
  <c r="Z3448" i="11"/>
  <c r="Z124" i="11"/>
  <c r="Z319" i="11"/>
  <c r="Z515" i="11"/>
  <c r="Z709" i="11"/>
  <c r="Z904" i="11"/>
  <c r="Z1127" i="11"/>
  <c r="Z1359" i="11"/>
  <c r="Z1623" i="11"/>
  <c r="Z1858" i="11"/>
  <c r="Z2090" i="11"/>
  <c r="Z2325" i="11"/>
  <c r="Z2589" i="11"/>
  <c r="Z2833" i="11"/>
  <c r="Z3140" i="11"/>
  <c r="Z3449" i="11"/>
  <c r="Z176" i="11"/>
  <c r="Z370" i="11"/>
  <c r="Z564" i="11"/>
  <c r="Z761" i="11"/>
  <c r="Z955" i="11"/>
  <c r="Z1185" i="11"/>
  <c r="Z1420" i="11"/>
  <c r="Z1652" i="11"/>
  <c r="Z1888" i="11"/>
  <c r="Z2123" i="11"/>
  <c r="Z2355" i="11"/>
  <c r="Z2591" i="11"/>
  <c r="Z2834" i="11"/>
  <c r="Z3108" i="11"/>
  <c r="Z3384" i="11"/>
  <c r="Z116" i="11"/>
  <c r="Z313" i="11"/>
  <c r="Z532" i="11"/>
  <c r="Z752" i="11"/>
  <c r="Z946" i="11"/>
  <c r="Z1219" i="11"/>
  <c r="Z1467" i="11"/>
  <c r="Z1760" i="11"/>
  <c r="Z2024" i="11"/>
  <c r="Z2288" i="11"/>
  <c r="Z2580" i="11"/>
  <c r="Z2892" i="11"/>
  <c r="Z3196" i="11"/>
  <c r="Z44" i="11"/>
  <c r="Z801" i="11"/>
  <c r="Z1424" i="11"/>
  <c r="Z2127" i="11"/>
  <c r="Z2895" i="11"/>
  <c r="Z3288" i="11"/>
  <c r="Z3440" i="11"/>
  <c r="Z80" i="11"/>
  <c r="Z459" i="11"/>
  <c r="Z811" i="11"/>
  <c r="Z1175" i="11"/>
  <c r="Z1556" i="11"/>
  <c r="Z1890" i="11"/>
  <c r="Z537" i="11"/>
  <c r="Z928" i="11"/>
  <c r="Z1386" i="11"/>
  <c r="Z1679" i="11"/>
  <c r="Z1914" i="11"/>
  <c r="Z2178" i="11"/>
  <c r="Z2410" i="11"/>
  <c r="Z2645" i="11"/>
  <c r="Z2898" i="11"/>
  <c r="Z3207" i="11"/>
  <c r="Z3481" i="11"/>
  <c r="Z149" i="11"/>
  <c r="Z344" i="11"/>
  <c r="Z538" i="11"/>
  <c r="Z735" i="11"/>
  <c r="Z929" i="11"/>
  <c r="Z1155" i="11"/>
  <c r="Z1419" i="11"/>
  <c r="Z1651" i="11"/>
  <c r="Z1887" i="11"/>
  <c r="Z2119" i="11"/>
  <c r="Z2354" i="11"/>
  <c r="Z2618" i="11"/>
  <c r="Z2866" i="11"/>
  <c r="Z3175" i="11"/>
  <c r="Z3515" i="11"/>
  <c r="Z199" i="11"/>
  <c r="Z395" i="11"/>
  <c r="Z589" i="11"/>
  <c r="Z784" i="11"/>
  <c r="Z981" i="11"/>
  <c r="Z1213" i="11"/>
  <c r="Z1449" i="11"/>
  <c r="Z1684" i="11"/>
  <c r="Z1916" i="11"/>
  <c r="Z2152" i="11"/>
  <c r="Z2384" i="11"/>
  <c r="Z2619" i="11"/>
  <c r="Z2872" i="11"/>
  <c r="Z3143" i="11"/>
  <c r="Z3417" i="11"/>
  <c r="Z141" i="11"/>
  <c r="Z336" i="11"/>
  <c r="Z569" i="11"/>
  <c r="Z775" i="11"/>
  <c r="Z984" i="11"/>
  <c r="Z1248" i="11"/>
  <c r="Z1496" i="11"/>
  <c r="Z1804" i="11"/>
  <c r="Z2068" i="11"/>
  <c r="Z2329" i="11"/>
  <c r="Z2609" i="11"/>
  <c r="Z2940" i="11"/>
  <c r="Z3249" i="11"/>
  <c r="Z143" i="11"/>
  <c r="Z885" i="11"/>
  <c r="Z1529" i="11"/>
  <c r="Z2228" i="11"/>
  <c r="Z2961" i="11"/>
  <c r="Z3303" i="11"/>
  <c r="Z3458" i="11"/>
  <c r="Z130" i="11"/>
  <c r="Z507" i="11"/>
  <c r="Z861" i="11"/>
  <c r="Z1232" i="11"/>
  <c r="Z1597" i="11"/>
  <c r="Z1951" i="11"/>
  <c r="Z562" i="11"/>
  <c r="Z953" i="11"/>
  <c r="Z1415" i="11"/>
  <c r="Z1707" i="11"/>
  <c r="Z1971" i="11"/>
  <c r="Z2207" i="11"/>
  <c r="Z2439" i="11"/>
  <c r="Z2674" i="11"/>
  <c r="Z2936" i="11"/>
  <c r="Z3240" i="11"/>
  <c r="Z3514" i="11"/>
  <c r="Z172" i="11"/>
  <c r="Z369" i="11"/>
  <c r="Z563" i="11"/>
  <c r="Z757" i="11"/>
  <c r="Z954" i="11"/>
  <c r="Z1184" i="11"/>
  <c r="Z1448" i="11"/>
  <c r="Z1680" i="11"/>
  <c r="Z1915" i="11"/>
  <c r="Z2151" i="11"/>
  <c r="Z2383" i="11"/>
  <c r="Z2647" i="11"/>
  <c r="Z2904" i="11"/>
  <c r="Z3208" i="11"/>
  <c r="Z29" i="11"/>
  <c r="Z224" i="11"/>
  <c r="Z418" i="11"/>
  <c r="Z615" i="11"/>
  <c r="Z809" i="11"/>
  <c r="Z1010" i="11"/>
  <c r="Z1245" i="11"/>
  <c r="Z1477" i="11"/>
  <c r="Z1713" i="11"/>
  <c r="Z1945" i="11"/>
  <c r="Z2180" i="11"/>
  <c r="Z2416" i="11"/>
  <c r="Z2648" i="11"/>
  <c r="Z2905" i="11"/>
  <c r="Z3176" i="11"/>
  <c r="Z3450" i="11"/>
  <c r="Z167" i="11"/>
  <c r="Z361" i="11"/>
  <c r="Z605" i="11"/>
  <c r="Z788" i="11"/>
  <c r="Z1012" i="11"/>
  <c r="Z1276" i="11"/>
  <c r="Z1540" i="11"/>
  <c r="Z1833" i="11"/>
  <c r="Z2097" i="11"/>
  <c r="Z2361" i="11"/>
  <c r="Z2653" i="11"/>
  <c r="Z2993" i="11"/>
  <c r="Z3300" i="11"/>
  <c r="Z264" i="11"/>
  <c r="Z959" i="11"/>
  <c r="Z1631" i="11"/>
  <c r="Z2333" i="11"/>
  <c r="Z3047" i="11"/>
  <c r="Z3321" i="11"/>
  <c r="Z3473" i="11"/>
  <c r="Z178" i="11"/>
  <c r="Z544" i="11"/>
  <c r="Z909" i="11"/>
  <c r="Z1292" i="11"/>
  <c r="Z1629" i="11"/>
  <c r="Z2008" i="11"/>
  <c r="Z683" i="11"/>
  <c r="Z2000" i="11"/>
  <c r="Z2969" i="11"/>
  <c r="Z392" i="11"/>
  <c r="Z1212" i="11"/>
  <c r="Z2179" i="11"/>
  <c r="Z3244" i="11"/>
  <c r="Z637" i="11"/>
  <c r="Z1506" i="11"/>
  <c r="Z2444" i="11"/>
  <c r="Z3483" i="11"/>
  <c r="Z825" i="11"/>
  <c r="Z1877" i="11"/>
  <c r="Z3026" i="11"/>
  <c r="Z1704" i="11"/>
  <c r="Z3491" i="11"/>
  <c r="Z1349" i="11"/>
  <c r="Z2418" i="11"/>
  <c r="Z3183" i="11"/>
  <c r="Z154" i="11"/>
  <c r="Z556" i="11"/>
  <c r="Z874" i="11"/>
  <c r="Z1383" i="11"/>
  <c r="Z1895" i="11"/>
  <c r="Z2273" i="11"/>
  <c r="Z2756" i="11"/>
  <c r="Z3151" i="11"/>
  <c r="Z450" i="11"/>
  <c r="Z912" i="11"/>
  <c r="Z1063" i="11"/>
  <c r="Z1177" i="11"/>
  <c r="Z1311" i="11"/>
  <c r="Z1428" i="11"/>
  <c r="Z1543" i="11"/>
  <c r="Z1660" i="11"/>
  <c r="Z1794" i="11"/>
  <c r="Z1908" i="11"/>
  <c r="Z2026" i="11"/>
  <c r="Z2144" i="11"/>
  <c r="Z2261" i="11"/>
  <c r="Z2379" i="11"/>
  <c r="Z2493" i="11"/>
  <c r="Z2611" i="11"/>
  <c r="Z2729" i="11"/>
  <c r="Z2863" i="11"/>
  <c r="Z3000" i="11"/>
  <c r="Z3132" i="11"/>
  <c r="Z3271" i="11"/>
  <c r="Z3426" i="11"/>
  <c r="Z20" i="11"/>
  <c r="Z386" i="11"/>
  <c r="Z738" i="11"/>
  <c r="Z1159" i="11"/>
  <c r="Z1642" i="11"/>
  <c r="Z2081" i="11"/>
  <c r="Z2491" i="11"/>
  <c r="Z2907" i="11"/>
  <c r="Z3368" i="11"/>
  <c r="Z131" i="11"/>
  <c r="Z337" i="11"/>
  <c r="Z570" i="11"/>
  <c r="Z789" i="11"/>
  <c r="Z1001" i="11"/>
  <c r="Z1293" i="11"/>
  <c r="Z1570" i="11"/>
  <c r="Z1834" i="11"/>
  <c r="Z2114" i="11"/>
  <c r="Z2391" i="11"/>
  <c r="Z2667" i="11"/>
  <c r="Z2994" i="11"/>
  <c r="Z121" i="11"/>
  <c r="Z242" i="11"/>
  <c r="Z388" i="11"/>
  <c r="Z523" i="11"/>
  <c r="Z656" i="11"/>
  <c r="Z802" i="11"/>
  <c r="Z1018" i="11"/>
  <c r="Z72" i="11"/>
  <c r="Z170" i="11"/>
  <c r="Z268" i="11"/>
  <c r="Z364" i="11"/>
  <c r="Z463" i="11"/>
  <c r="Z561" i="11"/>
  <c r="Z657" i="11"/>
  <c r="Z755" i="11"/>
  <c r="Z853" i="11"/>
  <c r="Z949" i="11"/>
  <c r="Z1064" i="11"/>
  <c r="Z1181" i="11"/>
  <c r="Z1296" i="11"/>
  <c r="Z1413" i="11"/>
  <c r="Z1531" i="11"/>
  <c r="Z1649" i="11"/>
  <c r="Z1767" i="11"/>
  <c r="Z1881" i="11"/>
  <c r="Z1999" i="11"/>
  <c r="Z2116" i="11"/>
  <c r="Z2234" i="11"/>
  <c r="Z2352" i="11"/>
  <c r="Z2466" i="11"/>
  <c r="Z2584" i="11"/>
  <c r="Z2701" i="11"/>
  <c r="Z2831" i="11"/>
  <c r="Z2968" i="11"/>
  <c r="Z3100" i="11"/>
  <c r="Z3239" i="11"/>
  <c r="Z3376" i="11"/>
  <c r="Z3513" i="11"/>
  <c r="Z1160" i="11"/>
  <c r="Z1443" i="11"/>
  <c r="Z1672" i="11"/>
  <c r="Z1900" i="11"/>
  <c r="Z2129" i="11"/>
  <c r="Z2376" i="11"/>
  <c r="Z2604" i="11"/>
  <c r="Z2953" i="11"/>
  <c r="Z3251" i="11"/>
  <c r="Z986" i="11"/>
  <c r="Z1087" i="11"/>
  <c r="Z1187" i="11"/>
  <c r="Z1288" i="11"/>
  <c r="Z1388" i="11"/>
  <c r="Z1489" i="11"/>
  <c r="Z1589" i="11"/>
  <c r="Z1708" i="11"/>
  <c r="Z1827" i="11"/>
  <c r="Z1919" i="11"/>
  <c r="Z2028" i="11"/>
  <c r="Z2138" i="11"/>
  <c r="Z2248" i="11"/>
  <c r="Z2348" i="11"/>
  <c r="Z2449" i="11"/>
  <c r="Z2559" i="11"/>
  <c r="Z2659" i="11"/>
  <c r="Z2751" i="11"/>
  <c r="Z2857" i="11"/>
  <c r="Z2975" i="11"/>
  <c r="Z3091" i="11"/>
  <c r="Z3209" i="11"/>
  <c r="Z3327" i="11"/>
  <c r="Z3443" i="11"/>
  <c r="Z3551" i="11"/>
  <c r="Z292" i="11"/>
  <c r="Z466" i="11"/>
  <c r="Z685" i="11"/>
  <c r="Z877" i="11"/>
  <c r="Z1097" i="11"/>
  <c r="Z1188" i="11"/>
  <c r="Z1261" i="11"/>
  <c r="Z1344" i="11"/>
  <c r="Z1417" i="11"/>
  <c r="Z1490" i="11"/>
  <c r="Z1563" i="11"/>
  <c r="Z1645" i="11"/>
  <c r="Z1719" i="11"/>
  <c r="Z1792" i="11"/>
  <c r="Z1865" i="11"/>
  <c r="Z1938" i="11"/>
  <c r="Z2011" i="11"/>
  <c r="Z2084" i="11"/>
  <c r="Z2157" i="11"/>
  <c r="Z708" i="11"/>
  <c r="Z2032" i="11"/>
  <c r="Z3035" i="11"/>
  <c r="Z417" i="11"/>
  <c r="Z1241" i="11"/>
  <c r="Z2208" i="11"/>
  <c r="Z3279" i="11"/>
  <c r="Z663" i="11"/>
  <c r="Z1538" i="11"/>
  <c r="Z2473" i="11"/>
  <c r="Z3516" i="11"/>
  <c r="Z848" i="11"/>
  <c r="Z1906" i="11"/>
  <c r="Z3064" i="11"/>
  <c r="Z1789" i="11"/>
  <c r="Z3506" i="11"/>
  <c r="Z1410" i="11"/>
  <c r="Z2475" i="11"/>
  <c r="Z3234" i="11"/>
  <c r="Z179" i="11"/>
  <c r="Z581" i="11"/>
  <c r="Z1029" i="11"/>
  <c r="Z1411" i="11"/>
  <c r="Z1923" i="11"/>
  <c r="Z2301" i="11"/>
  <c r="Z2809" i="11"/>
  <c r="Z34" i="11"/>
  <c r="Z498" i="11"/>
  <c r="Z937" i="11"/>
  <c r="Z1075" i="11"/>
  <c r="Z1193" i="11"/>
  <c r="Z1323" i="11"/>
  <c r="Z1441" i="11"/>
  <c r="Z1559" i="11"/>
  <c r="Z1676" i="11"/>
  <c r="Z1807" i="11"/>
  <c r="Z1924" i="11"/>
  <c r="Z2042" i="11"/>
  <c r="Z2160" i="11"/>
  <c r="Z2274" i="11"/>
  <c r="Z2392" i="11"/>
  <c r="Z2509" i="11"/>
  <c r="Z2627" i="11"/>
  <c r="Z2745" i="11"/>
  <c r="Z2876" i="11"/>
  <c r="Z3015" i="11"/>
  <c r="Z3152" i="11"/>
  <c r="Z3289" i="11"/>
  <c r="Z3441" i="11"/>
  <c r="Z57" i="11"/>
  <c r="Z434" i="11"/>
  <c r="Z800" i="11"/>
  <c r="Z1203" i="11"/>
  <c r="Z1715" i="11"/>
  <c r="Z2125" i="11"/>
  <c r="Z2548" i="11"/>
  <c r="Z2960" i="11"/>
  <c r="Z3419" i="11"/>
  <c r="Z168" i="11"/>
  <c r="Z373" i="11"/>
  <c r="Z593" i="11"/>
  <c r="Z826" i="11"/>
  <c r="Z1045" i="11"/>
  <c r="Z1338" i="11"/>
  <c r="Z1602" i="11"/>
  <c r="Z1879" i="11"/>
  <c r="Z2155" i="11"/>
  <c r="Z2419" i="11"/>
  <c r="Z2699" i="11"/>
  <c r="Z3065" i="11"/>
  <c r="Z144" i="11"/>
  <c r="Z267" i="11"/>
  <c r="Z413" i="11"/>
  <c r="Z535" i="11"/>
  <c r="Z681" i="11"/>
  <c r="Z827" i="11"/>
  <c r="Z1237" i="11"/>
  <c r="Z85" i="11"/>
  <c r="Z181" i="11"/>
  <c r="Z280" i="11"/>
  <c r="Z378" i="11"/>
  <c r="Z474" i="11"/>
  <c r="Z572" i="11"/>
  <c r="Z671" i="11"/>
  <c r="Z767" i="11"/>
  <c r="Z865" i="11"/>
  <c r="Z963" i="11"/>
  <c r="Z1076" i="11"/>
  <c r="Z1194" i="11"/>
  <c r="Z1312" i="11"/>
  <c r="Z1429" i="11"/>
  <c r="Z1547" i="11"/>
  <c r="Z1661" i="11"/>
  <c r="Z1779" i="11"/>
  <c r="Z1897" i="11"/>
  <c r="Z2015" i="11"/>
  <c r="Z2132" i="11"/>
  <c r="Z2247" i="11"/>
  <c r="Z2364" i="11"/>
  <c r="Z2482" i="11"/>
  <c r="Z2600" i="11"/>
  <c r="Z2717" i="11"/>
  <c r="Z2844" i="11"/>
  <c r="Z2983" i="11"/>
  <c r="Z3120" i="11"/>
  <c r="Z3257" i="11"/>
  <c r="Z3394" i="11"/>
  <c r="Z3528" i="11"/>
  <c r="Z1196" i="11"/>
  <c r="Z1471" i="11"/>
  <c r="Z1690" i="11"/>
  <c r="Z1937" i="11"/>
  <c r="Z2165" i="11"/>
  <c r="Z2403" i="11"/>
  <c r="Z2650" i="11"/>
  <c r="Z2995" i="11"/>
  <c r="Z3295" i="11"/>
  <c r="Z995" i="11"/>
  <c r="Z1105" i="11"/>
  <c r="Z1205" i="11"/>
  <c r="Z1306" i="11"/>
  <c r="Z1397" i="11"/>
  <c r="Z1498" i="11"/>
  <c r="Z1608" i="11"/>
  <c r="Z1727" i="11"/>
  <c r="Z1836" i="11"/>
  <c r="Z1928" i="11"/>
  <c r="Z2037" i="11"/>
  <c r="Z2147" i="11"/>
  <c r="Z2266" i="11"/>
  <c r="Z2357" i="11"/>
  <c r="Z2467" i="11"/>
  <c r="Z2577" i="11"/>
  <c r="Z2668" i="11"/>
  <c r="Z2761" i="11"/>
  <c r="Z2879" i="11"/>
  <c r="Z2985" i="11"/>
  <c r="Z3103" i="11"/>
  <c r="Z3231" i="11"/>
  <c r="Z3337" i="11"/>
  <c r="Z3455" i="11"/>
  <c r="Z36" i="11"/>
  <c r="Z320" i="11"/>
  <c r="Z493" i="11"/>
  <c r="Z713" i="11"/>
  <c r="Z914" i="11"/>
  <c r="Z1106" i="11"/>
  <c r="Z1197" i="11"/>
  <c r="Z1271" i="11"/>
  <c r="Z1353" i="11"/>
  <c r="Z1426" i="11"/>
  <c r="Z1499" i="11"/>
  <c r="Z1572" i="11"/>
  <c r="Z1655" i="11"/>
  <c r="Z1728" i="11"/>
  <c r="Z1801" i="11"/>
  <c r="Z1874" i="11"/>
  <c r="Z1947" i="11"/>
  <c r="Z2020" i="11"/>
  <c r="Z2093" i="11"/>
  <c r="Z2167" i="11"/>
  <c r="Z1093" i="11"/>
  <c r="Z2235" i="11"/>
  <c r="Z3276" i="11"/>
  <c r="Z588" i="11"/>
  <c r="Z1476" i="11"/>
  <c r="Z2443" i="11"/>
  <c r="Z52" i="11"/>
  <c r="Z834" i="11"/>
  <c r="Z1741" i="11"/>
  <c r="Z2676" i="11"/>
  <c r="Z189" i="11"/>
  <c r="Z1057" i="11"/>
  <c r="Z2141" i="11"/>
  <c r="Z3353" i="11"/>
  <c r="Z2448" i="11"/>
  <c r="Z226" i="11"/>
  <c r="Z1671" i="11"/>
  <c r="Z2520" i="11"/>
  <c r="Z3267" i="11"/>
  <c r="Z300" i="11"/>
  <c r="Z607" i="11"/>
  <c r="Z1074" i="11"/>
  <c r="Z1456" i="11"/>
  <c r="Z1968" i="11"/>
  <c r="Z2435" i="11"/>
  <c r="Z2842" i="11"/>
  <c r="Z71" i="11"/>
  <c r="Z560" i="11"/>
  <c r="Z962" i="11"/>
  <c r="Z1091" i="11"/>
  <c r="Z1209" i="11"/>
  <c r="Z1339" i="11"/>
  <c r="Z1457" i="11"/>
  <c r="Z1575" i="11"/>
  <c r="Z1689" i="11"/>
  <c r="Z1823" i="11"/>
  <c r="Z1940" i="11"/>
  <c r="Z2055" i="11"/>
  <c r="Z2172" i="11"/>
  <c r="Z2290" i="11"/>
  <c r="Z2408" i="11"/>
  <c r="Z2525" i="11"/>
  <c r="Z2640" i="11"/>
  <c r="Z2759" i="11"/>
  <c r="Z2896" i="11"/>
  <c r="Z3033" i="11"/>
  <c r="Z3170" i="11"/>
  <c r="Z3304" i="11"/>
  <c r="Z3459" i="11"/>
  <c r="Z105" i="11"/>
  <c r="Z471" i="11"/>
  <c r="Z836" i="11"/>
  <c r="Z1264" i="11"/>
  <c r="Z1776" i="11"/>
  <c r="Z2183" i="11"/>
  <c r="Z2593" i="11"/>
  <c r="Z3011" i="11"/>
  <c r="Z3472" i="11"/>
  <c r="Z191" i="11"/>
  <c r="Z399" i="11"/>
  <c r="Z629" i="11"/>
  <c r="Z837" i="11"/>
  <c r="Z1090" i="11"/>
  <c r="Z1367" i="11"/>
  <c r="Z1643" i="11"/>
  <c r="Z1907" i="11"/>
  <c r="Z2187" i="11"/>
  <c r="Z2464" i="11"/>
  <c r="Z2740" i="11"/>
  <c r="Z3217" i="11"/>
  <c r="Z157" i="11"/>
  <c r="Z279" i="11"/>
  <c r="Z425" i="11"/>
  <c r="Z546" i="11"/>
  <c r="Z706" i="11"/>
  <c r="Z839" i="11"/>
  <c r="Z1749" i="11"/>
  <c r="Z97" i="11"/>
  <c r="Z195" i="11"/>
  <c r="Z291" i="11"/>
  <c r="Z389" i="11"/>
  <c r="Z488" i="11"/>
  <c r="Z584" i="11"/>
  <c r="Z682" i="11"/>
  <c r="Z780" i="11"/>
  <c r="Z876" i="11"/>
  <c r="Z976" i="11"/>
  <c r="Z1092" i="11"/>
  <c r="Z1210" i="11"/>
  <c r="Z1328" i="11"/>
  <c r="Z1442" i="11"/>
  <c r="Z1560" i="11"/>
  <c r="Z1677" i="11"/>
  <c r="Z1795" i="11"/>
  <c r="Z1913" i="11"/>
  <c r="Z2027" i="11"/>
  <c r="Z2145" i="11"/>
  <c r="Z2263" i="11"/>
  <c r="Z2380" i="11"/>
  <c r="Z2498" i="11"/>
  <c r="Z2612" i="11"/>
  <c r="Z2730" i="11"/>
  <c r="Z2864" i="11"/>
  <c r="Z3001" i="11"/>
  <c r="Z3138" i="11"/>
  <c r="Z3272" i="11"/>
  <c r="Z3409" i="11"/>
  <c r="Z3546" i="11"/>
  <c r="Z1224" i="11"/>
  <c r="Z1507" i="11"/>
  <c r="Z1717" i="11"/>
  <c r="Z1973" i="11"/>
  <c r="Z2184" i="11"/>
  <c r="Z2440" i="11"/>
  <c r="Z2687" i="11"/>
  <c r="Z3039" i="11"/>
  <c r="Z3347" i="11"/>
  <c r="Z1004" i="11"/>
  <c r="Z1114" i="11"/>
  <c r="Z1215" i="11"/>
  <c r="Z1315" i="11"/>
  <c r="Z1416" i="11"/>
  <c r="Z1516" i="11"/>
  <c r="Z1617" i="11"/>
  <c r="Z1736" i="11"/>
  <c r="Z1845" i="11"/>
  <c r="Z1946" i="11"/>
  <c r="Z2056" i="11"/>
  <c r="Z2156" i="11"/>
  <c r="Z2275" i="11"/>
  <c r="Z2367" i="11"/>
  <c r="Z2476" i="11"/>
  <c r="Z2586" i="11"/>
  <c r="Z2677" i="11"/>
  <c r="Z2783" i="11"/>
  <c r="Z2889" i="11"/>
  <c r="Z3007" i="11"/>
  <c r="Z3113" i="11"/>
  <c r="Z3241" i="11"/>
  <c r="Z3359" i="11"/>
  <c r="Z3465" i="11"/>
  <c r="Z64" i="11"/>
  <c r="Z338" i="11"/>
  <c r="Z521" i="11"/>
  <c r="Z731" i="11"/>
  <c r="Z951" i="11"/>
  <c r="Z1124" i="11"/>
  <c r="Z1207" i="11"/>
  <c r="Z1280" i="11"/>
  <c r="Z1362" i="11"/>
  <c r="Z1435" i="11"/>
  <c r="Z1508" i="11"/>
  <c r="Z1581" i="11"/>
  <c r="Z1664" i="11"/>
  <c r="Z1737" i="11"/>
  <c r="Z1810" i="11"/>
  <c r="Z1883" i="11"/>
  <c r="Z1956" i="11"/>
  <c r="Z2029" i="11"/>
  <c r="Z2103" i="11"/>
  <c r="Z2176" i="11"/>
  <c r="Z1122" i="11"/>
  <c r="Z2264" i="11"/>
  <c r="Z3311" i="11"/>
  <c r="Z611" i="11"/>
  <c r="Z1505" i="11"/>
  <c r="Z2472" i="11"/>
  <c r="Z77" i="11"/>
  <c r="Z857" i="11"/>
  <c r="Z1770" i="11"/>
  <c r="Z2708" i="11"/>
  <c r="Z215" i="11"/>
  <c r="Z1073" i="11"/>
  <c r="Z2170" i="11"/>
  <c r="Z3404" i="11"/>
  <c r="Z2537" i="11"/>
  <c r="Z276" i="11"/>
  <c r="Z1703" i="11"/>
  <c r="Z2711" i="11"/>
  <c r="Z3320" i="11"/>
  <c r="Z325" i="11"/>
  <c r="Z643" i="11"/>
  <c r="Z1103" i="11"/>
  <c r="Z1586" i="11"/>
  <c r="Z1996" i="11"/>
  <c r="Z2480" i="11"/>
  <c r="Z2875" i="11"/>
  <c r="Z96" i="11"/>
  <c r="Z692" i="11"/>
  <c r="Z975" i="11"/>
  <c r="Z1104" i="11"/>
  <c r="Z1221" i="11"/>
  <c r="Z1355" i="11"/>
  <c r="Z1469" i="11"/>
  <c r="Z1587" i="11"/>
  <c r="Z1705" i="11"/>
  <c r="Z1835" i="11"/>
  <c r="Z1953" i="11"/>
  <c r="Z2071" i="11"/>
  <c r="Z2188" i="11"/>
  <c r="Z2306" i="11"/>
  <c r="Z2420" i="11"/>
  <c r="Z2538" i="11"/>
  <c r="Z2656" i="11"/>
  <c r="Z2777" i="11"/>
  <c r="Z2914" i="11"/>
  <c r="Z3048" i="11"/>
  <c r="Z3185" i="11"/>
  <c r="Z3322" i="11"/>
  <c r="Z3474" i="11"/>
  <c r="Z153" i="11"/>
  <c r="Z519" i="11"/>
  <c r="Z884" i="11"/>
  <c r="Z1321" i="11"/>
  <c r="Z1817" i="11"/>
  <c r="Z2243" i="11"/>
  <c r="Z2637" i="11"/>
  <c r="Z3079" i="11"/>
  <c r="Z3505" i="11"/>
  <c r="Z216" i="11"/>
  <c r="Z424" i="11"/>
  <c r="Z655" i="11"/>
  <c r="Z863" i="11"/>
  <c r="Z1131" i="11"/>
  <c r="Z1395" i="11"/>
  <c r="Z1675" i="11"/>
  <c r="Z1936" i="11"/>
  <c r="Z2216" i="11"/>
  <c r="Z2492" i="11"/>
  <c r="Z2776" i="11"/>
  <c r="Z23" i="11"/>
  <c r="Z169" i="11"/>
  <c r="Z290" i="11"/>
  <c r="Z436" i="11"/>
  <c r="Z571" i="11"/>
  <c r="Z717" i="11"/>
  <c r="Z864" i="11"/>
  <c r="Z3340" i="11"/>
  <c r="Z108" i="11"/>
  <c r="Z207" i="11"/>
  <c r="Z305" i="11"/>
  <c r="Z401" i="11"/>
  <c r="Z499" i="11"/>
  <c r="Z597" i="11"/>
  <c r="Z693" i="11"/>
  <c r="Z792" i="11"/>
  <c r="Z1504" i="11"/>
  <c r="Z2471" i="11"/>
  <c r="Z3547" i="11"/>
  <c r="Z783" i="11"/>
  <c r="Z1712" i="11"/>
  <c r="Z2675" i="11"/>
  <c r="Z249" i="11"/>
  <c r="Z1039" i="11"/>
  <c r="Z1977" i="11"/>
  <c r="Z2938" i="11"/>
  <c r="Z397" i="11"/>
  <c r="Z1305" i="11"/>
  <c r="Z2402" i="11"/>
  <c r="Z351" i="11"/>
  <c r="Z3116" i="11"/>
  <c r="Z580" i="11"/>
  <c r="Z2052" i="11"/>
  <c r="Z2755" i="11"/>
  <c r="Z3386" i="11"/>
  <c r="Z362" i="11"/>
  <c r="Z753" i="11"/>
  <c r="Z1147" i="11"/>
  <c r="Z1615" i="11"/>
  <c r="Z2025" i="11"/>
  <c r="Z2508" i="11"/>
  <c r="Z3032" i="11"/>
  <c r="Z132" i="11"/>
  <c r="Z729" i="11"/>
  <c r="Z989" i="11"/>
  <c r="Z1120" i="11"/>
  <c r="Z1250" i="11"/>
  <c r="Z1368" i="11"/>
  <c r="Z1485" i="11"/>
  <c r="Z1603" i="11"/>
  <c r="Z1721" i="11"/>
  <c r="Z1851" i="11"/>
  <c r="Z1969" i="11"/>
  <c r="Z2087" i="11"/>
  <c r="Z2201" i="11"/>
  <c r="Z2319" i="11"/>
  <c r="Z2436" i="11"/>
  <c r="Z2554" i="11"/>
  <c r="Z2672" i="11"/>
  <c r="Z2792" i="11"/>
  <c r="Z2929" i="11"/>
  <c r="Z3066" i="11"/>
  <c r="Z3203" i="11"/>
  <c r="Z3355" i="11"/>
  <c r="Z3492" i="11"/>
  <c r="Z203" i="11"/>
  <c r="Z555" i="11"/>
  <c r="Z921" i="11"/>
  <c r="Z1378" i="11"/>
  <c r="Z1861" i="11"/>
  <c r="Z2300" i="11"/>
  <c r="Z2682" i="11"/>
  <c r="Z3148" i="11"/>
  <c r="Z21" i="11"/>
  <c r="Z227" i="11"/>
  <c r="Z460" i="11"/>
  <c r="Z680" i="11"/>
  <c r="Z899" i="11"/>
  <c r="Z1163" i="11"/>
  <c r="Z1440" i="11"/>
  <c r="Z1716" i="11"/>
  <c r="Z1980" i="11"/>
  <c r="Z2260" i="11"/>
  <c r="Z2521" i="11"/>
  <c r="Z2824" i="11"/>
  <c r="Z48" i="11"/>
  <c r="Z194" i="11"/>
  <c r="Z315" i="11"/>
  <c r="Z461" i="11"/>
  <c r="Z583" i="11"/>
  <c r="Z743" i="11"/>
  <c r="Z889" i="11"/>
  <c r="Z24" i="11"/>
  <c r="Z122" i="11"/>
  <c r="Z218" i="11"/>
  <c r="Z316" i="11"/>
  <c r="Z415" i="11"/>
  <c r="Z511" i="11"/>
  <c r="Z609" i="11"/>
  <c r="Z707" i="11"/>
  <c r="Z803" i="11"/>
  <c r="Z1532" i="11"/>
  <c r="Z2499" i="11"/>
  <c r="Z26" i="11"/>
  <c r="Z808" i="11"/>
  <c r="Z1740" i="11"/>
  <c r="Z2704" i="11"/>
  <c r="Z272" i="11"/>
  <c r="Z1067" i="11"/>
  <c r="Z2005" i="11"/>
  <c r="Z2971" i="11"/>
  <c r="Z423" i="11"/>
  <c r="Z1337" i="11"/>
  <c r="Z2434" i="11"/>
  <c r="Z447" i="11"/>
  <c r="Z3164" i="11"/>
  <c r="Z628" i="11"/>
  <c r="Z2109" i="11"/>
  <c r="Z2823" i="11"/>
  <c r="Z69" i="11"/>
  <c r="Z387" i="11"/>
  <c r="Z776" i="11"/>
  <c r="Z1176" i="11"/>
  <c r="Z1659" i="11"/>
  <c r="Z2171" i="11"/>
  <c r="Z2553" i="11"/>
  <c r="Z3080" i="11"/>
  <c r="Z180" i="11"/>
  <c r="Z765" i="11"/>
  <c r="Z1002" i="11"/>
  <c r="Z1136" i="11"/>
  <c r="Z1266" i="11"/>
  <c r="Z1384" i="11"/>
  <c r="Z1501" i="11"/>
  <c r="Z1616" i="11"/>
  <c r="Z1733" i="11"/>
  <c r="Z1867" i="11"/>
  <c r="Z1981" i="11"/>
  <c r="Z2099" i="11"/>
  <c r="Z2217" i="11"/>
  <c r="Z2335" i="11"/>
  <c r="Z2452" i="11"/>
  <c r="Z2567" i="11"/>
  <c r="Z2684" i="11"/>
  <c r="Z2810" i="11"/>
  <c r="Z2947" i="11"/>
  <c r="Z3084" i="11"/>
  <c r="Z3218" i="11"/>
  <c r="Z3375" i="11"/>
  <c r="Z3512" i="11"/>
  <c r="Z263" i="11"/>
  <c r="Z592" i="11"/>
  <c r="Z972" i="11"/>
  <c r="Z1439" i="11"/>
  <c r="Z1922" i="11"/>
  <c r="Z2345" i="11"/>
  <c r="Z2727" i="11"/>
  <c r="Z3216" i="11"/>
  <c r="Z58" i="11"/>
  <c r="Z252" i="11"/>
  <c r="Z483" i="11"/>
  <c r="Z716" i="11"/>
  <c r="Z922" i="11"/>
  <c r="Z1192" i="11"/>
  <c r="Z1468" i="11"/>
  <c r="Z1748" i="11"/>
  <c r="Z2009" i="11"/>
  <c r="Z2289" i="11"/>
  <c r="Z2565" i="11"/>
  <c r="Z2860" i="11"/>
  <c r="Z59" i="11"/>
  <c r="Z205" i="11"/>
  <c r="Z340" i="11"/>
  <c r="Z473" i="11"/>
  <c r="Z608" i="11"/>
  <c r="Z754" i="11"/>
  <c r="Z900" i="11"/>
  <c r="Z35" i="11"/>
  <c r="Z133" i="11"/>
  <c r="Z232" i="11"/>
  <c r="Z328" i="11"/>
  <c r="Z426" i="11"/>
  <c r="Z524" i="11"/>
  <c r="Z620" i="11"/>
  <c r="Z719" i="11"/>
  <c r="Z817" i="11"/>
  <c r="Z1739" i="11"/>
  <c r="Z2703" i="11"/>
  <c r="Z197" i="11"/>
  <c r="Z980" i="11"/>
  <c r="Z1944" i="11"/>
  <c r="Z2937" i="11"/>
  <c r="Z443" i="11"/>
  <c r="Z1274" i="11"/>
  <c r="Z2209" i="11"/>
  <c r="Z3212" i="11"/>
  <c r="Z617" i="11"/>
  <c r="Z1569" i="11"/>
  <c r="Z2695" i="11"/>
  <c r="Z1017" i="11"/>
  <c r="Z3336" i="11"/>
  <c r="Z957" i="11"/>
  <c r="Z2316" i="11"/>
  <c r="Z2874" i="11"/>
  <c r="Z95" i="11"/>
  <c r="Z410" i="11"/>
  <c r="Z812" i="11"/>
  <c r="Z1322" i="11"/>
  <c r="Z1688" i="11"/>
  <c r="Z2200" i="11"/>
  <c r="Z2581" i="11"/>
  <c r="Z3098" i="11"/>
  <c r="Z363" i="11"/>
  <c r="Z816" i="11"/>
  <c r="Z1031" i="11"/>
  <c r="Z1148" i="11"/>
  <c r="Z1282" i="11"/>
  <c r="Z1396" i="11"/>
  <c r="Z1514" i="11"/>
  <c r="Z1632" i="11"/>
  <c r="Z1762" i="11"/>
  <c r="Z1880" i="11"/>
  <c r="Z1997" i="11"/>
  <c r="Z2115" i="11"/>
  <c r="Z2233" i="11"/>
  <c r="Z2347" i="11"/>
  <c r="Z2465" i="11"/>
  <c r="Z2583" i="11"/>
  <c r="Z1768" i="11"/>
  <c r="Z2731" i="11"/>
  <c r="Z223" i="11"/>
  <c r="Z1009" i="11"/>
  <c r="Z1972" i="11"/>
  <c r="Z2970" i="11"/>
  <c r="Z468" i="11"/>
  <c r="Z1303" i="11"/>
  <c r="Z2237" i="11"/>
  <c r="Z3247" i="11"/>
  <c r="Z653" i="11"/>
  <c r="Z1613" i="11"/>
  <c r="Z2739" i="11"/>
  <c r="Z1058" i="11"/>
  <c r="Z3354" i="11"/>
  <c r="Z1000" i="11"/>
  <c r="Z2373" i="11"/>
  <c r="Z2927" i="11"/>
  <c r="Z117" i="11"/>
  <c r="Z520" i="11"/>
  <c r="Z849" i="11"/>
  <c r="Z1351" i="11"/>
  <c r="Z1732" i="11"/>
  <c r="Z2244" i="11"/>
  <c r="Z2728" i="11"/>
  <c r="Z3131" i="11"/>
  <c r="Z400" i="11"/>
  <c r="Z852" i="11"/>
  <c r="Z1047" i="11"/>
  <c r="Z1164" i="11"/>
  <c r="Z1295" i="11"/>
  <c r="Z1412" i="11"/>
  <c r="Z1530" i="11"/>
  <c r="Z1648" i="11"/>
  <c r="Z2599" i="11"/>
  <c r="Z3119" i="11"/>
  <c r="Z349" i="11"/>
  <c r="Z2036" i="11"/>
  <c r="Z106" i="11"/>
  <c r="Z973" i="11"/>
  <c r="Z2082" i="11"/>
  <c r="Z107" i="11"/>
  <c r="Z644" i="11"/>
  <c r="Z159" i="11"/>
  <c r="Z547" i="11"/>
  <c r="Z901" i="11"/>
  <c r="Z1048" i="11"/>
  <c r="Z1255" i="11"/>
  <c r="Z1458" i="11"/>
  <c r="Z1620" i="11"/>
  <c r="Z1824" i="11"/>
  <c r="Z1986" i="11"/>
  <c r="Z2189" i="11"/>
  <c r="Z2393" i="11"/>
  <c r="Z2555" i="11"/>
  <c r="Z2760" i="11"/>
  <c r="Z2948" i="11"/>
  <c r="Z3186" i="11"/>
  <c r="Z3427" i="11"/>
  <c r="Z1096" i="11"/>
  <c r="Z1562" i="11"/>
  <c r="Z1873" i="11"/>
  <c r="Z2257" i="11"/>
  <c r="Z2732" i="11"/>
  <c r="Z3177" i="11"/>
  <c r="Z1032" i="11"/>
  <c r="Z1178" i="11"/>
  <c r="Z1352" i="11"/>
  <c r="Z1535" i="11"/>
  <c r="Z1681" i="11"/>
  <c r="Z1864" i="11"/>
  <c r="Z2010" i="11"/>
  <c r="Z2211" i="11"/>
  <c r="Z2385" i="11"/>
  <c r="Z2540" i="11"/>
  <c r="Z2705" i="11"/>
  <c r="Z2847" i="11"/>
  <c r="Z3049" i="11"/>
  <c r="Z3263" i="11"/>
  <c r="Z3411" i="11"/>
  <c r="Z100" i="11"/>
  <c r="Z448" i="11"/>
  <c r="Z795" i="11"/>
  <c r="Z1133" i="11"/>
  <c r="Z1243" i="11"/>
  <c r="Z1380" i="11"/>
  <c r="Z1481" i="11"/>
  <c r="Z1609" i="11"/>
  <c r="Z1746" i="11"/>
  <c r="Z1847" i="11"/>
  <c r="Z1975" i="11"/>
  <c r="Z2075" i="11"/>
  <c r="Z2203" i="11"/>
  <c r="Z2276" i="11"/>
  <c r="Z2359" i="11"/>
  <c r="Z2432" i="11"/>
  <c r="Z2505" i="11"/>
  <c r="Z2578" i="11"/>
  <c r="Z2651" i="11"/>
  <c r="Z2724" i="11"/>
  <c r="Z2804" i="11"/>
  <c r="Z2890" i="11"/>
  <c r="Z2976" i="11"/>
  <c r="Z3060" i="11"/>
  <c r="Z3146" i="11"/>
  <c r="Z3232" i="11"/>
  <c r="Z3316" i="11"/>
  <c r="Z3402" i="11"/>
  <c r="Z3488" i="11"/>
  <c r="Z45" i="11"/>
  <c r="Z155" i="11"/>
  <c r="Z247" i="11"/>
  <c r="Z347" i="11"/>
  <c r="Z475" i="11"/>
  <c r="Z576" i="11"/>
  <c r="Z695" i="11"/>
  <c r="Z813" i="11"/>
  <c r="Z923" i="11"/>
  <c r="Z1024" i="11"/>
  <c r="Z1618" i="11"/>
  <c r="Z74" i="11"/>
  <c r="Z147" i="11"/>
  <c r="Z220" i="11"/>
  <c r="Z293" i="11"/>
  <c r="Z367" i="11"/>
  <c r="Z440" i="11"/>
  <c r="Z513" i="11"/>
  <c r="Z586" i="11"/>
  <c r="Z659" i="11"/>
  <c r="Z732" i="11"/>
  <c r="Z805" i="11"/>
  <c r="Z879" i="11"/>
  <c r="Z952" i="11"/>
  <c r="Z1025" i="11"/>
  <c r="Z1098" i="11"/>
  <c r="Z1171" i="11"/>
  <c r="Z1244" i="11"/>
  <c r="Z1317" i="11"/>
  <c r="Z1391" i="11"/>
  <c r="Z1464" i="11"/>
  <c r="Z1537" i="11"/>
  <c r="Z1610" i="11"/>
  <c r="Z1683" i="11"/>
  <c r="Z1756" i="11"/>
  <c r="Z1829" i="11"/>
  <c r="Z1903" i="11"/>
  <c r="Z1976" i="11"/>
  <c r="Z2049" i="11"/>
  <c r="Z2122" i="11"/>
  <c r="Z2195" i="11"/>
  <c r="Z2268" i="11"/>
  <c r="Z2341" i="11"/>
  <c r="Z2415" i="11"/>
  <c r="Z2488" i="11"/>
  <c r="Z2561" i="11"/>
  <c r="Z2634" i="11"/>
  <c r="Z2707" i="11"/>
  <c r="Z2785" i="11"/>
  <c r="Z2871" i="11"/>
  <c r="Z2955" i="11"/>
  <c r="Z3041" i="11"/>
  <c r="Z3127" i="11"/>
  <c r="Z3211" i="11"/>
  <c r="Z3297" i="11"/>
  <c r="Z3383" i="11"/>
  <c r="Z3467" i="11"/>
  <c r="Z2757" i="11"/>
  <c r="Z2821" i="11"/>
  <c r="Z2885" i="11"/>
  <c r="Z2949" i="11"/>
  <c r="Z3013" i="11"/>
  <c r="Z3077" i="11"/>
  <c r="Z3141" i="11"/>
  <c r="Z3205" i="11"/>
  <c r="Z3269" i="11"/>
  <c r="Z3333" i="11"/>
  <c r="Z3397" i="11"/>
  <c r="Z3461" i="11"/>
  <c r="Z3525" i="11"/>
  <c r="Z54" i="11"/>
  <c r="Z118" i="11"/>
  <c r="Z182" i="11"/>
  <c r="Z246" i="11"/>
  <c r="Z310" i="11"/>
  <c r="Z374" i="11"/>
  <c r="Z438" i="11"/>
  <c r="Z502" i="11"/>
  <c r="Z566" i="11"/>
  <c r="Z630" i="11"/>
  <c r="Z694" i="11"/>
  <c r="Z758" i="11"/>
  <c r="Z822" i="11"/>
  <c r="Z886" i="11"/>
  <c r="Z950" i="11"/>
  <c r="Z1014" i="11"/>
  <c r="Z1078" i="11"/>
  <c r="Z1142" i="11"/>
  <c r="Z1206" i="11"/>
  <c r="Z1270" i="11"/>
  <c r="Z1334" i="11"/>
  <c r="Z1398" i="11"/>
  <c r="Z1462" i="11"/>
  <c r="Z1526" i="11"/>
  <c r="Z1778" i="11"/>
  <c r="Z2700" i="11"/>
  <c r="Z3236" i="11"/>
  <c r="Z642" i="11"/>
  <c r="Z2389" i="11"/>
  <c r="Z289" i="11"/>
  <c r="Z1236" i="11"/>
  <c r="Z2317" i="11"/>
  <c r="Z217" i="11"/>
  <c r="Z779" i="11"/>
  <c r="Z243" i="11"/>
  <c r="Z634" i="11"/>
  <c r="Z913" i="11"/>
  <c r="Z1108" i="11"/>
  <c r="Z1267" i="11"/>
  <c r="Z1474" i="11"/>
  <c r="Z1633" i="11"/>
  <c r="Z1840" i="11"/>
  <c r="Z2043" i="11"/>
  <c r="Z2205" i="11"/>
  <c r="Z2409" i="11"/>
  <c r="Z2571" i="11"/>
  <c r="Z2778" i="11"/>
  <c r="Z3016" i="11"/>
  <c r="Z3204" i="11"/>
  <c r="Z3442" i="11"/>
  <c r="Z1123" i="11"/>
  <c r="Z1599" i="11"/>
  <c r="Z1992" i="11"/>
  <c r="Z2303" i="11"/>
  <c r="Z2771" i="11"/>
  <c r="Z3219" i="11"/>
  <c r="Z1050" i="11"/>
  <c r="Z1233" i="11"/>
  <c r="Z1361" i="11"/>
  <c r="Z1544" i="11"/>
  <c r="Z1699" i="11"/>
  <c r="Z1882" i="11"/>
  <c r="Z2065" i="11"/>
  <c r="Z2220" i="11"/>
  <c r="Z2394" i="11"/>
  <c r="Z2549" i="11"/>
  <c r="Z2714" i="11"/>
  <c r="Z2899" i="11"/>
  <c r="Z3059" i="11"/>
  <c r="Z3273" i="11"/>
  <c r="Z3423" i="11"/>
  <c r="Z137" i="11"/>
  <c r="Z557" i="11"/>
  <c r="Z823" i="11"/>
  <c r="Z1143" i="11"/>
  <c r="Z1252" i="11"/>
  <c r="Z1389" i="11"/>
  <c r="Z1517" i="11"/>
  <c r="Z1627" i="11"/>
  <c r="Z1755" i="11"/>
  <c r="Z1856" i="11"/>
  <c r="Z1984" i="11"/>
  <c r="Z2112" i="11"/>
  <c r="Z2212" i="11"/>
  <c r="Z2285" i="11"/>
  <c r="Z2368" i="11"/>
  <c r="Z2441" i="11"/>
  <c r="Z2514" i="11"/>
  <c r="Z2587" i="11"/>
  <c r="Z2660" i="11"/>
  <c r="Z2733" i="11"/>
  <c r="Z2816" i="11"/>
  <c r="Z2900" i="11"/>
  <c r="Z2986" i="11"/>
  <c r="Z3072" i="11"/>
  <c r="Z3156" i="11"/>
  <c r="Z3242" i="11"/>
  <c r="Z3328" i="11"/>
  <c r="Z3412" i="11"/>
  <c r="Z3498" i="11"/>
  <c r="Z55" i="11"/>
  <c r="Z164" i="11"/>
  <c r="Z256" i="11"/>
  <c r="Z356" i="11"/>
  <c r="Z484" i="11"/>
  <c r="Z594" i="11"/>
  <c r="Z704" i="11"/>
  <c r="Z832" i="11"/>
  <c r="Z932" i="11"/>
  <c r="Z1042" i="11"/>
  <c r="Z2331" i="11"/>
  <c r="Z83" i="11"/>
  <c r="Z156" i="11"/>
  <c r="Z229" i="11"/>
  <c r="Z303" i="11"/>
  <c r="Z376" i="11"/>
  <c r="Z449" i="11"/>
  <c r="Z522" i="11"/>
  <c r="Z595" i="11"/>
  <c r="Z668" i="11"/>
  <c r="Z741" i="11"/>
  <c r="Z815" i="11"/>
  <c r="Z888" i="11"/>
  <c r="Z961" i="11"/>
  <c r="Z1034" i="11"/>
  <c r="Z1107" i="11"/>
  <c r="Z1180" i="11"/>
  <c r="Z1253" i="11"/>
  <c r="Z1327" i="11"/>
  <c r="Z1400" i="11"/>
  <c r="Z1473" i="11"/>
  <c r="Z1546" i="11"/>
  <c r="Z1619" i="11"/>
  <c r="Z1692" i="11"/>
  <c r="Z1765" i="11"/>
  <c r="Z1839" i="11"/>
  <c r="Z1912" i="11"/>
  <c r="Z1985" i="11"/>
  <c r="Z2058" i="11"/>
  <c r="Z2131" i="11"/>
  <c r="Z2204" i="11"/>
  <c r="Z2277" i="11"/>
  <c r="Z2351" i="11"/>
  <c r="Z2424" i="11"/>
  <c r="Z2497" i="11"/>
  <c r="Z2570" i="11"/>
  <c r="Z2643" i="11"/>
  <c r="Z2716" i="11"/>
  <c r="Z2795" i="11"/>
  <c r="Z2881" i="11"/>
  <c r="Z2967" i="11"/>
  <c r="Z3051" i="11"/>
  <c r="Z3137" i="11"/>
  <c r="Z3223" i="11"/>
  <c r="Z3307" i="11"/>
  <c r="Z3393" i="11"/>
  <c r="Z3479" i="11"/>
  <c r="Z2765" i="11"/>
  <c r="Z2829" i="11"/>
  <c r="Z2893" i="11"/>
  <c r="Z2957" i="11"/>
  <c r="Z3021" i="11"/>
  <c r="Z3085" i="11"/>
  <c r="Z3149" i="11"/>
  <c r="Z3213" i="11"/>
  <c r="Z3277" i="11"/>
  <c r="Z3341" i="11"/>
  <c r="Z3405" i="11"/>
  <c r="Z3469" i="11"/>
  <c r="Z3533" i="11"/>
  <c r="Z62" i="11"/>
  <c r="Z126" i="11"/>
  <c r="Z190" i="11"/>
  <c r="Z254" i="11"/>
  <c r="Z318" i="11"/>
  <c r="Z382" i="11"/>
  <c r="Z446" i="11"/>
  <c r="Z510" i="11"/>
  <c r="Z574" i="11"/>
  <c r="Z638" i="11"/>
  <c r="Z702" i="11"/>
  <c r="Z766" i="11"/>
  <c r="Z830" i="11"/>
  <c r="Z894" i="11"/>
  <c r="Z958" i="11"/>
  <c r="Z1022" i="11"/>
  <c r="Z1086" i="11"/>
  <c r="Z1150" i="11"/>
  <c r="Z1214" i="11"/>
  <c r="Z1278" i="11"/>
  <c r="Z1342" i="11"/>
  <c r="Z1406" i="11"/>
  <c r="Z1470" i="11"/>
  <c r="Z1534" i="11"/>
  <c r="Z1896" i="11"/>
  <c r="Z2713" i="11"/>
  <c r="Z3256" i="11"/>
  <c r="Z690" i="11"/>
  <c r="Z2447" i="11"/>
  <c r="Z314" i="11"/>
  <c r="Z1265" i="11"/>
  <c r="Z2362" i="11"/>
  <c r="Z231" i="11"/>
  <c r="Z791" i="11"/>
  <c r="Z255" i="11"/>
  <c r="Z645" i="11"/>
  <c r="Z927" i="11"/>
  <c r="Z1121" i="11"/>
  <c r="Z1283" i="11"/>
  <c r="Z1487" i="11"/>
  <c r="Z1693" i="11"/>
  <c r="Z1852" i="11"/>
  <c r="Z2059" i="11"/>
  <c r="Z2218" i="11"/>
  <c r="Z2425" i="11"/>
  <c r="Z2628" i="11"/>
  <c r="Z2796" i="11"/>
  <c r="Z3034" i="11"/>
  <c r="Z3224" i="11"/>
  <c r="Z3460" i="11"/>
  <c r="Z1260" i="11"/>
  <c r="Z1635" i="11"/>
  <c r="Z2019" i="11"/>
  <c r="Z2339" i="11"/>
  <c r="Z2815" i="11"/>
  <c r="Z3401" i="11"/>
  <c r="Z1059" i="11"/>
  <c r="Z1242" i="11"/>
  <c r="Z1379" i="11"/>
  <c r="Z1553" i="11"/>
  <c r="Z1754" i="11"/>
  <c r="Z1891" i="11"/>
  <c r="Z2074" i="11"/>
  <c r="Z2239" i="11"/>
  <c r="Z2412" i="11"/>
  <c r="Z2595" i="11"/>
  <c r="Z2723" i="11"/>
  <c r="Z2921" i="11"/>
  <c r="Z3071" i="11"/>
  <c r="Z3283" i="11"/>
  <c r="Z3487" i="11"/>
  <c r="Z173" i="11"/>
  <c r="Z585" i="11"/>
  <c r="Z850" i="11"/>
  <c r="Z1152" i="11"/>
  <c r="Z1289" i="11"/>
  <c r="Z1399" i="11"/>
  <c r="Z1527" i="11"/>
  <c r="Z1636" i="11"/>
  <c r="Z1764" i="11"/>
  <c r="Z1892" i="11"/>
  <c r="Z1993" i="11"/>
  <c r="Z2121" i="11"/>
  <c r="Z2221" i="11"/>
  <c r="Z2295" i="11"/>
  <c r="Z2377" i="11"/>
  <c r="Z2450" i="11"/>
  <c r="Z2523" i="11"/>
  <c r="Z2596" i="11"/>
  <c r="Z2669" i="11"/>
  <c r="Z2743" i="11"/>
  <c r="Z2826" i="11"/>
  <c r="Z2912" i="11"/>
  <c r="Z2996" i="11"/>
  <c r="Z3082" i="11"/>
  <c r="Z3168" i="11"/>
  <c r="Z3252" i="11"/>
  <c r="Z3338" i="11"/>
  <c r="Z3424" i="11"/>
  <c r="Z3508" i="11"/>
  <c r="Z73" i="11"/>
  <c r="Z183" i="11"/>
  <c r="Z265" i="11"/>
  <c r="Z375" i="11"/>
  <c r="Z503" i="11"/>
  <c r="Z612" i="11"/>
  <c r="Z722" i="11"/>
  <c r="Z841" i="11"/>
  <c r="Z941" i="11"/>
  <c r="Z1051" i="11"/>
  <c r="Z19" i="11"/>
  <c r="Z92" i="11"/>
  <c r="Z165" i="11"/>
  <c r="Z239" i="11"/>
  <c r="Z312" i="11"/>
  <c r="Z385" i="11"/>
  <c r="Z458" i="11"/>
  <c r="Z531" i="11"/>
  <c r="Z604" i="11"/>
  <c r="Z677" i="11"/>
  <c r="Z751" i="11"/>
  <c r="Z824" i="11"/>
  <c r="Z897" i="11"/>
  <c r="Z970" i="11"/>
  <c r="Z1043" i="11"/>
  <c r="Z1116" i="11"/>
  <c r="Z1189" i="11"/>
  <c r="Z1263" i="11"/>
  <c r="Z1336" i="11"/>
  <c r="Z1409" i="11"/>
  <c r="Z1482" i="11"/>
  <c r="Z1555" i="11"/>
  <c r="Z1628" i="11"/>
  <c r="Z1701" i="11"/>
  <c r="Z1775" i="11"/>
  <c r="Z1848" i="11"/>
  <c r="Z1921" i="11"/>
  <c r="Z1994" i="11"/>
  <c r="Z2067" i="11"/>
  <c r="Z2140" i="11"/>
  <c r="Z2213" i="11"/>
  <c r="Z2287" i="11"/>
  <c r="Z2360" i="11"/>
  <c r="Z2433" i="11"/>
  <c r="Z2506" i="11"/>
  <c r="Z2579" i="11"/>
  <c r="Z2652" i="11"/>
  <c r="Z2725" i="11"/>
  <c r="Z2807" i="11"/>
  <c r="Z2891" i="11"/>
  <c r="Z2977" i="11"/>
  <c r="Z3063" i="11"/>
  <c r="Z3147" i="11"/>
  <c r="Z3233" i="11"/>
  <c r="Z3319" i="11"/>
  <c r="Z3403" i="11"/>
  <c r="Z3489" i="11"/>
  <c r="Z2773" i="11"/>
  <c r="Z2837" i="11"/>
  <c r="Z2901" i="11"/>
  <c r="Z2965" i="11"/>
  <c r="Z3029" i="11"/>
  <c r="Z3093" i="11"/>
  <c r="Z3157" i="11"/>
  <c r="Z3221" i="11"/>
  <c r="Z3285" i="11"/>
  <c r="Z3349" i="11"/>
  <c r="Z3413" i="11"/>
  <c r="Z3477" i="11"/>
  <c r="Z3541" i="11"/>
  <c r="Z70" i="11"/>
  <c r="Z134" i="11"/>
  <c r="Z198" i="11"/>
  <c r="Z262" i="11"/>
  <c r="Z326" i="11"/>
  <c r="Z390" i="11"/>
  <c r="Z454" i="11"/>
  <c r="Z518" i="11"/>
  <c r="Z582" i="11"/>
  <c r="Z646" i="11"/>
  <c r="Z710" i="11"/>
  <c r="Z774" i="11"/>
  <c r="Z838" i="11"/>
  <c r="Z902" i="11"/>
  <c r="Z966" i="11"/>
  <c r="Z1030" i="11"/>
  <c r="Z1094" i="11"/>
  <c r="Z1158" i="11"/>
  <c r="Z1222" i="11"/>
  <c r="Z1286" i="11"/>
  <c r="Z1350" i="11"/>
  <c r="Z1414" i="11"/>
  <c r="Z1478" i="11"/>
  <c r="Z1542" i="11"/>
  <c r="Z2013" i="11"/>
  <c r="Z2828" i="11"/>
  <c r="Z3388" i="11"/>
  <c r="Z1028" i="11"/>
  <c r="Z2788" i="11"/>
  <c r="Z508" i="11"/>
  <c r="Z1497" i="11"/>
  <c r="Z2594" i="11"/>
  <c r="Z352" i="11"/>
  <c r="Z925" i="11"/>
  <c r="Z341" i="11"/>
  <c r="Z730" i="11"/>
  <c r="Z938" i="11"/>
  <c r="Z1137" i="11"/>
  <c r="Z1340" i="11"/>
  <c r="Z1503" i="11"/>
  <c r="Z1706" i="11"/>
  <c r="Z1868" i="11"/>
  <c r="Z2072" i="11"/>
  <c r="Z2279" i="11"/>
  <c r="Z2437" i="11"/>
  <c r="Z2644" i="11"/>
  <c r="Z2811" i="11"/>
  <c r="Z3052" i="11"/>
  <c r="Z3290" i="11"/>
  <c r="Z3480" i="11"/>
  <c r="Z1297" i="11"/>
  <c r="Z1653" i="11"/>
  <c r="Z2047" i="11"/>
  <c r="Z2458" i="11"/>
  <c r="Z2867" i="11"/>
  <c r="Z3433" i="11"/>
  <c r="Z1077" i="11"/>
  <c r="Z1251" i="11"/>
  <c r="Z1425" i="11"/>
  <c r="Z1571" i="11"/>
  <c r="Z1772" i="11"/>
  <c r="Z1909" i="11"/>
  <c r="Z2092" i="11"/>
  <c r="Z2284" i="11"/>
  <c r="Z2421" i="11"/>
  <c r="Z2613" i="11"/>
  <c r="Z2741" i="11"/>
  <c r="Z2931" i="11"/>
  <c r="Z3135" i="11"/>
  <c r="Z2128" i="11"/>
  <c r="Z2843" i="11"/>
  <c r="Z3408" i="11"/>
  <c r="Z1101" i="11"/>
  <c r="Z2856" i="11"/>
  <c r="Z533" i="11"/>
  <c r="Z1541" i="11"/>
  <c r="Z2639" i="11"/>
  <c r="Z377" i="11"/>
  <c r="Z948" i="11"/>
  <c r="Z353" i="11"/>
  <c r="Z744" i="11"/>
  <c r="Z991" i="11"/>
  <c r="Z1149" i="11"/>
  <c r="Z1356" i="11"/>
  <c r="Z1515" i="11"/>
  <c r="Z1722" i="11"/>
  <c r="Z1925" i="11"/>
  <c r="Z2088" i="11"/>
  <c r="Z2291" i="11"/>
  <c r="Z2453" i="11"/>
  <c r="Z2657" i="11"/>
  <c r="Z2882" i="11"/>
  <c r="Z3067" i="11"/>
  <c r="Z3308" i="11"/>
  <c r="Z3495" i="11"/>
  <c r="Z1333" i="11"/>
  <c r="Z1745" i="11"/>
  <c r="Z2083" i="11"/>
  <c r="Z2495" i="11"/>
  <c r="Z2911" i="11"/>
  <c r="Z3475" i="11"/>
  <c r="Z1132" i="11"/>
  <c r="Z1269" i="11"/>
  <c r="Z1434" i="11"/>
  <c r="Z1580" i="11"/>
  <c r="Z1791" i="11"/>
  <c r="Z1955" i="11"/>
  <c r="Z2111" i="11"/>
  <c r="Z2293" i="11"/>
  <c r="Z2431" i="11"/>
  <c r="Z2623" i="11"/>
  <c r="Z2793" i="11"/>
  <c r="Z2943" i="11"/>
  <c r="Z3145" i="11"/>
  <c r="Z2245" i="11"/>
  <c r="Z2962" i="11"/>
  <c r="Z3527" i="11"/>
  <c r="Z1512" i="11"/>
  <c r="Z3282" i="11"/>
  <c r="Z739" i="11"/>
  <c r="Z1777" i="11"/>
  <c r="Z2908" i="11"/>
  <c r="Z487" i="11"/>
  <c r="Z49" i="11"/>
  <c r="Z437" i="11"/>
  <c r="Z828" i="11"/>
  <c r="Z1003" i="11"/>
  <c r="Z1165" i="11"/>
  <c r="Z1369" i="11"/>
  <c r="Z1576" i="11"/>
  <c r="Z1735" i="11"/>
  <c r="Z1941" i="11"/>
  <c r="Z2100" i="11"/>
  <c r="Z2307" i="11"/>
  <c r="Z2511" i="11"/>
  <c r="Z2673" i="11"/>
  <c r="Z2897" i="11"/>
  <c r="Z3087" i="11"/>
  <c r="Z3323" i="11"/>
  <c r="Z1013" i="11"/>
  <c r="Z1370" i="11"/>
  <c r="Z1763" i="11"/>
  <c r="Z2101" i="11"/>
  <c r="Z2513" i="11"/>
  <c r="Z3081" i="11"/>
  <c r="Z3519" i="11"/>
  <c r="Z1141" i="11"/>
  <c r="Z1279" i="11"/>
  <c r="Z1452" i="11"/>
  <c r="Z1626" i="11"/>
  <c r="Z1800" i="11"/>
  <c r="Z1964" i="11"/>
  <c r="Z2120" i="11"/>
  <c r="Z2312" i="11"/>
  <c r="Z2485" i="11"/>
  <c r="Z2632" i="11"/>
  <c r="Z2803" i="11"/>
  <c r="Z2963" i="11"/>
  <c r="Z3167" i="11"/>
  <c r="Z2363" i="11"/>
  <c r="Z3335" i="11"/>
  <c r="Z509" i="11"/>
  <c r="Z1019" i="11"/>
  <c r="Z1751" i="11"/>
  <c r="Z2527" i="11"/>
  <c r="Z3343" i="11"/>
  <c r="Z2202" i="11"/>
  <c r="Z1151" i="11"/>
  <c r="Z1809" i="11"/>
  <c r="Z2504" i="11"/>
  <c r="Z3187" i="11"/>
  <c r="Z3507" i="11"/>
  <c r="Z429" i="11"/>
  <c r="Z1033" i="11"/>
  <c r="Z1298" i="11"/>
  <c r="Z1463" i="11"/>
  <c r="Z1682" i="11"/>
  <c r="Z1837" i="11"/>
  <c r="Z2048" i="11"/>
  <c r="Z2231" i="11"/>
  <c r="Z2340" i="11"/>
  <c r="Z2468" i="11"/>
  <c r="Z2569" i="11"/>
  <c r="Z2697" i="11"/>
  <c r="Z2836" i="11"/>
  <c r="Z2954" i="11"/>
  <c r="Z3104" i="11"/>
  <c r="Z3220" i="11"/>
  <c r="Z3370" i="11"/>
  <c r="Z3520" i="11"/>
  <c r="Z128" i="11"/>
  <c r="Z283" i="11"/>
  <c r="Z457" i="11"/>
  <c r="Z649" i="11"/>
  <c r="Z859" i="11"/>
  <c r="Z996" i="11"/>
  <c r="Z37" i="11"/>
  <c r="Z138" i="11"/>
  <c r="Z266" i="11"/>
  <c r="Z394" i="11"/>
  <c r="Z495" i="11"/>
  <c r="Z623" i="11"/>
  <c r="Z723" i="11"/>
  <c r="Z851" i="11"/>
  <c r="Z979" i="11"/>
  <c r="Z1080" i="11"/>
  <c r="Z1208" i="11"/>
  <c r="Z1308" i="11"/>
  <c r="Z1436" i="11"/>
  <c r="Z1564" i="11"/>
  <c r="Z1665" i="11"/>
  <c r="Z1793" i="11"/>
  <c r="Z1893" i="11"/>
  <c r="Z2021" i="11"/>
  <c r="Z2149" i="11"/>
  <c r="Z2250" i="11"/>
  <c r="Z2378" i="11"/>
  <c r="Z2479" i="11"/>
  <c r="Z2607" i="11"/>
  <c r="Z2735" i="11"/>
  <c r="Z2849" i="11"/>
  <c r="Z2999" i="11"/>
  <c r="Z3115" i="11"/>
  <c r="Z3265" i="11"/>
  <c r="Z3415" i="11"/>
  <c r="Z3531" i="11"/>
  <c r="Z2853" i="11"/>
  <c r="Z2941" i="11"/>
  <c r="Z3053" i="11"/>
  <c r="Z3165" i="11"/>
  <c r="Z3253" i="11"/>
  <c r="Z3365" i="11"/>
  <c r="Z3453" i="11"/>
  <c r="Z30" i="11"/>
  <c r="Z142" i="11"/>
  <c r="Z230" i="11"/>
  <c r="Z342" i="11"/>
  <c r="Z430" i="11"/>
  <c r="Z542" i="11"/>
  <c r="Z654" i="11"/>
  <c r="Z742" i="11"/>
  <c r="Z854" i="11"/>
  <c r="Z942" i="11"/>
  <c r="Z1054" i="11"/>
  <c r="Z1166" i="11"/>
  <c r="Z1254" i="11"/>
  <c r="Z1366" i="11"/>
  <c r="Z1454" i="11"/>
  <c r="Z1566" i="11"/>
  <c r="Z1630" i="11"/>
  <c r="Z1694" i="11"/>
  <c r="Z1758" i="11"/>
  <c r="Z1822" i="11"/>
  <c r="Z1886" i="11"/>
  <c r="Z1950" i="11"/>
  <c r="Z2014" i="11"/>
  <c r="Z2078" i="11"/>
  <c r="Z2142" i="11"/>
  <c r="Z2206" i="11"/>
  <c r="Z2270" i="11"/>
  <c r="Z2334" i="11"/>
  <c r="Z2398" i="11"/>
  <c r="Z2462" i="11"/>
  <c r="Z2526" i="11"/>
  <c r="Z2590" i="11"/>
  <c r="Z2654" i="11"/>
  <c r="Z2718" i="11"/>
  <c r="Z2782" i="11"/>
  <c r="Z2846" i="11"/>
  <c r="Z2910" i="11"/>
  <c r="Z2974" i="11"/>
  <c r="Z3038" i="11"/>
  <c r="Z3102" i="11"/>
  <c r="Z3166" i="11"/>
  <c r="Z3230" i="11"/>
  <c r="Z3294" i="11"/>
  <c r="Z3358" i="11"/>
  <c r="Z3422" i="11"/>
  <c r="Z3486" i="11"/>
  <c r="Z3550" i="11"/>
  <c r="Z3284" i="11"/>
  <c r="Z539" i="11"/>
  <c r="Z65" i="11"/>
  <c r="Z549" i="11"/>
  <c r="Z906" i="11"/>
  <c r="Z1235" i="11"/>
  <c r="Z1592" i="11"/>
  <c r="Z2076" i="11"/>
  <c r="Z2913" i="11"/>
  <c r="Z3447" i="11"/>
  <c r="Z2989" i="11"/>
  <c r="Z3301" i="11"/>
  <c r="Z78" i="11"/>
  <c r="Z366" i="11"/>
  <c r="Z790" i="11"/>
  <c r="Z1102" i="11"/>
  <c r="Z1302" i="11"/>
  <c r="Z1654" i="11"/>
  <c r="Z1846" i="11"/>
  <c r="Z2038" i="11"/>
  <c r="Z2230" i="11"/>
  <c r="Z2422" i="11"/>
  <c r="Z2614" i="11"/>
  <c r="Z2806" i="11"/>
  <c r="Z3126" i="11"/>
  <c r="Z3382" i="11"/>
  <c r="Z687" i="11"/>
  <c r="Z1729" i="11"/>
  <c r="Z2442" i="11"/>
  <c r="Z2923" i="11"/>
  <c r="Z3457" i="11"/>
  <c r="Z2997" i="11"/>
  <c r="Z3309" i="11"/>
  <c r="Z174" i="11"/>
  <c r="Z598" i="11"/>
  <c r="Z910" i="11"/>
  <c r="Z1310" i="11"/>
  <c r="Z1510" i="11"/>
  <c r="Z1726" i="11"/>
  <c r="Z2481" i="11"/>
  <c r="Z81" i="11"/>
  <c r="Z619" i="11"/>
  <c r="Z1035" i="11"/>
  <c r="Z1808" i="11"/>
  <c r="Z2539" i="11"/>
  <c r="Z3356" i="11"/>
  <c r="Z2229" i="11"/>
  <c r="Z1169" i="11"/>
  <c r="Z1855" i="11"/>
  <c r="Z2522" i="11"/>
  <c r="Z3199" i="11"/>
  <c r="Z3529" i="11"/>
  <c r="Z603" i="11"/>
  <c r="Z1060" i="11"/>
  <c r="Z1316" i="11"/>
  <c r="Z1472" i="11"/>
  <c r="Z1691" i="11"/>
  <c r="Z1901" i="11"/>
  <c r="Z2057" i="11"/>
  <c r="Z2240" i="11"/>
  <c r="Z2349" i="11"/>
  <c r="Z2477" i="11"/>
  <c r="Z2605" i="11"/>
  <c r="Z2706" i="11"/>
  <c r="Z2848" i="11"/>
  <c r="Z2964" i="11"/>
  <c r="Z3114" i="11"/>
  <c r="Z3264" i="11"/>
  <c r="Z3380" i="11"/>
  <c r="Z3530" i="11"/>
  <c r="Z146" i="11"/>
  <c r="Z301" i="11"/>
  <c r="Z512" i="11"/>
  <c r="Z658" i="11"/>
  <c r="Z868" i="11"/>
  <c r="Z1005" i="11"/>
  <c r="Z47" i="11"/>
  <c r="Z175" i="11"/>
  <c r="Z275" i="11"/>
  <c r="Z403" i="11"/>
  <c r="Z504" i="11"/>
  <c r="Z632" i="11"/>
  <c r="Z760" i="11"/>
  <c r="Z860" i="11"/>
  <c r="Z988" i="11"/>
  <c r="Z1089" i="11"/>
  <c r="Z1217" i="11"/>
  <c r="Z1345" i="11"/>
  <c r="Z1445" i="11"/>
  <c r="Z1573" i="11"/>
  <c r="Z1674" i="11"/>
  <c r="Z1802" i="11"/>
  <c r="Z1930" i="11"/>
  <c r="Z2031" i="11"/>
  <c r="Z2159" i="11"/>
  <c r="Z2259" i="11"/>
  <c r="Z2387" i="11"/>
  <c r="Z2515" i="11"/>
  <c r="Z2616" i="11"/>
  <c r="Z2744" i="11"/>
  <c r="Z2859" i="11"/>
  <c r="Z3009" i="11"/>
  <c r="Z3159" i="11"/>
  <c r="Z3275" i="11"/>
  <c r="Z3425" i="11"/>
  <c r="Z3543" i="11"/>
  <c r="Z2861" i="11"/>
  <c r="Z2973" i="11"/>
  <c r="Z3061" i="11"/>
  <c r="Z3173" i="11"/>
  <c r="Z3261" i="11"/>
  <c r="Z3373" i="11"/>
  <c r="Z3485" i="11"/>
  <c r="Z38" i="11"/>
  <c r="Z150" i="11"/>
  <c r="Z238" i="11"/>
  <c r="Z350" i="11"/>
  <c r="Z462" i="11"/>
  <c r="Z550" i="11"/>
  <c r="Z662" i="11"/>
  <c r="Z750" i="11"/>
  <c r="Z862" i="11"/>
  <c r="Z974" i="11"/>
  <c r="Z1062" i="11"/>
  <c r="Z1174" i="11"/>
  <c r="Z1262" i="11"/>
  <c r="Z1374" i="11"/>
  <c r="Z1486" i="11"/>
  <c r="Z1574" i="11"/>
  <c r="Z1638" i="11"/>
  <c r="Z1702" i="11"/>
  <c r="Z1766" i="11"/>
  <c r="Z1830" i="11"/>
  <c r="Z1894" i="11"/>
  <c r="Z1958" i="11"/>
  <c r="Z2022" i="11"/>
  <c r="Z2086" i="11"/>
  <c r="Z2150" i="11"/>
  <c r="Z2214" i="11"/>
  <c r="Z2278" i="11"/>
  <c r="Z2342" i="11"/>
  <c r="Z2406" i="11"/>
  <c r="Z2470" i="11"/>
  <c r="Z2534" i="11"/>
  <c r="Z2598" i="11"/>
  <c r="Z2662" i="11"/>
  <c r="Z2726" i="11"/>
  <c r="Z2790" i="11"/>
  <c r="Z2854" i="11"/>
  <c r="Z2918" i="11"/>
  <c r="Z2982" i="11"/>
  <c r="Z3046" i="11"/>
  <c r="Z3110" i="11"/>
  <c r="Z3174" i="11"/>
  <c r="Z3238" i="11"/>
  <c r="Z3302" i="11"/>
  <c r="Z3366" i="11"/>
  <c r="Z3430" i="11"/>
  <c r="Z3494" i="11"/>
  <c r="Z3136" i="11"/>
  <c r="Z740" i="11"/>
  <c r="Z193" i="11"/>
  <c r="Z321" i="11"/>
  <c r="Z421" i="11"/>
  <c r="Z778" i="11"/>
  <c r="Z1135" i="11"/>
  <c r="Z1491" i="11"/>
  <c r="Z1820" i="11"/>
  <c r="Z2177" i="11"/>
  <c r="Z2533" i="11"/>
  <c r="Z3179" i="11"/>
  <c r="Z2877" i="11"/>
  <c r="Z3189" i="11"/>
  <c r="Z3501" i="11"/>
  <c r="Z278" i="11"/>
  <c r="Z590" i="11"/>
  <c r="Z878" i="11"/>
  <c r="Z1190" i="11"/>
  <c r="Z1502" i="11"/>
  <c r="Z1718" i="11"/>
  <c r="Z1910" i="11"/>
  <c r="Z2102" i="11"/>
  <c r="Z2294" i="11"/>
  <c r="Z2486" i="11"/>
  <c r="Z2742" i="11"/>
  <c r="Z2934" i="11"/>
  <c r="Z3062" i="11"/>
  <c r="Z3254" i="11"/>
  <c r="Z3446" i="11"/>
  <c r="Z915" i="11"/>
  <c r="Z1144" i="11"/>
  <c r="Z1372" i="11"/>
  <c r="Z1601" i="11"/>
  <c r="Z1857" i="11"/>
  <c r="Z1957" i="11"/>
  <c r="Z2085" i="11"/>
  <c r="Z2314" i="11"/>
  <c r="Z2543" i="11"/>
  <c r="Z2775" i="11"/>
  <c r="Z3191" i="11"/>
  <c r="Z2797" i="11"/>
  <c r="Z3109" i="11"/>
  <c r="Z3421" i="11"/>
  <c r="Z86" i="11"/>
  <c r="Z398" i="11"/>
  <c r="Z686" i="11"/>
  <c r="Z998" i="11"/>
  <c r="Z1422" i="11"/>
  <c r="Z1662" i="11"/>
  <c r="Z2980" i="11"/>
  <c r="Z764" i="11"/>
  <c r="Z60" i="11"/>
  <c r="Z1223" i="11"/>
  <c r="Z1954" i="11"/>
  <c r="Z2685" i="11"/>
  <c r="Z1041" i="11"/>
  <c r="Z2531" i="11"/>
  <c r="Z1324" i="11"/>
  <c r="Z1983" i="11"/>
  <c r="Z2641" i="11"/>
  <c r="Z3305" i="11"/>
  <c r="Z3539" i="11"/>
  <c r="Z631" i="11"/>
  <c r="Z1079" i="11"/>
  <c r="Z1325" i="11"/>
  <c r="Z1536" i="11"/>
  <c r="Z1700" i="11"/>
  <c r="Z1911" i="11"/>
  <c r="Z2066" i="11"/>
  <c r="Z2249" i="11"/>
  <c r="Z2386" i="11"/>
  <c r="Z2487" i="11"/>
  <c r="Z2615" i="11"/>
  <c r="Z2715" i="11"/>
  <c r="Z2858" i="11"/>
  <c r="Z3008" i="11"/>
  <c r="Z3124" i="11"/>
  <c r="Z3274" i="11"/>
  <c r="Z3392" i="11"/>
  <c r="Z3540" i="11"/>
  <c r="Z192" i="11"/>
  <c r="Z311" i="11"/>
  <c r="Z530" i="11"/>
  <c r="Z676" i="11"/>
  <c r="Z887" i="11"/>
  <c r="Z1069" i="11"/>
  <c r="Z56" i="11"/>
  <c r="Z184" i="11"/>
  <c r="Z284" i="11"/>
  <c r="Z412" i="11"/>
  <c r="Z540" i="11"/>
  <c r="Z641" i="11"/>
  <c r="Z769" i="11"/>
  <c r="Z869" i="11"/>
  <c r="Z997" i="11"/>
  <c r="Z1125" i="11"/>
  <c r="Z1226" i="11"/>
  <c r="Z1354" i="11"/>
  <c r="Z1455" i="11"/>
  <c r="Z1583" i="11"/>
  <c r="Z1711" i="11"/>
  <c r="Z1811" i="11"/>
  <c r="Z1939" i="11"/>
  <c r="Z2040" i="11"/>
  <c r="Z2168" i="11"/>
  <c r="Z2296" i="11"/>
  <c r="Z2396" i="11"/>
  <c r="Z2524" i="11"/>
  <c r="Z2625" i="11"/>
  <c r="Z2753" i="11"/>
  <c r="Z2903" i="11"/>
  <c r="Z3019" i="11"/>
  <c r="Z3169" i="11"/>
  <c r="Z3287" i="11"/>
  <c r="Z3435" i="11"/>
  <c r="Z2781" i="11"/>
  <c r="Z2869" i="11"/>
  <c r="Z2981" i="11"/>
  <c r="Z3069" i="11"/>
  <c r="Z3181" i="11"/>
  <c r="Z3293" i="11"/>
  <c r="Z3381" i="11"/>
  <c r="Z3493" i="11"/>
  <c r="Z46" i="11"/>
  <c r="Z158" i="11"/>
  <c r="Z270" i="11"/>
  <c r="Z358" i="11"/>
  <c r="Z470" i="11"/>
  <c r="Z558" i="11"/>
  <c r="Z670" i="11"/>
  <c r="Z782" i="11"/>
  <c r="Z870" i="11"/>
  <c r="Z982" i="11"/>
  <c r="Z1070" i="11"/>
  <c r="Z1182" i="11"/>
  <c r="Z1294" i="11"/>
  <c r="Z1382" i="11"/>
  <c r="Z1494" i="11"/>
  <c r="Z1582" i="11"/>
  <c r="Z1646" i="11"/>
  <c r="Z1710" i="11"/>
  <c r="Z1774" i="11"/>
  <c r="Z1838" i="11"/>
  <c r="Z1902" i="11"/>
  <c r="Z1966" i="11"/>
  <c r="Z2030" i="11"/>
  <c r="Z2094" i="11"/>
  <c r="Z2158" i="11"/>
  <c r="Z2222" i="11"/>
  <c r="Z2286" i="11"/>
  <c r="Z2350" i="11"/>
  <c r="Z2414" i="11"/>
  <c r="Z2478" i="11"/>
  <c r="Z2542" i="11"/>
  <c r="Z2606" i="11"/>
  <c r="Z2670" i="11"/>
  <c r="Z2734" i="11"/>
  <c r="Z2798" i="11"/>
  <c r="Z2862" i="11"/>
  <c r="Z2926" i="11"/>
  <c r="Z2990" i="11"/>
  <c r="Z3054" i="11"/>
  <c r="Z3118" i="11"/>
  <c r="Z3182" i="11"/>
  <c r="Z3246" i="11"/>
  <c r="Z3310" i="11"/>
  <c r="Z3374" i="11"/>
  <c r="Z3438" i="11"/>
  <c r="Z3502" i="11"/>
  <c r="Z3018" i="11"/>
  <c r="Z1088" i="11"/>
  <c r="Z650" i="11"/>
  <c r="Z1007" i="11"/>
  <c r="Z1363" i="11"/>
  <c r="Z1720" i="11"/>
  <c r="Z1948" i="11"/>
  <c r="Z2305" i="11"/>
  <c r="Z2405" i="11"/>
  <c r="Z2661" i="11"/>
  <c r="Z3031" i="11"/>
  <c r="Z3329" i="11"/>
  <c r="Z2789" i="11"/>
  <c r="Z3101" i="11"/>
  <c r="Z3389" i="11"/>
  <c r="Z166" i="11"/>
  <c r="Z478" i="11"/>
  <c r="Z678" i="11"/>
  <c r="Z990" i="11"/>
  <c r="Z1390" i="11"/>
  <c r="Z1590" i="11"/>
  <c r="Z1782" i="11"/>
  <c r="Z1974" i="11"/>
  <c r="Z2166" i="11"/>
  <c r="Z2358" i="11"/>
  <c r="Z2550" i="11"/>
  <c r="Z2678" i="11"/>
  <c r="Z2870" i="11"/>
  <c r="Z2998" i="11"/>
  <c r="Z3190" i="11"/>
  <c r="Z3318" i="11"/>
  <c r="Z3510" i="11"/>
  <c r="Z787" i="11"/>
  <c r="Z1272" i="11"/>
  <c r="Z2186" i="11"/>
  <c r="Z2671" i="11"/>
  <c r="Z3073" i="11"/>
  <c r="Z3339" i="11"/>
  <c r="Z2909" i="11"/>
  <c r="Z3197" i="11"/>
  <c r="Z3509" i="11"/>
  <c r="Z286" i="11"/>
  <c r="Z486" i="11"/>
  <c r="Z798" i="11"/>
  <c r="Z1198" i="11"/>
  <c r="Z1598" i="11"/>
  <c r="Z1790" i="11"/>
  <c r="Z3099" i="11"/>
  <c r="Z936" i="11"/>
  <c r="Z145" i="11"/>
  <c r="Z1239" i="11"/>
  <c r="Z1970" i="11"/>
  <c r="Z2746" i="11"/>
  <c r="Z1068" i="11"/>
  <c r="Z2568" i="11"/>
  <c r="Z1343" i="11"/>
  <c r="Z2001" i="11"/>
  <c r="Z2696" i="11"/>
  <c r="Z3315" i="11"/>
  <c r="Z82" i="11"/>
  <c r="Z667" i="11"/>
  <c r="Z1161" i="11"/>
  <c r="Z1335" i="11"/>
  <c r="Z1545" i="11"/>
  <c r="Z1709" i="11"/>
  <c r="Z1920" i="11"/>
  <c r="Z2130" i="11"/>
  <c r="Z2258" i="11"/>
  <c r="Z2395" i="11"/>
  <c r="Z2496" i="11"/>
  <c r="Z2624" i="11"/>
  <c r="Z2752" i="11"/>
  <c r="Z2868" i="11"/>
  <c r="Z3434" i="11"/>
  <c r="Z3552" i="11"/>
  <c r="Z201" i="11"/>
  <c r="Z329" i="11"/>
  <c r="Z896" i="11"/>
  <c r="Z3545" i="11"/>
  <c r="Z1821" i="11"/>
  <c r="Z451" i="11"/>
  <c r="Z1385" i="11"/>
  <c r="Z2161" i="11"/>
  <c r="Z2915" i="11"/>
  <c r="Z1407" i="11"/>
  <c r="Z3123" i="11"/>
  <c r="Z1461" i="11"/>
  <c r="Z2175" i="11"/>
  <c r="Z2825" i="11"/>
  <c r="Z3369" i="11"/>
  <c r="Z237" i="11"/>
  <c r="Z749" i="11"/>
  <c r="Z1179" i="11"/>
  <c r="Z1371" i="11"/>
  <c r="Z1554" i="11"/>
  <c r="Z1773" i="11"/>
  <c r="Z1929" i="11"/>
  <c r="Z2139" i="11"/>
  <c r="Z2267" i="11"/>
  <c r="Z2404" i="11"/>
  <c r="Z2532" i="11"/>
  <c r="Z2633" i="11"/>
  <c r="Z2762" i="11"/>
  <c r="Z2880" i="11"/>
  <c r="Z3028" i="11"/>
  <c r="Z3178" i="11"/>
  <c r="Z3296" i="11"/>
  <c r="Z3444" i="11"/>
  <c r="Z27" i="11"/>
  <c r="Z210" i="11"/>
  <c r="Z384" i="11"/>
  <c r="Z548" i="11"/>
  <c r="Z759" i="11"/>
  <c r="Z905" i="11"/>
  <c r="Z1115" i="11"/>
  <c r="Z101" i="11"/>
  <c r="Z202" i="11"/>
  <c r="Z330" i="11"/>
  <c r="Z431" i="11"/>
  <c r="Z559" i="11"/>
  <c r="Z1016" i="11"/>
  <c r="Z1500" i="11"/>
  <c r="Z299" i="11"/>
  <c r="Z2053" i="11"/>
  <c r="Z536" i="11"/>
  <c r="Z1401" i="11"/>
  <c r="Z2173" i="11"/>
  <c r="Z2930" i="11"/>
  <c r="Z1525" i="11"/>
  <c r="Z3155" i="11"/>
  <c r="Z1480" i="11"/>
  <c r="Z2193" i="11"/>
  <c r="Z2835" i="11"/>
  <c r="Z3379" i="11"/>
  <c r="Z365" i="11"/>
  <c r="Z768" i="11"/>
  <c r="Z1216" i="11"/>
  <c r="Z1408" i="11"/>
  <c r="Z1591" i="11"/>
  <c r="Z1783" i="11"/>
  <c r="Z1965" i="11"/>
  <c r="Z2148" i="11"/>
  <c r="Z2304" i="11"/>
  <c r="Z2413" i="11"/>
  <c r="Z2541" i="11"/>
  <c r="Z2642" i="11"/>
  <c r="Z2772" i="11"/>
  <c r="Z2922" i="11"/>
  <c r="Z3040" i="11"/>
  <c r="Z3188" i="11"/>
  <c r="Z3306" i="11"/>
  <c r="Z3456" i="11"/>
  <c r="Z91" i="11"/>
  <c r="Z219" i="11"/>
  <c r="Z402" i="11"/>
  <c r="Z567" i="11"/>
  <c r="Z777" i="11"/>
  <c r="Z960" i="11"/>
  <c r="Z1170" i="11"/>
  <c r="Z111" i="11"/>
  <c r="Z211" i="11"/>
  <c r="Z339" i="11"/>
  <c r="Z467" i="11"/>
  <c r="Z568" i="11"/>
  <c r="Z696" i="11"/>
  <c r="Z796" i="11"/>
  <c r="Z924" i="11"/>
  <c r="Z1052" i="11"/>
  <c r="Z1153" i="11"/>
  <c r="Z1281" i="11"/>
  <c r="Z1381" i="11"/>
  <c r="Z1509" i="11"/>
  <c r="Z1637" i="11"/>
  <c r="Z1738" i="11"/>
  <c r="Z1585" i="11"/>
  <c r="Z2320" i="11"/>
  <c r="Z1644" i="11"/>
  <c r="Z393" i="11"/>
  <c r="Z1600" i="11"/>
  <c r="Z2313" i="11"/>
  <c r="Z2784" i="11"/>
  <c r="Z3348" i="11"/>
  <c r="Z420" i="11"/>
  <c r="Z1307" i="11"/>
  <c r="Z476" i="11"/>
  <c r="Z933" i="11"/>
  <c r="Z1418" i="11"/>
  <c r="Z1866" i="11"/>
  <c r="Z2113" i="11"/>
  <c r="Z2460" i="11"/>
  <c r="Z2763" i="11"/>
  <c r="Z3095" i="11"/>
  <c r="Z3499" i="11"/>
  <c r="Z2933" i="11"/>
  <c r="Z3237" i="11"/>
  <c r="Z3517" i="11"/>
  <c r="Z222" i="11"/>
  <c r="Z526" i="11"/>
  <c r="Z806" i="11"/>
  <c r="Z1046" i="11"/>
  <c r="Z1318" i="11"/>
  <c r="Z1558" i="11"/>
  <c r="Z1742" i="11"/>
  <c r="Z1878" i="11"/>
  <c r="Z2006" i="11"/>
  <c r="Z2134" i="11"/>
  <c r="Z2262" i="11"/>
  <c r="Z2390" i="11"/>
  <c r="Z2518" i="11"/>
  <c r="Z2646" i="11"/>
  <c r="Z2774" i="11"/>
  <c r="Z2902" i="11"/>
  <c r="Z3030" i="11"/>
  <c r="Z3158" i="11"/>
  <c r="Z3286" i="11"/>
  <c r="Z3414" i="11"/>
  <c r="Z3542" i="11"/>
  <c r="Z1071" i="11"/>
  <c r="Z1967" i="11"/>
  <c r="Z2839" i="11"/>
  <c r="Z3243" i="11"/>
  <c r="Z3325" i="11"/>
  <c r="Z334" i="11"/>
  <c r="Z1126" i="11"/>
  <c r="Z1806" i="11"/>
  <c r="Z2190" i="11"/>
  <c r="Z2574" i="11"/>
  <c r="Z2830" i="11"/>
  <c r="Z3214" i="11"/>
  <c r="Z1162" i="11"/>
  <c r="Z2597" i="11"/>
  <c r="Z2813" i="11"/>
  <c r="Z102" i="11"/>
  <c r="Z926" i="11"/>
  <c r="Z1670" i="11"/>
  <c r="Z2070" i="11"/>
  <c r="Z2454" i="11"/>
  <c r="Z2838" i="11"/>
  <c r="Z3094" i="11"/>
  <c r="Z3478" i="11"/>
  <c r="Z2680" i="11"/>
  <c r="Z3125" i="11"/>
  <c r="Z414" i="11"/>
  <c r="Z1230" i="11"/>
  <c r="Z1982" i="11"/>
  <c r="Z2238" i="11"/>
  <c r="Z2622" i="11"/>
  <c r="Z3006" i="11"/>
  <c r="Z3390" i="11"/>
  <c r="Z968" i="11"/>
  <c r="Z969" i="11"/>
  <c r="Z1747" i="11"/>
  <c r="Z2689" i="11"/>
  <c r="Z3361" i="11"/>
  <c r="Z3437" i="11"/>
  <c r="Z726" i="11"/>
  <c r="Z1238" i="11"/>
  <c r="Z1686" i="11"/>
  <c r="Z1990" i="11"/>
  <c r="Z2246" i="11"/>
  <c r="Z2502" i="11"/>
  <c r="Z2758" i="11"/>
  <c r="Z3014" i="11"/>
  <c r="Z3270" i="11"/>
  <c r="Z3526" i="11"/>
  <c r="Z3210" i="11"/>
  <c r="Z3083" i="11"/>
  <c r="Z3229" i="11"/>
  <c r="Z214" i="11"/>
  <c r="Z734" i="11"/>
  <c r="Z1246" i="11"/>
  <c r="Z1734" i="11"/>
  <c r="Z1998" i="11"/>
  <c r="Z2254" i="11"/>
  <c r="Z2510" i="11"/>
  <c r="Z2766" i="11"/>
  <c r="Z2894" i="11"/>
  <c r="Z3150" i="11"/>
  <c r="Z3406" i="11"/>
  <c r="Z1979" i="11"/>
  <c r="Z2336" i="11"/>
  <c r="Z1663" i="11"/>
  <c r="Z411" i="11"/>
  <c r="Z1673" i="11"/>
  <c r="Z2322" i="11"/>
  <c r="Z2794" i="11"/>
  <c r="Z3360" i="11"/>
  <c r="Z439" i="11"/>
  <c r="Z28" i="11"/>
  <c r="Z485" i="11"/>
  <c r="Z943" i="11"/>
  <c r="Z1427" i="11"/>
  <c r="Z1875" i="11"/>
  <c r="Z2223" i="11"/>
  <c r="Z2469" i="11"/>
  <c r="Z2817" i="11"/>
  <c r="Z3105" i="11"/>
  <c r="Z3511" i="11"/>
  <c r="Z3005" i="11"/>
  <c r="Z3245" i="11"/>
  <c r="Z3549" i="11"/>
  <c r="Z294" i="11"/>
  <c r="Z534" i="11"/>
  <c r="Z814" i="11"/>
  <c r="Z1110" i="11"/>
  <c r="Z1326" i="11"/>
  <c r="Z1606" i="11"/>
  <c r="Z1750" i="11"/>
  <c r="Z1918" i="11"/>
  <c r="Z2046" i="11"/>
  <c r="Z2174" i="11"/>
  <c r="Z2302" i="11"/>
  <c r="Z2430" i="11"/>
  <c r="Z2558" i="11"/>
  <c r="Z2686" i="11"/>
  <c r="Z2814" i="11"/>
  <c r="Z2942" i="11"/>
  <c r="Z3070" i="11"/>
  <c r="Z3198" i="11"/>
  <c r="Z3326" i="11"/>
  <c r="Z3454" i="11"/>
  <c r="Z613" i="11"/>
  <c r="Z2588" i="11"/>
  <c r="Z3045" i="11"/>
  <c r="Z614" i="11"/>
  <c r="Z1430" i="11"/>
  <c r="Z1934" i="11"/>
  <c r="Z2318" i="11"/>
  <c r="Z2958" i="11"/>
  <c r="Z3470" i="11"/>
  <c r="Z1647" i="11"/>
  <c r="Z2935" i="11"/>
  <c r="Z3117" i="11"/>
  <c r="Z622" i="11"/>
  <c r="Z1438" i="11"/>
  <c r="Z1942" i="11"/>
  <c r="Z2326" i="11"/>
  <c r="Z2710" i="11"/>
  <c r="Z3222" i="11"/>
  <c r="Z2332" i="11"/>
  <c r="Z2845" i="11"/>
  <c r="Z110" i="11"/>
  <c r="Z934" i="11"/>
  <c r="Z1678" i="11"/>
  <c r="Z2366" i="11"/>
  <c r="Z2750" i="11"/>
  <c r="Z3134" i="11"/>
  <c r="Z3518" i="11"/>
  <c r="Z3391" i="11"/>
  <c r="Z1444" i="11"/>
  <c r="Z2185" i="11"/>
  <c r="Z2679" i="11"/>
  <c r="Z3200" i="11"/>
  <c r="Z228" i="11"/>
  <c r="Z348" i="11"/>
  <c r="Z833" i="11"/>
  <c r="Z1290" i="11"/>
  <c r="Z2095" i="11"/>
  <c r="Z2987" i="11"/>
  <c r="Z3133" i="11"/>
  <c r="Z422" i="11"/>
  <c r="Z1006" i="11"/>
  <c r="Z1518" i="11"/>
  <c r="Z1862" i="11"/>
  <c r="Z2118" i="11"/>
  <c r="Z2374" i="11"/>
  <c r="Z2630" i="11"/>
  <c r="Z2886" i="11"/>
  <c r="Z3142" i="11"/>
  <c r="Z3398" i="11"/>
  <c r="Z1604" i="11"/>
  <c r="Z1023" i="11"/>
  <c r="Z3497" i="11"/>
  <c r="Z1453" i="11"/>
  <c r="Z2194" i="11"/>
  <c r="Z2688" i="11"/>
  <c r="Z274" i="11"/>
  <c r="Z987" i="11"/>
  <c r="Z357" i="11"/>
  <c r="Z842" i="11"/>
  <c r="Z1299" i="11"/>
  <c r="Z2698" i="11"/>
  <c r="Z3371" i="11"/>
  <c r="Z2925" i="11"/>
  <c r="Z3445" i="11"/>
  <c r="Z494" i="11"/>
  <c r="Z1038" i="11"/>
  <c r="Z1550" i="11"/>
  <c r="Z1870" i="11"/>
  <c r="Z2126" i="11"/>
  <c r="Z2382" i="11"/>
  <c r="Z2638" i="11"/>
  <c r="Z3022" i="11"/>
  <c r="Z3278" i="11"/>
  <c r="Z3534" i="11"/>
  <c r="Z2946" i="11"/>
  <c r="Z3153" i="11"/>
  <c r="Z2321" i="11"/>
  <c r="Z978" i="11"/>
  <c r="Z1819" i="11"/>
  <c r="Z2423" i="11"/>
  <c r="Z2932" i="11"/>
  <c r="Z3466" i="11"/>
  <c r="Z621" i="11"/>
  <c r="Z120" i="11"/>
  <c r="Z577" i="11"/>
  <c r="Z1061" i="11"/>
  <c r="Z1519" i="11"/>
  <c r="Z1884" i="11"/>
  <c r="Z2232" i="11"/>
  <c r="Z2552" i="11"/>
  <c r="Z2827" i="11"/>
  <c r="Z3201" i="11"/>
  <c r="Z3521" i="11"/>
  <c r="Z3037" i="11"/>
  <c r="Z3317" i="11"/>
  <c r="Z22" i="11"/>
  <c r="Z302" i="11"/>
  <c r="Z606" i="11"/>
  <c r="Z846" i="11"/>
  <c r="Z1118" i="11"/>
  <c r="Z1358" i="11"/>
  <c r="Z1614" i="11"/>
  <c r="Z1798" i="11"/>
  <c r="Z1926" i="11"/>
  <c r="Z2054" i="11"/>
  <c r="Z2182" i="11"/>
  <c r="Z2310" i="11"/>
  <c r="Z2438" i="11"/>
  <c r="Z2566" i="11"/>
  <c r="Z2694" i="11"/>
  <c r="Z2822" i="11"/>
  <c r="Z2950" i="11"/>
  <c r="Z3078" i="11"/>
  <c r="Z3206" i="11"/>
  <c r="Z3334" i="11"/>
  <c r="Z3462" i="11"/>
  <c r="Z129" i="11"/>
  <c r="Z2241" i="11"/>
  <c r="Z2805" i="11"/>
  <c r="Z94" i="11"/>
  <c r="Z918" i="11"/>
  <c r="Z1622" i="11"/>
  <c r="Z2062" i="11"/>
  <c r="Z2446" i="11"/>
  <c r="Z2702" i="11"/>
  <c r="Z3086" i="11"/>
  <c r="Z3342" i="11"/>
  <c r="Z2003" i="11"/>
  <c r="Z3255" i="11"/>
  <c r="Z3357" i="11"/>
  <c r="Z406" i="11"/>
  <c r="Z1134" i="11"/>
  <c r="Z1814" i="11"/>
  <c r="Z2198" i="11"/>
  <c r="Z2582" i="11"/>
  <c r="Z2966" i="11"/>
  <c r="Z3350" i="11"/>
  <c r="Z2012" i="11"/>
  <c r="Z3351" i="11"/>
  <c r="Z3429" i="11"/>
  <c r="Z718" i="11"/>
  <c r="Z1446" i="11"/>
  <c r="Z1854" i="11"/>
  <c r="Z2110" i="11"/>
  <c r="Z2494" i="11"/>
  <c r="Z2878" i="11"/>
  <c r="Z3262" i="11"/>
  <c r="Z1588" i="11"/>
  <c r="Z2369" i="11"/>
  <c r="Z2917" i="11"/>
  <c r="Z206" i="11"/>
  <c r="Z84" i="11"/>
  <c r="Z3171" i="11"/>
  <c r="Z2330" i="11"/>
  <c r="Z1015" i="11"/>
  <c r="Z1828" i="11"/>
  <c r="Z2459" i="11"/>
  <c r="Z2944" i="11"/>
  <c r="Z3476" i="11"/>
  <c r="Z640" i="11"/>
  <c r="Z1528" i="11"/>
  <c r="Z2451" i="11"/>
  <c r="Z840" i="11"/>
  <c r="Z1781" i="11"/>
  <c r="Z3017" i="11"/>
  <c r="Z1225" i="11"/>
  <c r="Z2002" i="11"/>
  <c r="Z2551" i="11"/>
  <c r="Z3050" i="11"/>
  <c r="Z109" i="11"/>
  <c r="Z786" i="11"/>
  <c r="Z248" i="11"/>
  <c r="Z705" i="11"/>
  <c r="Z2323" i="11"/>
  <c r="Z2104" i="11"/>
  <c r="Z890" i="11"/>
  <c r="Z1818" i="11"/>
  <c r="Z3027" i="11"/>
  <c r="Z1234" i="11"/>
  <c r="Z2039" i="11"/>
  <c r="Z2560" i="11"/>
  <c r="Z3092" i="11"/>
  <c r="Z119" i="11"/>
  <c r="Z804" i="11"/>
  <c r="Z257" i="11"/>
  <c r="Z714" i="11"/>
  <c r="Z1199" i="11"/>
  <c r="Z1656" i="11"/>
  <c r="Z2945" i="11"/>
  <c r="Z1784" i="11"/>
  <c r="AA53" i="11"/>
  <c r="AA1687" i="11"/>
  <c r="AA555" i="11"/>
  <c r="AA789" i="11"/>
  <c r="AA1102" i="11"/>
  <c r="AA1449" i="11"/>
  <c r="AA1840" i="11"/>
  <c r="AA2153" i="11"/>
  <c r="AA2467" i="11"/>
  <c r="AA2776" i="11"/>
  <c r="AA3104" i="11"/>
  <c r="AA3517" i="11"/>
  <c r="AA204" i="11"/>
  <c r="AA608" i="11"/>
  <c r="AA1040" i="11"/>
  <c r="AA2407" i="11"/>
  <c r="AA528" i="11"/>
  <c r="AA1191" i="11"/>
  <c r="AA1814" i="11"/>
  <c r="AA2556" i="11"/>
  <c r="AA3472" i="11"/>
  <c r="AA607" i="11"/>
  <c r="AA1273" i="11"/>
  <c r="AA2128" i="11"/>
  <c r="AA3223" i="11"/>
  <c r="AA1897" i="11"/>
  <c r="AA2836" i="11"/>
  <c r="AA2382" i="11"/>
  <c r="AA3187" i="11"/>
  <c r="AA202" i="11"/>
  <c r="AA1310" i="11"/>
  <c r="AA2243" i="11"/>
  <c r="AA2909" i="11"/>
  <c r="AA203" i="11"/>
  <c r="AA1349" i="11"/>
  <c r="AA2287" i="11"/>
  <c r="AA3166" i="11"/>
  <c r="AA1703" i="11"/>
  <c r="AA2796" i="11"/>
  <c r="AA256" i="11"/>
  <c r="AA547" i="11"/>
  <c r="AA862" i="11"/>
  <c r="AA1175" i="11"/>
  <c r="AA1485" i="11"/>
  <c r="AA1836" i="11"/>
  <c r="AA2151" i="11"/>
  <c r="AA2461" i="11"/>
  <c r="AA2774" i="11"/>
  <c r="AA3088" i="11"/>
  <c r="AA3509" i="11"/>
  <c r="AA1072" i="11"/>
  <c r="AA2593" i="11"/>
  <c r="AA883" i="11"/>
  <c r="AA2091" i="11"/>
  <c r="AA3029" i="11"/>
  <c r="AA1312" i="11"/>
  <c r="AA2445" i="11"/>
  <c r="AA3179" i="11"/>
  <c r="AA106" i="11"/>
  <c r="AA377" i="11"/>
  <c r="AA728" i="11"/>
  <c r="AA1044" i="11"/>
  <c r="AA1432" i="11"/>
  <c r="AA1742" i="11"/>
  <c r="AA2055" i="11"/>
  <c r="AA2371" i="11"/>
  <c r="AA2680" i="11"/>
  <c r="AA2993" i="11"/>
  <c r="AA3396" i="11"/>
  <c r="AA184" i="11"/>
  <c r="AA470" i="11"/>
  <c r="AA780" i="11"/>
  <c r="AA1131" i="11"/>
  <c r="AA1446" i="11"/>
  <c r="AA1753" i="11"/>
  <c r="AA2107" i="11"/>
  <c r="AA2457" i="11"/>
  <c r="AA2811" i="11"/>
  <c r="AA120" i="11"/>
  <c r="AA397" i="11"/>
  <c r="AA707" i="11"/>
  <c r="AA1020" i="11"/>
  <c r="AA1333" i="11"/>
  <c r="AA1643" i="11"/>
  <c r="AA1958" i="11"/>
  <c r="AA2265" i="11"/>
  <c r="AA329" i="11"/>
  <c r="AA157" i="11"/>
  <c r="AA20" i="11"/>
  <c r="AA827" i="11"/>
  <c r="AA1140" i="11"/>
  <c r="AA1531" i="11"/>
  <c r="AA1881" i="11"/>
  <c r="AA2191" i="11"/>
  <c r="AA2507" i="11"/>
  <c r="AA2814" i="11"/>
  <c r="AA3161" i="11"/>
  <c r="AA3262" i="11"/>
  <c r="AA237" i="11"/>
  <c r="AA652" i="11"/>
  <c r="AA1156" i="11"/>
  <c r="AA1081" i="11"/>
  <c r="AA644" i="11"/>
  <c r="AA1267" i="11"/>
  <c r="AA1933" i="11"/>
  <c r="AA2675" i="11"/>
  <c r="AA66" i="11"/>
  <c r="AA688" i="11"/>
  <c r="AA1387" i="11"/>
  <c r="AA2247" i="11"/>
  <c r="AA138" i="11"/>
  <c r="AA2016" i="11"/>
  <c r="AA2949" i="11"/>
  <c r="AA2692" i="11"/>
  <c r="AA3240" i="11"/>
  <c r="AA339" i="11"/>
  <c r="AA1461" i="11"/>
  <c r="AA2361" i="11"/>
  <c r="AA2984" i="11"/>
  <c r="AA340" i="11"/>
  <c r="AA1424" i="11"/>
  <c r="AA2400" i="11"/>
  <c r="AA3323" i="11"/>
  <c r="AA1822" i="11"/>
  <c r="AA3030" i="11"/>
  <c r="AA289" i="11"/>
  <c r="AA590" i="11"/>
  <c r="AA900" i="11"/>
  <c r="AA1213" i="11"/>
  <c r="AA1566" i="11"/>
  <c r="AA1876" i="11"/>
  <c r="AA2189" i="11"/>
  <c r="AA2499" i="11"/>
  <c r="AA2812" i="11"/>
  <c r="AA3142" i="11"/>
  <c r="AA131" i="11"/>
  <c r="AA1229" i="11"/>
  <c r="AA3022" i="11"/>
  <c r="AA998" i="11"/>
  <c r="AA2206" i="11"/>
  <c r="AA3120" i="11"/>
  <c r="AA1507" i="11"/>
  <c r="AA2558" i="11"/>
  <c r="AA3278" i="11"/>
  <c r="AA139" i="11"/>
  <c r="AA419" i="11"/>
  <c r="AA766" i="11"/>
  <c r="AA1119" i="11"/>
  <c r="AA1470" i="11"/>
  <c r="AA1785" i="11"/>
  <c r="AA2095" i="11"/>
  <c r="AA2408" i="11"/>
  <c r="AA2718" i="11"/>
  <c r="AA3031" i="11"/>
  <c r="AA3436" i="11"/>
  <c r="AA217" i="11"/>
  <c r="AA508" i="11"/>
  <c r="AA821" i="11"/>
  <c r="AA1168" i="11"/>
  <c r="AA1484" i="11"/>
  <c r="AA1797" i="11"/>
  <c r="AA2144" i="11"/>
  <c r="AA2497" i="11"/>
  <c r="AA2886" i="11"/>
  <c r="AA153" i="11"/>
  <c r="AA435" i="11"/>
  <c r="AA748" i="11"/>
  <c r="AA1057" i="11"/>
  <c r="AA1373" i="11"/>
  <c r="AA1680" i="11"/>
  <c r="AA1996" i="11"/>
  <c r="AA2309" i="11"/>
  <c r="AA1412" i="11"/>
  <c r="AA436" i="11"/>
  <c r="AA291" i="11"/>
  <c r="AA864" i="11"/>
  <c r="AA1177" i="11"/>
  <c r="AA1568" i="11"/>
  <c r="AA1921" i="11"/>
  <c r="AA2229" i="11"/>
  <c r="AA2544" i="11"/>
  <c r="AA2857" i="11"/>
  <c r="AA3204" i="11"/>
  <c r="AA1859" i="11"/>
  <c r="AA275" i="11"/>
  <c r="AA689" i="11"/>
  <c r="AA1193" i="11"/>
  <c r="AA32" i="11"/>
  <c r="AA725" i="11"/>
  <c r="AA1348" i="11"/>
  <c r="AA2008" i="11"/>
  <c r="AA2750" i="11"/>
  <c r="AA170" i="11"/>
  <c r="AA764" i="11"/>
  <c r="AA1505" i="11"/>
  <c r="AA2363" i="11"/>
  <c r="AA571" i="11"/>
  <c r="AA2132" i="11"/>
  <c r="AA3068" i="11"/>
  <c r="AA2848" i="11"/>
  <c r="AA3297" i="11"/>
  <c r="AA449" i="11"/>
  <c r="AA1620" i="11"/>
  <c r="AA2437" i="11"/>
  <c r="AA3065" i="11"/>
  <c r="AA492" i="11"/>
  <c r="AA1543" i="11"/>
  <c r="AA2519" i="11"/>
  <c r="AA3533" i="11"/>
  <c r="AA1973" i="11"/>
  <c r="AA653" i="11"/>
  <c r="AA322" i="11"/>
  <c r="AA628" i="11"/>
  <c r="AA937" i="11"/>
  <c r="AA1251" i="11"/>
  <c r="AA1604" i="11"/>
  <c r="AA1913" i="11"/>
  <c r="AA2227" i="11"/>
  <c r="AA2540" i="11"/>
  <c r="AA2849" i="11"/>
  <c r="AA3201" i="11"/>
  <c r="AA235" i="11"/>
  <c r="AA1385" i="11"/>
  <c r="AA33" i="11"/>
  <c r="AA1155" i="11"/>
  <c r="AA2325" i="11"/>
  <c r="AA3277" i="11"/>
  <c r="AA1665" i="11"/>
  <c r="AA2677" i="11"/>
  <c r="AA3335" i="11"/>
  <c r="AA172" i="11"/>
  <c r="AA459" i="11"/>
  <c r="AA809" i="11"/>
  <c r="AA1157" i="11"/>
  <c r="AA1510" i="11"/>
  <c r="AA1823" i="11"/>
  <c r="AA2133" i="11"/>
  <c r="AA2446" i="11"/>
  <c r="AA2759" i="11"/>
  <c r="AA3083" i="11"/>
  <c r="AA3495" i="11"/>
  <c r="AA253" i="11"/>
  <c r="AA545" i="11"/>
  <c r="AA899" i="11"/>
  <c r="AA1212" i="11"/>
  <c r="AA1521" i="11"/>
  <c r="AA1872" i="11"/>
  <c r="AA2188" i="11"/>
  <c r="AA2535" i="11"/>
  <c r="AA3084" i="11"/>
  <c r="AA189" i="11"/>
  <c r="AA472" i="11"/>
  <c r="AA788" i="11"/>
  <c r="AA1095" i="11"/>
  <c r="AA1411" i="11"/>
  <c r="AA1724" i="11"/>
  <c r="AA88" i="11"/>
  <c r="AA192" i="11"/>
  <c r="AA592" i="11"/>
  <c r="AA908" i="11"/>
  <c r="AA1217" i="11"/>
  <c r="AA1606" i="11"/>
  <c r="AA1959" i="11"/>
  <c r="AA2272" i="11"/>
  <c r="AA2582" i="11"/>
  <c r="AA2895" i="11"/>
  <c r="AA3261" i="11"/>
  <c r="AA3433" i="11"/>
  <c r="AA341" i="11"/>
  <c r="AA765" i="11"/>
  <c r="AA1275" i="11"/>
  <c r="AA98" i="11"/>
  <c r="AA800" i="11"/>
  <c r="AA1423" i="11"/>
  <c r="AA2127" i="11"/>
  <c r="AA2828" i="11"/>
  <c r="AA236" i="11"/>
  <c r="AA839" i="11"/>
  <c r="AA1583" i="11"/>
  <c r="AA2481" i="11"/>
  <c r="AA961" i="11"/>
  <c r="AA2251" i="11"/>
  <c r="AA3224" i="11"/>
  <c r="AA2924" i="11"/>
  <c r="AA3340" i="11"/>
  <c r="AA568" i="11"/>
  <c r="AA1776" i="11"/>
  <c r="AA2518" i="11"/>
  <c r="AA3165" i="11"/>
  <c r="AA645" i="11"/>
  <c r="AA1662" i="11"/>
  <c r="AA2638" i="11"/>
  <c r="AA376" i="11"/>
  <c r="AA2092" i="11"/>
  <c r="AA51" i="11"/>
  <c r="AA355" i="11"/>
  <c r="AA665" i="11"/>
  <c r="AA981" i="11"/>
  <c r="AA1291" i="11"/>
  <c r="AA1641" i="11"/>
  <c r="AA1955" i="11"/>
  <c r="AA2264" i="11"/>
  <c r="AA2580" i="11"/>
  <c r="AA2887" i="11"/>
  <c r="AA3241" i="11"/>
  <c r="AA372" i="11"/>
  <c r="AA1542" i="11"/>
  <c r="AA137" i="11"/>
  <c r="AA1311" i="11"/>
  <c r="AA2444" i="11"/>
  <c r="AA3376" i="11"/>
  <c r="AA1779" i="11"/>
  <c r="AA2755" i="11"/>
  <c r="AA3381" i="11"/>
  <c r="AA205" i="11"/>
  <c r="AA496" i="11"/>
  <c r="AA847" i="11"/>
  <c r="AA1200" i="11"/>
  <c r="AA1548" i="11"/>
  <c r="AA1861" i="11"/>
  <c r="AA2174" i="11"/>
  <c r="AA2484" i="11"/>
  <c r="AA2799" i="11"/>
  <c r="AA3128" i="11"/>
  <c r="AA3552" i="11"/>
  <c r="AA288" i="11"/>
  <c r="AA583" i="11"/>
  <c r="AA936" i="11"/>
  <c r="AA1249" i="11"/>
  <c r="AA1559" i="11"/>
  <c r="AA1912" i="11"/>
  <c r="AA2225" i="11"/>
  <c r="AA2576" i="11"/>
  <c r="AA117" i="11"/>
  <c r="AA224" i="11"/>
  <c r="AA510" i="11"/>
  <c r="AA825" i="11"/>
  <c r="AA1139" i="11"/>
  <c r="AA1448" i="11"/>
  <c r="AA1761" i="11"/>
  <c r="AA362" i="11"/>
  <c r="AA473" i="11"/>
  <c r="AA632" i="11"/>
  <c r="AA945" i="11"/>
  <c r="AA1255" i="11"/>
  <c r="AA1644" i="11"/>
  <c r="AA1997" i="11"/>
  <c r="AA2310" i="11"/>
  <c r="AA2620" i="11"/>
  <c r="AA2933" i="11"/>
  <c r="AA3315" i="11"/>
  <c r="AA34" i="11"/>
  <c r="AA414" i="11"/>
  <c r="AA846" i="11"/>
  <c r="AA1388" i="11"/>
  <c r="AA169" i="11"/>
  <c r="AA876" i="11"/>
  <c r="AA1504" i="11"/>
  <c r="AA2205" i="11"/>
  <c r="AA2947" i="11"/>
  <c r="AA307" i="11"/>
  <c r="AA920" i="11"/>
  <c r="AA1702" i="11"/>
  <c r="AA2595" i="11"/>
  <c r="AA1237" i="11"/>
  <c r="AA2364" i="11"/>
  <c r="AA3435" i="11"/>
  <c r="AA2967" i="11"/>
  <c r="AA3397" i="11"/>
  <c r="AA681" i="11"/>
  <c r="AA1895" i="11"/>
  <c r="AA2631" i="11"/>
  <c r="AA3321" i="11"/>
  <c r="AA801" i="11"/>
  <c r="AA1740" i="11"/>
  <c r="AA2753" i="11"/>
  <c r="AA803" i="11"/>
  <c r="AA2211" i="11"/>
  <c r="AA84" i="11"/>
  <c r="AA396" i="11"/>
  <c r="AA705" i="11"/>
  <c r="AA1019" i="11"/>
  <c r="AA1328" i="11"/>
  <c r="AA1679" i="11"/>
  <c r="AA1995" i="11"/>
  <c r="AA2302" i="11"/>
  <c r="AA2617" i="11"/>
  <c r="AA2931" i="11"/>
  <c r="AA3299" i="11"/>
  <c r="AA487" i="11"/>
  <c r="AA1699" i="11"/>
  <c r="AA269" i="11"/>
  <c r="AA1468" i="11"/>
  <c r="AA2557" i="11"/>
  <c r="AA3479" i="11"/>
  <c r="AA1935" i="11"/>
  <c r="AA2873" i="11"/>
  <c r="AA3494" i="11"/>
  <c r="AA243" i="11"/>
  <c r="AA534" i="11"/>
  <c r="AA885" i="11"/>
  <c r="AA1238" i="11"/>
  <c r="AA1589" i="11"/>
  <c r="AA1899" i="11"/>
  <c r="AA2214" i="11"/>
  <c r="AA2521" i="11"/>
  <c r="AA2837" i="11"/>
  <c r="AA3180" i="11"/>
  <c r="AA45" i="11"/>
  <c r="AA321" i="11"/>
  <c r="AA627" i="11"/>
  <c r="AA974" i="11"/>
  <c r="AA1287" i="11"/>
  <c r="AA1603" i="11"/>
  <c r="AA1950" i="11"/>
  <c r="AA2263" i="11"/>
  <c r="AA2616" i="11"/>
  <c r="AA1523" i="11"/>
  <c r="AA257" i="11"/>
  <c r="AA553" i="11"/>
  <c r="AA863" i="11"/>
  <c r="AA1176" i="11"/>
  <c r="AA1486" i="11"/>
  <c r="AA1799" i="11"/>
  <c r="AA1493" i="11"/>
  <c r="AA225" i="11"/>
  <c r="AA670" i="11"/>
  <c r="AA983" i="11"/>
  <c r="AA1296" i="11"/>
  <c r="AA1725" i="11"/>
  <c r="AA2035" i="11"/>
  <c r="AA2348" i="11"/>
  <c r="AA2663" i="11"/>
  <c r="AA2973" i="11"/>
  <c r="AA3360" i="11"/>
  <c r="AA67" i="11"/>
  <c r="AA455" i="11"/>
  <c r="AA884" i="11"/>
  <c r="AA1469" i="11"/>
  <c r="AA268" i="11"/>
  <c r="AA957" i="11"/>
  <c r="AA1580" i="11"/>
  <c r="AA2324" i="11"/>
  <c r="AA3105" i="11"/>
  <c r="AA373" i="11"/>
  <c r="AA1036" i="11"/>
  <c r="AA1815" i="11"/>
  <c r="AA2713" i="11"/>
  <c r="AA1431" i="11"/>
  <c r="AA2520" i="11"/>
  <c r="AA1395" i="11"/>
  <c r="AA3005" i="11"/>
  <c r="AA3454" i="11"/>
  <c r="AA838" i="11"/>
  <c r="AA1971" i="11"/>
  <c r="AA2712" i="11"/>
  <c r="AA3421" i="11"/>
  <c r="AA958" i="11"/>
  <c r="AA1896" i="11"/>
  <c r="AA2872" i="11"/>
  <c r="AA1118" i="11"/>
  <c r="AA2326" i="11"/>
  <c r="AA152" i="11"/>
  <c r="AA433" i="11"/>
  <c r="AA743" i="11"/>
  <c r="AA1056" i="11"/>
  <c r="AA1369" i="11"/>
  <c r="AA1717" i="11"/>
  <c r="AA2032" i="11"/>
  <c r="AA2345" i="11"/>
  <c r="AA2655" i="11"/>
  <c r="AA2968" i="11"/>
  <c r="AA3358" i="11"/>
  <c r="AA606" i="11"/>
  <c r="AA1852" i="11"/>
  <c r="AA413" i="11"/>
  <c r="AA1621" i="11"/>
  <c r="AA2676" i="11"/>
  <c r="AA308" i="11"/>
  <c r="AA2054" i="11"/>
  <c r="AA2911" i="11"/>
  <c r="AA3534" i="11"/>
  <c r="AA276" i="11"/>
  <c r="AA572" i="11"/>
  <c r="AA925" i="11"/>
  <c r="AA1276" i="11"/>
  <c r="AA1629" i="11"/>
  <c r="AA1936" i="11"/>
  <c r="AA2252" i="11"/>
  <c r="AA2565" i="11"/>
  <c r="AA2875" i="11"/>
  <c r="AA3239" i="11"/>
  <c r="AA83" i="11"/>
  <c r="AA354" i="11"/>
  <c r="AA664" i="11"/>
  <c r="AA1017" i="11"/>
  <c r="AA1327" i="11"/>
  <c r="AA1640" i="11"/>
  <c r="AA1991" i="11"/>
  <c r="AA2301" i="11"/>
  <c r="AA2654" i="11"/>
  <c r="AA19" i="11"/>
  <c r="AA290" i="11"/>
  <c r="AA591" i="11"/>
  <c r="AA901" i="11"/>
  <c r="AA1214" i="11"/>
  <c r="AA1529" i="11"/>
  <c r="AA1839" i="11"/>
  <c r="AA398" i="11"/>
  <c r="AA258" i="11"/>
  <c r="AA751" i="11"/>
  <c r="AA1059" i="11"/>
  <c r="AA1374" i="11"/>
  <c r="AA1803" i="11"/>
  <c r="AA2116" i="11"/>
  <c r="AA2425" i="11"/>
  <c r="AA2739" i="11"/>
  <c r="AA3052" i="11"/>
  <c r="AA3471" i="11"/>
  <c r="AA171" i="11"/>
  <c r="AA533" i="11"/>
  <c r="AA999" i="11"/>
  <c r="AA1860" i="11"/>
  <c r="AA409" i="11"/>
  <c r="AA1113" i="11"/>
  <c r="AA1739" i="11"/>
  <c r="AA2480" i="11"/>
  <c r="AA3375" i="11"/>
  <c r="AA532" i="11"/>
  <c r="AA1192" i="11"/>
  <c r="AA2009" i="11"/>
  <c r="AA2985" i="11"/>
  <c r="AA1741" i="11"/>
  <c r="AA2717" i="11"/>
  <c r="AA1835" i="11"/>
  <c r="AA3141" i="11"/>
  <c r="AA65" i="11"/>
  <c r="AA1153" i="11"/>
  <c r="AA2165" i="11"/>
  <c r="AA2869" i="11"/>
  <c r="AA99" i="11"/>
  <c r="AA1230" i="11"/>
  <c r="AA2168" i="11"/>
  <c r="AA3067" i="11"/>
  <c r="AA1547" i="11"/>
  <c r="AA2601" i="11"/>
  <c r="AA221" i="11"/>
  <c r="AA509" i="11"/>
  <c r="AA824" i="11"/>
  <c r="AA1132" i="11"/>
  <c r="AA1447" i="11"/>
  <c r="AA1798" i="11"/>
  <c r="AA2108" i="11"/>
  <c r="AA2421" i="11"/>
  <c r="AA2736" i="11"/>
  <c r="AA3046" i="11"/>
  <c r="AA3457" i="11"/>
  <c r="AA919" i="11"/>
  <c r="AA2284" i="11"/>
  <c r="AA726" i="11"/>
  <c r="AA1972" i="11"/>
  <c r="AA2910" i="11"/>
  <c r="AA1080" i="11"/>
  <c r="AA2288" i="11"/>
  <c r="AA3125" i="11"/>
  <c r="AA73" i="11"/>
  <c r="AA344" i="11"/>
  <c r="AA691" i="11"/>
  <c r="AA1004" i="11"/>
  <c r="AA1351" i="11"/>
  <c r="AA1704" i="11"/>
  <c r="AA2017" i="11"/>
  <c r="AA2327" i="11"/>
  <c r="AA2640" i="11"/>
  <c r="AA2956" i="11"/>
  <c r="AA3339" i="11"/>
  <c r="AA149" i="11"/>
  <c r="AA432" i="11"/>
  <c r="AA742" i="11"/>
  <c r="AA1093" i="11"/>
  <c r="AA1406" i="11"/>
  <c r="AA1716" i="11"/>
  <c r="AA2069" i="11"/>
  <c r="AA2420" i="11"/>
  <c r="AA2773" i="11"/>
  <c r="AA85" i="11"/>
  <c r="AA361" i="11"/>
  <c r="AA669" i="11"/>
  <c r="AA982" i="11"/>
  <c r="AA1292" i="11"/>
  <c r="AA1605" i="11"/>
  <c r="AA1918" i="11"/>
  <c r="AA2228" i="11"/>
  <c r="AA121" i="11"/>
  <c r="AA2701" i="11"/>
  <c r="AA1035" i="11"/>
  <c r="AA1584" i="11"/>
  <c r="AA3532" i="11"/>
  <c r="AA784" i="11"/>
  <c r="AA3398" i="11"/>
  <c r="AA2992" i="11"/>
  <c r="AA2289" i="11"/>
  <c r="AA1365" i="11"/>
  <c r="AA944" i="11"/>
  <c r="AA2190" i="11"/>
  <c r="AA2619" i="11"/>
  <c r="AA2932" i="11"/>
  <c r="AA3302" i="11"/>
  <c r="AA3129" i="11"/>
  <c r="AA3286" i="11"/>
  <c r="AA3443" i="11"/>
  <c r="AA107" i="11"/>
  <c r="AA535" i="11"/>
  <c r="AA947" i="11"/>
  <c r="AA1337" i="11"/>
  <c r="AA1787" i="11"/>
  <c r="AA57" i="11"/>
  <c r="AA212" i="11"/>
  <c r="AA349" i="11"/>
  <c r="AA499" i="11"/>
  <c r="AA655" i="11"/>
  <c r="AA812" i="11"/>
  <c r="AA985" i="11"/>
  <c r="AA1165" i="11"/>
  <c r="AA1321" i="11"/>
  <c r="AA1475" i="11"/>
  <c r="AA1631" i="11"/>
  <c r="AA1788" i="11"/>
  <c r="AA1944" i="11"/>
  <c r="AA2101" i="11"/>
  <c r="AA2254" i="11"/>
  <c r="AA2411" i="11"/>
  <c r="AA2567" i="11"/>
  <c r="AA2726" i="11"/>
  <c r="AA2883" i="11"/>
  <c r="AA3033" i="11"/>
  <c r="AA3192" i="11"/>
  <c r="AA3349" i="11"/>
  <c r="AA3505" i="11"/>
  <c r="AA312" i="11"/>
  <c r="AA773" i="11"/>
  <c r="AA1300" i="11"/>
  <c r="AA1766" i="11"/>
  <c r="AA2155" i="11"/>
  <c r="AA2508" i="11"/>
  <c r="AA2838" i="11"/>
  <c r="AA3168" i="11"/>
  <c r="AA3481" i="11"/>
  <c r="AA96" i="11"/>
  <c r="AA233" i="11"/>
  <c r="AA365" i="11"/>
  <c r="AA523" i="11"/>
  <c r="AA679" i="11"/>
  <c r="AA836" i="11"/>
  <c r="AA992" i="11"/>
  <c r="AA1145" i="11"/>
  <c r="AA1302" i="11"/>
  <c r="AA1459" i="11"/>
  <c r="AA1615" i="11"/>
  <c r="AA1772" i="11"/>
  <c r="AA1925" i="11"/>
  <c r="AA2081" i="11"/>
  <c r="AA2238" i="11"/>
  <c r="AA2397" i="11"/>
  <c r="AA2553" i="11"/>
  <c r="AA2704" i="11"/>
  <c r="AA2863" i="11"/>
  <c r="AA3020" i="11"/>
  <c r="AA3176" i="11"/>
  <c r="AA3333" i="11"/>
  <c r="AA3486" i="11"/>
  <c r="AA226" i="11"/>
  <c r="AA729" i="11"/>
  <c r="AA1260" i="11"/>
  <c r="AA1749" i="11"/>
  <c r="AA2137" i="11"/>
  <c r="AA2470" i="11"/>
  <c r="AA2777" i="11"/>
  <c r="AA3113" i="11"/>
  <c r="AA3423" i="11"/>
  <c r="AA64" i="11"/>
  <c r="AA201" i="11"/>
  <c r="AA333" i="11"/>
  <c r="AA486" i="11"/>
  <c r="AA643" i="11"/>
  <c r="AA799" i="11"/>
  <c r="AA956" i="11"/>
  <c r="AA1109" i="11"/>
  <c r="AA1265" i="11"/>
  <c r="AA1422" i="11"/>
  <c r="AA1579" i="11"/>
  <c r="AA1735" i="11"/>
  <c r="AA1888" i="11"/>
  <c r="AA2045" i="11"/>
  <c r="AA2201" i="11"/>
  <c r="AA2360" i="11"/>
  <c r="AA2517" i="11"/>
  <c r="AA2668" i="11"/>
  <c r="AA2827" i="11"/>
  <c r="AA2983" i="11"/>
  <c r="AA3140" i="11"/>
  <c r="AA3296" i="11"/>
  <c r="AA3449" i="11"/>
  <c r="AA154" i="11"/>
  <c r="AA646" i="11"/>
  <c r="AA1062" i="11"/>
  <c r="AA1403" i="11"/>
  <c r="AA1695" i="11"/>
  <c r="AA2134" i="11"/>
  <c r="AA2452" i="11"/>
  <c r="AA2548" i="11"/>
  <c r="AA2657" i="11"/>
  <c r="AA2756" i="11"/>
  <c r="AA2854" i="11"/>
  <c r="AA2950" i="11"/>
  <c r="AA3048" i="11"/>
  <c r="AA3147" i="11"/>
  <c r="AA3243" i="11"/>
  <c r="AA3341" i="11"/>
  <c r="AA3439" i="11"/>
  <c r="AA3535" i="11"/>
  <c r="AA112" i="11"/>
  <c r="AA208" i="11"/>
  <c r="AA314" i="11"/>
  <c r="AA427" i="11"/>
  <c r="AA550" i="11"/>
  <c r="AA517" i="11"/>
  <c r="AA3011" i="11"/>
  <c r="AA1657" i="11"/>
  <c r="AA2639" i="11"/>
  <c r="AA1077" i="11"/>
  <c r="AA1094" i="11"/>
  <c r="AA763" i="11"/>
  <c r="AA35" i="11"/>
  <c r="AA2603" i="11"/>
  <c r="AA1678" i="11"/>
  <c r="AA1254" i="11"/>
  <c r="AA2347" i="11"/>
  <c r="AA2656" i="11"/>
  <c r="AA2969" i="11"/>
  <c r="AA3359" i="11"/>
  <c r="AA3150" i="11"/>
  <c r="AA3303" i="11"/>
  <c r="AA3460" i="11"/>
  <c r="AA173" i="11"/>
  <c r="AA596" i="11"/>
  <c r="AA1007" i="11"/>
  <c r="AA1396" i="11"/>
  <c r="AA1862" i="11"/>
  <c r="AA75" i="11"/>
  <c r="AA227" i="11"/>
  <c r="AA364" i="11"/>
  <c r="AA519" i="11"/>
  <c r="AA678" i="11"/>
  <c r="AA835" i="11"/>
  <c r="AA1008" i="11"/>
  <c r="AA1182" i="11"/>
  <c r="AA1339" i="11"/>
  <c r="AA1495" i="11"/>
  <c r="AA1652" i="11"/>
  <c r="AA1808" i="11"/>
  <c r="AA1961" i="11"/>
  <c r="AA2118" i="11"/>
  <c r="AA2275" i="11"/>
  <c r="AA2433" i="11"/>
  <c r="AA2590" i="11"/>
  <c r="AA2741" i="11"/>
  <c r="AA2900" i="11"/>
  <c r="AA3056" i="11"/>
  <c r="AA3213" i="11"/>
  <c r="AA3369" i="11"/>
  <c r="AA3523" i="11"/>
  <c r="AA363" i="11"/>
  <c r="AA828" i="11"/>
  <c r="AA1358" i="11"/>
  <c r="AA1824" i="11"/>
  <c r="AA2192" i="11"/>
  <c r="AA2545" i="11"/>
  <c r="AA2876" i="11"/>
  <c r="AA3212" i="11"/>
  <c r="AA3521" i="11"/>
  <c r="AA109" i="11"/>
  <c r="AA248" i="11"/>
  <c r="AA387" i="11"/>
  <c r="AA543" i="11"/>
  <c r="AA700" i="11"/>
  <c r="AA853" i="11"/>
  <c r="AA1009" i="11"/>
  <c r="AA1166" i="11"/>
  <c r="AA1323" i="11"/>
  <c r="AA1479" i="11"/>
  <c r="AA1632" i="11"/>
  <c r="AA1789" i="11"/>
  <c r="AA1945" i="11"/>
  <c r="AA2104" i="11"/>
  <c r="AA2261" i="11"/>
  <c r="AA2412" i="11"/>
  <c r="AA2571" i="11"/>
  <c r="AA2727" i="11"/>
  <c r="AA2884" i="11"/>
  <c r="AA3040" i="11"/>
  <c r="AA3193" i="11"/>
  <c r="AA3350" i="11"/>
  <c r="AA3507" i="11"/>
  <c r="AA277" i="11"/>
  <c r="AA790" i="11"/>
  <c r="AA1315" i="11"/>
  <c r="AA1804" i="11"/>
  <c r="AA2177" i="11"/>
  <c r="AA2528" i="11"/>
  <c r="AA2821" i="11"/>
  <c r="AA3151" i="11"/>
  <c r="AA3461" i="11"/>
  <c r="AA77" i="11"/>
  <c r="AA216" i="11"/>
  <c r="AA353" i="11"/>
  <c r="AA507" i="11"/>
  <c r="AA663" i="11"/>
  <c r="AA816" i="11"/>
  <c r="AA973" i="11"/>
  <c r="AA1129" i="11"/>
  <c r="AA1286" i="11"/>
  <c r="AA1443" i="11"/>
  <c r="AA1596" i="11"/>
  <c r="AA1752" i="11"/>
  <c r="AA1909" i="11"/>
  <c r="AA2068" i="11"/>
  <c r="AA2224" i="11"/>
  <c r="AA2375" i="11"/>
  <c r="AA2534" i="11"/>
  <c r="AA2691" i="11"/>
  <c r="AA2847" i="11"/>
  <c r="AA3004" i="11"/>
  <c r="AA3157" i="11"/>
  <c r="AA3313" i="11"/>
  <c r="AA3470" i="11"/>
  <c r="AA218" i="11"/>
  <c r="AA696" i="11"/>
  <c r="AA1121" i="11"/>
  <c r="AA1439" i="11"/>
  <c r="AA1732" i="11"/>
  <c r="AA2196" i="11"/>
  <c r="AA2463" i="11"/>
  <c r="AA2561" i="11"/>
  <c r="AA2671" i="11"/>
  <c r="AA2767" i="11"/>
  <c r="AA2865" i="11"/>
  <c r="AA2964" i="11"/>
  <c r="AA3060" i="11"/>
  <c r="AA3158" i="11"/>
  <c r="AA3256" i="11"/>
  <c r="AA3352" i="11"/>
  <c r="AA3451" i="11"/>
  <c r="AA3549" i="11"/>
  <c r="AA122" i="11"/>
  <c r="AA228" i="11"/>
  <c r="AA324" i="11"/>
  <c r="AA440" i="11"/>
  <c r="AA561" i="11"/>
  <c r="AA711" i="11"/>
  <c r="AA3417" i="11"/>
  <c r="AA2399" i="11"/>
  <c r="AA861" i="11"/>
  <c r="AA2053" i="11"/>
  <c r="AA1409" i="11"/>
  <c r="AA2046" i="11"/>
  <c r="AA309" i="11"/>
  <c r="AA2912" i="11"/>
  <c r="AA2031" i="11"/>
  <c r="AA1567" i="11"/>
  <c r="AA2384" i="11"/>
  <c r="AA2700" i="11"/>
  <c r="AA3009" i="11"/>
  <c r="AA3413" i="11"/>
  <c r="AA3167" i="11"/>
  <c r="AA3324" i="11"/>
  <c r="AA3480" i="11"/>
  <c r="AA259" i="11"/>
  <c r="AA654" i="11"/>
  <c r="AA1065" i="11"/>
  <c r="AA1456" i="11"/>
  <c r="AA1960" i="11"/>
  <c r="AA93" i="11"/>
  <c r="AA245" i="11"/>
  <c r="AA385" i="11"/>
  <c r="AA542" i="11"/>
  <c r="AA693" i="11"/>
  <c r="AA852" i="11"/>
  <c r="AA1029" i="11"/>
  <c r="AA1203" i="11"/>
  <c r="AA1359" i="11"/>
  <c r="AA1516" i="11"/>
  <c r="AA1669" i="11"/>
  <c r="AA1825" i="11"/>
  <c r="AA1982" i="11"/>
  <c r="AA2141" i="11"/>
  <c r="AA2297" i="11"/>
  <c r="AA2448" i="11"/>
  <c r="AA2607" i="11"/>
  <c r="AA2764" i="11"/>
  <c r="AA2920" i="11"/>
  <c r="AA3077" i="11"/>
  <c r="AA3230" i="11"/>
  <c r="AA3387" i="11"/>
  <c r="AA3543" i="11"/>
  <c r="AA437" i="11"/>
  <c r="AA888" i="11"/>
  <c r="AA1413" i="11"/>
  <c r="AA1885" i="11"/>
  <c r="AA2253" i="11"/>
  <c r="AA2583" i="11"/>
  <c r="AA2936" i="11"/>
  <c r="AA3249" i="11"/>
  <c r="AA179" i="11"/>
  <c r="AA129" i="11"/>
  <c r="AA266" i="11"/>
  <c r="AA407" i="11"/>
  <c r="AA560" i="11"/>
  <c r="AA717" i="11"/>
  <c r="AA873" i="11"/>
  <c r="AA1030" i="11"/>
  <c r="AA1187" i="11"/>
  <c r="AA1340" i="11"/>
  <c r="AA1496" i="11"/>
  <c r="AA1653" i="11"/>
  <c r="AA1812" i="11"/>
  <c r="AA1968" i="11"/>
  <c r="AA2119" i="11"/>
  <c r="AA2278" i="11"/>
  <c r="AA2435" i="11"/>
  <c r="AA2591" i="11"/>
  <c r="AA2748" i="11"/>
  <c r="AA2901" i="11"/>
  <c r="AA3057" i="11"/>
  <c r="AA3214" i="11"/>
  <c r="AA3371" i="11"/>
  <c r="AA3527" i="11"/>
  <c r="AA330" i="11"/>
  <c r="AA848" i="11"/>
  <c r="AA1375" i="11"/>
  <c r="AA1845" i="11"/>
  <c r="AA2215" i="11"/>
  <c r="AA2566" i="11"/>
  <c r="AA2859" i="11"/>
  <c r="AA3189" i="11"/>
  <c r="AA3504" i="11"/>
  <c r="AA97" i="11"/>
  <c r="AA234" i="11"/>
  <c r="AA371" i="11"/>
  <c r="AA524" i="11"/>
  <c r="AA680" i="11"/>
  <c r="AA837" i="11"/>
  <c r="AA993" i="11"/>
  <c r="AA1150" i="11"/>
  <c r="AA1303" i="11"/>
  <c r="AA1460" i="11"/>
  <c r="AA1616" i="11"/>
  <c r="AA1775" i="11"/>
  <c r="AA1932" i="11"/>
  <c r="AA2083" i="11"/>
  <c r="AA2241" i="11"/>
  <c r="AA2398" i="11"/>
  <c r="AA2555" i="11"/>
  <c r="AA2711" i="11"/>
  <c r="AA2864" i="11"/>
  <c r="AA3021" i="11"/>
  <c r="AA3177" i="11"/>
  <c r="AA3334" i="11"/>
  <c r="AA3491" i="11"/>
  <c r="AA282" i="11"/>
  <c r="AA744" i="11"/>
  <c r="AA1172" i="11"/>
  <c r="AA1476" i="11"/>
  <c r="AA1757" i="11"/>
  <c r="AA2255" i="11"/>
  <c r="AA2475" i="11"/>
  <c r="AA2573" i="11"/>
  <c r="AA2683" i="11"/>
  <c r="AA2781" i="11"/>
  <c r="AA2877" i="11"/>
  <c r="AA2975" i="11"/>
  <c r="AA3073" i="11"/>
  <c r="AA3169" i="11"/>
  <c r="AA3268" i="11"/>
  <c r="AA3366" i="11"/>
  <c r="AA3462" i="11"/>
  <c r="AA26" i="11"/>
  <c r="AA132" i="11"/>
  <c r="AA240" i="11"/>
  <c r="AA346" i="11"/>
  <c r="AA463" i="11"/>
  <c r="AA573" i="11"/>
  <c r="AA1021" i="11"/>
  <c r="AA105" i="11"/>
  <c r="AA3216" i="11"/>
  <c r="AA3043" i="11"/>
  <c r="AA2948" i="11"/>
  <c r="AA1760" i="11"/>
  <c r="AA569" i="11"/>
  <c r="AA615" i="11"/>
  <c r="AA3285" i="11"/>
  <c r="AA2339" i="11"/>
  <c r="AA1877" i="11"/>
  <c r="AA2424" i="11"/>
  <c r="AA2737" i="11"/>
  <c r="AA3047" i="11"/>
  <c r="AA3459" i="11"/>
  <c r="AA3188" i="11"/>
  <c r="AA3344" i="11"/>
  <c r="AA3497" i="11"/>
  <c r="AA297" i="11"/>
  <c r="AA692" i="11"/>
  <c r="AA1103" i="11"/>
  <c r="AA1511" i="11"/>
  <c r="AA2079" i="11"/>
  <c r="AA108" i="11"/>
  <c r="AA265" i="11"/>
  <c r="AA400" i="11"/>
  <c r="AA559" i="11"/>
  <c r="AA716" i="11"/>
  <c r="AA872" i="11"/>
  <c r="AA1067" i="11"/>
  <c r="AA1223" i="11"/>
  <c r="AA1376" i="11"/>
  <c r="AA1533" i="11"/>
  <c r="AA1689" i="11"/>
  <c r="AA1848" i="11"/>
  <c r="AA2005" i="11"/>
  <c r="AA2156" i="11"/>
  <c r="AA2315" i="11"/>
  <c r="AA2471" i="11"/>
  <c r="AA2628" i="11"/>
  <c r="AA2784" i="11"/>
  <c r="AA2937" i="11"/>
  <c r="AA3094" i="11"/>
  <c r="AA3251" i="11"/>
  <c r="AA3407" i="11"/>
  <c r="AA56" i="11"/>
  <c r="AA497" i="11"/>
  <c r="AA967" i="11"/>
  <c r="AA1473" i="11"/>
  <c r="AA1923" i="11"/>
  <c r="AA2291" i="11"/>
  <c r="AA2644" i="11"/>
  <c r="AA2974" i="11"/>
  <c r="AA3287" i="11"/>
  <c r="AA1046" i="11"/>
  <c r="AA147" i="11"/>
  <c r="AA281" i="11"/>
  <c r="AA424" i="11"/>
  <c r="AA581" i="11"/>
  <c r="AA737" i="11"/>
  <c r="AA894" i="11"/>
  <c r="AA1047" i="11"/>
  <c r="AA1204" i="11"/>
  <c r="AA1360" i="11"/>
  <c r="AA1519" i="11"/>
  <c r="AA1676" i="11"/>
  <c r="AA1827" i="11"/>
  <c r="AA1985" i="11"/>
  <c r="AA2142" i="11"/>
  <c r="AA2299" i="11"/>
  <c r="AA2455" i="11"/>
  <c r="AA2608" i="11"/>
  <c r="AA2765" i="11"/>
  <c r="AA2921" i="11"/>
  <c r="AA3078" i="11"/>
  <c r="AA3235" i="11"/>
  <c r="AA3388" i="11"/>
  <c r="AA3544" i="11"/>
  <c r="AA399" i="11"/>
  <c r="AA926" i="11"/>
  <c r="AA1433" i="11"/>
  <c r="AA1900" i="11"/>
  <c r="AA2273" i="11"/>
  <c r="AA2604" i="11"/>
  <c r="AA2896" i="11"/>
  <c r="AA1336" i="11"/>
  <c r="AA495" i="11"/>
  <c r="AA451" i="11"/>
  <c r="AA3496" i="11"/>
  <c r="AA1350" i="11"/>
  <c r="AA2070" i="11"/>
  <c r="AA1777" i="11"/>
  <c r="AA963" i="11"/>
  <c r="AA116" i="11"/>
  <c r="AA2729" i="11"/>
  <c r="AA2033" i="11"/>
  <c r="AA2462" i="11"/>
  <c r="AA2775" i="11"/>
  <c r="AA3103" i="11"/>
  <c r="AA3516" i="11"/>
  <c r="AA3205" i="11"/>
  <c r="AA3361" i="11"/>
  <c r="AA3518" i="11"/>
  <c r="AA345" i="11"/>
  <c r="AA752" i="11"/>
  <c r="AA1141" i="11"/>
  <c r="AA1569" i="11"/>
  <c r="AA2236" i="11"/>
  <c r="AA128" i="11"/>
  <c r="AA280" i="11"/>
  <c r="AA423" i="11"/>
  <c r="AA580" i="11"/>
  <c r="AA736" i="11"/>
  <c r="AA910" i="11"/>
  <c r="AA1084" i="11"/>
  <c r="AA1240" i="11"/>
  <c r="AA1397" i="11"/>
  <c r="AA1556" i="11"/>
  <c r="AA1712" i="11"/>
  <c r="AA1863" i="11"/>
  <c r="AA2022" i="11"/>
  <c r="AA2179" i="11"/>
  <c r="AA2335" i="11"/>
  <c r="AA2492" i="11"/>
  <c r="AA2645" i="11"/>
  <c r="AA2801" i="11"/>
  <c r="AA2958" i="11"/>
  <c r="AA3115" i="11"/>
  <c r="AA3271" i="11"/>
  <c r="AA3424" i="11"/>
  <c r="AA125" i="11"/>
  <c r="AA556" i="11"/>
  <c r="AA1022" i="11"/>
  <c r="AA1532" i="11"/>
  <c r="AA1981" i="11"/>
  <c r="AA2334" i="11"/>
  <c r="AA2681" i="11"/>
  <c r="AA3015" i="11"/>
  <c r="AA3325" i="11"/>
  <c r="AA25" i="11"/>
  <c r="AA162" i="11"/>
  <c r="AA299" i="11"/>
  <c r="AA445" i="11"/>
  <c r="AA601" i="11"/>
  <c r="AA755" i="11"/>
  <c r="AA911" i="11"/>
  <c r="AA1068" i="11"/>
  <c r="AA1227" i="11"/>
  <c r="AA1383" i="11"/>
  <c r="AA1534" i="11"/>
  <c r="AA1693" i="11"/>
  <c r="AA1849" i="11"/>
  <c r="AA2006" i="11"/>
  <c r="AA2163" i="11"/>
  <c r="AA2316" i="11"/>
  <c r="AA2472" i="11"/>
  <c r="AA2629" i="11"/>
  <c r="AA2785" i="11"/>
  <c r="AA2942" i="11"/>
  <c r="AA3095" i="11"/>
  <c r="AA3252" i="11"/>
  <c r="AA3408" i="11"/>
  <c r="AA21" i="11"/>
  <c r="AA460" i="11"/>
  <c r="AA984" i="11"/>
  <c r="AA1494" i="11"/>
  <c r="AA1943" i="11"/>
  <c r="AA2311" i="11"/>
  <c r="AA2627" i="11"/>
  <c r="AA2957" i="11"/>
  <c r="AA3267" i="11"/>
  <c r="AA1763" i="11"/>
  <c r="AA921" i="11"/>
  <c r="AA1117" i="11"/>
  <c r="AA995" i="11"/>
  <c r="AA2483" i="11"/>
  <c r="AA2383" i="11"/>
  <c r="AA2791" i="11"/>
  <c r="AA1313" i="11"/>
  <c r="AA389" i="11"/>
  <c r="AA52" i="11"/>
  <c r="AA2071" i="11"/>
  <c r="AA2503" i="11"/>
  <c r="AA2813" i="11"/>
  <c r="AA3143" i="11"/>
  <c r="AA3069" i="11"/>
  <c r="AA3225" i="11"/>
  <c r="AA3384" i="11"/>
  <c r="AA3541" i="11"/>
  <c r="AA382" i="11"/>
  <c r="AA811" i="11"/>
  <c r="AA1181" i="11"/>
  <c r="AA1592" i="11"/>
  <c r="AA2485" i="11"/>
  <c r="AA141" i="11"/>
  <c r="AA298" i="11"/>
  <c r="AA444" i="11"/>
  <c r="AA597" i="11"/>
  <c r="AA753" i="11"/>
  <c r="AA931" i="11"/>
  <c r="AA1104" i="11"/>
  <c r="AA1263" i="11"/>
  <c r="AA1420" i="11"/>
  <c r="AA1571" i="11"/>
  <c r="AA1729" i="11"/>
  <c r="AA1886" i="11"/>
  <c r="AA2043" i="11"/>
  <c r="AA2199" i="11"/>
  <c r="AA2352" i="11"/>
  <c r="AA2509" i="11"/>
  <c r="AA2665" i="11"/>
  <c r="AA2822" i="11"/>
  <c r="AA2979" i="11"/>
  <c r="AA3132" i="11"/>
  <c r="AA3288" i="11"/>
  <c r="AA3445" i="11"/>
  <c r="AA160" i="11"/>
  <c r="AA616" i="11"/>
  <c r="AA1083" i="11"/>
  <c r="AA1607" i="11"/>
  <c r="AA2019" i="11"/>
  <c r="AA2372" i="11"/>
  <c r="AA2723" i="11"/>
  <c r="AA3055" i="11"/>
  <c r="AA3363" i="11"/>
  <c r="AA43" i="11"/>
  <c r="AA180" i="11"/>
  <c r="AA317" i="11"/>
  <c r="AA462" i="11"/>
  <c r="AA619" i="11"/>
  <c r="AA775" i="11"/>
  <c r="AA934" i="11"/>
  <c r="AA1091" i="11"/>
  <c r="AA1241" i="11"/>
  <c r="AA1400" i="11"/>
  <c r="AA1557" i="11"/>
  <c r="AA1713" i="11"/>
  <c r="AA1870" i="11"/>
  <c r="AA2023" i="11"/>
  <c r="AA2180" i="11"/>
  <c r="AA2336" i="11"/>
  <c r="AA2493" i="11"/>
  <c r="AA2649" i="11"/>
  <c r="AA2803" i="11"/>
  <c r="AA2959" i="11"/>
  <c r="AA3116" i="11"/>
  <c r="AA3275" i="11"/>
  <c r="AA3431" i="11"/>
  <c r="AA89" i="11"/>
  <c r="AA518" i="11"/>
  <c r="AA1045" i="11"/>
  <c r="AA1552" i="11"/>
  <c r="AA1998" i="11"/>
  <c r="AA2351" i="11"/>
  <c r="AA2664" i="11"/>
  <c r="AA2995" i="11"/>
  <c r="AA2078" i="11"/>
  <c r="AA1625" i="11"/>
  <c r="AA1934" i="11"/>
  <c r="AA2089" i="11"/>
  <c r="AA185" i="11"/>
  <c r="AA2693" i="11"/>
  <c r="AA727" i="11"/>
  <c r="AA1667" i="11"/>
  <c r="AA702" i="11"/>
  <c r="AA323" i="11"/>
  <c r="AA2115" i="11"/>
  <c r="AA2543" i="11"/>
  <c r="AA2851" i="11"/>
  <c r="AA3203" i="11"/>
  <c r="AA3092" i="11"/>
  <c r="AA3248" i="11"/>
  <c r="AA3399" i="11"/>
  <c r="AA74" i="11"/>
  <c r="AA422" i="11"/>
  <c r="AA871" i="11"/>
  <c r="AA1219" i="11"/>
  <c r="AA1651" i="11"/>
  <c r="AA2919" i="11"/>
  <c r="AA161" i="11"/>
  <c r="AA313" i="11"/>
  <c r="AA461" i="11"/>
  <c r="AA617" i="11"/>
  <c r="AA774" i="11"/>
  <c r="AA948" i="11"/>
  <c r="AA1127" i="11"/>
  <c r="AA1278" i="11"/>
  <c r="AA1437" i="11"/>
  <c r="AA1593" i="11"/>
  <c r="AA1750" i="11"/>
  <c r="AA1907" i="11"/>
  <c r="AA2060" i="11"/>
  <c r="AA2216" i="11"/>
  <c r="AA2373" i="11"/>
  <c r="AA2529" i="11"/>
  <c r="AA2686" i="11"/>
  <c r="AA2839" i="11"/>
  <c r="AA2996" i="11"/>
  <c r="AA3152" i="11"/>
  <c r="AA3311" i="11"/>
  <c r="AA3468" i="11"/>
  <c r="AA211" i="11"/>
  <c r="AA675" i="11"/>
  <c r="AA1164" i="11"/>
  <c r="AA1668" i="11"/>
  <c r="AA2059" i="11"/>
  <c r="AA2409" i="11"/>
  <c r="AA2763" i="11"/>
  <c r="AA3093" i="11"/>
  <c r="AA3406" i="11"/>
  <c r="AA61" i="11"/>
  <c r="AA195" i="11"/>
  <c r="AA332" i="11"/>
  <c r="AA483" i="11"/>
  <c r="AA641" i="11"/>
  <c r="AA798" i="11"/>
  <c r="AA949" i="11"/>
  <c r="AA1108" i="11"/>
  <c r="AA1264" i="11"/>
  <c r="AA1421" i="11"/>
  <c r="AA1577" i="11"/>
  <c r="AA1731" i="11"/>
  <c r="AA1887" i="11"/>
  <c r="AA2044" i="11"/>
  <c r="AA2200" i="11"/>
  <c r="AA2357" i="11"/>
  <c r="AA2510" i="11"/>
  <c r="AA2667" i="11"/>
  <c r="AA2823" i="11"/>
  <c r="AA2982" i="11"/>
  <c r="AA3139" i="11"/>
  <c r="AA3289" i="11"/>
  <c r="AA3448" i="11"/>
  <c r="AA140" i="11"/>
  <c r="AA579" i="11"/>
  <c r="AA1120" i="11"/>
  <c r="AA1630" i="11"/>
  <c r="AA2041" i="11"/>
  <c r="AA2389" i="11"/>
  <c r="AA2702" i="11"/>
  <c r="AA3032" i="11"/>
  <c r="AA2388" i="11"/>
  <c r="AA301" i="11"/>
  <c r="AA2832" i="11"/>
  <c r="AA2790" i="11"/>
  <c r="AA471" i="11"/>
  <c r="AA3006" i="11"/>
  <c r="AA2169" i="11"/>
  <c r="AA1980" i="11"/>
  <c r="AA1055" i="11"/>
  <c r="AA629" i="11"/>
  <c r="AA2152" i="11"/>
  <c r="AA2581" i="11"/>
  <c r="AA2894" i="11"/>
  <c r="AA3260" i="11"/>
  <c r="AA3107" i="11"/>
  <c r="AA3265" i="11"/>
  <c r="AA3422" i="11"/>
  <c r="AA41" i="11"/>
  <c r="AA480" i="11"/>
  <c r="AA909" i="11"/>
  <c r="AA1277" i="11"/>
  <c r="AA1705" i="11"/>
  <c r="AA42" i="11"/>
  <c r="AA194" i="11"/>
  <c r="AA331" i="11"/>
  <c r="AA481" i="11"/>
  <c r="AA638" i="11"/>
  <c r="AA791" i="11"/>
  <c r="AA971" i="11"/>
  <c r="AA1144" i="11"/>
  <c r="AA1301" i="11"/>
  <c r="AA1457" i="11"/>
  <c r="AA1614" i="11"/>
  <c r="AA1767" i="11"/>
  <c r="AA1924" i="11"/>
  <c r="AA2080" i="11"/>
  <c r="AA2237" i="11"/>
  <c r="AA2393" i="11"/>
  <c r="AA2547" i="11"/>
  <c r="AA2703" i="11"/>
  <c r="AA2860" i="11"/>
  <c r="AA3019" i="11"/>
  <c r="AA3175" i="11"/>
  <c r="AA3326" i="11"/>
  <c r="AA3485" i="11"/>
  <c r="AA244" i="11"/>
  <c r="AA715" i="11"/>
  <c r="AA1239" i="11"/>
  <c r="AA1726" i="11"/>
  <c r="AA2117" i="11"/>
  <c r="AA2447" i="11"/>
  <c r="AA2800" i="11"/>
  <c r="AA3131" i="11"/>
  <c r="AA3444" i="11"/>
  <c r="AA76" i="11"/>
  <c r="AA213" i="11"/>
  <c r="AA352" i="11"/>
  <c r="AA505" i="11"/>
  <c r="AA656" i="11"/>
  <c r="AA815" i="11"/>
  <c r="AA972" i="11"/>
  <c r="AA1128" i="11"/>
  <c r="AA1285" i="11"/>
  <c r="AA1438" i="11"/>
  <c r="AA1595" i="11"/>
  <c r="AA1751" i="11"/>
  <c r="AA1908" i="11"/>
  <c r="AA2064" i="11"/>
  <c r="AA2217" i="11"/>
  <c r="AA2374" i="11"/>
  <c r="AA2531" i="11"/>
  <c r="AA2689" i="11"/>
  <c r="AA2846" i="11"/>
  <c r="AA2997" i="11"/>
  <c r="AA3156" i="11"/>
  <c r="AA3312" i="11"/>
  <c r="AA3469" i="11"/>
  <c r="AA193" i="11"/>
  <c r="AA633" i="11"/>
  <c r="AA1201" i="11"/>
  <c r="AA1688" i="11"/>
  <c r="AA2096" i="11"/>
  <c r="AA2430" i="11"/>
  <c r="AA2740" i="11"/>
  <c r="AA3070" i="11"/>
  <c r="AA3385" i="11"/>
  <c r="AA44" i="11"/>
  <c r="AA181" i="11"/>
  <c r="AA320" i="11"/>
  <c r="AA469" i="11"/>
  <c r="AA620" i="11"/>
  <c r="AA779" i="11"/>
  <c r="AA935" i="11"/>
  <c r="AA1092" i="11"/>
  <c r="AA1248" i="11"/>
  <c r="AA1401" i="11"/>
  <c r="AA1558" i="11"/>
  <c r="AA1715" i="11"/>
  <c r="AA1871" i="11"/>
  <c r="AA2028" i="11"/>
  <c r="AA2181" i="11"/>
  <c r="AA2337" i="11"/>
  <c r="AA2494" i="11"/>
  <c r="AA2653" i="11"/>
  <c r="AA2809" i="11"/>
  <c r="AA2960" i="11"/>
  <c r="AA3119" i="11"/>
  <c r="AA3276" i="11"/>
  <c r="AA3432" i="11"/>
  <c r="AA100" i="11"/>
  <c r="AA598" i="11"/>
  <c r="AA1000" i="11"/>
  <c r="AA1366" i="11"/>
  <c r="AA1659" i="11"/>
  <c r="AA2049" i="11"/>
  <c r="AA2427" i="11"/>
  <c r="AA2536" i="11"/>
  <c r="AA2635" i="11"/>
  <c r="AA2744" i="11"/>
  <c r="AA2840" i="11"/>
  <c r="AA2939" i="11"/>
  <c r="AA3037" i="11"/>
  <c r="AA3133" i="11"/>
  <c r="AA3231" i="11"/>
  <c r="AA3329" i="11"/>
  <c r="AA3425" i="11"/>
  <c r="AA3524" i="11"/>
  <c r="AA90" i="11"/>
  <c r="AA196" i="11"/>
  <c r="AA304" i="11"/>
  <c r="AA415" i="11"/>
  <c r="AA536" i="11"/>
  <c r="AA3229" i="11"/>
  <c r="AA130" i="11"/>
  <c r="AA408" i="11"/>
  <c r="AA718" i="11"/>
  <c r="AA1031" i="11"/>
  <c r="AA1347" i="11"/>
  <c r="AA1656" i="11"/>
  <c r="AA1969" i="11"/>
  <c r="AA2279" i="11"/>
  <c r="AA2592" i="11"/>
  <c r="AA2905" i="11"/>
  <c r="AA3215" i="11"/>
  <c r="AA3531" i="11"/>
  <c r="AA854" i="11"/>
  <c r="AA1549" i="11"/>
  <c r="AA2365" i="11"/>
  <c r="AA2598" i="11"/>
  <c r="AA2804" i="11"/>
  <c r="AA3000" i="11"/>
  <c r="AA3195" i="11"/>
  <c r="AA3389" i="11"/>
  <c r="AA58" i="11"/>
  <c r="AA260" i="11"/>
  <c r="AA488" i="11"/>
  <c r="AA671" i="11"/>
  <c r="AA792" i="11"/>
  <c r="AA927" i="11"/>
  <c r="AA1048" i="11"/>
  <c r="AA1183" i="11"/>
  <c r="AA1318" i="11"/>
  <c r="AA1464" i="11"/>
  <c r="AA1611" i="11"/>
  <c r="AA1768" i="11"/>
  <c r="AA1903" i="11"/>
  <c r="AA2013" i="11"/>
  <c r="AA2123" i="11"/>
  <c r="AA2244" i="11"/>
  <c r="AA2379" i="11"/>
  <c r="AA69" i="11"/>
  <c r="AA155" i="11"/>
  <c r="AA241" i="11"/>
  <c r="AA325" i="11"/>
  <c r="AA416" i="11"/>
  <c r="AA515" i="11"/>
  <c r="AA611" i="11"/>
  <c r="AA709" i="11"/>
  <c r="AA807" i="11"/>
  <c r="AA903" i="11"/>
  <c r="AA1013" i="11"/>
  <c r="AA1111" i="11"/>
  <c r="AA1209" i="11"/>
  <c r="AA1305" i="11"/>
  <c r="AA1404" i="11"/>
  <c r="AA1502" i="11"/>
  <c r="AA1598" i="11"/>
  <c r="AA1696" i="11"/>
  <c r="AA1795" i="11"/>
  <c r="AA1891" i="11"/>
  <c r="AA1989" i="11"/>
  <c r="AA2087" i="11"/>
  <c r="AA2183" i="11"/>
  <c r="AA2281" i="11"/>
  <c r="AA2380" i="11"/>
  <c r="AA2476" i="11"/>
  <c r="AA2574" i="11"/>
  <c r="AA2672" i="11"/>
  <c r="AA2768" i="11"/>
  <c r="AA2867" i="11"/>
  <c r="AA2965" i="11"/>
  <c r="AA3061" i="11"/>
  <c r="AA3159" i="11"/>
  <c r="AA3257" i="11"/>
  <c r="AA3353" i="11"/>
  <c r="AA3452" i="11"/>
  <c r="AA3550" i="11"/>
  <c r="AA92" i="11"/>
  <c r="AA178" i="11"/>
  <c r="AA264" i="11"/>
  <c r="AA348" i="11"/>
  <c r="AA443" i="11"/>
  <c r="AA541" i="11"/>
  <c r="AA637" i="11"/>
  <c r="AA735" i="11"/>
  <c r="AA833" i="11"/>
  <c r="AA929" i="11"/>
  <c r="AA1028" i="11"/>
  <c r="AA1126" i="11"/>
  <c r="AA1222" i="11"/>
  <c r="AA1320" i="11"/>
  <c r="AA1419" i="11"/>
  <c r="AA1515" i="11"/>
  <c r="AA1613" i="11"/>
  <c r="AA1711" i="11"/>
  <c r="AA1807" i="11"/>
  <c r="AA1905" i="11"/>
  <c r="AA2004" i="11"/>
  <c r="AA2100" i="11"/>
  <c r="AA2198" i="11"/>
  <c r="AA2296" i="11"/>
  <c r="AA2392" i="11"/>
  <c r="AA2491" i="11"/>
  <c r="AA2589" i="11"/>
  <c r="AA2685" i="11"/>
  <c r="AA2783" i="11"/>
  <c r="AA2881" i="11"/>
  <c r="AA2977" i="11"/>
  <c r="AA3076" i="11"/>
  <c r="AA3174" i="11"/>
  <c r="AA3270" i="11"/>
  <c r="AA3368" i="11"/>
  <c r="AA3467" i="11"/>
  <c r="AA22" i="11"/>
  <c r="AA86" i="11"/>
  <c r="AA150" i="11"/>
  <c r="AA214" i="11"/>
  <c r="AA278" i="11"/>
  <c r="AA342" i="11"/>
  <c r="AA411" i="11"/>
  <c r="AA484" i="11"/>
  <c r="AA557" i="11"/>
  <c r="AA630" i="11"/>
  <c r="AA703" i="11"/>
  <c r="AA776" i="11"/>
  <c r="AA849" i="11"/>
  <c r="AA923" i="11"/>
  <c r="AA996" i="11"/>
  <c r="AA1069" i="11"/>
  <c r="AA1142" i="11"/>
  <c r="AA1215" i="11"/>
  <c r="AA1288" i="11"/>
  <c r="AA1361" i="11"/>
  <c r="AA1435" i="11"/>
  <c r="AA1508" i="11"/>
  <c r="AA1581" i="11"/>
  <c r="AA1654" i="11"/>
  <c r="AA1727" i="11"/>
  <c r="AA1800" i="11"/>
  <c r="AA1873" i="11"/>
  <c r="AA1947" i="11"/>
  <c r="AA2020" i="11"/>
  <c r="AA2093" i="11"/>
  <c r="AA2166" i="11"/>
  <c r="AA2239" i="11"/>
  <c r="AA2312" i="11"/>
  <c r="AA2385" i="11"/>
  <c r="AA2459" i="11"/>
  <c r="AA2532" i="11"/>
  <c r="AA2605" i="11"/>
  <c r="AA2678" i="11"/>
  <c r="AA2751" i="11"/>
  <c r="AA2824" i="11"/>
  <c r="AA2897" i="11"/>
  <c r="AA2971" i="11"/>
  <c r="AA3044" i="11"/>
  <c r="AA3117" i="11"/>
  <c r="AA3190" i="11"/>
  <c r="AA3263" i="11"/>
  <c r="AA3336" i="11"/>
  <c r="AA3409" i="11"/>
  <c r="AA3483" i="11"/>
  <c r="AA23" i="11"/>
  <c r="AA87" i="11"/>
  <c r="AA151" i="11"/>
  <c r="AA215" i="11"/>
  <c r="AA279" i="11"/>
  <c r="AA343" i="11"/>
  <c r="AA412" i="11"/>
  <c r="AA485" i="11"/>
  <c r="AA558" i="11"/>
  <c r="AA631" i="11"/>
  <c r="AA704" i="11"/>
  <c r="AA3308" i="11"/>
  <c r="AA148" i="11"/>
  <c r="AA425" i="11"/>
  <c r="AA739" i="11"/>
  <c r="AA1054" i="11"/>
  <c r="AA1364" i="11"/>
  <c r="AA1677" i="11"/>
  <c r="AA1987" i="11"/>
  <c r="AA2300" i="11"/>
  <c r="AA2613" i="11"/>
  <c r="AA2923" i="11"/>
  <c r="AA3238" i="11"/>
  <c r="AA3545" i="11"/>
  <c r="AA902" i="11"/>
  <c r="AA1585" i="11"/>
  <c r="AA2390" i="11"/>
  <c r="AA2609" i="11"/>
  <c r="AA2817" i="11"/>
  <c r="AA3012" i="11"/>
  <c r="AA3206" i="11"/>
  <c r="AA3403" i="11"/>
  <c r="AA68" i="11"/>
  <c r="AA272" i="11"/>
  <c r="AA500" i="11"/>
  <c r="AA683" i="11"/>
  <c r="AA817" i="11"/>
  <c r="AA939" i="11"/>
  <c r="AA1073" i="11"/>
  <c r="AA1195" i="11"/>
  <c r="AA1341" i="11"/>
  <c r="AA1487" i="11"/>
  <c r="AA1633" i="11"/>
  <c r="AA1780" i="11"/>
  <c r="AA1915" i="11"/>
  <c r="AA2024" i="11"/>
  <c r="AA2145" i="11"/>
  <c r="AA2269" i="11"/>
  <c r="AA2401" i="11"/>
  <c r="AA81" i="11"/>
  <c r="AA165" i="11"/>
  <c r="AA251" i="11"/>
  <c r="AA337" i="11"/>
  <c r="AA428" i="11"/>
  <c r="AA526" i="11"/>
  <c r="AA624" i="11"/>
  <c r="AA720" i="11"/>
  <c r="AA819" i="11"/>
  <c r="AA917" i="11"/>
  <c r="AA1027" i="11"/>
  <c r="AA1123" i="11"/>
  <c r="AA1221" i="11"/>
  <c r="AA1319" i="11"/>
  <c r="AA1415" i="11"/>
  <c r="AA1513" i="11"/>
  <c r="AA1612" i="11"/>
  <c r="AA1708" i="11"/>
  <c r="AA1806" i="11"/>
  <c r="AA1904" i="11"/>
  <c r="AA2000" i="11"/>
  <c r="AA2099" i="11"/>
  <c r="AA2197" i="11"/>
  <c r="AA2293" i="11"/>
  <c r="AA2391" i="11"/>
  <c r="AA2489" i="11"/>
  <c r="AA2585" i="11"/>
  <c r="AA2684" i="11"/>
  <c r="AA2782" i="11"/>
  <c r="AA2878" i="11"/>
  <c r="AA2976" i="11"/>
  <c r="AA3075" i="11"/>
  <c r="AA3171" i="11"/>
  <c r="AA3269" i="11"/>
  <c r="AA3367" i="11"/>
  <c r="AA3463" i="11"/>
  <c r="AA965" i="11"/>
  <c r="AA104" i="11"/>
  <c r="AA188" i="11"/>
  <c r="AA274" i="11"/>
  <c r="AA360" i="11"/>
  <c r="AA454" i="11"/>
  <c r="AA552" i="11"/>
  <c r="AA651" i="11"/>
  <c r="AA747" i="11"/>
  <c r="AA845" i="11"/>
  <c r="AA943" i="11"/>
  <c r="AA1039" i="11"/>
  <c r="AA1137" i="11"/>
  <c r="AA1236" i="11"/>
  <c r="AA1332" i="11"/>
  <c r="AA1430" i="11"/>
  <c r="AA1528" i="11"/>
  <c r="AA1624" i="11"/>
  <c r="AA1723" i="11"/>
  <c r="AA1821" i="11"/>
  <c r="AA1917" i="11"/>
  <c r="AA2015" i="11"/>
  <c r="AA2113" i="11"/>
  <c r="AA2209" i="11"/>
  <c r="AA2308" i="11"/>
  <c r="AA2406" i="11"/>
  <c r="AA2502" i="11"/>
  <c r="AA2600" i="11"/>
  <c r="AA2699" i="11"/>
  <c r="AA2795" i="11"/>
  <c r="AA2893" i="11"/>
  <c r="AA2991" i="11"/>
  <c r="AA3087" i="11"/>
  <c r="AA3185" i="11"/>
  <c r="AA3284" i="11"/>
  <c r="AA3380" i="11"/>
  <c r="AA3478" i="11"/>
  <c r="AA30" i="11"/>
  <c r="AA94" i="11"/>
  <c r="AA158" i="11"/>
  <c r="AA222" i="11"/>
  <c r="AA286" i="11"/>
  <c r="AA350" i="11"/>
  <c r="AA420" i="11"/>
  <c r="AA493" i="11"/>
  <c r="AA566" i="11"/>
  <c r="AA639" i="11"/>
  <c r="AA712" i="11"/>
  <c r="AA785" i="11"/>
  <c r="AA859" i="11"/>
  <c r="AA932" i="11"/>
  <c r="AA1005" i="11"/>
  <c r="AA1078" i="11"/>
  <c r="AA1151" i="11"/>
  <c r="AA1224" i="11"/>
  <c r="AA1297" i="11"/>
  <c r="AA1371" i="11"/>
  <c r="AA1444" i="11"/>
  <c r="AA1517" i="11"/>
  <c r="AA1590" i="11"/>
  <c r="AA1663" i="11"/>
  <c r="AA1736" i="11"/>
  <c r="AA1809" i="11"/>
  <c r="AA1883" i="11"/>
  <c r="AA1956" i="11"/>
  <c r="AA2029" i="11"/>
  <c r="AA2102" i="11"/>
  <c r="AA2175" i="11"/>
  <c r="AA2248" i="11"/>
  <c r="AA2321" i="11"/>
  <c r="AA2395" i="11"/>
  <c r="AA2468" i="11"/>
  <c r="AA2541" i="11"/>
  <c r="AA2614" i="11"/>
  <c r="AA2687" i="11"/>
  <c r="AA2760" i="11"/>
  <c r="AA2833" i="11"/>
  <c r="AA2907" i="11"/>
  <c r="AA2980" i="11"/>
  <c r="AA3053" i="11"/>
  <c r="AA3126" i="11"/>
  <c r="AA3199" i="11"/>
  <c r="AA3272" i="11"/>
  <c r="AA3345" i="11"/>
  <c r="AA3419" i="11"/>
  <c r="AA3492" i="11"/>
  <c r="AA31" i="11"/>
  <c r="AA95" i="11"/>
  <c r="AA159" i="11"/>
  <c r="AA223" i="11"/>
  <c r="AA287" i="11"/>
  <c r="AA351" i="11"/>
  <c r="AA421" i="11"/>
  <c r="AA494" i="11"/>
  <c r="AA567" i="11"/>
  <c r="AA640" i="11"/>
  <c r="AA713" i="11"/>
  <c r="AA3348" i="11"/>
  <c r="AA163" i="11"/>
  <c r="AA446" i="11"/>
  <c r="AA761" i="11"/>
  <c r="AA1071" i="11"/>
  <c r="AA1384" i="11"/>
  <c r="AA1694" i="11"/>
  <c r="AA2007" i="11"/>
  <c r="AA2320" i="11"/>
  <c r="AA2630" i="11"/>
  <c r="AA2945" i="11"/>
  <c r="AA3253" i="11"/>
  <c r="AA36" i="11"/>
  <c r="AA952" i="11"/>
  <c r="AA1622" i="11"/>
  <c r="AA2415" i="11"/>
  <c r="AA2621" i="11"/>
  <c r="AA2829" i="11"/>
  <c r="AA3023" i="11"/>
  <c r="AA3220" i="11"/>
  <c r="AA3414" i="11"/>
  <c r="AA80" i="11"/>
  <c r="AA292" i="11"/>
  <c r="AA513" i="11"/>
  <c r="AA708" i="11"/>
  <c r="AA829" i="11"/>
  <c r="AA964" i="11"/>
  <c r="AA1085" i="11"/>
  <c r="AA1220" i="11"/>
  <c r="AA1355" i="11"/>
  <c r="AA1501" i="11"/>
  <c r="AA1647" i="11"/>
  <c r="AA1805" i="11"/>
  <c r="AA1926" i="11"/>
  <c r="AA2036" i="11"/>
  <c r="AA2159" i="11"/>
  <c r="AA2280" i="11"/>
  <c r="AA2438" i="11"/>
  <c r="AA91" i="11"/>
  <c r="AA177" i="11"/>
  <c r="AA261" i="11"/>
  <c r="AA347" i="11"/>
  <c r="AA441" i="11"/>
  <c r="AA537" i="11"/>
  <c r="AA636" i="11"/>
  <c r="AA734" i="11"/>
  <c r="AA830" i="11"/>
  <c r="AA928" i="11"/>
  <c r="AA1038" i="11"/>
  <c r="AA1136" i="11"/>
  <c r="AA1232" i="11"/>
  <c r="AA1331" i="11"/>
  <c r="AA1429" i="11"/>
  <c r="AA1525" i="11"/>
  <c r="AA1623" i="11"/>
  <c r="AA1721" i="11"/>
  <c r="AA1817" i="11"/>
  <c r="AA1916" i="11"/>
  <c r="AA2014" i="11"/>
  <c r="AA2110" i="11"/>
  <c r="AA2208" i="11"/>
  <c r="AA2307" i="11"/>
  <c r="AA2403" i="11"/>
  <c r="AA2501" i="11"/>
  <c r="AA2599" i="11"/>
  <c r="AA2695" i="11"/>
  <c r="AA2793" i="11"/>
  <c r="AA2892" i="11"/>
  <c r="AA2988" i="11"/>
  <c r="AA3086" i="11"/>
  <c r="AA3184" i="11"/>
  <c r="AA3280" i="11"/>
  <c r="AA3379" i="11"/>
  <c r="AA3477" i="11"/>
  <c r="AA28" i="11"/>
  <c r="AA114" i="11"/>
  <c r="AA200" i="11"/>
  <c r="AA284" i="11"/>
  <c r="AA370" i="11"/>
  <c r="AA468" i="11"/>
  <c r="AA564" i="11"/>
  <c r="AA662" i="11"/>
  <c r="AA760" i="11"/>
  <c r="AA856" i="11"/>
  <c r="AA955" i="11"/>
  <c r="AA1053" i="11"/>
  <c r="AA1149" i="11"/>
  <c r="AA1247" i="11"/>
  <c r="AA1345" i="11"/>
  <c r="AA1441" i="11"/>
  <c r="AA1540" i="11"/>
  <c r="AA1638" i="11"/>
  <c r="AA1734" i="11"/>
  <c r="AA1832" i="11"/>
  <c r="AA1931" i="11"/>
  <c r="AA2027" i="11"/>
  <c r="AA2125" i="11"/>
  <c r="AA2223" i="11"/>
  <c r="AA2319" i="11"/>
  <c r="AA2417" i="11"/>
  <c r="AA2516" i="11"/>
  <c r="AA2612" i="11"/>
  <c r="AA2710" i="11"/>
  <c r="AA2808" i="11"/>
  <c r="AA2904" i="11"/>
  <c r="AA3003" i="11"/>
  <c r="AA3101" i="11"/>
  <c r="AA3197" i="11"/>
  <c r="AA3295" i="11"/>
  <c r="AA3393" i="11"/>
  <c r="AA3489" i="11"/>
  <c r="AA38" i="11"/>
  <c r="AA102" i="11"/>
  <c r="AA166" i="11"/>
  <c r="AA230" i="11"/>
  <c r="AA294" i="11"/>
  <c r="AA358" i="11"/>
  <c r="AA429" i="11"/>
  <c r="AA502" i="11"/>
  <c r="AA575" i="11"/>
  <c r="AA648" i="11"/>
  <c r="AA721" i="11"/>
  <c r="AA795" i="11"/>
  <c r="AA868" i="11"/>
  <c r="AA941" i="11"/>
  <c r="AA1014" i="11"/>
  <c r="AA1087" i="11"/>
  <c r="AA1160" i="11"/>
  <c r="AA1233" i="11"/>
  <c r="AA1307" i="11"/>
  <c r="AA1380" i="11"/>
  <c r="AA1453" i="11"/>
  <c r="AA1526" i="11"/>
  <c r="AA1599" i="11"/>
  <c r="AA1672" i="11"/>
  <c r="AA1745" i="11"/>
  <c r="AA1819" i="11"/>
  <c r="AA1892" i="11"/>
  <c r="AA1965" i="11"/>
  <c r="AA2038" i="11"/>
  <c r="AA2111" i="11"/>
  <c r="AA2184" i="11"/>
  <c r="AA2257" i="11"/>
  <c r="AA2331" i="11"/>
  <c r="AA2404" i="11"/>
  <c r="AA2477" i="11"/>
  <c r="AA2550" i="11"/>
  <c r="AA2623" i="11"/>
  <c r="AA2696" i="11"/>
  <c r="AA2769" i="11"/>
  <c r="AA2843" i="11"/>
  <c r="AA2916" i="11"/>
  <c r="AA2989" i="11"/>
  <c r="AA3062" i="11"/>
  <c r="AA3135" i="11"/>
  <c r="AA3208" i="11"/>
  <c r="AA3281" i="11"/>
  <c r="AA3355" i="11"/>
  <c r="AA3428" i="11"/>
  <c r="AA3501" i="11"/>
  <c r="AA39" i="11"/>
  <c r="AA103" i="11"/>
  <c r="AA167" i="11"/>
  <c r="AA231" i="11"/>
  <c r="AA295" i="11"/>
  <c r="AA359" i="11"/>
  <c r="AA430" i="11"/>
  <c r="AA503" i="11"/>
  <c r="AA576" i="11"/>
  <c r="AA649" i="11"/>
  <c r="AA3542" i="11"/>
  <c r="AA249" i="11"/>
  <c r="AA544" i="11"/>
  <c r="AA857" i="11"/>
  <c r="AA1167" i="11"/>
  <c r="AA1483" i="11"/>
  <c r="AA1790" i="11"/>
  <c r="AA2105" i="11"/>
  <c r="AA2419" i="11"/>
  <c r="AA2728" i="11"/>
  <c r="AA3041" i="11"/>
  <c r="AA3351" i="11"/>
  <c r="AA336" i="11"/>
  <c r="AA1208" i="11"/>
  <c r="AA1793" i="11"/>
  <c r="AA2488" i="11"/>
  <c r="AA2694" i="11"/>
  <c r="AA2891" i="11"/>
  <c r="AA3085" i="11"/>
  <c r="AA3279" i="11"/>
  <c r="AA3476" i="11"/>
  <c r="AA144" i="11"/>
  <c r="AA356" i="11"/>
  <c r="AA587" i="11"/>
  <c r="AA719" i="11"/>
  <c r="AA843" i="11"/>
  <c r="AA975" i="11"/>
  <c r="AA1099" i="11"/>
  <c r="AA1231" i="11"/>
  <c r="AA1377" i="11"/>
  <c r="AA1524" i="11"/>
  <c r="AA1670" i="11"/>
  <c r="AA1816" i="11"/>
  <c r="AA1940" i="11"/>
  <c r="AA2061" i="11"/>
  <c r="AA2171" i="11"/>
  <c r="AA2292" i="11"/>
  <c r="AA2646" i="11"/>
  <c r="AA101" i="11"/>
  <c r="AA187" i="11"/>
  <c r="AA273" i="11"/>
  <c r="AA357" i="11"/>
  <c r="AA453" i="11"/>
  <c r="AA551" i="11"/>
  <c r="AA647" i="11"/>
  <c r="AA745" i="11"/>
  <c r="AA844" i="11"/>
  <c r="AA940" i="11"/>
  <c r="AA1049" i="11"/>
  <c r="AA1148" i="11"/>
  <c r="AA1246" i="11"/>
  <c r="AA1342" i="11"/>
  <c r="AA1440" i="11"/>
  <c r="AA1539" i="11"/>
  <c r="AA1635" i="11"/>
  <c r="AA1733" i="11"/>
  <c r="AA1831" i="11"/>
  <c r="AA1927" i="11"/>
  <c r="AA2025" i="11"/>
  <c r="AA2124" i="11"/>
  <c r="AA2220" i="11"/>
  <c r="AA2318" i="11"/>
  <c r="AA2416" i="11"/>
  <c r="AA2512" i="11"/>
  <c r="AA2611" i="11"/>
  <c r="AA2709" i="11"/>
  <c r="AA2805" i="11"/>
  <c r="AA2903" i="11"/>
  <c r="AA3001" i="11"/>
  <c r="AA3097" i="11"/>
  <c r="AA3196" i="11"/>
  <c r="AA3294" i="11"/>
  <c r="AA24" i="11"/>
  <c r="AA267" i="11"/>
  <c r="AA565" i="11"/>
  <c r="AA875" i="11"/>
  <c r="AA1190" i="11"/>
  <c r="AA1497" i="11"/>
  <c r="AA1813" i="11"/>
  <c r="AA2126" i="11"/>
  <c r="AA2436" i="11"/>
  <c r="AA2749" i="11"/>
  <c r="AA3059" i="11"/>
  <c r="AA3372" i="11"/>
  <c r="AA390" i="11"/>
  <c r="AA1245" i="11"/>
  <c r="AA1841" i="11"/>
  <c r="AA2500" i="11"/>
  <c r="AA2708" i="11"/>
  <c r="AA2902" i="11"/>
  <c r="AA3096" i="11"/>
  <c r="AA3293" i="11"/>
  <c r="AA3487" i="11"/>
  <c r="AA164" i="11"/>
  <c r="AA368" i="11"/>
  <c r="AA609" i="11"/>
  <c r="AA733" i="11"/>
  <c r="AA865" i="11"/>
  <c r="AA989" i="11"/>
  <c r="AA1110" i="11"/>
  <c r="AA1256" i="11"/>
  <c r="AA1391" i="11"/>
  <c r="AA1537" i="11"/>
  <c r="AA1684" i="11"/>
  <c r="AA1830" i="11"/>
  <c r="AA1951" i="11"/>
  <c r="AA2072" i="11"/>
  <c r="AA2182" i="11"/>
  <c r="AA2305" i="11"/>
  <c r="AA27" i="11"/>
  <c r="AA113" i="11"/>
  <c r="AA197" i="11"/>
  <c r="AA283" i="11"/>
  <c r="AA369" i="11"/>
  <c r="AA464" i="11"/>
  <c r="AA563" i="11"/>
  <c r="AA661" i="11"/>
  <c r="AA757" i="11"/>
  <c r="AA855" i="11"/>
  <c r="AA953" i="11"/>
  <c r="AA1063" i="11"/>
  <c r="AA1159" i="11"/>
  <c r="AA1257" i="11"/>
  <c r="AA1356" i="11"/>
  <c r="AA1452" i="11"/>
  <c r="AA1550" i="11"/>
  <c r="AA1648" i="11"/>
  <c r="AA1744" i="11"/>
  <c r="AA1843" i="11"/>
  <c r="AA1941" i="11"/>
  <c r="AA2037" i="11"/>
  <c r="AA2135" i="11"/>
  <c r="AA2233" i="11"/>
  <c r="AA2329" i="11"/>
  <c r="AA2428" i="11"/>
  <c r="AA2526" i="11"/>
  <c r="AA2622" i="11"/>
  <c r="AA2720" i="11"/>
  <c r="AA2819" i="11"/>
  <c r="AA2915" i="11"/>
  <c r="AA3013" i="11"/>
  <c r="AA3111" i="11"/>
  <c r="AA3207" i="11"/>
  <c r="AA3305" i="11"/>
  <c r="AA889" i="11"/>
  <c r="AA285" i="11"/>
  <c r="AA582" i="11"/>
  <c r="AA897" i="11"/>
  <c r="AA1205" i="11"/>
  <c r="AA1520" i="11"/>
  <c r="AA1833" i="11"/>
  <c r="AA2143" i="11"/>
  <c r="AA2456" i="11"/>
  <c r="AA2766" i="11"/>
  <c r="AA3079" i="11"/>
  <c r="AA3395" i="11"/>
  <c r="AA452" i="11"/>
  <c r="AA1281" i="11"/>
  <c r="AA1889" i="11"/>
  <c r="AA2511" i="11"/>
  <c r="AA2719" i="11"/>
  <c r="AA2913" i="11"/>
  <c r="AA3110" i="11"/>
  <c r="AA3304" i="11"/>
  <c r="AA3499" i="11"/>
  <c r="AA176" i="11"/>
  <c r="AA379" i="11"/>
  <c r="AA623" i="11"/>
  <c r="AA756" i="11"/>
  <c r="AA879" i="11"/>
  <c r="AA1012" i="11"/>
  <c r="AA1135" i="11"/>
  <c r="AA1268" i="11"/>
  <c r="AA1414" i="11"/>
  <c r="AA1560" i="11"/>
  <c r="AA1707" i="11"/>
  <c r="AA1853" i="11"/>
  <c r="AA1976" i="11"/>
  <c r="AA2086" i="11"/>
  <c r="AA2207" i="11"/>
  <c r="AA2328" i="11"/>
  <c r="AA37" i="11"/>
  <c r="AA123" i="11"/>
  <c r="AA209" i="11"/>
  <c r="AA293" i="11"/>
  <c r="AA380" i="11"/>
  <c r="AA478" i="11"/>
  <c r="AA574" i="11"/>
  <c r="AA672" i="11"/>
  <c r="AA771" i="11"/>
  <c r="AA867" i="11"/>
  <c r="AA976" i="11"/>
  <c r="AA1075" i="11"/>
  <c r="AA1173" i="11"/>
  <c r="AA1269" i="11"/>
  <c r="AA1367" i="11"/>
  <c r="AA1465" i="11"/>
  <c r="AA1561" i="11"/>
  <c r="AA1660" i="11"/>
  <c r="AA1758" i="11"/>
  <c r="AA1854" i="11"/>
  <c r="AA1952" i="11"/>
  <c r="AA2051" i="11"/>
  <c r="AA2147" i="11"/>
  <c r="AA2245" i="11"/>
  <c r="AA2343" i="11"/>
  <c r="AA2439" i="11"/>
  <c r="AA2537" i="11"/>
  <c r="AA2636" i="11"/>
  <c r="AA2732" i="11"/>
  <c r="AA2830" i="11"/>
  <c r="AA2928" i="11"/>
  <c r="AA3024" i="11"/>
  <c r="AA3123" i="11"/>
  <c r="AA3221" i="11"/>
  <c r="AA3317" i="11"/>
  <c r="AA29" i="11"/>
  <c r="AA300" i="11"/>
  <c r="AA605" i="11"/>
  <c r="AA912" i="11"/>
  <c r="AA1228" i="11"/>
  <c r="AA1541" i="11"/>
  <c r="AA1851" i="11"/>
  <c r="AA2164" i="11"/>
  <c r="AA2473" i="11"/>
  <c r="AA2787" i="11"/>
  <c r="AA3102" i="11"/>
  <c r="AA3412" i="11"/>
  <c r="AA525" i="11"/>
  <c r="AA1329" i="11"/>
  <c r="AA1963" i="11"/>
  <c r="AA2525" i="11"/>
  <c r="AA2731" i="11"/>
  <c r="AA2927" i="11"/>
  <c r="AA3121" i="11"/>
  <c r="AA3316" i="11"/>
  <c r="AA3512" i="11"/>
  <c r="AA186" i="11"/>
  <c r="AA404" i="11"/>
  <c r="AA635" i="11"/>
  <c r="AA769" i="11"/>
  <c r="AA891" i="11"/>
  <c r="AA1025" i="11"/>
  <c r="AA1147" i="11"/>
  <c r="AA1293" i="11"/>
  <c r="AA1428" i="11"/>
  <c r="AA1574" i="11"/>
  <c r="AA1720" i="11"/>
  <c r="AA1867" i="11"/>
  <c r="AA1988" i="11"/>
  <c r="AA2097" i="11"/>
  <c r="AA2219" i="11"/>
  <c r="AA2342" i="11"/>
  <c r="AA49" i="11"/>
  <c r="AA133" i="11"/>
  <c r="AA219" i="11"/>
  <c r="AA305" i="11"/>
  <c r="AA391" i="11"/>
  <c r="AA489" i="11"/>
  <c r="AA588" i="11"/>
  <c r="AA684" i="11"/>
  <c r="AA782" i="11"/>
  <c r="AA880" i="11"/>
  <c r="AA990" i="11"/>
  <c r="AA1086" i="11"/>
  <c r="AA1184" i="11"/>
  <c r="AA1283" i="11"/>
  <c r="AA1379" i="11"/>
  <c r="AA1477" i="11"/>
  <c r="AA1575" i="11"/>
  <c r="AA1671" i="11"/>
  <c r="AA1769" i="11"/>
  <c r="AA1868" i="11"/>
  <c r="AA1964" i="11"/>
  <c r="AA2062" i="11"/>
  <c r="AA2160" i="11"/>
  <c r="AA2256" i="11"/>
  <c r="AA2355" i="11"/>
  <c r="AA2453" i="11"/>
  <c r="AA2549" i="11"/>
  <c r="AA2647" i="11"/>
  <c r="AA2745" i="11"/>
  <c r="AA2841" i="11"/>
  <c r="AA2940" i="11"/>
  <c r="AA3038" i="11"/>
  <c r="AA3134" i="11"/>
  <c r="AA3232" i="11"/>
  <c r="AA3331" i="11"/>
  <c r="AA115" i="11"/>
  <c r="AA388" i="11"/>
  <c r="AA701" i="11"/>
  <c r="AA1011" i="11"/>
  <c r="AA1324" i="11"/>
  <c r="AA1639" i="11"/>
  <c r="AA1949" i="11"/>
  <c r="AA2262" i="11"/>
  <c r="AA2572" i="11"/>
  <c r="AA2885" i="11"/>
  <c r="AA3198" i="11"/>
  <c r="AA3508" i="11"/>
  <c r="AA806" i="11"/>
  <c r="AA1512" i="11"/>
  <c r="AA2317" i="11"/>
  <c r="AA2584" i="11"/>
  <c r="AA2792" i="11"/>
  <c r="AA2987" i="11"/>
  <c r="AA3183" i="11"/>
  <c r="AA3377" i="11"/>
  <c r="AA48" i="11"/>
  <c r="AA250" i="11"/>
  <c r="AA477" i="11"/>
  <c r="AA660" i="11"/>
  <c r="AA781" i="11"/>
  <c r="AA916" i="11"/>
  <c r="AA1037" i="11"/>
  <c r="AA1158" i="11"/>
  <c r="AA1304" i="11"/>
  <c r="AA1451" i="11"/>
  <c r="AA1597" i="11"/>
  <c r="AA1743" i="11"/>
  <c r="AA1878" i="11"/>
  <c r="AA1999" i="11"/>
  <c r="AA2109" i="11"/>
  <c r="AA2232" i="11"/>
  <c r="AA2353" i="11"/>
  <c r="AA59" i="11"/>
  <c r="AA145" i="11"/>
  <c r="AA229" i="11"/>
  <c r="AA315" i="11"/>
  <c r="AA405" i="11"/>
  <c r="AA501" i="11"/>
  <c r="AA599" i="11"/>
  <c r="AA697" i="11"/>
  <c r="AA793" i="11"/>
  <c r="AA892" i="11"/>
  <c r="AA1001" i="11"/>
  <c r="AA1100" i="11"/>
  <c r="AA1196" i="11"/>
  <c r="AA1294" i="11"/>
  <c r="AA1392" i="11"/>
  <c r="AA1488" i="11"/>
  <c r="AA1587" i="11"/>
  <c r="AA1685" i="11"/>
  <c r="AA1781" i="11"/>
  <c r="AA1879" i="11"/>
  <c r="AA1977" i="11"/>
  <c r="AA2073" i="11"/>
  <c r="AA2172" i="11"/>
  <c r="AA2270" i="11"/>
  <c r="AA2366" i="11"/>
  <c r="AA2464" i="11"/>
  <c r="AA2563" i="11"/>
  <c r="AA2659" i="11"/>
  <c r="AA2757" i="11"/>
  <c r="AA2855" i="11"/>
  <c r="AA2951" i="11"/>
  <c r="AA3049" i="11"/>
  <c r="AA3148" i="11"/>
  <c r="AA3244" i="11"/>
  <c r="AA3342" i="11"/>
  <c r="AA3440" i="11"/>
  <c r="AA3536" i="11"/>
  <c r="AA82" i="11"/>
  <c r="AA168" i="11"/>
  <c r="AA252" i="11"/>
  <c r="AA338" i="11"/>
  <c r="AA431" i="11"/>
  <c r="AA527" i="11"/>
  <c r="AA625" i="11"/>
  <c r="AA724" i="11"/>
  <c r="AA820" i="11"/>
  <c r="AA918" i="11"/>
  <c r="AA1016" i="11"/>
  <c r="AA1112" i="11"/>
  <c r="AA1211" i="11"/>
  <c r="AA1309" i="11"/>
  <c r="AA1405" i="11"/>
  <c r="AA1503" i="11"/>
  <c r="AA1601" i="11"/>
  <c r="AA1697" i="11"/>
  <c r="AA1796" i="11"/>
  <c r="AA1894" i="11"/>
  <c r="AA1990" i="11"/>
  <c r="AA2088" i="11"/>
  <c r="AA2187" i="11"/>
  <c r="AA2283" i="11"/>
  <c r="AA2381" i="11"/>
  <c r="AA2479" i="11"/>
  <c r="AA2575" i="11"/>
  <c r="AA2673" i="11"/>
  <c r="AA2772" i="11"/>
  <c r="AA2868" i="11"/>
  <c r="AA2966" i="11"/>
  <c r="AA3064" i="11"/>
  <c r="AA3160" i="11"/>
  <c r="AA3259" i="11"/>
  <c r="AA3357" i="11"/>
  <c r="AA3453" i="11"/>
  <c r="AA3551" i="11"/>
  <c r="AA78" i="11"/>
  <c r="AA142" i="11"/>
  <c r="AA206" i="11"/>
  <c r="AA270" i="11"/>
  <c r="AA334" i="11"/>
  <c r="AA401" i="11"/>
  <c r="AA475" i="11"/>
  <c r="AA548" i="11"/>
  <c r="AA621" i="11"/>
  <c r="AA694" i="11"/>
  <c r="AA767" i="11"/>
  <c r="AA840" i="11"/>
  <c r="AA913" i="11"/>
  <c r="AA987" i="11"/>
  <c r="AA1060" i="11"/>
  <c r="AA1133" i="11"/>
  <c r="AA1206" i="11"/>
  <c r="AA1279" i="11"/>
  <c r="AA1352" i="11"/>
  <c r="AA1425" i="11"/>
  <c r="AA1499" i="11"/>
  <c r="AA1572" i="11"/>
  <c r="AA1645" i="11"/>
  <c r="AA1718" i="11"/>
  <c r="AA1791" i="11"/>
  <c r="AA1864" i="11"/>
  <c r="AA1937" i="11"/>
  <c r="AA2011" i="11"/>
  <c r="AA2084" i="11"/>
  <c r="AA2157" i="11"/>
  <c r="AA2230" i="11"/>
  <c r="AA2303" i="11"/>
  <c r="AA2376" i="11"/>
  <c r="AA2449" i="11"/>
  <c r="AA2523" i="11"/>
  <c r="AA2596" i="11"/>
  <c r="AA2669" i="11"/>
  <c r="AA2742" i="11"/>
  <c r="AA2815" i="11"/>
  <c r="AA2888" i="11"/>
  <c r="AA2961" i="11"/>
  <c r="AA3035" i="11"/>
  <c r="AA3108" i="11"/>
  <c r="AA3181" i="11"/>
  <c r="AA3254" i="11"/>
  <c r="AA3327" i="11"/>
  <c r="AA3400" i="11"/>
  <c r="AA3473" i="11"/>
  <c r="AA3547" i="11"/>
  <c r="AA79" i="11"/>
  <c r="AA143" i="11"/>
  <c r="AA207" i="11"/>
  <c r="AA271" i="11"/>
  <c r="AA335" i="11"/>
  <c r="AA403" i="11"/>
  <c r="AA476" i="11"/>
  <c r="AA549" i="11"/>
  <c r="AA622" i="11"/>
  <c r="AA695" i="11"/>
  <c r="AA3390" i="11"/>
  <c r="AA40" i="11"/>
  <c r="AA210" i="11"/>
  <c r="AA381" i="11"/>
  <c r="AA577" i="11"/>
  <c r="AA772" i="11"/>
  <c r="AA966" i="11"/>
  <c r="AA1163" i="11"/>
  <c r="AA1357" i="11"/>
  <c r="AA1551" i="11"/>
  <c r="AA1748" i="11"/>
  <c r="AA1942" i="11"/>
  <c r="AA2136" i="11"/>
  <c r="AA2333" i="11"/>
  <c r="AA2527" i="11"/>
  <c r="AA2721" i="11"/>
  <c r="AA2918" i="11"/>
  <c r="AA3112" i="11"/>
  <c r="AA3307" i="11"/>
  <c r="AA3503" i="11"/>
  <c r="AA110" i="11"/>
  <c r="AA238" i="11"/>
  <c r="AA366" i="11"/>
  <c r="AA511" i="11"/>
  <c r="AA657" i="11"/>
  <c r="AA804" i="11"/>
  <c r="AA950" i="11"/>
  <c r="AA1096" i="11"/>
  <c r="AA1243" i="11"/>
  <c r="AA1389" i="11"/>
  <c r="AA1535" i="11"/>
  <c r="AA1681" i="11"/>
  <c r="AA1828" i="11"/>
  <c r="AA1974" i="11"/>
  <c r="AA2120" i="11"/>
  <c r="AA2267" i="11"/>
  <c r="AA2413" i="11"/>
  <c r="AA2559" i="11"/>
  <c r="AA2705" i="11"/>
  <c r="AA2852" i="11"/>
  <c r="AA2998" i="11"/>
  <c r="AA3144" i="11"/>
  <c r="AA3291" i="11"/>
  <c r="AA3437" i="11"/>
  <c r="AA47" i="11"/>
  <c r="AA175" i="11"/>
  <c r="AA303" i="11"/>
  <c r="AA439" i="11"/>
  <c r="AA585" i="11"/>
  <c r="AA723" i="11"/>
  <c r="AA796" i="11"/>
  <c r="AA869" i="11"/>
  <c r="AA942" i="11"/>
  <c r="AA1015" i="11"/>
  <c r="AA1088" i="11"/>
  <c r="AA1161" i="11"/>
  <c r="AA1235" i="11"/>
  <c r="AA1308" i="11"/>
  <c r="AA1381" i="11"/>
  <c r="AA1454" i="11"/>
  <c r="AA1527" i="11"/>
  <c r="AA1600" i="11"/>
  <c r="AA1673" i="11"/>
  <c r="AA1747" i="11"/>
  <c r="AA1820" i="11"/>
  <c r="AA1893" i="11"/>
  <c r="AA1966" i="11"/>
  <c r="AA2039" i="11"/>
  <c r="AA2112" i="11"/>
  <c r="AA2185" i="11"/>
  <c r="AA2259" i="11"/>
  <c r="AA2332" i="11"/>
  <c r="AA2405" i="11"/>
  <c r="AA2478" i="11"/>
  <c r="AA2551" i="11"/>
  <c r="AA2624" i="11"/>
  <c r="AA2697" i="11"/>
  <c r="AA2771" i="11"/>
  <c r="AA2844" i="11"/>
  <c r="AA2917" i="11"/>
  <c r="AA2990" i="11"/>
  <c r="AA3063" i="11"/>
  <c r="AA3136" i="11"/>
  <c r="AA3209" i="11"/>
  <c r="AA3283" i="11"/>
  <c r="AA3356" i="11"/>
  <c r="AA3429" i="11"/>
  <c r="AA3502" i="11"/>
  <c r="AA394" i="11"/>
  <c r="AA458" i="11"/>
  <c r="AA522" i="11"/>
  <c r="AA586" i="11"/>
  <c r="AA650" i="11"/>
  <c r="AA714" i="11"/>
  <c r="AA778" i="11"/>
  <c r="AA842" i="11"/>
  <c r="AA906" i="11"/>
  <c r="AA970" i="11"/>
  <c r="AA1034" i="11"/>
  <c r="AA1098" i="11"/>
  <c r="AA1162" i="11"/>
  <c r="AA1226" i="11"/>
  <c r="AA1290" i="11"/>
  <c r="AA1354" i="11"/>
  <c r="AA1418" i="11"/>
  <c r="AA1482" i="11"/>
  <c r="AA1546" i="11"/>
  <c r="AA1610" i="11"/>
  <c r="AA1674" i="11"/>
  <c r="AA1738" i="11"/>
  <c r="AA1802" i="11"/>
  <c r="AA1866" i="11"/>
  <c r="AA1930" i="11"/>
  <c r="AA1994" i="11"/>
  <c r="AA2058" i="11"/>
  <c r="AA2122" i="11"/>
  <c r="AA2186" i="11"/>
  <c r="AA2250" i="11"/>
  <c r="AA2314" i="11"/>
  <c r="AA2378" i="11"/>
  <c r="AA2442" i="11"/>
  <c r="AA2506" i="11"/>
  <c r="AA2570" i="11"/>
  <c r="AA2634" i="11"/>
  <c r="AA2698" i="11"/>
  <c r="AA2762" i="11"/>
  <c r="AA2826" i="11"/>
  <c r="AA2890" i="11"/>
  <c r="AA2954" i="11"/>
  <c r="AA3018" i="11"/>
  <c r="AA3082" i="11"/>
  <c r="AA3146" i="11"/>
  <c r="AA3210" i="11"/>
  <c r="AA3274" i="11"/>
  <c r="AA3338" i="11"/>
  <c r="AA3402" i="11"/>
  <c r="AA3466" i="11"/>
  <c r="AA3530" i="11"/>
  <c r="AA2001" i="11"/>
  <c r="AA199" i="11"/>
  <c r="AA823" i="11"/>
  <c r="AA969" i="11"/>
  <c r="AA1116" i="11"/>
  <c r="AA1189" i="11"/>
  <c r="AA1262" i="11"/>
  <c r="AA1555" i="11"/>
  <c r="AA1847" i="11"/>
  <c r="AA2286" i="11"/>
  <c r="AA2579" i="11"/>
  <c r="AA2871" i="11"/>
  <c r="AA3164" i="11"/>
  <c r="AA3310" i="11"/>
  <c r="AA418" i="11"/>
  <c r="AA674" i="11"/>
  <c r="AA930" i="11"/>
  <c r="AA1250" i="11"/>
  <c r="AA1506" i="11"/>
  <c r="AA1826" i="11"/>
  <c r="AA2082" i="11"/>
  <c r="AA2402" i="11"/>
  <c r="AA2594" i="11"/>
  <c r="AA2850" i="11"/>
  <c r="AA3106" i="11"/>
  <c r="AA3362" i="11"/>
  <c r="AA2003" i="11"/>
  <c r="AA2295" i="11"/>
  <c r="AA2661" i="11"/>
  <c r="AA2880" i="11"/>
  <c r="AA3100" i="11"/>
  <c r="AA3246" i="11"/>
  <c r="AA3539" i="11"/>
  <c r="AA618" i="11"/>
  <c r="AA874" i="11"/>
  <c r="AA1130" i="11"/>
  <c r="AA1386" i="11"/>
  <c r="AA1642" i="11"/>
  <c r="AA1770" i="11"/>
  <c r="AA2026" i="11"/>
  <c r="AA2282" i="11"/>
  <c r="AA2538" i="11"/>
  <c r="AA2730" i="11"/>
  <c r="AA2986" i="11"/>
  <c r="AA3242" i="11"/>
  <c r="AA3404" i="11"/>
  <c r="AA50" i="11"/>
  <c r="AA220" i="11"/>
  <c r="AA395" i="11"/>
  <c r="AA589" i="11"/>
  <c r="AA783" i="11"/>
  <c r="AA980" i="11"/>
  <c r="AA1174" i="11"/>
  <c r="AA1368" i="11"/>
  <c r="AA1565" i="11"/>
  <c r="AA1759" i="11"/>
  <c r="AA1953" i="11"/>
  <c r="AA2150" i="11"/>
  <c r="AA2344" i="11"/>
  <c r="AA2539" i="11"/>
  <c r="AA2735" i="11"/>
  <c r="AA2929" i="11"/>
  <c r="AA3124" i="11"/>
  <c r="AA3320" i="11"/>
  <c r="AA3515" i="11"/>
  <c r="AA118" i="11"/>
  <c r="AA246" i="11"/>
  <c r="AA374" i="11"/>
  <c r="AA520" i="11"/>
  <c r="AA667" i="11"/>
  <c r="AA813" i="11"/>
  <c r="AA959" i="11"/>
  <c r="AA1105" i="11"/>
  <c r="AA1252" i="11"/>
  <c r="AA1398" i="11"/>
  <c r="AA1544" i="11"/>
  <c r="AA1691" i="11"/>
  <c r="AA1837" i="11"/>
  <c r="AA1983" i="11"/>
  <c r="AA2129" i="11"/>
  <c r="AA2276" i="11"/>
  <c r="AA2422" i="11"/>
  <c r="AA2568" i="11"/>
  <c r="AA2715" i="11"/>
  <c r="AA2861" i="11"/>
  <c r="AA3007" i="11"/>
  <c r="AA3153" i="11"/>
  <c r="AA3300" i="11"/>
  <c r="AA3446" i="11"/>
  <c r="AA55" i="11"/>
  <c r="AA183" i="11"/>
  <c r="AA311" i="11"/>
  <c r="AA448" i="11"/>
  <c r="AA595" i="11"/>
  <c r="AA732" i="11"/>
  <c r="AA805" i="11"/>
  <c r="AA878" i="11"/>
  <c r="AA951" i="11"/>
  <c r="AA1024" i="11"/>
  <c r="AA1097" i="11"/>
  <c r="AA1171" i="11"/>
  <c r="AA1244" i="11"/>
  <c r="AA1317" i="11"/>
  <c r="AA1390" i="11"/>
  <c r="AA1463" i="11"/>
  <c r="AA1536" i="11"/>
  <c r="AA1609" i="11"/>
  <c r="AA1683" i="11"/>
  <c r="AA1756" i="11"/>
  <c r="AA1829" i="11"/>
  <c r="AA1902" i="11"/>
  <c r="AA1975" i="11"/>
  <c r="AA2048" i="11"/>
  <c r="AA2121" i="11"/>
  <c r="AA2195" i="11"/>
  <c r="AA2268" i="11"/>
  <c r="AA2341" i="11"/>
  <c r="AA2414" i="11"/>
  <c r="AA2487" i="11"/>
  <c r="AA2560" i="11"/>
  <c r="AA2633" i="11"/>
  <c r="AA2707" i="11"/>
  <c r="AA2780" i="11"/>
  <c r="AA2853" i="11"/>
  <c r="AA2926" i="11"/>
  <c r="AA2999" i="11"/>
  <c r="AA3072" i="11"/>
  <c r="AA3145" i="11"/>
  <c r="AA3219" i="11"/>
  <c r="AA3292" i="11"/>
  <c r="AA3365" i="11"/>
  <c r="AA3438" i="11"/>
  <c r="AA3511" i="11"/>
  <c r="AA402" i="11"/>
  <c r="AA466" i="11"/>
  <c r="AA530" i="11"/>
  <c r="AA594" i="11"/>
  <c r="AA658" i="11"/>
  <c r="AA722" i="11"/>
  <c r="AA786" i="11"/>
  <c r="AA850" i="11"/>
  <c r="AA914" i="11"/>
  <c r="AA978" i="11"/>
  <c r="AA1042" i="11"/>
  <c r="AA1106" i="11"/>
  <c r="AA1170" i="11"/>
  <c r="AA1234" i="11"/>
  <c r="AA1298" i="11"/>
  <c r="AA1362" i="11"/>
  <c r="AA1426" i="11"/>
  <c r="AA1490" i="11"/>
  <c r="AA1554" i="11"/>
  <c r="AA1618" i="11"/>
  <c r="AA1682" i="11"/>
  <c r="AA1746" i="11"/>
  <c r="AA1810" i="11"/>
  <c r="AA1874" i="11"/>
  <c r="AA1938" i="11"/>
  <c r="AA2002" i="11"/>
  <c r="AA2066" i="11"/>
  <c r="AA2130" i="11"/>
  <c r="AA2194" i="11"/>
  <c r="AA2258" i="11"/>
  <c r="AA2322" i="11"/>
  <c r="AA2386" i="11"/>
  <c r="AA2450" i="11"/>
  <c r="AA2514" i="11"/>
  <c r="AA2578" i="11"/>
  <c r="AA2642" i="11"/>
  <c r="AA2706" i="11"/>
  <c r="AA2770" i="11"/>
  <c r="AA2834" i="11"/>
  <c r="AA2898" i="11"/>
  <c r="AA2962" i="11"/>
  <c r="AA3026" i="11"/>
  <c r="AA3090" i="11"/>
  <c r="AA3154" i="11"/>
  <c r="AA3218" i="11"/>
  <c r="AA3282" i="11"/>
  <c r="AA3346" i="11"/>
  <c r="AA3410" i="11"/>
  <c r="AA3474" i="11"/>
  <c r="AA3538" i="11"/>
  <c r="AA1855" i="11"/>
  <c r="AA327" i="11"/>
  <c r="AA896" i="11"/>
  <c r="AA1481" i="11"/>
  <c r="AA1701" i="11"/>
  <c r="AA1993" i="11"/>
  <c r="AA2359" i="11"/>
  <c r="AA2652" i="11"/>
  <c r="AA2944" i="11"/>
  <c r="AA3237" i="11"/>
  <c r="AA3529" i="11"/>
  <c r="AA610" i="11"/>
  <c r="AA802" i="11"/>
  <c r="AA1058" i="11"/>
  <c r="AA1314" i="11"/>
  <c r="AA1634" i="11"/>
  <c r="AA1954" i="11"/>
  <c r="AA2274" i="11"/>
  <c r="AA2530" i="11"/>
  <c r="AA2786" i="11"/>
  <c r="AA2978" i="11"/>
  <c r="AA3298" i="11"/>
  <c r="AA3490" i="11"/>
  <c r="AA1929" i="11"/>
  <c r="AA2441" i="11"/>
  <c r="AA3027" i="11"/>
  <c r="AA3319" i="11"/>
  <c r="AA426" i="11"/>
  <c r="AA682" i="11"/>
  <c r="AA1002" i="11"/>
  <c r="AA1322" i="11"/>
  <c r="AA1706" i="11"/>
  <c r="AA1962" i="11"/>
  <c r="AA2154" i="11"/>
  <c r="AA2410" i="11"/>
  <c r="AA2666" i="11"/>
  <c r="AA3050" i="11"/>
  <c r="AA3306" i="11"/>
  <c r="AA3415" i="11"/>
  <c r="AA60" i="11"/>
  <c r="AA232" i="11"/>
  <c r="AA406" i="11"/>
  <c r="AA600" i="11"/>
  <c r="AA797" i="11"/>
  <c r="AA991" i="11"/>
  <c r="AA1185" i="11"/>
  <c r="AA1382" i="11"/>
  <c r="AA1576" i="11"/>
  <c r="AA1771" i="11"/>
  <c r="AA1967" i="11"/>
  <c r="AA2161" i="11"/>
  <c r="AA2356" i="11"/>
  <c r="AA2552" i="11"/>
  <c r="AA2747" i="11"/>
  <c r="AA2941" i="11"/>
  <c r="AA3137" i="11"/>
  <c r="AA3332" i="11"/>
  <c r="AA3526" i="11"/>
  <c r="AA126" i="11"/>
  <c r="AA254" i="11"/>
  <c r="AA383" i="11"/>
  <c r="AA529" i="11"/>
  <c r="AA676" i="11"/>
  <c r="AA822" i="11"/>
  <c r="AA968" i="11"/>
  <c r="AA1115" i="11"/>
  <c r="AA1261" i="11"/>
  <c r="AA1407" i="11"/>
  <c r="AA1553" i="11"/>
  <c r="AA1700" i="11"/>
  <c r="AA1846" i="11"/>
  <c r="AA1992" i="11"/>
  <c r="AA2139" i="11"/>
  <c r="AA2285" i="11"/>
  <c r="AA2431" i="11"/>
  <c r="AA2577" i="11"/>
  <c r="AA2724" i="11"/>
  <c r="AA2870" i="11"/>
  <c r="AA3016" i="11"/>
  <c r="AA3163" i="11"/>
  <c r="AA3309" i="11"/>
  <c r="AA3455" i="11"/>
  <c r="AA63" i="11"/>
  <c r="AA191" i="11"/>
  <c r="AA319" i="11"/>
  <c r="AA457" i="11"/>
  <c r="AA604" i="11"/>
  <c r="AA741" i="11"/>
  <c r="AA814" i="11"/>
  <c r="AA887" i="11"/>
  <c r="AA960" i="11"/>
  <c r="AA1033" i="11"/>
  <c r="AA1107" i="11"/>
  <c r="AA1180" i="11"/>
  <c r="AA1253" i="11"/>
  <c r="AA1326" i="11"/>
  <c r="AA1399" i="11"/>
  <c r="AA1472" i="11"/>
  <c r="AA1545" i="11"/>
  <c r="AA1619" i="11"/>
  <c r="AA1692" i="11"/>
  <c r="AA1765" i="11"/>
  <c r="AA1838" i="11"/>
  <c r="AA1911" i="11"/>
  <c r="AA1984" i="11"/>
  <c r="AA2057" i="11"/>
  <c r="AA2131" i="11"/>
  <c r="AA2204" i="11"/>
  <c r="AA2277" i="11"/>
  <c r="AA2350" i="11"/>
  <c r="AA2423" i="11"/>
  <c r="AA2496" i="11"/>
  <c r="AA2569" i="11"/>
  <c r="AA2643" i="11"/>
  <c r="AA2716" i="11"/>
  <c r="AA2789" i="11"/>
  <c r="AA2862" i="11"/>
  <c r="AA2935" i="11"/>
  <c r="AA3008" i="11"/>
  <c r="AA3081" i="11"/>
  <c r="AA3155" i="11"/>
  <c r="AA3228" i="11"/>
  <c r="AA3301" i="11"/>
  <c r="AA3374" i="11"/>
  <c r="AA3447" i="11"/>
  <c r="AA3520" i="11"/>
  <c r="AA410" i="11"/>
  <c r="AA474" i="11"/>
  <c r="AA538" i="11"/>
  <c r="AA602" i="11"/>
  <c r="AA666" i="11"/>
  <c r="AA730" i="11"/>
  <c r="AA794" i="11"/>
  <c r="AA858" i="11"/>
  <c r="AA922" i="11"/>
  <c r="AA986" i="11"/>
  <c r="AA1050" i="11"/>
  <c r="AA1114" i="11"/>
  <c r="AA1178" i="11"/>
  <c r="AA1242" i="11"/>
  <c r="AA1306" i="11"/>
  <c r="AA1370" i="11"/>
  <c r="AA1434" i="11"/>
  <c r="AA1498" i="11"/>
  <c r="AA1562" i="11"/>
  <c r="AA1626" i="11"/>
  <c r="AA1690" i="11"/>
  <c r="AA1754" i="11"/>
  <c r="AA1818" i="11"/>
  <c r="AA1882" i="11"/>
  <c r="AA1946" i="11"/>
  <c r="AA2010" i="11"/>
  <c r="AA2074" i="11"/>
  <c r="AA2138" i="11"/>
  <c r="AA2202" i="11"/>
  <c r="AA2266" i="11"/>
  <c r="AA2330" i="11"/>
  <c r="AA2394" i="11"/>
  <c r="AA2458" i="11"/>
  <c r="AA2522" i="11"/>
  <c r="AA2586" i="11"/>
  <c r="AA2650" i="11"/>
  <c r="AA2714" i="11"/>
  <c r="AA2778" i="11"/>
  <c r="AA2842" i="11"/>
  <c r="AA2906" i="11"/>
  <c r="AA2970" i="11"/>
  <c r="AA3034" i="11"/>
  <c r="AA3098" i="11"/>
  <c r="AA3162" i="11"/>
  <c r="AA3226" i="11"/>
  <c r="AA3290" i="11"/>
  <c r="AA3354" i="11"/>
  <c r="AA3418" i="11"/>
  <c r="AA3482" i="11"/>
  <c r="AA3546" i="11"/>
  <c r="AA1709" i="11"/>
  <c r="AA467" i="11"/>
  <c r="AA1043" i="11"/>
  <c r="AA1408" i="11"/>
  <c r="AA1628" i="11"/>
  <c r="AA1920" i="11"/>
  <c r="AA2213" i="11"/>
  <c r="AA2505" i="11"/>
  <c r="AA2798" i="11"/>
  <c r="AA3091" i="11"/>
  <c r="AA3456" i="11"/>
  <c r="AA482" i="11"/>
  <c r="AA738" i="11"/>
  <c r="AA994" i="11"/>
  <c r="AA1186" i="11"/>
  <c r="AA1378" i="11"/>
  <c r="AA1570" i="11"/>
  <c r="AA1698" i="11"/>
  <c r="AA1890" i="11"/>
  <c r="AA2018" i="11"/>
  <c r="AA2146" i="11"/>
  <c r="AA2338" i="11"/>
  <c r="AA2466" i="11"/>
  <c r="AA2722" i="11"/>
  <c r="AA2914" i="11"/>
  <c r="AA3042" i="11"/>
  <c r="AA3234" i="11"/>
  <c r="AA3426" i="11"/>
  <c r="AA1856" i="11"/>
  <c r="AA2588" i="11"/>
  <c r="AA3173" i="11"/>
  <c r="AA3465" i="11"/>
  <c r="AA490" i="11"/>
  <c r="AA746" i="11"/>
  <c r="AA938" i="11"/>
  <c r="AA1066" i="11"/>
  <c r="AA1258" i="11"/>
  <c r="AA1450" i="11"/>
  <c r="AA1578" i="11"/>
  <c r="AA1834" i="11"/>
  <c r="AA2090" i="11"/>
  <c r="AA2346" i="11"/>
  <c r="AA2602" i="11"/>
  <c r="AA2922" i="11"/>
  <c r="AA3178" i="11"/>
  <c r="AA3427" i="11"/>
  <c r="AA72" i="11"/>
  <c r="AA242" i="11"/>
  <c r="AA417" i="11"/>
  <c r="AA614" i="11"/>
  <c r="AA808" i="11"/>
  <c r="AA1003" i="11"/>
  <c r="AA1199" i="11"/>
  <c r="AA1393" i="11"/>
  <c r="AA1588" i="11"/>
  <c r="AA1784" i="11"/>
  <c r="AA1979" i="11"/>
  <c r="AA2173" i="11"/>
  <c r="AA2369" i="11"/>
  <c r="AA2564" i="11"/>
  <c r="AA2758" i="11"/>
  <c r="AA2955" i="11"/>
  <c r="AA3149" i="11"/>
  <c r="AA3343" i="11"/>
  <c r="AA3540" i="11"/>
  <c r="AA134" i="11"/>
  <c r="AA262" i="11"/>
  <c r="AA392" i="11"/>
  <c r="AA539" i="11"/>
  <c r="AA685" i="11"/>
  <c r="AA831" i="11"/>
  <c r="AA977" i="11"/>
  <c r="AA1124" i="11"/>
  <c r="AA1270" i="11"/>
  <c r="AA1416" i="11"/>
  <c r="AA1563" i="11"/>
  <c r="AA2148" i="11"/>
  <c r="AA2440" i="11"/>
  <c r="AA2587" i="11"/>
  <c r="AA2733" i="11"/>
  <c r="AA2879" i="11"/>
  <c r="AA3025" i="11"/>
  <c r="AA3172" i="11"/>
  <c r="AA3318" i="11"/>
  <c r="AA71" i="11"/>
  <c r="AA613" i="11"/>
  <c r="AA2067" i="11"/>
  <c r="AA3488" i="11"/>
  <c r="AA124" i="11"/>
  <c r="AA296" i="11"/>
  <c r="AA479" i="11"/>
  <c r="AA673" i="11"/>
  <c r="AA870" i="11"/>
  <c r="AA1064" i="11"/>
  <c r="AA1259" i="11"/>
  <c r="AA1455" i="11"/>
  <c r="AA1649" i="11"/>
  <c r="AA1844" i="11"/>
  <c r="AA2040" i="11"/>
  <c r="AA2235" i="11"/>
  <c r="AA2429" i="11"/>
  <c r="AA2625" i="11"/>
  <c r="AA2820" i="11"/>
  <c r="AA3014" i="11"/>
  <c r="AA3211" i="11"/>
  <c r="AA3405" i="11"/>
  <c r="AA46" i="11"/>
  <c r="AA174" i="11"/>
  <c r="AA302" i="11"/>
  <c r="AA438" i="11"/>
  <c r="AA584" i="11"/>
  <c r="AA731" i="11"/>
  <c r="AA877" i="11"/>
  <c r="AA1023" i="11"/>
  <c r="AA1169" i="11"/>
  <c r="AA1316" i="11"/>
  <c r="AA1462" i="11"/>
  <c r="AA1608" i="11"/>
  <c r="AA1755" i="11"/>
  <c r="AA1901" i="11"/>
  <c r="AA2047" i="11"/>
  <c r="AA2193" i="11"/>
  <c r="AA2340" i="11"/>
  <c r="AA2486" i="11"/>
  <c r="AA2632" i="11"/>
  <c r="AA2779" i="11"/>
  <c r="AA2925" i="11"/>
  <c r="AA3071" i="11"/>
  <c r="AA3217" i="11"/>
  <c r="AA3364" i="11"/>
  <c r="AA3510" i="11"/>
  <c r="AA111" i="11"/>
  <c r="AA239" i="11"/>
  <c r="AA367" i="11"/>
  <c r="AA512" i="11"/>
  <c r="AA659" i="11"/>
  <c r="AA759" i="11"/>
  <c r="AA832" i="11"/>
  <c r="AA905" i="11"/>
  <c r="AA979" i="11"/>
  <c r="AA1052" i="11"/>
  <c r="AA1125" i="11"/>
  <c r="AA1198" i="11"/>
  <c r="AA1271" i="11"/>
  <c r="AA1344" i="11"/>
  <c r="AA1417" i="11"/>
  <c r="AA1491" i="11"/>
  <c r="AA1564" i="11"/>
  <c r="AA1637" i="11"/>
  <c r="AA1710" i="11"/>
  <c r="AA1783" i="11"/>
  <c r="AA2149" i="11"/>
  <c r="AA2807" i="11"/>
  <c r="AA3500" i="11"/>
  <c r="AA136" i="11"/>
  <c r="AA306" i="11"/>
  <c r="AA491" i="11"/>
  <c r="AA687" i="11"/>
  <c r="AA881" i="11"/>
  <c r="AA1076" i="11"/>
  <c r="AA1272" i="11"/>
  <c r="AA1467" i="11"/>
  <c r="AA1661" i="11"/>
  <c r="AA1857" i="11"/>
  <c r="AA2052" i="11"/>
  <c r="AA2246" i="11"/>
  <c r="AA2443" i="11"/>
  <c r="AA2637" i="11"/>
  <c r="AA2831" i="11"/>
  <c r="AA3028" i="11"/>
  <c r="AA3222" i="11"/>
  <c r="AA3416" i="11"/>
  <c r="AA54" i="11"/>
  <c r="AA182" i="11"/>
  <c r="AA310" i="11"/>
  <c r="AA447" i="11"/>
  <c r="AA593" i="11"/>
  <c r="AA740" i="11"/>
  <c r="AA886" i="11"/>
  <c r="AA1032" i="11"/>
  <c r="AA1179" i="11"/>
  <c r="AA1325" i="11"/>
  <c r="AA1471" i="11"/>
  <c r="AA1617" i="11"/>
  <c r="AA1764" i="11"/>
  <c r="AA1910" i="11"/>
  <c r="AA2056" i="11"/>
  <c r="AA2203" i="11"/>
  <c r="AA2349" i="11"/>
  <c r="AA2495" i="11"/>
  <c r="AA2641" i="11"/>
  <c r="AA2788" i="11"/>
  <c r="AA2934" i="11"/>
  <c r="AA3080" i="11"/>
  <c r="AA3227" i="11"/>
  <c r="AA3373" i="11"/>
  <c r="AA3519" i="11"/>
  <c r="AA119" i="11"/>
  <c r="AA247" i="11"/>
  <c r="AA375" i="11"/>
  <c r="AA521" i="11"/>
  <c r="AA668" i="11"/>
  <c r="AA768" i="11"/>
  <c r="AA841" i="11"/>
  <c r="AA915" i="11"/>
  <c r="AA988" i="11"/>
  <c r="AA1061" i="11"/>
  <c r="AA1134" i="11"/>
  <c r="AA1207" i="11"/>
  <c r="AA1280" i="11"/>
  <c r="AA1353" i="11"/>
  <c r="AA1427" i="11"/>
  <c r="AA1500" i="11"/>
  <c r="AA1573" i="11"/>
  <c r="AA1646" i="11"/>
  <c r="AA1719" i="11"/>
  <c r="AA1792" i="11"/>
  <c r="AA1865" i="11"/>
  <c r="AA1939" i="11"/>
  <c r="AA2012" i="11"/>
  <c r="AA2085" i="11"/>
  <c r="AA2158" i="11"/>
  <c r="AA2231" i="11"/>
  <c r="AA2304" i="11"/>
  <c r="AA2377" i="11"/>
  <c r="AA2451" i="11"/>
  <c r="AA2524" i="11"/>
  <c r="AA2597" i="11"/>
  <c r="AA2670" i="11"/>
  <c r="AA2743" i="11"/>
  <c r="AA2816" i="11"/>
  <c r="AA2889" i="11"/>
  <c r="AA3513" i="11"/>
  <c r="AA146" i="11"/>
  <c r="AA316" i="11"/>
  <c r="AA504" i="11"/>
  <c r="AA699" i="11"/>
  <c r="AA893" i="11"/>
  <c r="AA1089" i="11"/>
  <c r="AA1284" i="11"/>
  <c r="AA1478" i="11"/>
  <c r="AA1675" i="11"/>
  <c r="AA1869" i="11"/>
  <c r="AA2063" i="11"/>
  <c r="AA2260" i="11"/>
  <c r="AA2454" i="11"/>
  <c r="AA2648" i="11"/>
  <c r="AA2845" i="11"/>
  <c r="AA3039" i="11"/>
  <c r="AA3233" i="11"/>
  <c r="AA3430" i="11"/>
  <c r="AA62" i="11"/>
  <c r="AA190" i="11"/>
  <c r="AA318" i="11"/>
  <c r="AA456" i="11"/>
  <c r="AA603" i="11"/>
  <c r="AA749" i="11"/>
  <c r="AA895" i="11"/>
  <c r="AA1041" i="11"/>
  <c r="AA1188" i="11"/>
  <c r="AA1334" i="11"/>
  <c r="AA1480" i="11"/>
  <c r="AA1627" i="11"/>
  <c r="AA1773" i="11"/>
  <c r="AA1919" i="11"/>
  <c r="AA2065" i="11"/>
  <c r="AA2212" i="11"/>
  <c r="AA2358" i="11"/>
  <c r="AA2504" i="11"/>
  <c r="AA2651" i="11"/>
  <c r="AA2797" i="11"/>
  <c r="AA2943" i="11"/>
  <c r="AA3089" i="11"/>
  <c r="AA3236" i="11"/>
  <c r="AA3382" i="11"/>
  <c r="AA3528" i="11"/>
  <c r="AA127" i="11"/>
  <c r="AA255" i="11"/>
  <c r="AA384" i="11"/>
  <c r="AA531" i="11"/>
  <c r="AA677" i="11"/>
  <c r="AA777" i="11"/>
  <c r="AA851" i="11"/>
  <c r="AA924" i="11"/>
  <c r="AA997" i="11"/>
  <c r="AA1070" i="11"/>
  <c r="AA1143" i="11"/>
  <c r="AA1216" i="11"/>
  <c r="AA1289" i="11"/>
  <c r="AA1363" i="11"/>
  <c r="AA1436" i="11"/>
  <c r="AA1509" i="11"/>
  <c r="AA1582" i="11"/>
  <c r="AA1655" i="11"/>
  <c r="AA1728" i="11"/>
  <c r="AA1801" i="11"/>
  <c r="AA1875" i="11"/>
  <c r="AA1948" i="11"/>
  <c r="AA2021" i="11"/>
  <c r="AA2094" i="11"/>
  <c r="AA2167" i="11"/>
  <c r="AA2240" i="11"/>
  <c r="AA2313" i="11"/>
  <c r="AA2387" i="11"/>
  <c r="AA2460" i="11"/>
  <c r="AA2533" i="11"/>
  <c r="AA2606" i="11"/>
  <c r="AA2679" i="11"/>
  <c r="AA2752" i="11"/>
  <c r="AA2825" i="11"/>
  <c r="AA2899" i="11"/>
  <c r="AA3525" i="11"/>
  <c r="AA156" i="11"/>
  <c r="AA328" i="11"/>
  <c r="AA516" i="11"/>
  <c r="AA710" i="11"/>
  <c r="AA907" i="11"/>
  <c r="AA1101" i="11"/>
  <c r="AA1295" i="11"/>
  <c r="AA1492" i="11"/>
  <c r="AA1686" i="11"/>
  <c r="AA1880" i="11"/>
  <c r="AA2077" i="11"/>
  <c r="AA2271" i="11"/>
  <c r="AA2465" i="11"/>
  <c r="AA2662" i="11"/>
  <c r="AA2856" i="11"/>
  <c r="AA3051" i="11"/>
  <c r="AA3247" i="11"/>
  <c r="AA3441" i="11"/>
  <c r="AA70" i="11"/>
  <c r="AA198" i="11"/>
  <c r="AA326" i="11"/>
  <c r="AA465" i="11"/>
  <c r="AA612" i="11"/>
  <c r="AA758" i="11"/>
  <c r="AA904" i="11"/>
  <c r="AA1051" i="11"/>
  <c r="AA1197" i="11"/>
  <c r="AA1343" i="11"/>
  <c r="AA1489" i="11"/>
  <c r="AA1636" i="11"/>
  <c r="AA1782" i="11"/>
  <c r="AA1928" i="11"/>
  <c r="AA2075" i="11"/>
  <c r="AA2221" i="11"/>
  <c r="AA2367" i="11"/>
  <c r="AA2513" i="11"/>
  <c r="AA2660" i="11"/>
  <c r="AA2806" i="11"/>
  <c r="AA2952" i="11"/>
  <c r="AA3099" i="11"/>
  <c r="AA3245" i="11"/>
  <c r="AA3391" i="11"/>
  <c r="AA3537" i="11"/>
  <c r="AA135" i="11"/>
  <c r="AA263" i="11"/>
  <c r="AA393" i="11"/>
  <c r="AA540" i="11"/>
  <c r="AA686" i="11"/>
  <c r="AA787" i="11"/>
  <c r="AA860" i="11"/>
  <c r="AA933" i="11"/>
  <c r="AA1006" i="11"/>
  <c r="AA1079" i="11"/>
  <c r="AA1152" i="11"/>
  <c r="AA1225" i="11"/>
  <c r="AA1299" i="11"/>
  <c r="AA1372" i="11"/>
  <c r="AA1445" i="11"/>
  <c r="AA1518" i="11"/>
  <c r="AA1591" i="11"/>
  <c r="AA1664" i="11"/>
  <c r="AA1737" i="11"/>
  <c r="AA1811" i="11"/>
  <c r="AA1884" i="11"/>
  <c r="AA1957" i="11"/>
  <c r="AA2030" i="11"/>
  <c r="AA2103" i="11"/>
  <c r="AA2176" i="11"/>
  <c r="AA2249" i="11"/>
  <c r="AA2323" i="11"/>
  <c r="AA2396" i="11"/>
  <c r="AA2469" i="11"/>
  <c r="AA2542" i="11"/>
  <c r="AA2615" i="11"/>
  <c r="AA2688" i="11"/>
  <c r="AA2761" i="11"/>
  <c r="AA2835" i="11"/>
  <c r="AA2908" i="11"/>
  <c r="AA2981" i="11"/>
  <c r="AA3054" i="11"/>
  <c r="AA3127" i="11"/>
  <c r="AA3200" i="11"/>
  <c r="AA3273" i="11"/>
  <c r="AA3347" i="11"/>
  <c r="AA3420" i="11"/>
  <c r="AA3493" i="11"/>
  <c r="AA386" i="11"/>
  <c r="AA450" i="11"/>
  <c r="AA514" i="11"/>
  <c r="AA578" i="11"/>
  <c r="AA642" i="11"/>
  <c r="AA706" i="11"/>
  <c r="AA770" i="11"/>
  <c r="AA834" i="11"/>
  <c r="AA898" i="11"/>
  <c r="AA962" i="11"/>
  <c r="AA1026" i="11"/>
  <c r="AA1090" i="11"/>
  <c r="AA1154" i="11"/>
  <c r="AA1218" i="11"/>
  <c r="AA1282" i="11"/>
  <c r="AA1346" i="11"/>
  <c r="AA1410" i="11"/>
  <c r="AA1474" i="11"/>
  <c r="AA1538" i="11"/>
  <c r="AA1602" i="11"/>
  <c r="AA1666" i="11"/>
  <c r="AA1730" i="11"/>
  <c r="AA1794" i="11"/>
  <c r="AA1858" i="11"/>
  <c r="AA1922" i="11"/>
  <c r="AA1986" i="11"/>
  <c r="AA2050" i="11"/>
  <c r="AA2114" i="11"/>
  <c r="AA2178" i="11"/>
  <c r="AA2242" i="11"/>
  <c r="AA2306" i="11"/>
  <c r="AA2370" i="11"/>
  <c r="AA2434" i="11"/>
  <c r="AA2498" i="11"/>
  <c r="AA2562" i="11"/>
  <c r="AA2626" i="11"/>
  <c r="AA2690" i="11"/>
  <c r="AA2754" i="11"/>
  <c r="AA2818" i="11"/>
  <c r="AA2882" i="11"/>
  <c r="AA2946" i="11"/>
  <c r="AA3010" i="11"/>
  <c r="AA3074" i="11"/>
  <c r="AA3138" i="11"/>
  <c r="AA3202" i="11"/>
  <c r="AA3266" i="11"/>
  <c r="AA3330" i="11"/>
  <c r="AA3394" i="11"/>
  <c r="AA3458" i="11"/>
  <c r="AA3522" i="11"/>
  <c r="AA2294" i="11"/>
  <c r="AA3464" i="11"/>
  <c r="AA750" i="11"/>
  <c r="AA1335" i="11"/>
  <c r="AA1774" i="11"/>
  <c r="AA2140" i="11"/>
  <c r="AA2432" i="11"/>
  <c r="AA2725" i="11"/>
  <c r="AA3017" i="11"/>
  <c r="AA3383" i="11"/>
  <c r="AA546" i="11"/>
  <c r="AA866" i="11"/>
  <c r="AA1122" i="11"/>
  <c r="AA1442" i="11"/>
  <c r="AA1762" i="11"/>
  <c r="AA2210" i="11"/>
  <c r="AA2658" i="11"/>
  <c r="AA3170" i="11"/>
  <c r="AA2076" i="11"/>
  <c r="AA2222" i="11"/>
  <c r="AA2368" i="11"/>
  <c r="AA2515" i="11"/>
  <c r="AA2734" i="11"/>
  <c r="AA2953" i="11"/>
  <c r="AA3392" i="11"/>
  <c r="AA554" i="11"/>
  <c r="AA810" i="11"/>
  <c r="AA1194" i="11"/>
  <c r="AA1514" i="11"/>
  <c r="AA1898" i="11"/>
  <c r="AA2218" i="11"/>
  <c r="AA2474" i="11"/>
  <c r="AA2858" i="11"/>
  <c r="AA2963" i="11"/>
  <c r="AA3255" i="11"/>
  <c r="AA3548" i="11"/>
  <c r="AA626" i="11"/>
  <c r="AA882" i="11"/>
  <c r="AA1138" i="11"/>
  <c r="AA1394" i="11"/>
  <c r="AA1650" i="11"/>
  <c r="AA1906" i="11"/>
  <c r="AA2162" i="11"/>
  <c r="AA2418" i="11"/>
  <c r="AA2674" i="11"/>
  <c r="AA2874" i="11"/>
  <c r="AA3122" i="11"/>
  <c r="AA3370" i="11"/>
  <c r="AA3514" i="11"/>
  <c r="AA954" i="11"/>
  <c r="AA1978" i="11"/>
  <c r="AA2490" i="11"/>
  <c r="AA3194" i="11"/>
  <c r="AA1010" i="11"/>
  <c r="AA1522" i="11"/>
  <c r="AA2290" i="11"/>
  <c r="AA3250" i="11"/>
  <c r="AA1274" i="11"/>
  <c r="AA2042" i="11"/>
  <c r="AA2802" i="11"/>
  <c r="AA3450" i="11"/>
  <c r="AA1842" i="11"/>
  <c r="AA2354" i="11"/>
  <c r="AA2810" i="11"/>
  <c r="AA3498" i="11"/>
  <c r="AA1594" i="11"/>
  <c r="AA2618" i="11"/>
  <c r="AA3114" i="11"/>
  <c r="AA3506" i="11"/>
  <c r="AA2972" i="11"/>
  <c r="AA3264" i="11"/>
  <c r="AA378" i="11"/>
  <c r="AA634" i="11"/>
  <c r="AA890" i="11"/>
  <c r="AA1146" i="11"/>
  <c r="AA1402" i="11"/>
  <c r="AA1658" i="11"/>
  <c r="AA1914" i="11"/>
  <c r="AA2170" i="11"/>
  <c r="AA2426" i="11"/>
  <c r="AA2682" i="11"/>
  <c r="AA2930" i="11"/>
  <c r="AA3130" i="11"/>
  <c r="AA3378" i="11"/>
  <c r="AA698" i="11"/>
  <c r="AA1466" i="11"/>
  <c r="AA2234" i="11"/>
  <c r="AA2994" i="11"/>
  <c r="AA754" i="11"/>
  <c r="AA1778" i="11"/>
  <c r="AA2546" i="11"/>
  <c r="AA3442" i="11"/>
  <c r="AA1530" i="11"/>
  <c r="AA2298" i="11"/>
  <c r="AA3058" i="11"/>
  <c r="AA1586" i="11"/>
  <c r="AA2610" i="11"/>
  <c r="AA3314" i="11"/>
  <c r="AA1338" i="11"/>
  <c r="AA2106" i="11"/>
  <c r="AA2866" i="11"/>
  <c r="AA3322" i="11"/>
  <c r="AA3036" i="11"/>
  <c r="AA3328" i="11"/>
  <c r="AA434" i="11"/>
  <c r="AA690" i="11"/>
  <c r="AA946" i="11"/>
  <c r="AA1202" i="11"/>
  <c r="AA1458" i="11"/>
  <c r="AA1714" i="11"/>
  <c r="AA1970" i="11"/>
  <c r="AA2226" i="11"/>
  <c r="AA2482" i="11"/>
  <c r="AA2738" i="11"/>
  <c r="AA2938" i="11"/>
  <c r="AA3186" i="11"/>
  <c r="AA3386" i="11"/>
  <c r="AA442" i="11"/>
  <c r="AA1722" i="11"/>
  <c r="AA2746" i="11"/>
  <c r="AA3434" i="11"/>
  <c r="AA1266" i="11"/>
  <c r="AA2034" i="11"/>
  <c r="AA3002" i="11"/>
  <c r="AA1018" i="11"/>
  <c r="AA1786" i="11"/>
  <c r="AA2554" i="11"/>
  <c r="AA3258" i="11"/>
  <c r="AA1330" i="11"/>
  <c r="AA2098" i="11"/>
  <c r="AA3066" i="11"/>
  <c r="AA1082" i="11"/>
  <c r="AA2362" i="11"/>
  <c r="AA3045" i="11"/>
  <c r="AA3337" i="11"/>
  <c r="AA1210" i="11"/>
  <c r="AA3109" i="11"/>
  <c r="AA3401" i="11"/>
  <c r="AA498" i="11"/>
  <c r="AA2794" i="11"/>
  <c r="AA3118" i="11"/>
  <c r="AA3411" i="11"/>
  <c r="AA506" i="11"/>
  <c r="AA762" i="11"/>
  <c r="AA3182" i="11"/>
  <c r="AA3475" i="11"/>
  <c r="AA562" i="11"/>
  <c r="AA818" i="11"/>
  <c r="AA1074" i="11"/>
  <c r="AA3191" i="11"/>
  <c r="AA3484" i="11"/>
  <c r="AA570" i="11"/>
  <c r="AA826" i="11"/>
  <c r="AA1850" i="11"/>
  <c r="J119" i="4"/>
  <c r="J14" i="4"/>
  <c r="J36" i="4"/>
  <c r="J29" i="4"/>
  <c r="J92" i="4"/>
  <c r="J99" i="4"/>
  <c r="J81" i="4"/>
  <c r="J103" i="4"/>
  <c r="J23" i="4"/>
  <c r="J68" i="4"/>
  <c r="J10" i="4"/>
  <c r="J71" i="4"/>
  <c r="J19" i="4"/>
  <c r="J31" i="4"/>
  <c r="J112" i="4"/>
  <c r="J8" i="4"/>
  <c r="J9" i="4"/>
  <c r="J58" i="4"/>
  <c r="J84" i="4"/>
  <c r="J87" i="4"/>
  <c r="J49" i="4"/>
  <c r="J48" i="4"/>
  <c r="J126" i="4"/>
  <c r="J107" i="4"/>
  <c r="J11" i="4"/>
  <c r="J44" i="4"/>
  <c r="J40" i="4"/>
  <c r="J109" i="4"/>
  <c r="J100" i="4"/>
  <c r="J104" i="4"/>
  <c r="J54" i="4"/>
  <c r="J89" i="4"/>
  <c r="J121" i="4"/>
  <c r="J41" i="4"/>
  <c r="J96" i="4"/>
  <c r="J78" i="4"/>
  <c r="J52" i="4"/>
  <c r="J116" i="4"/>
  <c r="J118" i="4"/>
  <c r="J88" i="4"/>
  <c r="J106" i="4"/>
  <c r="J50" i="4"/>
  <c r="J98" i="4"/>
  <c r="J72" i="4"/>
  <c r="J5" i="4"/>
  <c r="J101" i="4"/>
  <c r="J120" i="4"/>
  <c r="J64" i="4"/>
  <c r="J18" i="4"/>
  <c r="J83" i="4"/>
  <c r="J115" i="4"/>
  <c r="J16" i="4"/>
  <c r="J33" i="4"/>
  <c r="J47" i="4"/>
  <c r="J42" i="4"/>
  <c r="J59" i="4"/>
  <c r="J53" i="4"/>
  <c r="J55" i="4"/>
  <c r="J95" i="4"/>
  <c r="J2" i="4"/>
  <c r="J63" i="4"/>
  <c r="J24" i="4"/>
  <c r="J97" i="4"/>
  <c r="J35" i="4"/>
  <c r="J67" i="4"/>
  <c r="J77" i="4"/>
  <c r="J66" i="4"/>
  <c r="J51" i="4"/>
  <c r="J34" i="4"/>
  <c r="J1" i="4"/>
  <c r="J22" i="4"/>
  <c r="J124" i="4"/>
  <c r="J45" i="4"/>
  <c r="J108" i="4"/>
  <c r="J70" i="4"/>
  <c r="J21" i="4"/>
  <c r="J17" i="4"/>
  <c r="J110" i="4"/>
  <c r="J28" i="4"/>
  <c r="J86" i="4"/>
  <c r="J39" i="4"/>
  <c r="J122" i="4"/>
  <c r="J102" i="4"/>
  <c r="J13" i="4"/>
  <c r="J3" i="4"/>
  <c r="J37" i="4"/>
  <c r="J105" i="4"/>
  <c r="J85" i="4"/>
  <c r="J91" i="4"/>
  <c r="J125" i="4"/>
  <c r="J20" i="4"/>
  <c r="J80" i="4"/>
  <c r="J90" i="4"/>
  <c r="J74" i="4"/>
  <c r="J6" i="4"/>
  <c r="J12" i="4"/>
  <c r="J26" i="4"/>
  <c r="J60" i="4"/>
  <c r="J75" i="4"/>
  <c r="J65" i="4"/>
  <c r="J38" i="4"/>
  <c r="J114" i="4"/>
  <c r="J4" i="4"/>
  <c r="J94" i="4"/>
  <c r="J123" i="4"/>
  <c r="J61" i="4"/>
  <c r="J82" i="4"/>
  <c r="J43" i="4"/>
  <c r="J25" i="4"/>
  <c r="J57" i="4"/>
  <c r="J56" i="4"/>
  <c r="J46" i="4"/>
  <c r="J73" i="4"/>
  <c r="J30" i="4"/>
  <c r="J76" i="4"/>
  <c r="J117" i="4"/>
  <c r="J111" i="4"/>
  <c r="J15" i="4"/>
  <c r="J32" i="4"/>
  <c r="J79" i="4"/>
  <c r="J27" i="4"/>
  <c r="J7" i="4"/>
  <c r="J62" i="4"/>
  <c r="J69" i="4"/>
  <c r="J113" i="4"/>
  <c r="J93" i="4"/>
  <c r="D29" i="3"/>
  <c r="D28" i="3"/>
  <c r="D27" i="3"/>
  <c r="J11" i="11"/>
  <c r="G11" i="11"/>
  <c r="K3" i="11"/>
  <c r="J3" i="11"/>
  <c r="H3" i="11"/>
  <c r="G3" i="11"/>
  <c r="K15" i="11"/>
  <c r="J15" i="11"/>
  <c r="I3" i="11" l="1"/>
  <c r="H15" i="11"/>
  <c r="G15" i="11"/>
  <c r="K6" i="11"/>
  <c r="J6" i="11"/>
  <c r="I15" i="11" l="1"/>
  <c r="H6" i="11"/>
  <c r="G6" i="11"/>
  <c r="I6" i="11" s="1"/>
  <c r="K14" i="11"/>
  <c r="J14" i="11"/>
  <c r="H14" i="11"/>
  <c r="G14" i="11"/>
  <c r="I14" i="11" s="1"/>
  <c r="K8" i="11"/>
  <c r="J8" i="11"/>
  <c r="H8" i="11"/>
  <c r="G8" i="11"/>
  <c r="I8" i="11" s="1"/>
  <c r="K13" i="11"/>
  <c r="J13" i="11"/>
  <c r="H13" i="11"/>
  <c r="G13" i="11"/>
  <c r="I13" i="11" s="1"/>
  <c r="K5" i="11"/>
  <c r="J5" i="11"/>
  <c r="H5" i="11"/>
  <c r="G5" i="11"/>
  <c r="J9" i="11"/>
  <c r="I5" i="11" l="1"/>
  <c r="G9" i="11"/>
  <c r="J10" i="11"/>
  <c r="G10" i="11"/>
  <c r="K16" i="11"/>
  <c r="J16" i="11"/>
  <c r="H16" i="11"/>
  <c r="G16" i="11"/>
  <c r="K10" i="11"/>
  <c r="I16" i="11" l="1"/>
  <c r="H10" i="11"/>
  <c r="I10" i="11" s="1"/>
  <c r="K11" i="11"/>
  <c r="H11" i="11"/>
  <c r="I11" i="11" s="1"/>
  <c r="K9" i="11"/>
  <c r="H9" i="11"/>
  <c r="I9" i="11" s="1"/>
  <c r="K12" i="11"/>
  <c r="J12" i="11"/>
  <c r="H12" i="11"/>
  <c r="G12" i="11"/>
  <c r="I12" i="11" s="1"/>
  <c r="K7" i="11"/>
  <c r="J7" i="11"/>
  <c r="H7" i="11"/>
  <c r="G7" i="11"/>
  <c r="K4" i="11"/>
  <c r="J4" i="11"/>
  <c r="I7" i="11" l="1"/>
  <c r="H4" i="11"/>
  <c r="G4" i="11"/>
  <c r="I4" i="11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<sst xmlns="http://schemas.openxmlformats.org/spreadsheetml/2006/main" count="300" uniqueCount="165">
  <si>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</si>
  <si>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</si>
  <si>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</si>
  <si>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</si>
  <si>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</si>
  <si>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</si>
  <si>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</si>
  <si>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</si>
  <si>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</si>
  <si>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</si>
  <si>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</si>
  <si>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</si>
  <si>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</si>
  <si>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</si>
  <si>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</si>
  <si>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</si>
  <si>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</si>
  <si>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</si>
  <si>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</si>
  <si>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</si>
  <si>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</si>
  <si>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</si>
  <si>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</si>
  <si>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</si>
  <si>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</si>
  <si>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</si>
  <si>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</si>
  <si>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</si>
  <si>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</si>
  <si>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</si>
  <si>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</si>
  <si>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</si>
  <si>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</si>
  <si>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</si>
  <si>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</si>
  <si>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</si>
  <si>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</si>
  <si>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</si>
  <si>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</si>
  <si>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</si>
  <si>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</si>
  <si>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</si>
  <si>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</si>
  <si>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</si>
  <si>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</si>
  <si>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</si>
  <si>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</si>
  <si>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</si>
  <si>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</si>
  <si>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</si>
  <si>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</si>
  <si>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</si>
  <si>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</si>
  <si>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</si>
  <si>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</si>
  <si>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</si>
  <si>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</si>
  <si>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</si>
  <si>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</si>
  <si>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</si>
  <si>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</si>
  <si>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</si>
  <si>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</si>
  <si>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</si>
  <si>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</si>
  <si>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</si>
  <si>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</si>
  <si>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</si>
  <si>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Instrument code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</si>
  <si>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</si>
  <si>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</si>
  <si>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</si>
  <si>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</si>
  <si>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</si>
  <si>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</si>
  <si>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</si>
  <si>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</si>
  <si>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</si>
  <si>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</si>
  <si>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</si>
  <si>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</si>
  <si>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</si>
  <si>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</si>
  <si>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</si>
  <si>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</si>
  <si>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</si>
  <si>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</si>
  <si>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</si>
  <si>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</si>
  <si>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</si>
  <si>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main ref depo</t>
  </si>
  <si>
    <t>x</t>
  </si>
  <si>
    <t>Rate</t>
  </si>
  <si>
    <t>SB</t>
  </si>
  <si>
    <t>Index</t>
  </si>
  <si>
    <t>Quote Object ID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</si>
  <si>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</si>
  <si>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</si>
  <si>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</si>
  <si>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</si>
  <si>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</si>
  <si>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</si>
  <si>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</si>
  <si>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</si>
  <si>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</si>
  <si>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</si>
  <si>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</si>
  <si>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</si>
  <si>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</si>
  <si>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</si>
  <si>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GENERAL SETTINGS</t>
  </si>
  <si>
    <t>Serialize</t>
  </si>
  <si>
    <t>SerializationPath</t>
  </si>
  <si>
    <t>FileOverwrite</t>
  </si>
  <si>
    <t>ADDITIONAL SETTINGS</t>
  </si>
  <si>
    <t>FamilyName</t>
  </si>
  <si>
    <t>Libor</t>
  </si>
  <si>
    <t>QuoteSuffix</t>
  </si>
  <si>
    <t>_Quote</t>
  </si>
  <si>
    <t>BondBasisDayCounter</t>
  </si>
  <si>
    <t>Actual/365 (Fixed)</t>
  </si>
  <si>
    <t>MoneyMarketDayCounter</t>
  </si>
  <si>
    <t>Discounting</t>
  </si>
  <si>
    <t>Discounting2</t>
  </si>
  <si>
    <t>UnitedKingdom::Exchange</t>
  </si>
  <si>
    <t>GBP1Y</t>
  </si>
  <si>
    <t>Extrapolation</t>
  </si>
  <si>
    <t>Synthetic</t>
  </si>
  <si>
    <t>1D</t>
  </si>
  <si>
    <t>6L</t>
  </si>
  <si>
    <t>Fwd start</t>
  </si>
  <si>
    <t>Freq</t>
  </si>
  <si>
    <t>Business Day Convention</t>
  </si>
  <si>
    <t>Day Count Convention</t>
  </si>
  <si>
    <t>Spread</t>
  </si>
  <si>
    <t>0d</t>
  </si>
  <si>
    <t>Modified Following</t>
  </si>
  <si>
    <t>12L</t>
  </si>
  <si>
    <t>12E</t>
  </si>
  <si>
    <t>Annual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</si>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</sst>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5" formatCode="0.0000%"/>
    <numFmt numFmtId="166" formatCode="ddd\,\ d\-mmm\-yy"/>
    <numFmt numFmtId="167" formatCode="ddd\,\ dd\-mmm\-yyyy"/>
    <numFmt numFmtId="168" formatCode="0.000000000"/>
    <numFmt numFmtId="169" formatCode="0.00000%"/>
    <numFmt numFmtId="170" formatCode="ddd\,\ dd\-mmm\-yyyy\,\ hh:mm:ss"/>
    <numFmt numFmtId="171" formatCode="ddd\,\ d\-mmm\-yyyy\,\ hh:mm:ss"/>
    <numFmt numFmtId="172" formatCode="ddd\,\ d\-mmm\-yyyy"/>
    <numFmt numFmtId="173" formatCode="mm/dd/yy;@"/>
    <numFmt numFmtId="174" formatCode="[$-409]d\-mmm\-yy;@"/>
    <numFmt numFmtId="175" formatCode="General_)"/>
    <numFmt numFmtId="176" formatCode="#,##0.0;#,##0.0"/>
    <numFmt numFmtId="177" formatCode="&quot;£&quot;#,##0;[Red]\-&quot;£&quot;#,##0"/>
    <numFmt numFmtId="178" formatCode="[$-F800]dddd\,\ mmmm\ dd\,\ yyyy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5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1" fillId="0" borderId="0" applyFont="0" applyFill="0" applyBorder="0" applyAlignment="0" applyProtection="0"/>
    <xf numFmtId="40" fontId="11" fillId="0" borderId="0" applyFont="0" applyFill="0" applyBorder="0" applyAlignment="0" applyProtection="0"/>
    <xf numFmtId="175" fontId="12" fillId="0" borderId="0"/>
    <xf numFmtId="176" fontId="13" fillId="10" borderId="0">
      <alignment horizontal="center" vertical="center"/>
    </xf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0" fontId="2" fillId="0" borderId="0"/>
    <xf numFmtId="0" fontId="1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53">
    <xf numFmtId="0" fontId="0" fillId="0" borderId="0" xfId="0"/>
    <xf numFmtId="0" fontId="5" fillId="7" borderId="0" xfId="1" applyFont="1" applyFill="1"/>
    <xf numFmtId="0" fontId="5" fillId="2" borderId="17" xfId="1" applyFont="1" applyFill="1" applyBorder="1"/>
    <xf numFmtId="0" fontId="4" fillId="2" borderId="0" xfId="1" applyFont="1" applyFill="1" applyBorder="1"/>
    <xf numFmtId="0" fontId="5" fillId="2" borderId="0" xfId="1" applyFont="1" applyFill="1" applyBorder="1"/>
    <xf numFmtId="0" fontId="5" fillId="2" borderId="18" xfId="1" applyFont="1" applyFill="1" applyBorder="1"/>
    <xf numFmtId="0" fontId="5" fillId="0" borderId="0" xfId="1" applyFont="1"/>
    <xf numFmtId="0" fontId="5" fillId="4" borderId="19" xfId="1" applyFont="1" applyFill="1" applyBorder="1"/>
    <xf numFmtId="0" fontId="5" fillId="2" borderId="11" xfId="1" applyFont="1" applyFill="1" applyBorder="1" applyAlignment="1">
      <alignment horizontal="center"/>
    </xf>
    <xf numFmtId="0" fontId="5" fillId="4" borderId="22" xfId="1" applyFont="1" applyFill="1" applyBorder="1"/>
    <xf numFmtId="170" fontId="5" fillId="2" borderId="0" xfId="1" applyNumberFormat="1" applyFont="1" applyFill="1" applyBorder="1" applyAlignment="1">
      <alignment horizontal="center"/>
    </xf>
    <xf numFmtId="0" fontId="5" fillId="2" borderId="13" xfId="1" applyFont="1" applyFill="1" applyBorder="1" applyAlignment="1">
      <alignment horizontal="center"/>
    </xf>
    <xf numFmtId="172" fontId="5" fillId="2" borderId="13" xfId="1" applyNumberFormat="1" applyFont="1" applyFill="1" applyBorder="1" applyAlignment="1">
      <alignment horizontal="center"/>
    </xf>
    <xf numFmtId="165" fontId="5" fillId="2" borderId="15" xfId="1" applyNumberFormat="1" applyFont="1" applyFill="1" applyBorder="1" applyAlignment="1">
      <alignment horizontal="center"/>
    </xf>
    <xf numFmtId="0" fontId="5" fillId="2" borderId="23" xfId="1" applyFont="1" applyFill="1" applyBorder="1"/>
    <xf numFmtId="0" fontId="5" fillId="2" borderId="26" xfId="1" applyFont="1" applyFill="1" applyBorder="1"/>
    <xf numFmtId="0" fontId="5" fillId="2" borderId="24" xfId="1" applyFont="1" applyFill="1" applyBorder="1"/>
    <xf numFmtId="0" fontId="10" fillId="2" borderId="17" xfId="9" applyFont="1" applyFill="1" applyBorder="1"/>
    <xf numFmtId="0" fontId="10" fillId="2" borderId="0" xfId="9" applyFont="1" applyFill="1" applyBorder="1"/>
    <xf numFmtId="0" fontId="10" fillId="2" borderId="18" xfId="9" applyFont="1" applyFill="1" applyBorder="1"/>
    <xf numFmtId="0" fontId="10" fillId="4" borderId="16" xfId="9" applyNumberFormat="1" applyFont="1" applyFill="1" applyBorder="1"/>
    <xf numFmtId="171" fontId="10" fillId="6" borderId="29" xfId="9" applyNumberFormat="1" applyFont="1" applyFill="1" applyBorder="1" applyAlignment="1" applyProtection="1">
      <alignment horizontal="center"/>
    </xf>
    <xf numFmtId="15" fontId="10" fillId="2" borderId="18" xfId="9" applyNumberFormat="1" applyFont="1" applyFill="1" applyBorder="1"/>
    <xf numFmtId="171" fontId="10" fillId="6" borderId="29" xfId="9" quotePrefix="1" applyNumberFormat="1" applyFont="1" applyFill="1" applyBorder="1" applyAlignment="1" applyProtection="1">
      <alignment horizontal="left"/>
    </xf>
    <xf numFmtId="171" fontId="10" fillId="6" borderId="29" xfId="9" quotePrefix="1" applyNumberFormat="1" applyFont="1" applyFill="1" applyBorder="1" applyAlignment="1" applyProtection="1">
      <alignment horizontal="center"/>
    </xf>
    <xf numFmtId="0" fontId="10" fillId="2" borderId="23" xfId="9" applyFont="1" applyFill="1" applyBorder="1"/>
    <xf numFmtId="0" fontId="10" fillId="2" borderId="26" xfId="9" applyFont="1" applyFill="1" applyBorder="1"/>
    <xf numFmtId="0" fontId="10" fillId="2" borderId="24" xfId="9" applyFont="1" applyFill="1" applyBorder="1"/>
    <xf numFmtId="0" fontId="3" fillId="11" borderId="0" xfId="1" applyFill="1"/>
    <xf numFmtId="0" fontId="14" fillId="2" borderId="17" xfId="9" applyFont="1" applyFill="1" applyBorder="1"/>
    <xf numFmtId="0" fontId="14" fillId="2" borderId="0" xfId="9" applyFont="1" applyFill="1" applyBorder="1"/>
    <xf numFmtId="0" fontId="14" fillId="2" borderId="18" xfId="9" applyFont="1" applyFill="1" applyBorder="1"/>
    <xf numFmtId="0" fontId="15" fillId="4" borderId="16" xfId="9" applyFont="1" applyFill="1" applyBorder="1"/>
    <xf numFmtId="0" fontId="2" fillId="2" borderId="23" xfId="9" applyFill="1" applyBorder="1"/>
    <xf numFmtId="0" fontId="2" fillId="2" borderId="26" xfId="9" applyFill="1" applyBorder="1"/>
    <xf numFmtId="0" fontId="2" fillId="2" borderId="24" xfId="9" applyFill="1" applyBorder="1"/>
    <xf numFmtId="0" fontId="5" fillId="11" borderId="0" xfId="1" applyFont="1" applyFill="1"/>
    <xf numFmtId="0" fontId="5" fillId="12" borderId="20" xfId="1" applyFont="1" applyFill="1" applyBorder="1"/>
    <xf numFmtId="0" fontId="5" fillId="12" borderId="21" xfId="1" applyFont="1" applyFill="1" applyBorder="1"/>
    <xf numFmtId="0" fontId="5" fillId="12" borderId="17" xfId="1" applyFont="1" applyFill="1" applyBorder="1"/>
    <xf numFmtId="0" fontId="5" fillId="12" borderId="18" xfId="1" applyFont="1" applyFill="1" applyBorder="1"/>
    <xf numFmtId="0" fontId="5" fillId="12" borderId="23" xfId="1" applyFont="1" applyFill="1" applyBorder="1"/>
    <xf numFmtId="0" fontId="5" fillId="12" borderId="24" xfId="1" applyFont="1" applyFill="1" applyBorder="1"/>
    <xf numFmtId="0" fontId="5" fillId="2" borderId="13" xfId="9" applyFont="1" applyFill="1" applyBorder="1" applyAlignment="1">
      <alignment horizontal="center"/>
    </xf>
    <xf numFmtId="0" fontId="5" fillId="4" borderId="22" xfId="9" applyFont="1" applyFill="1" applyBorder="1"/>
    <xf numFmtId="171" fontId="5" fillId="2" borderId="13" xfId="9" applyNumberFormat="1" applyFont="1" applyFill="1" applyBorder="1" applyAlignment="1">
      <alignment horizontal="center"/>
    </xf>
    <xf numFmtId="0" fontId="5" fillId="4" borderId="25" xfId="9" applyFont="1" applyFill="1" applyBorder="1"/>
    <xf numFmtId="0" fontId="5" fillId="2" borderId="15" xfId="9" applyFont="1" applyFill="1" applyBorder="1" applyAlignment="1">
      <alignment horizontal="center"/>
    </xf>
    <xf numFmtId="0" fontId="4" fillId="4" borderId="19" xfId="9" applyFont="1" applyFill="1" applyBorder="1" applyAlignment="1">
      <alignment horizontal="right"/>
    </xf>
    <xf numFmtId="166" fontId="5" fillId="6" borderId="11" xfId="9" quotePrefix="1" applyNumberFormat="1" applyFont="1" applyFill="1" applyBorder="1" applyAlignment="1">
      <alignment horizontal="center"/>
    </xf>
    <xf numFmtId="0" fontId="4" fillId="4" borderId="25" xfId="9" applyFont="1" applyFill="1" applyBorder="1" applyAlignment="1">
      <alignment horizontal="right"/>
    </xf>
    <xf numFmtId="1" fontId="7" fillId="6" borderId="15" xfId="9" applyNumberFormat="1" applyFont="1" applyFill="1" applyBorder="1" applyAlignment="1">
      <alignment horizontal="left"/>
    </xf>
    <xf numFmtId="166" fontId="5" fillId="5" borderId="11" xfId="9" applyNumberFormat="1" applyFont="1" applyFill="1" applyBorder="1" applyAlignment="1">
      <alignment horizontal="center"/>
    </xf>
    <xf numFmtId="0" fontId="4" fillId="4" borderId="22" xfId="9" applyFont="1" applyFill="1" applyBorder="1" applyAlignment="1">
      <alignment horizontal="right"/>
    </xf>
    <xf numFmtId="3" fontId="5" fillId="5" borderId="13" xfId="9" applyNumberFormat="1" applyFont="1" applyFill="1" applyBorder="1" applyAlignment="1">
      <alignment horizontal="center"/>
    </xf>
    <xf numFmtId="11" fontId="5" fillId="5" borderId="12" xfId="9" applyNumberFormat="1" applyFont="1" applyFill="1" applyBorder="1" applyAlignment="1">
      <alignment horizontal="center"/>
    </xf>
    <xf numFmtId="172" fontId="5" fillId="5" borderId="12" xfId="9" applyNumberFormat="1" applyFont="1" applyFill="1" applyBorder="1" applyAlignment="1">
      <alignment horizontal="center"/>
    </xf>
    <xf numFmtId="165" fontId="5" fillId="5" borderId="12" xfId="9" applyNumberFormat="1" applyFont="1" applyFill="1" applyBorder="1" applyAlignment="1">
      <alignment horizontal="center"/>
    </xf>
    <xf numFmtId="11" fontId="5" fillId="5" borderId="13" xfId="9" applyNumberFormat="1" applyFont="1" applyFill="1" applyBorder="1" applyAlignment="1">
      <alignment horizontal="center"/>
    </xf>
    <xf numFmtId="0" fontId="5" fillId="5" borderId="13" xfId="9" applyFont="1" applyFill="1" applyBorder="1" applyAlignment="1">
      <alignment horizontal="center"/>
    </xf>
    <xf numFmtId="0" fontId="5" fillId="5" borderId="15" xfId="9" applyFont="1" applyFill="1" applyBorder="1" applyAlignment="1">
      <alignment horizontal="center"/>
    </xf>
    <xf numFmtId="172" fontId="5" fillId="2" borderId="19" xfId="9" applyNumberFormat="1" applyFont="1" applyFill="1" applyBorder="1" applyAlignment="1">
      <alignment horizontal="right"/>
    </xf>
    <xf numFmtId="168" fontId="5" fillId="2" borderId="19" xfId="9" applyNumberFormat="1" applyFont="1" applyFill="1" applyBorder="1" applyAlignment="1">
      <alignment horizontal="center"/>
    </xf>
    <xf numFmtId="172" fontId="5" fillId="2" borderId="22" xfId="9" applyNumberFormat="1" applyFont="1" applyFill="1" applyBorder="1" applyAlignment="1">
      <alignment horizontal="right"/>
    </xf>
    <xf numFmtId="0" fontId="5" fillId="2" borderId="22" xfId="9" applyFont="1" applyFill="1" applyBorder="1" applyAlignment="1">
      <alignment horizontal="center"/>
    </xf>
    <xf numFmtId="167" fontId="5" fillId="2" borderId="22" xfId="9" applyNumberFormat="1" applyFont="1" applyFill="1" applyBorder="1" applyAlignment="1">
      <alignment horizontal="right"/>
    </xf>
    <xf numFmtId="0" fontId="5" fillId="2" borderId="22" xfId="9" applyFont="1" applyFill="1" applyBorder="1" applyAlignment="1">
      <alignment horizontal="left"/>
    </xf>
    <xf numFmtId="167" fontId="5" fillId="2" borderId="25" xfId="9" applyNumberFormat="1" applyFont="1" applyFill="1" applyBorder="1" applyAlignment="1">
      <alignment horizontal="right"/>
    </xf>
    <xf numFmtId="0" fontId="5" fillId="2" borderId="25" xfId="9" applyFont="1" applyFill="1" applyBorder="1" applyAlignment="1">
      <alignment horizontal="center"/>
    </xf>
    <xf numFmtId="0" fontId="16" fillId="3" borderId="30" xfId="0" applyFont="1" applyFill="1" applyBorder="1" applyAlignment="1">
      <alignment horizontal="center" vertical="center" wrapText="1"/>
    </xf>
    <xf numFmtId="0" fontId="17" fillId="0" borderId="0" xfId="0" applyFont="1"/>
    <xf numFmtId="0" fontId="16" fillId="3" borderId="9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center" vertical="center" wrapText="1"/>
    </xf>
    <xf numFmtId="0" fontId="16" fillId="3" borderId="4" xfId="0" applyFont="1" applyFill="1" applyBorder="1" applyAlignment="1">
      <alignment horizontal="center" vertical="center" wrapText="1"/>
    </xf>
    <xf numFmtId="168" fontId="17" fillId="0" borderId="0" xfId="0" applyNumberFormat="1" applyFont="1"/>
    <xf numFmtId="0" fontId="16" fillId="4" borderId="7" xfId="0" applyFont="1" applyFill="1" applyBorder="1" applyAlignment="1">
      <alignment horizontal="right"/>
    </xf>
    <xf numFmtId="3" fontId="17" fillId="5" borderId="8" xfId="0" applyNumberFormat="1" applyFont="1" applyFill="1" applyBorder="1" applyAlignment="1">
      <alignment horizontal="center"/>
    </xf>
    <xf numFmtId="0" fontId="17" fillId="2" borderId="17" xfId="0" applyFont="1" applyFill="1" applyBorder="1" applyAlignment="1"/>
    <xf numFmtId="165" fontId="17" fillId="2" borderId="0" xfId="0" applyNumberFormat="1" applyFont="1" applyFill="1" applyBorder="1" applyAlignment="1"/>
    <xf numFmtId="172" fontId="17" fillId="2" borderId="0" xfId="0" applyNumberFormat="1" applyFont="1" applyFill="1" applyBorder="1" applyAlignment="1"/>
    <xf numFmtId="172" fontId="17" fillId="2" borderId="18" xfId="0" applyNumberFormat="1" applyFont="1" applyFill="1" applyBorder="1" applyAlignment="1"/>
    <xf numFmtId="0" fontId="16" fillId="4" borderId="5" xfId="0" applyFont="1" applyFill="1" applyBorder="1" applyAlignment="1">
      <alignment horizontal="right"/>
    </xf>
    <xf numFmtId="3" fontId="17" fillId="5" borderId="6" xfId="0" applyNumberFormat="1" applyFont="1" applyFill="1" applyBorder="1" applyAlignment="1">
      <alignment horizontal="center"/>
    </xf>
    <xf numFmtId="0" fontId="17" fillId="5" borderId="6" xfId="0" applyFont="1" applyFill="1" applyBorder="1" applyAlignment="1">
      <alignment horizontal="center"/>
    </xf>
    <xf numFmtId="0" fontId="17" fillId="2" borderId="23" xfId="0" applyFont="1" applyFill="1" applyBorder="1" applyAlignment="1"/>
    <xf numFmtId="165" fontId="17" fillId="2" borderId="26" xfId="0" applyNumberFormat="1" applyFont="1" applyFill="1" applyBorder="1" applyAlignment="1"/>
    <xf numFmtId="172" fontId="17" fillId="2" borderId="26" xfId="0" applyNumberFormat="1" applyFont="1" applyFill="1" applyBorder="1" applyAlignment="1"/>
    <xf numFmtId="172" fontId="17" fillId="2" borderId="24" xfId="0" applyNumberFormat="1" applyFont="1" applyFill="1" applyBorder="1" applyAlignment="1"/>
    <xf numFmtId="0" fontId="17" fillId="0" borderId="0" xfId="0" applyFont="1" applyAlignment="1">
      <alignment horizontal="left"/>
    </xf>
    <xf numFmtId="0" fontId="17" fillId="2" borderId="17" xfId="0" applyFont="1" applyFill="1" applyBorder="1"/>
    <xf numFmtId="0" fontId="17" fillId="2" borderId="0" xfId="0" applyFont="1" applyFill="1" applyBorder="1"/>
    <xf numFmtId="0" fontId="17" fillId="2" borderId="0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2" borderId="18" xfId="0" applyFont="1" applyFill="1" applyBorder="1"/>
    <xf numFmtId="0" fontId="19" fillId="0" borderId="0" xfId="0" applyFont="1"/>
    <xf numFmtId="0" fontId="17" fillId="2" borderId="17" xfId="0" applyFont="1" applyFill="1" applyBorder="1" applyAlignment="1">
      <alignment horizontal="center"/>
    </xf>
    <xf numFmtId="0" fontId="16" fillId="2" borderId="16" xfId="0" applyFont="1" applyFill="1" applyBorder="1" applyAlignment="1">
      <alignment horizontal="center" vertical="center" wrapText="1"/>
    </xf>
    <xf numFmtId="0" fontId="20" fillId="2" borderId="16" xfId="0" applyFont="1" applyFill="1" applyBorder="1" applyAlignment="1">
      <alignment horizontal="center" vertical="center"/>
    </xf>
    <xf numFmtId="0" fontId="17" fillId="6" borderId="29" xfId="0" applyNumberFormat="1" applyFont="1" applyFill="1" applyBorder="1" applyAlignment="1" applyProtection="1">
      <alignment horizontal="center" vertical="center"/>
    </xf>
    <xf numFmtId="0" fontId="18" fillId="6" borderId="16" xfId="0" applyNumberFormat="1" applyFont="1" applyFill="1" applyBorder="1" applyAlignment="1" applyProtection="1">
      <alignment horizontal="left" vertical="center"/>
    </xf>
    <xf numFmtId="0" fontId="16" fillId="2" borderId="27" xfId="0" applyFont="1" applyFill="1" applyBorder="1" applyAlignment="1">
      <alignment horizontal="center"/>
    </xf>
    <xf numFmtId="173" fontId="17" fillId="2" borderId="25" xfId="0" applyNumberFormat="1" applyFont="1" applyFill="1" applyBorder="1" applyAlignment="1"/>
    <xf numFmtId="173" fontId="17" fillId="9" borderId="25" xfId="0" applyNumberFormat="1" applyFont="1" applyFill="1" applyBorder="1" applyAlignment="1">
      <alignment horizontal="left"/>
    </xf>
    <xf numFmtId="174" fontId="18" fillId="6" borderId="29" xfId="0" applyNumberFormat="1" applyFont="1" applyFill="1" applyBorder="1" applyAlignment="1" applyProtection="1">
      <alignment horizontal="left"/>
    </xf>
    <xf numFmtId="167" fontId="19" fillId="0" borderId="0" xfId="0" applyNumberFormat="1" applyFont="1"/>
    <xf numFmtId="0" fontId="17" fillId="2" borderId="23" xfId="0" applyFont="1" applyFill="1" applyBorder="1"/>
    <xf numFmtId="0" fontId="17" fillId="2" borderId="26" xfId="0" applyFont="1" applyFill="1" applyBorder="1"/>
    <xf numFmtId="0" fontId="17" fillId="2" borderId="24" xfId="0" applyFont="1" applyFill="1" applyBorder="1"/>
    <xf numFmtId="0" fontId="17" fillId="2" borderId="20" xfId="0" applyFont="1" applyFill="1" applyBorder="1" applyAlignment="1">
      <alignment horizontal="center"/>
    </xf>
    <xf numFmtId="0" fontId="17" fillId="2" borderId="33" xfId="0" applyFont="1" applyFill="1" applyBorder="1" applyAlignment="1">
      <alignment horizontal="center"/>
    </xf>
    <xf numFmtId="0" fontId="17" fillId="0" borderId="33" xfId="0" applyFont="1" applyBorder="1" applyAlignment="1">
      <alignment horizontal="center"/>
    </xf>
    <xf numFmtId="0" fontId="17" fillId="0" borderId="33" xfId="0" applyFont="1" applyBorder="1"/>
    <xf numFmtId="0" fontId="17" fillId="2" borderId="21" xfId="0" applyFont="1" applyFill="1" applyBorder="1"/>
    <xf numFmtId="0" fontId="17" fillId="2" borderId="19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 vertical="center" wrapText="1"/>
    </xf>
    <xf numFmtId="0" fontId="20" fillId="2" borderId="19" xfId="0" applyFont="1" applyFill="1" applyBorder="1" applyAlignment="1">
      <alignment horizontal="center" vertical="center"/>
    </xf>
    <xf numFmtId="0" fontId="17" fillId="6" borderId="19" xfId="0" applyNumberFormat="1" applyFont="1" applyFill="1" applyBorder="1" applyAlignment="1" applyProtection="1">
      <alignment horizontal="center" vertical="center"/>
    </xf>
    <xf numFmtId="0" fontId="18" fillId="6" borderId="11" xfId="0" applyNumberFormat="1" applyFont="1" applyFill="1" applyBorder="1" applyAlignment="1" applyProtection="1">
      <alignment vertical="center"/>
    </xf>
    <xf numFmtId="0" fontId="17" fillId="2" borderId="25" xfId="0" applyNumberFormat="1" applyFont="1" applyFill="1" applyBorder="1" applyAlignment="1">
      <alignment horizontal="center"/>
    </xf>
    <xf numFmtId="0" fontId="17" fillId="2" borderId="16" xfId="0" applyNumberFormat="1" applyFont="1" applyFill="1" applyBorder="1" applyAlignment="1">
      <alignment horizontal="left"/>
    </xf>
    <xf numFmtId="0" fontId="17" fillId="2" borderId="29" xfId="0" applyNumberFormat="1" applyFont="1" applyFill="1" applyBorder="1" applyAlignment="1">
      <alignment horizontal="left"/>
    </xf>
    <xf numFmtId="0" fontId="17" fillId="2" borderId="16" xfId="0" applyNumberFormat="1" applyFont="1" applyFill="1" applyBorder="1" applyAlignment="1">
      <alignment horizontal="center"/>
    </xf>
    <xf numFmtId="0" fontId="18" fillId="6" borderId="16" xfId="0" applyNumberFormat="1" applyFont="1" applyFill="1" applyBorder="1" applyAlignment="1" applyProtection="1"/>
    <xf numFmtId="0" fontId="17" fillId="2" borderId="26" xfId="0" applyFont="1" applyFill="1" applyBorder="1" applyAlignment="1">
      <alignment horizontal="left"/>
    </xf>
    <xf numFmtId="0" fontId="21" fillId="2" borderId="18" xfId="0" applyFont="1" applyFill="1" applyBorder="1"/>
    <xf numFmtId="0" fontId="17" fillId="6" borderId="16" xfId="0" applyNumberFormat="1" applyFont="1" applyFill="1" applyBorder="1" applyAlignment="1" applyProtection="1">
      <alignment horizontal="center" vertical="center"/>
    </xf>
    <xf numFmtId="0" fontId="17" fillId="6" borderId="16" xfId="0" applyNumberFormat="1" applyFont="1" applyFill="1" applyBorder="1" applyAlignment="1" applyProtection="1">
      <alignment horizontal="left" vertical="center"/>
    </xf>
    <xf numFmtId="174" fontId="18" fillId="6" borderId="16" xfId="0" applyNumberFormat="1" applyFont="1" applyFill="1" applyBorder="1" applyAlignment="1" applyProtection="1">
      <alignment horizontal="left"/>
    </xf>
    <xf numFmtId="0" fontId="17" fillId="9" borderId="16" xfId="0" applyNumberFormat="1" applyFont="1" applyFill="1" applyBorder="1" applyAlignment="1">
      <alignment horizontal="center"/>
    </xf>
    <xf numFmtId="0" fontId="17" fillId="2" borderId="16" xfId="0" applyFont="1" applyFill="1" applyBorder="1" applyAlignment="1">
      <alignment horizontal="center"/>
    </xf>
    <xf numFmtId="165" fontId="17" fillId="2" borderId="16" xfId="0" applyNumberFormat="1" applyFont="1" applyFill="1" applyBorder="1" applyAlignment="1"/>
    <xf numFmtId="0" fontId="17" fillId="2" borderId="16" xfId="0" applyFont="1" applyFill="1" applyBorder="1" applyAlignment="1"/>
    <xf numFmtId="0" fontId="17" fillId="2" borderId="25" xfId="0" applyFont="1" applyFill="1" applyBorder="1" applyAlignment="1">
      <alignment horizontal="center"/>
    </xf>
    <xf numFmtId="0" fontId="17" fillId="0" borderId="20" xfId="0" applyFont="1" applyBorder="1"/>
    <xf numFmtId="0" fontId="17" fillId="0" borderId="21" xfId="0" applyFont="1" applyBorder="1"/>
    <xf numFmtId="0" fontId="17" fillId="0" borderId="17" xfId="0" applyFont="1" applyBorder="1"/>
    <xf numFmtId="0" fontId="17" fillId="0" borderId="0" xfId="0" applyFont="1" applyBorder="1"/>
    <xf numFmtId="0" fontId="17" fillId="0" borderId="18" xfId="0" applyFont="1" applyBorder="1"/>
    <xf numFmtId="0" fontId="17" fillId="0" borderId="23" xfId="0" applyFont="1" applyBorder="1"/>
    <xf numFmtId="0" fontId="17" fillId="0" borderId="26" xfId="0" applyFont="1" applyBorder="1"/>
    <xf numFmtId="0" fontId="17" fillId="0" borderId="24" xfId="0" applyFont="1" applyBorder="1"/>
    <xf numFmtId="0" fontId="17" fillId="2" borderId="24" xfId="0" applyFont="1" applyFill="1" applyBorder="1" applyAlignment="1">
      <alignment horizontal="left"/>
    </xf>
    <xf numFmtId="0" fontId="16" fillId="3" borderId="16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 textRotation="90"/>
    </xf>
    <xf numFmtId="0" fontId="17" fillId="2" borderId="0" xfId="0" applyNumberFormat="1" applyFont="1" applyFill="1" applyBorder="1" applyAlignment="1">
      <alignment horizontal="center"/>
    </xf>
    <xf numFmtId="0" fontId="17" fillId="2" borderId="0" xfId="0" applyFont="1" applyFill="1" applyBorder="1" applyAlignment="1">
      <alignment horizontal="left"/>
    </xf>
    <xf numFmtId="165" fontId="17" fillId="2" borderId="0" xfId="2" applyNumberFormat="1" applyFont="1" applyFill="1" applyBorder="1" applyAlignment="1">
      <alignment horizontal="right"/>
    </xf>
    <xf numFmtId="172" fontId="17" fillId="2" borderId="0" xfId="0" applyNumberFormat="1" applyFont="1" applyFill="1" applyBorder="1" applyAlignment="1">
      <alignment horizontal="right"/>
    </xf>
    <xf numFmtId="172" fontId="17" fillId="2" borderId="13" xfId="0" applyNumberFormat="1" applyFont="1" applyFill="1" applyBorder="1" applyAlignment="1">
      <alignment horizontal="right"/>
    </xf>
    <xf numFmtId="0" fontId="17" fillId="2" borderId="2" xfId="0" applyNumberFormat="1" applyFont="1" applyFill="1" applyBorder="1" applyAlignment="1">
      <alignment horizontal="center"/>
    </xf>
    <xf numFmtId="0" fontId="17" fillId="2" borderId="2" xfId="0" applyFont="1" applyFill="1" applyBorder="1" applyAlignment="1">
      <alignment horizontal="left"/>
    </xf>
    <xf numFmtId="165" fontId="17" fillId="2" borderId="2" xfId="2" applyNumberFormat="1" applyFont="1" applyFill="1" applyBorder="1" applyAlignment="1">
      <alignment horizontal="right"/>
    </xf>
    <xf numFmtId="0" fontId="17" fillId="2" borderId="2" xfId="0" applyFont="1" applyFill="1" applyBorder="1" applyAlignment="1">
      <alignment horizontal="center"/>
    </xf>
    <xf numFmtId="172" fontId="17" fillId="2" borderId="2" xfId="0" applyNumberFormat="1" applyFont="1" applyFill="1" applyBorder="1" applyAlignment="1">
      <alignment horizontal="right"/>
    </xf>
    <xf numFmtId="172" fontId="17" fillId="2" borderId="15" xfId="0" applyNumberFormat="1" applyFont="1" applyFill="1" applyBorder="1" applyAlignment="1">
      <alignment horizontal="right"/>
    </xf>
    <xf numFmtId="0" fontId="17" fillId="2" borderId="10" xfId="0" applyNumberFormat="1" applyFont="1" applyFill="1" applyBorder="1" applyAlignment="1">
      <alignment horizontal="center"/>
    </xf>
    <xf numFmtId="0" fontId="17" fillId="2" borderId="1" xfId="0" applyNumberFormat="1" applyFont="1" applyFill="1" applyBorder="1" applyAlignment="1">
      <alignment horizontal="center"/>
    </xf>
    <xf numFmtId="0" fontId="17" fillId="2" borderId="1" xfId="0" applyFont="1" applyFill="1" applyBorder="1" applyAlignment="1">
      <alignment horizontal="left"/>
    </xf>
    <xf numFmtId="0" fontId="17" fillId="2" borderId="14" xfId="0" applyNumberFormat="1" applyFont="1" applyFill="1" applyBorder="1" applyAlignment="1">
      <alignment horizontal="center"/>
    </xf>
    <xf numFmtId="0" fontId="17" fillId="2" borderId="12" xfId="0" applyNumberFormat="1" applyFont="1" applyFill="1" applyBorder="1" applyAlignment="1">
      <alignment horizontal="center"/>
    </xf>
    <xf numFmtId="10" fontId="17" fillId="0" borderId="0" xfId="0" applyNumberFormat="1" applyFont="1"/>
    <xf numFmtId="165" fontId="17" fillId="0" borderId="0" xfId="0" applyNumberFormat="1" applyFont="1"/>
    <xf numFmtId="169" fontId="17" fillId="0" borderId="0" xfId="0" applyNumberFormat="1" applyFont="1"/>
    <xf numFmtId="0" fontId="9" fillId="8" borderId="30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0" borderId="31" xfId="9" applyFont="1" applyBorder="1" applyAlignment="1"/>
    <xf numFmtId="0" fontId="9" fillId="8" borderId="31" xfId="1" applyFont="1" applyFill="1" applyBorder="1" applyAlignment="1">
      <alignment horizontal="center"/>
    </xf>
    <xf numFmtId="0" fontId="16" fillId="3" borderId="27" xfId="0" applyFont="1" applyFill="1" applyBorder="1" applyAlignment="1">
      <alignment horizontal="center" vertical="center" wrapText="1"/>
    </xf>
    <xf numFmtId="0" fontId="16" fillId="3" borderId="28" xfId="0" applyFont="1" applyFill="1" applyBorder="1" applyAlignment="1">
      <alignment horizontal="center" vertical="center" wrapText="1"/>
    </xf>
    <xf numFmtId="0" fontId="16" fillId="3" borderId="29" xfId="0" applyFont="1" applyFill="1" applyBorder="1" applyAlignment="1">
      <alignment horizontal="center" vertical="center" wrapText="1"/>
    </xf>
    <xf numFmtId="0" fontId="16" fillId="3" borderId="30" xfId="0" applyFont="1" applyFill="1" applyBorder="1" applyAlignment="1">
      <alignment horizontal="center" vertical="center" wrapText="1"/>
    </xf>
    <xf numFmtId="0" fontId="16" fillId="3" borderId="31" xfId="0" applyFont="1" applyFill="1" applyBorder="1" applyAlignment="1">
      <alignment horizontal="center" vertical="center" wrapText="1"/>
    </xf>
    <xf numFmtId="0" fontId="17" fillId="2" borderId="33" xfId="0" applyFont="1" applyFill="1" applyBorder="1" applyAlignment="1">
      <alignment horizontal="right"/>
    </xf>
    <xf numFmtId="0" fontId="16" fillId="2" borderId="10" xfId="0" applyFont="1" applyFill="1" applyBorder="1" applyAlignment="1">
      <alignment horizontal="right" vertical="center" wrapText="1"/>
    </xf>
    <xf numFmtId="0" fontId="17" fillId="2" borderId="27" xfId="0" applyNumberFormat="1" applyFont="1" applyFill="1" applyBorder="1" applyAlignment="1">
      <alignment horizontal="right"/>
    </xf>
    <xf numFmtId="0" fontId="17" fillId="2" borderId="26" xfId="0" applyFont="1" applyFill="1" applyBorder="1" applyAlignment="1">
      <alignment horizontal="right"/>
    </xf>
    <xf numFmtId="0" fontId="17" fillId="0" borderId="0" xfId="0" applyFont="1" applyAlignment="1">
      <alignment horizontal="right"/>
    </xf>
    <xf numFmtId="0" fontId="17" fillId="2" borderId="33" xfId="0" applyFont="1" applyFill="1" applyBorder="1" applyAlignment="1">
      <alignment horizontal="left"/>
    </xf>
    <xf numFmtId="0" fontId="17" fillId="2" borderId="11" xfId="0" applyFont="1" applyFill="1" applyBorder="1" applyAlignment="1">
      <alignment horizontal="left" vertical="center" wrapText="1"/>
    </xf>
    <xf numFmtId="0" fontId="17" fillId="13" borderId="16" xfId="0" applyNumberFormat="1" applyFont="1" applyFill="1" applyBorder="1" applyAlignment="1">
      <alignment horizontal="left"/>
    </xf>
    <xf numFmtId="0" fontId="17" fillId="13" borderId="27" xfId="0" applyNumberFormat="1" applyFont="1" applyFill="1" applyBorder="1" applyAlignment="1">
      <alignment horizontal="right"/>
    </xf>
    <xf numFmtId="0" fontId="17" fillId="13" borderId="29" xfId="0" applyNumberFormat="1" applyFont="1" applyFill="1" applyBorder="1" applyAlignment="1">
      <alignment horizontal="left"/>
    </xf>
    <xf numFmtId="0" fontId="17" fillId="13" borderId="16" xfId="0" applyNumberFormat="1" applyFont="1" applyFill="1" applyBorder="1" applyAlignment="1">
      <alignment horizontal="center"/>
    </xf>
    <xf numFmtId="0" fontId="17" fillId="13" borderId="16" xfId="0" applyFont="1" applyFill="1" applyBorder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7" fillId="2" borderId="15" xfId="0" applyNumberFormat="1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7" fillId="0" borderId="1" xfId="0" applyFont="1" applyBorder="1" applyAlignment="1">
      <alignment horizontal="left"/>
    </xf>
    <xf numFmtId="0" fontId="16" fillId="14" borderId="30" xfId="9" applyFont="1" applyFill="1" applyBorder="1" applyAlignment="1">
      <alignment horizontal="centerContinuous"/>
    </xf>
    <xf numFmtId="0" fontId="16" fillId="14" borderId="20" xfId="9" applyFont="1" applyFill="1" applyBorder="1" applyAlignment="1">
      <alignment horizontal="centerContinuous"/>
    </xf>
    <xf numFmtId="0" fontId="16" fillId="14" borderId="21" xfId="9" applyFont="1" applyFill="1" applyBorder="1" applyAlignment="1">
      <alignment horizontal="centerContinuous"/>
    </xf>
    <xf numFmtId="0" fontId="16" fillId="14" borderId="33" xfId="9" applyFont="1" applyFill="1" applyBorder="1" applyAlignment="1">
      <alignment horizontal="centerContinuous"/>
    </xf>
    <xf numFmtId="0" fontId="16" fillId="14" borderId="34" xfId="9" applyFont="1" applyFill="1" applyBorder="1" applyAlignment="1">
      <alignment horizontal="centerContinuous"/>
    </xf>
    <xf numFmtId="0" fontId="16" fillId="14" borderId="32" xfId="9" applyFont="1" applyFill="1" applyBorder="1" applyAlignment="1">
      <alignment horizontal="centerContinuous"/>
    </xf>
    <xf numFmtId="0" fontId="23" fillId="0" borderId="0" xfId="10" applyFont="1"/>
    <xf numFmtId="0" fontId="16" fillId="15" borderId="34" xfId="9" applyFont="1" applyFill="1" applyBorder="1" applyAlignment="1">
      <alignment horizontal="center"/>
    </xf>
    <xf numFmtId="0" fontId="16" fillId="15" borderId="35" xfId="9" applyFont="1" applyFill="1" applyBorder="1" applyAlignment="1">
      <alignment horizontal="center"/>
    </xf>
    <xf numFmtId="0" fontId="16" fillId="15" borderId="36" xfId="9" applyFont="1" applyFill="1" applyBorder="1" applyAlignment="1">
      <alignment horizontal="center"/>
    </xf>
    <xf numFmtId="0" fontId="16" fillId="15" borderId="37" xfId="9" applyFont="1" applyFill="1" applyBorder="1" applyAlignment="1">
      <alignment horizontal="center"/>
    </xf>
    <xf numFmtId="0" fontId="17" fillId="0" borderId="0" xfId="9" applyFont="1"/>
    <xf numFmtId="0" fontId="17" fillId="0" borderId="0" xfId="9" applyFont="1" applyAlignment="1">
      <alignment horizontal="right"/>
    </xf>
    <xf numFmtId="0" fontId="17" fillId="13" borderId="17" xfId="9" applyFont="1" applyFill="1" applyBorder="1" applyAlignment="1">
      <alignment vertical="center"/>
    </xf>
    <xf numFmtId="0" fontId="17" fillId="13" borderId="38" xfId="9" applyFont="1" applyFill="1" applyBorder="1"/>
    <xf numFmtId="167" fontId="17" fillId="13" borderId="22" xfId="9" applyNumberFormat="1" applyFont="1" applyFill="1" applyBorder="1"/>
    <xf numFmtId="0" fontId="17" fillId="12" borderId="22" xfId="9" applyFont="1" applyFill="1" applyBorder="1"/>
    <xf numFmtId="0" fontId="17" fillId="13" borderId="39" xfId="9" applyNumberFormat="1" applyFont="1" applyFill="1" applyBorder="1"/>
    <xf numFmtId="10" fontId="17" fillId="13" borderId="22" xfId="9" applyNumberFormat="1" applyFont="1" applyFill="1" applyBorder="1"/>
    <xf numFmtId="10" fontId="17" fillId="13" borderId="39" xfId="9" applyNumberFormat="1" applyFont="1" applyFill="1" applyBorder="1"/>
    <xf numFmtId="10" fontId="17" fillId="0" borderId="0" xfId="9" applyNumberFormat="1" applyFont="1"/>
    <xf numFmtId="0" fontId="1" fillId="0" borderId="0" xfId="10"/>
    <xf numFmtId="178" fontId="17" fillId="0" borderId="0" xfId="9" applyNumberFormat="1" applyFont="1"/>
    <xf numFmtId="0" fontId="17" fillId="13" borderId="20" xfId="9" applyFont="1" applyFill="1" applyBorder="1"/>
    <xf numFmtId="0" fontId="17" fillId="13" borderId="35" xfId="9" applyFont="1" applyFill="1" applyBorder="1"/>
    <xf numFmtId="167" fontId="17" fillId="13" borderId="36" xfId="9" applyNumberFormat="1" applyFont="1" applyFill="1" applyBorder="1"/>
    <xf numFmtId="0" fontId="17" fillId="12" borderId="36" xfId="9" applyFont="1" applyFill="1" applyBorder="1"/>
    <xf numFmtId="0" fontId="17" fillId="13" borderId="37" xfId="9" applyFont="1" applyFill="1" applyBorder="1"/>
    <xf numFmtId="10" fontId="17" fillId="13" borderId="36" xfId="9" applyNumberFormat="1" applyFont="1" applyFill="1" applyBorder="1"/>
    <xf numFmtId="10" fontId="17" fillId="13" borderId="37" xfId="9" applyNumberFormat="1" applyFont="1" applyFill="1" applyBorder="1"/>
    <xf numFmtId="0" fontId="17" fillId="13" borderId="17" xfId="9" applyFont="1" applyFill="1" applyBorder="1"/>
    <xf numFmtId="0" fontId="16" fillId="15" borderId="0" xfId="9" applyFont="1" applyFill="1" applyBorder="1" applyAlignment="1">
      <alignment horizontal="center" vertical="center"/>
    </xf>
    <xf numFmtId="0" fontId="17" fillId="0" borderId="33" xfId="9" applyFont="1" applyBorder="1"/>
    <xf numFmtId="0" fontId="23" fillId="0" borderId="33" xfId="10" applyFont="1" applyBorder="1"/>
    <xf numFmtId="0" fontId="17" fillId="0" borderId="0" xfId="9" applyFont="1" applyBorder="1"/>
    <xf numFmtId="0" fontId="17" fillId="0" borderId="1" xfId="9" applyFont="1" applyBorder="1" applyAlignment="1">
      <alignment horizontal="center" vertical="center"/>
    </xf>
    <xf numFmtId="0" fontId="16" fillId="14" borderId="20" xfId="9" applyFont="1" applyFill="1" applyBorder="1" applyAlignment="1">
      <alignment horizontal="center"/>
    </xf>
    <xf numFmtId="0" fontId="16" fillId="14" borderId="33" xfId="9" applyFont="1" applyFill="1" applyBorder="1" applyAlignment="1">
      <alignment horizontal="center"/>
    </xf>
    <xf numFmtId="0" fontId="16" fillId="14" borderId="33" xfId="9" applyFont="1" applyFill="1" applyBorder="1" applyAlignment="1">
      <alignment horizontal="center" vertical="center"/>
    </xf>
    <xf numFmtId="0" fontId="16" fillId="14" borderId="21" xfId="9" applyFont="1" applyFill="1" applyBorder="1" applyAlignment="1">
      <alignment horizontal="center"/>
    </xf>
    <xf numFmtId="0" fontId="16" fillId="14" borderId="30" xfId="9" applyFont="1" applyFill="1" applyBorder="1" applyAlignment="1">
      <alignment horizontal="center"/>
    </xf>
    <xf numFmtId="0" fontId="16" fillId="14" borderId="32" xfId="9" applyFont="1" applyFill="1" applyBorder="1" applyAlignment="1">
      <alignment horizontal="center"/>
    </xf>
    <xf numFmtId="0" fontId="16" fillId="14" borderId="32" xfId="9" applyFont="1" applyFill="1" applyBorder="1" applyAlignment="1">
      <alignment horizontal="center" vertical="center"/>
    </xf>
    <xf numFmtId="0" fontId="16" fillId="14" borderId="31" xfId="9" applyFont="1" applyFill="1" applyBorder="1" applyAlignment="1">
      <alignment horizontal="center" vertical="center"/>
    </xf>
    <xf numFmtId="0" fontId="16" fillId="14" borderId="40" xfId="9" applyFont="1" applyFill="1" applyBorder="1" applyAlignment="1">
      <alignment horizontal="center"/>
    </xf>
    <xf numFmtId="0" fontId="17" fillId="0" borderId="17" xfId="9" applyFont="1" applyBorder="1"/>
    <xf numFmtId="167" fontId="17" fillId="0" borderId="0" xfId="9" applyNumberFormat="1" applyFont="1" applyBorder="1"/>
    <xf numFmtId="165" fontId="24" fillId="0" borderId="17" xfId="11" applyNumberFormat="1" applyFont="1" applyBorder="1"/>
    <xf numFmtId="0" fontId="17" fillId="0" borderId="0" xfId="9" applyFont="1" applyAlignment="1"/>
    <xf numFmtId="167" fontId="17" fillId="0" borderId="0" xfId="9" applyNumberFormat="1" applyFont="1" applyBorder="1" applyAlignment="1"/>
    <xf numFmtId="165" fontId="17" fillId="0" borderId="0" xfId="11" quotePrefix="1" applyNumberFormat="1" applyFont="1" applyBorder="1" applyAlignment="1"/>
    <xf numFmtId="165" fontId="17" fillId="0" borderId="26" xfId="11" quotePrefix="1" applyNumberFormat="1" applyFont="1" applyBorder="1" applyAlignment="1"/>
    <xf numFmtId="165" fontId="17" fillId="0" borderId="18" xfId="11" quotePrefix="1" applyNumberFormat="1" applyFont="1" applyBorder="1" applyAlignment="1"/>
    <xf numFmtId="165" fontId="17" fillId="0" borderId="24" xfId="11" quotePrefix="1" applyNumberFormat="1" applyFont="1" applyBorder="1" applyAlignment="1"/>
    <xf numFmtId="0" fontId="17" fillId="0" borderId="40" xfId="9" applyFont="1" applyBorder="1" applyAlignment="1">
      <alignment horizontal="center"/>
    </xf>
    <xf numFmtId="0" fontId="17" fillId="0" borderId="23" xfId="9" applyFont="1" applyBorder="1"/>
    <xf numFmtId="165" fontId="17" fillId="0" borderId="0" xfId="11" applyNumberFormat="1" applyFont="1"/>
    <xf numFmtId="167" fontId="17" fillId="0" borderId="26" xfId="9" applyNumberFormat="1" applyFont="1" applyBorder="1"/>
    <xf numFmtId="0" fontId="17" fillId="0" borderId="26" xfId="9" applyFont="1" applyBorder="1"/>
    <xf numFmtId="165" fontId="17" fillId="0" borderId="26" xfId="9" applyNumberFormat="1" applyFont="1" applyBorder="1"/>
    <xf numFmtId="0" fontId="17" fillId="0" borderId="0" xfId="9" applyFont="1" applyBorder="1" applyAlignment="1">
      <alignment horizontal="right" vertical="center"/>
    </xf>
    <xf numFmtId="167" fontId="17" fillId="0" borderId="26" xfId="9" applyNumberFormat="1" applyFont="1" applyBorder="1" applyAlignment="1"/>
    <xf numFmtId="165" fontId="17" fillId="0" borderId="24" xfId="9" applyNumberFormat="1" applyFont="1" applyBorder="1" applyAlignment="1">
      <alignment horizontal="right"/>
    </xf>
    <xf numFmtId="10" fontId="17" fillId="13" borderId="38" xfId="9" applyNumberFormat="1" applyFont="1" applyFill="1" applyBorder="1"/>
    <xf numFmtId="10" fontId="17" fillId="13" borderId="35" xfId="9" applyNumberFormat="1" applyFont="1" applyFill="1" applyBorder="1"/>
  </cellXfs>
  <cellStyles count="15">
    <cellStyle name="Migliaia (0)_AZIONI" xfId="3"/>
    <cellStyle name="Migliaia_AZIONI" xfId="4"/>
    <cellStyle name="Normal" xfId="0" builtinId="0"/>
    <cellStyle name="Normal 2" xfId="9"/>
    <cellStyle name="Normal 2 2" xfId="12"/>
    <cellStyle name="Normal 3" xfId="10"/>
    <cellStyle name="Normal_SwaptionATMVols" xfId="1"/>
    <cellStyle name="Normale_AZIONI" xfId="5"/>
    <cellStyle name="Percent" xfId="2" builtinId="5"/>
    <cellStyle name="Percent 2" xfId="11"/>
    <cellStyle name="Percent 3" xfId="13"/>
    <cellStyle name="Percent 4" xfId="14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41817</c:v>
                </c:pt>
                <c:pt idx="1">
                  <c:v>41820</c:v>
                </c:pt>
                <c:pt idx="2">
                  <c:v>41821</c:v>
                </c:pt>
                <c:pt idx="3">
                  <c:v>41822</c:v>
                </c:pt>
                <c:pt idx="4">
                  <c:v>41823</c:v>
                </c:pt>
                <c:pt idx="5">
                  <c:v>41824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41834</c:v>
                </c:pt>
                <c:pt idx="12">
                  <c:v>41835</c:v>
                </c:pt>
                <c:pt idx="13">
                  <c:v>41836</c:v>
                </c:pt>
                <c:pt idx="14">
                  <c:v>41837</c:v>
                </c:pt>
                <c:pt idx="15">
                  <c:v>41838</c:v>
                </c:pt>
                <c:pt idx="16">
                  <c:v>41841</c:v>
                </c:pt>
                <c:pt idx="17">
                  <c:v>41842</c:v>
                </c:pt>
                <c:pt idx="18">
                  <c:v>41843</c:v>
                </c:pt>
                <c:pt idx="19">
                  <c:v>41844</c:v>
                </c:pt>
                <c:pt idx="20">
                  <c:v>41845</c:v>
                </c:pt>
                <c:pt idx="21">
                  <c:v>41848</c:v>
                </c:pt>
                <c:pt idx="22">
                  <c:v>41849</c:v>
                </c:pt>
                <c:pt idx="23">
                  <c:v>41850</c:v>
                </c:pt>
                <c:pt idx="24">
                  <c:v>41851</c:v>
                </c:pt>
                <c:pt idx="25">
                  <c:v>41852</c:v>
                </c:pt>
                <c:pt idx="26">
                  <c:v>41855</c:v>
                </c:pt>
                <c:pt idx="27">
                  <c:v>41856</c:v>
                </c:pt>
                <c:pt idx="28">
                  <c:v>41857</c:v>
                </c:pt>
                <c:pt idx="29">
                  <c:v>41858</c:v>
                </c:pt>
                <c:pt idx="30">
                  <c:v>41859</c:v>
                </c:pt>
                <c:pt idx="31">
                  <c:v>41862</c:v>
                </c:pt>
                <c:pt idx="32">
                  <c:v>41863</c:v>
                </c:pt>
                <c:pt idx="33">
                  <c:v>41864</c:v>
                </c:pt>
                <c:pt idx="34">
                  <c:v>41865</c:v>
                </c:pt>
                <c:pt idx="35">
                  <c:v>41866</c:v>
                </c:pt>
                <c:pt idx="36">
                  <c:v>41869</c:v>
                </c:pt>
                <c:pt idx="37">
                  <c:v>41870</c:v>
                </c:pt>
                <c:pt idx="38">
                  <c:v>41871</c:v>
                </c:pt>
                <c:pt idx="39">
                  <c:v>41872</c:v>
                </c:pt>
                <c:pt idx="40">
                  <c:v>41873</c:v>
                </c:pt>
                <c:pt idx="41">
                  <c:v>41877</c:v>
                </c:pt>
                <c:pt idx="42">
                  <c:v>41878</c:v>
                </c:pt>
                <c:pt idx="43">
                  <c:v>41879</c:v>
                </c:pt>
                <c:pt idx="44">
                  <c:v>41880</c:v>
                </c:pt>
                <c:pt idx="45">
                  <c:v>41883</c:v>
                </c:pt>
                <c:pt idx="46">
                  <c:v>41884</c:v>
                </c:pt>
                <c:pt idx="47">
                  <c:v>41885</c:v>
                </c:pt>
                <c:pt idx="48">
                  <c:v>41886</c:v>
                </c:pt>
                <c:pt idx="49">
                  <c:v>41887</c:v>
                </c:pt>
                <c:pt idx="50">
                  <c:v>41890</c:v>
                </c:pt>
                <c:pt idx="51">
                  <c:v>41891</c:v>
                </c:pt>
                <c:pt idx="52">
                  <c:v>41892</c:v>
                </c:pt>
                <c:pt idx="53">
                  <c:v>41893</c:v>
                </c:pt>
                <c:pt idx="54">
                  <c:v>41894</c:v>
                </c:pt>
                <c:pt idx="55">
                  <c:v>41897</c:v>
                </c:pt>
                <c:pt idx="56">
                  <c:v>41898</c:v>
                </c:pt>
                <c:pt idx="57">
                  <c:v>41899</c:v>
                </c:pt>
                <c:pt idx="58">
                  <c:v>41900</c:v>
                </c:pt>
                <c:pt idx="59">
                  <c:v>41901</c:v>
                </c:pt>
                <c:pt idx="60">
                  <c:v>41904</c:v>
                </c:pt>
                <c:pt idx="61">
                  <c:v>41905</c:v>
                </c:pt>
                <c:pt idx="62">
                  <c:v>41906</c:v>
                </c:pt>
                <c:pt idx="63">
                  <c:v>41907</c:v>
                </c:pt>
                <c:pt idx="64">
                  <c:v>41908</c:v>
                </c:pt>
                <c:pt idx="65">
                  <c:v>41911</c:v>
                </c:pt>
                <c:pt idx="66">
                  <c:v>41912</c:v>
                </c:pt>
                <c:pt idx="67">
                  <c:v>41913</c:v>
                </c:pt>
                <c:pt idx="68">
                  <c:v>41914</c:v>
                </c:pt>
                <c:pt idx="69">
                  <c:v>41915</c:v>
                </c:pt>
                <c:pt idx="70">
                  <c:v>41918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42030</c:v>
                </c:pt>
                <c:pt idx="148">
                  <c:v>42031</c:v>
                </c:pt>
                <c:pt idx="149">
                  <c:v>42032</c:v>
                </c:pt>
                <c:pt idx="150">
                  <c:v>42033</c:v>
                </c:pt>
                <c:pt idx="151">
                  <c:v>42034</c:v>
                </c:pt>
                <c:pt idx="152">
                  <c:v>42037</c:v>
                </c:pt>
                <c:pt idx="153">
                  <c:v>42038</c:v>
                </c:pt>
                <c:pt idx="154">
                  <c:v>42039</c:v>
                </c:pt>
                <c:pt idx="155">
                  <c:v>42040</c:v>
                </c:pt>
                <c:pt idx="156">
                  <c:v>42041</c:v>
                </c:pt>
                <c:pt idx="157">
                  <c:v>42044</c:v>
                </c:pt>
                <c:pt idx="158">
                  <c:v>42045</c:v>
                </c:pt>
                <c:pt idx="159">
                  <c:v>42046</c:v>
                </c:pt>
                <c:pt idx="160">
                  <c:v>42047</c:v>
                </c:pt>
                <c:pt idx="161">
                  <c:v>42048</c:v>
                </c:pt>
                <c:pt idx="162">
                  <c:v>42051</c:v>
                </c:pt>
                <c:pt idx="163">
                  <c:v>42052</c:v>
                </c:pt>
                <c:pt idx="164">
                  <c:v>42053</c:v>
                </c:pt>
                <c:pt idx="165">
                  <c:v>42054</c:v>
                </c:pt>
                <c:pt idx="166">
                  <c:v>42055</c:v>
                </c:pt>
                <c:pt idx="167">
                  <c:v>42058</c:v>
                </c:pt>
                <c:pt idx="168">
                  <c:v>42059</c:v>
                </c:pt>
                <c:pt idx="169">
                  <c:v>42060</c:v>
                </c:pt>
                <c:pt idx="170">
                  <c:v>42061</c:v>
                </c:pt>
                <c:pt idx="171">
                  <c:v>42062</c:v>
                </c:pt>
                <c:pt idx="172">
                  <c:v>42065</c:v>
                </c:pt>
                <c:pt idx="173">
                  <c:v>42066</c:v>
                </c:pt>
                <c:pt idx="174">
                  <c:v>42067</c:v>
                </c:pt>
                <c:pt idx="175">
                  <c:v>42068</c:v>
                </c:pt>
                <c:pt idx="176">
                  <c:v>42069</c:v>
                </c:pt>
                <c:pt idx="177">
                  <c:v>42072</c:v>
                </c:pt>
                <c:pt idx="178">
                  <c:v>42073</c:v>
                </c:pt>
                <c:pt idx="179">
                  <c:v>42074</c:v>
                </c:pt>
                <c:pt idx="180">
                  <c:v>42075</c:v>
                </c:pt>
                <c:pt idx="181">
                  <c:v>42076</c:v>
                </c:pt>
                <c:pt idx="182">
                  <c:v>42079</c:v>
                </c:pt>
                <c:pt idx="183">
                  <c:v>42080</c:v>
                </c:pt>
                <c:pt idx="184">
                  <c:v>42081</c:v>
                </c:pt>
                <c:pt idx="185">
                  <c:v>42082</c:v>
                </c:pt>
                <c:pt idx="186">
                  <c:v>42083</c:v>
                </c:pt>
                <c:pt idx="187">
                  <c:v>42086</c:v>
                </c:pt>
                <c:pt idx="188">
                  <c:v>42087</c:v>
                </c:pt>
                <c:pt idx="189">
                  <c:v>42088</c:v>
                </c:pt>
                <c:pt idx="190">
                  <c:v>42089</c:v>
                </c:pt>
                <c:pt idx="191">
                  <c:v>42090</c:v>
                </c:pt>
                <c:pt idx="192">
                  <c:v>42093</c:v>
                </c:pt>
                <c:pt idx="193">
                  <c:v>42094</c:v>
                </c:pt>
                <c:pt idx="194">
                  <c:v>42095</c:v>
                </c:pt>
                <c:pt idx="195">
                  <c:v>42096</c:v>
                </c:pt>
                <c:pt idx="196">
                  <c:v>42101</c:v>
                </c:pt>
                <c:pt idx="197">
                  <c:v>42102</c:v>
                </c:pt>
                <c:pt idx="198">
                  <c:v>42103</c:v>
                </c:pt>
                <c:pt idx="199">
                  <c:v>42104</c:v>
                </c:pt>
                <c:pt idx="200">
                  <c:v>42107</c:v>
                </c:pt>
                <c:pt idx="201">
                  <c:v>42108</c:v>
                </c:pt>
                <c:pt idx="202">
                  <c:v>42109</c:v>
                </c:pt>
                <c:pt idx="203">
                  <c:v>42110</c:v>
                </c:pt>
                <c:pt idx="204">
                  <c:v>42111</c:v>
                </c:pt>
                <c:pt idx="205">
                  <c:v>42114</c:v>
                </c:pt>
                <c:pt idx="206">
                  <c:v>42115</c:v>
                </c:pt>
                <c:pt idx="207">
                  <c:v>42116</c:v>
                </c:pt>
                <c:pt idx="208">
                  <c:v>42117</c:v>
                </c:pt>
                <c:pt idx="209">
                  <c:v>42118</c:v>
                </c:pt>
                <c:pt idx="210">
                  <c:v>42121</c:v>
                </c:pt>
                <c:pt idx="211">
                  <c:v>42122</c:v>
                </c:pt>
                <c:pt idx="212">
                  <c:v>42123</c:v>
                </c:pt>
                <c:pt idx="213">
                  <c:v>42124</c:v>
                </c:pt>
                <c:pt idx="214">
                  <c:v>42125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42150</c:v>
                </c:pt>
                <c:pt idx="230">
                  <c:v>42151</c:v>
                </c:pt>
                <c:pt idx="231">
                  <c:v>42152</c:v>
                </c:pt>
                <c:pt idx="232">
                  <c:v>42153</c:v>
                </c:pt>
                <c:pt idx="233">
                  <c:v>42156</c:v>
                </c:pt>
                <c:pt idx="234">
                  <c:v>42157</c:v>
                </c:pt>
                <c:pt idx="235">
                  <c:v>42158</c:v>
                </c:pt>
                <c:pt idx="236">
                  <c:v>42159</c:v>
                </c:pt>
                <c:pt idx="237">
                  <c:v>42160</c:v>
                </c:pt>
                <c:pt idx="238">
                  <c:v>42163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42186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42219</c:v>
                </c:pt>
                <c:pt idx="279">
                  <c:v>42220</c:v>
                </c:pt>
                <c:pt idx="280">
                  <c:v>42221</c:v>
                </c:pt>
                <c:pt idx="281">
                  <c:v>42222</c:v>
                </c:pt>
                <c:pt idx="282">
                  <c:v>42223</c:v>
                </c:pt>
                <c:pt idx="283">
                  <c:v>42226</c:v>
                </c:pt>
                <c:pt idx="284">
                  <c:v>42227</c:v>
                </c:pt>
                <c:pt idx="285">
                  <c:v>42228</c:v>
                </c:pt>
                <c:pt idx="286">
                  <c:v>42229</c:v>
                </c:pt>
                <c:pt idx="287">
                  <c:v>42230</c:v>
                </c:pt>
                <c:pt idx="288">
                  <c:v>42233</c:v>
                </c:pt>
                <c:pt idx="289">
                  <c:v>42234</c:v>
                </c:pt>
                <c:pt idx="290">
                  <c:v>42235</c:v>
                </c:pt>
                <c:pt idx="291">
                  <c:v>42236</c:v>
                </c:pt>
                <c:pt idx="292">
                  <c:v>42237</c:v>
                </c:pt>
                <c:pt idx="293">
                  <c:v>42240</c:v>
                </c:pt>
                <c:pt idx="294">
                  <c:v>42241</c:v>
                </c:pt>
                <c:pt idx="295">
                  <c:v>42242</c:v>
                </c:pt>
                <c:pt idx="296">
                  <c:v>42243</c:v>
                </c:pt>
                <c:pt idx="297">
                  <c:v>42244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42278</c:v>
                </c:pt>
                <c:pt idx="321">
                  <c:v>42279</c:v>
                </c:pt>
                <c:pt idx="322">
                  <c:v>42282</c:v>
                </c:pt>
                <c:pt idx="323">
                  <c:v>42283</c:v>
                </c:pt>
                <c:pt idx="324">
                  <c:v>42284</c:v>
                </c:pt>
                <c:pt idx="325">
                  <c:v>42285</c:v>
                </c:pt>
                <c:pt idx="326">
                  <c:v>42286</c:v>
                </c:pt>
                <c:pt idx="327">
                  <c:v>42289</c:v>
                </c:pt>
                <c:pt idx="328">
                  <c:v>42290</c:v>
                </c:pt>
                <c:pt idx="329">
                  <c:v>42291</c:v>
                </c:pt>
                <c:pt idx="330">
                  <c:v>42292</c:v>
                </c:pt>
                <c:pt idx="331">
                  <c:v>42293</c:v>
                </c:pt>
                <c:pt idx="332">
                  <c:v>42296</c:v>
                </c:pt>
                <c:pt idx="333">
                  <c:v>42297</c:v>
                </c:pt>
                <c:pt idx="334">
                  <c:v>42298</c:v>
                </c:pt>
                <c:pt idx="335">
                  <c:v>42299</c:v>
                </c:pt>
                <c:pt idx="336">
                  <c:v>42300</c:v>
                </c:pt>
                <c:pt idx="337">
                  <c:v>42303</c:v>
                </c:pt>
                <c:pt idx="338">
                  <c:v>42304</c:v>
                </c:pt>
                <c:pt idx="339">
                  <c:v>42305</c:v>
                </c:pt>
                <c:pt idx="340">
                  <c:v>42306</c:v>
                </c:pt>
                <c:pt idx="341">
                  <c:v>42307</c:v>
                </c:pt>
                <c:pt idx="342">
                  <c:v>42310</c:v>
                </c:pt>
                <c:pt idx="343">
                  <c:v>42311</c:v>
                </c:pt>
                <c:pt idx="344">
                  <c:v>42312</c:v>
                </c:pt>
                <c:pt idx="345">
                  <c:v>42313</c:v>
                </c:pt>
                <c:pt idx="346">
                  <c:v>42314</c:v>
                </c:pt>
                <c:pt idx="347">
                  <c:v>42317</c:v>
                </c:pt>
                <c:pt idx="348">
                  <c:v>42318</c:v>
                </c:pt>
                <c:pt idx="349">
                  <c:v>42319</c:v>
                </c:pt>
                <c:pt idx="350">
                  <c:v>42320</c:v>
                </c:pt>
                <c:pt idx="351">
                  <c:v>42321</c:v>
                </c:pt>
                <c:pt idx="352">
                  <c:v>42324</c:v>
                </c:pt>
                <c:pt idx="353">
                  <c:v>42325</c:v>
                </c:pt>
                <c:pt idx="354">
                  <c:v>42326</c:v>
                </c:pt>
                <c:pt idx="355">
                  <c:v>42327</c:v>
                </c:pt>
                <c:pt idx="356">
                  <c:v>42328</c:v>
                </c:pt>
                <c:pt idx="357">
                  <c:v>42331</c:v>
                </c:pt>
                <c:pt idx="358">
                  <c:v>42332</c:v>
                </c:pt>
                <c:pt idx="359">
                  <c:v>42333</c:v>
                </c:pt>
                <c:pt idx="360">
                  <c:v>42334</c:v>
                </c:pt>
                <c:pt idx="361">
                  <c:v>42335</c:v>
                </c:pt>
                <c:pt idx="362">
                  <c:v>42338</c:v>
                </c:pt>
                <c:pt idx="363">
                  <c:v>42339</c:v>
                </c:pt>
                <c:pt idx="364">
                  <c:v>42340</c:v>
                </c:pt>
                <c:pt idx="365">
                  <c:v>42341</c:v>
                </c:pt>
                <c:pt idx="366">
                  <c:v>42342</c:v>
                </c:pt>
                <c:pt idx="367">
                  <c:v>42345</c:v>
                </c:pt>
                <c:pt idx="368">
                  <c:v>42346</c:v>
                </c:pt>
                <c:pt idx="369">
                  <c:v>42347</c:v>
                </c:pt>
                <c:pt idx="370">
                  <c:v>42348</c:v>
                </c:pt>
                <c:pt idx="371">
                  <c:v>42349</c:v>
                </c:pt>
                <c:pt idx="372">
                  <c:v>42352</c:v>
                </c:pt>
                <c:pt idx="373">
                  <c:v>42353</c:v>
                </c:pt>
                <c:pt idx="374">
                  <c:v>42354</c:v>
                </c:pt>
                <c:pt idx="375">
                  <c:v>42355</c:v>
                </c:pt>
                <c:pt idx="376">
                  <c:v>42356</c:v>
                </c:pt>
                <c:pt idx="377">
                  <c:v>42359</c:v>
                </c:pt>
                <c:pt idx="378">
                  <c:v>42360</c:v>
                </c:pt>
                <c:pt idx="379">
                  <c:v>42361</c:v>
                </c:pt>
                <c:pt idx="380">
                  <c:v>42362</c:v>
                </c:pt>
                <c:pt idx="381">
                  <c:v>42367</c:v>
                </c:pt>
                <c:pt idx="382">
                  <c:v>42368</c:v>
                </c:pt>
                <c:pt idx="383">
                  <c:v>42369</c:v>
                </c:pt>
                <c:pt idx="384">
                  <c:v>42373</c:v>
                </c:pt>
                <c:pt idx="385">
                  <c:v>42374</c:v>
                </c:pt>
                <c:pt idx="386">
                  <c:v>42375</c:v>
                </c:pt>
                <c:pt idx="387">
                  <c:v>42376</c:v>
                </c:pt>
                <c:pt idx="388">
                  <c:v>42377</c:v>
                </c:pt>
                <c:pt idx="389">
                  <c:v>42380</c:v>
                </c:pt>
                <c:pt idx="390">
                  <c:v>42381</c:v>
                </c:pt>
                <c:pt idx="391">
                  <c:v>42382</c:v>
                </c:pt>
                <c:pt idx="392">
                  <c:v>42383</c:v>
                </c:pt>
                <c:pt idx="393">
                  <c:v>42384</c:v>
                </c:pt>
                <c:pt idx="394">
                  <c:v>42387</c:v>
                </c:pt>
                <c:pt idx="395">
                  <c:v>42388</c:v>
                </c:pt>
                <c:pt idx="396">
                  <c:v>42389</c:v>
                </c:pt>
                <c:pt idx="397">
                  <c:v>42390</c:v>
                </c:pt>
                <c:pt idx="398">
                  <c:v>42391</c:v>
                </c:pt>
                <c:pt idx="399">
                  <c:v>42394</c:v>
                </c:pt>
                <c:pt idx="400">
                  <c:v>42395</c:v>
                </c:pt>
                <c:pt idx="401">
                  <c:v>42396</c:v>
                </c:pt>
                <c:pt idx="402">
                  <c:v>42397</c:v>
                </c:pt>
                <c:pt idx="403">
                  <c:v>42398</c:v>
                </c:pt>
                <c:pt idx="404">
                  <c:v>42401</c:v>
                </c:pt>
                <c:pt idx="405">
                  <c:v>42402</c:v>
                </c:pt>
                <c:pt idx="406">
                  <c:v>42403</c:v>
                </c:pt>
                <c:pt idx="407">
                  <c:v>42404</c:v>
                </c:pt>
                <c:pt idx="408">
                  <c:v>42405</c:v>
                </c:pt>
                <c:pt idx="409">
                  <c:v>42408</c:v>
                </c:pt>
                <c:pt idx="410">
                  <c:v>42409</c:v>
                </c:pt>
                <c:pt idx="411">
                  <c:v>42410</c:v>
                </c:pt>
                <c:pt idx="412">
                  <c:v>42411</c:v>
                </c:pt>
                <c:pt idx="413">
                  <c:v>42412</c:v>
                </c:pt>
                <c:pt idx="414">
                  <c:v>42415</c:v>
                </c:pt>
                <c:pt idx="415">
                  <c:v>42416</c:v>
                </c:pt>
                <c:pt idx="416">
                  <c:v>42417</c:v>
                </c:pt>
                <c:pt idx="417">
                  <c:v>42418</c:v>
                </c:pt>
                <c:pt idx="418">
                  <c:v>42419</c:v>
                </c:pt>
                <c:pt idx="419">
                  <c:v>42422</c:v>
                </c:pt>
                <c:pt idx="420">
                  <c:v>42423</c:v>
                </c:pt>
                <c:pt idx="421">
                  <c:v>42424</c:v>
                </c:pt>
                <c:pt idx="422">
                  <c:v>42425</c:v>
                </c:pt>
                <c:pt idx="423">
                  <c:v>42426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42436</c:v>
                </c:pt>
                <c:pt idx="430">
                  <c:v>42437</c:v>
                </c:pt>
                <c:pt idx="431">
                  <c:v>42438</c:v>
                </c:pt>
                <c:pt idx="432">
                  <c:v>42439</c:v>
                </c:pt>
                <c:pt idx="433">
                  <c:v>42440</c:v>
                </c:pt>
                <c:pt idx="434">
                  <c:v>42443</c:v>
                </c:pt>
                <c:pt idx="435">
                  <c:v>42444</c:v>
                </c:pt>
                <c:pt idx="436">
                  <c:v>42445</c:v>
                </c:pt>
                <c:pt idx="437">
                  <c:v>42446</c:v>
                </c:pt>
                <c:pt idx="438">
                  <c:v>42447</c:v>
                </c:pt>
                <c:pt idx="439">
                  <c:v>42450</c:v>
                </c:pt>
                <c:pt idx="440">
                  <c:v>42451</c:v>
                </c:pt>
                <c:pt idx="441">
                  <c:v>42452</c:v>
                </c:pt>
                <c:pt idx="442">
                  <c:v>42453</c:v>
                </c:pt>
                <c:pt idx="443">
                  <c:v>42458</c:v>
                </c:pt>
                <c:pt idx="444">
                  <c:v>42459</c:v>
                </c:pt>
                <c:pt idx="445">
                  <c:v>42460</c:v>
                </c:pt>
                <c:pt idx="446">
                  <c:v>42461</c:v>
                </c:pt>
                <c:pt idx="447">
                  <c:v>42464</c:v>
                </c:pt>
                <c:pt idx="448">
                  <c:v>42465</c:v>
                </c:pt>
                <c:pt idx="449">
                  <c:v>42466</c:v>
                </c:pt>
                <c:pt idx="450">
                  <c:v>42467</c:v>
                </c:pt>
                <c:pt idx="451">
                  <c:v>42468</c:v>
                </c:pt>
                <c:pt idx="452">
                  <c:v>42471</c:v>
                </c:pt>
                <c:pt idx="453">
                  <c:v>42472</c:v>
                </c:pt>
                <c:pt idx="454">
                  <c:v>42473</c:v>
                </c:pt>
                <c:pt idx="455">
                  <c:v>42474</c:v>
                </c:pt>
                <c:pt idx="456">
                  <c:v>42475</c:v>
                </c:pt>
                <c:pt idx="457">
                  <c:v>42478</c:v>
                </c:pt>
                <c:pt idx="458">
                  <c:v>42479</c:v>
                </c:pt>
                <c:pt idx="459">
                  <c:v>42480</c:v>
                </c:pt>
                <c:pt idx="460">
                  <c:v>42481</c:v>
                </c:pt>
                <c:pt idx="461">
                  <c:v>42482</c:v>
                </c:pt>
                <c:pt idx="462">
                  <c:v>42485</c:v>
                </c:pt>
                <c:pt idx="463">
                  <c:v>42486</c:v>
                </c:pt>
                <c:pt idx="464">
                  <c:v>42487</c:v>
                </c:pt>
                <c:pt idx="465">
                  <c:v>42488</c:v>
                </c:pt>
                <c:pt idx="466">
                  <c:v>42489</c:v>
                </c:pt>
                <c:pt idx="467">
                  <c:v>42493</c:v>
                </c:pt>
                <c:pt idx="468">
                  <c:v>42494</c:v>
                </c:pt>
                <c:pt idx="469">
                  <c:v>42495</c:v>
                </c:pt>
                <c:pt idx="470">
                  <c:v>42496</c:v>
                </c:pt>
                <c:pt idx="471">
                  <c:v>42499</c:v>
                </c:pt>
                <c:pt idx="472">
                  <c:v>42500</c:v>
                </c:pt>
                <c:pt idx="473">
                  <c:v>42501</c:v>
                </c:pt>
                <c:pt idx="474">
                  <c:v>42502</c:v>
                </c:pt>
                <c:pt idx="475">
                  <c:v>42503</c:v>
                </c:pt>
                <c:pt idx="476">
                  <c:v>42506</c:v>
                </c:pt>
                <c:pt idx="477">
                  <c:v>42507</c:v>
                </c:pt>
                <c:pt idx="478">
                  <c:v>42508</c:v>
                </c:pt>
                <c:pt idx="479">
                  <c:v>42509</c:v>
                </c:pt>
                <c:pt idx="480">
                  <c:v>42510</c:v>
                </c:pt>
                <c:pt idx="481">
                  <c:v>42513</c:v>
                </c:pt>
                <c:pt idx="482">
                  <c:v>42514</c:v>
                </c:pt>
                <c:pt idx="483">
                  <c:v>42515</c:v>
                </c:pt>
                <c:pt idx="484">
                  <c:v>42516</c:v>
                </c:pt>
                <c:pt idx="485">
                  <c:v>42517</c:v>
                </c:pt>
                <c:pt idx="486">
                  <c:v>42521</c:v>
                </c:pt>
                <c:pt idx="487">
                  <c:v>42522</c:v>
                </c:pt>
                <c:pt idx="488">
                  <c:v>42523</c:v>
                </c:pt>
                <c:pt idx="489">
                  <c:v>42524</c:v>
                </c:pt>
                <c:pt idx="490">
                  <c:v>42527</c:v>
                </c:pt>
                <c:pt idx="491">
                  <c:v>42528</c:v>
                </c:pt>
                <c:pt idx="492">
                  <c:v>42529</c:v>
                </c:pt>
                <c:pt idx="493">
                  <c:v>42530</c:v>
                </c:pt>
                <c:pt idx="494">
                  <c:v>42531</c:v>
                </c:pt>
                <c:pt idx="495">
                  <c:v>42534</c:v>
                </c:pt>
                <c:pt idx="496">
                  <c:v>42535</c:v>
                </c:pt>
                <c:pt idx="497">
                  <c:v>42536</c:v>
                </c:pt>
                <c:pt idx="498">
                  <c:v>42537</c:v>
                </c:pt>
                <c:pt idx="499">
                  <c:v>42538</c:v>
                </c:pt>
                <c:pt idx="500">
                  <c:v>42541</c:v>
                </c:pt>
                <c:pt idx="501">
                  <c:v>42542</c:v>
                </c:pt>
                <c:pt idx="502">
                  <c:v>42543</c:v>
                </c:pt>
                <c:pt idx="503">
                  <c:v>42544</c:v>
                </c:pt>
                <c:pt idx="504">
                  <c:v>42545</c:v>
                </c:pt>
                <c:pt idx="505">
                  <c:v>42548</c:v>
                </c:pt>
                <c:pt idx="506">
                  <c:v>42549</c:v>
                </c:pt>
                <c:pt idx="507">
                  <c:v>42550</c:v>
                </c:pt>
                <c:pt idx="508">
                  <c:v>42551</c:v>
                </c:pt>
                <c:pt idx="509">
                  <c:v>42552</c:v>
                </c:pt>
                <c:pt idx="510">
                  <c:v>42555</c:v>
                </c:pt>
                <c:pt idx="511">
                  <c:v>42556</c:v>
                </c:pt>
                <c:pt idx="512">
                  <c:v>42557</c:v>
                </c:pt>
                <c:pt idx="513">
                  <c:v>42558</c:v>
                </c:pt>
                <c:pt idx="514">
                  <c:v>42559</c:v>
                </c:pt>
                <c:pt idx="515">
                  <c:v>42562</c:v>
                </c:pt>
                <c:pt idx="516">
                  <c:v>42563</c:v>
                </c:pt>
                <c:pt idx="517">
                  <c:v>42564</c:v>
                </c:pt>
                <c:pt idx="518">
                  <c:v>42571</c:v>
                </c:pt>
                <c:pt idx="519">
                  <c:v>42578</c:v>
                </c:pt>
                <c:pt idx="520">
                  <c:v>42585</c:v>
                </c:pt>
                <c:pt idx="521">
                  <c:v>42592</c:v>
                </c:pt>
                <c:pt idx="522">
                  <c:v>42599</c:v>
                </c:pt>
                <c:pt idx="523">
                  <c:v>42606</c:v>
                </c:pt>
                <c:pt idx="524">
                  <c:v>42613</c:v>
                </c:pt>
                <c:pt idx="525">
                  <c:v>42620</c:v>
                </c:pt>
                <c:pt idx="526">
                  <c:v>42627</c:v>
                </c:pt>
                <c:pt idx="527">
                  <c:v>42634</c:v>
                </c:pt>
                <c:pt idx="528">
                  <c:v>42641</c:v>
                </c:pt>
                <c:pt idx="529">
                  <c:v>42648</c:v>
                </c:pt>
                <c:pt idx="530">
                  <c:v>42655</c:v>
                </c:pt>
                <c:pt idx="531">
                  <c:v>42662</c:v>
                </c:pt>
                <c:pt idx="532">
                  <c:v>42669</c:v>
                </c:pt>
                <c:pt idx="533">
                  <c:v>42676</c:v>
                </c:pt>
                <c:pt idx="534">
                  <c:v>42683</c:v>
                </c:pt>
                <c:pt idx="535">
                  <c:v>42690</c:v>
                </c:pt>
                <c:pt idx="536">
                  <c:v>42697</c:v>
                </c:pt>
                <c:pt idx="537">
                  <c:v>42704</c:v>
                </c:pt>
                <c:pt idx="538">
                  <c:v>42711</c:v>
                </c:pt>
                <c:pt idx="539">
                  <c:v>42718</c:v>
                </c:pt>
                <c:pt idx="540">
                  <c:v>42725</c:v>
                </c:pt>
                <c:pt idx="541">
                  <c:v>42732</c:v>
                </c:pt>
                <c:pt idx="542">
                  <c:v>42739</c:v>
                </c:pt>
                <c:pt idx="543">
                  <c:v>42746</c:v>
                </c:pt>
                <c:pt idx="544">
                  <c:v>42753</c:v>
                </c:pt>
                <c:pt idx="545">
                  <c:v>42760</c:v>
                </c:pt>
                <c:pt idx="546">
                  <c:v>42767</c:v>
                </c:pt>
                <c:pt idx="547">
                  <c:v>42774</c:v>
                </c:pt>
                <c:pt idx="548">
                  <c:v>42781</c:v>
                </c:pt>
                <c:pt idx="549">
                  <c:v>42788</c:v>
                </c:pt>
                <c:pt idx="550">
                  <c:v>42795</c:v>
                </c:pt>
                <c:pt idx="551">
                  <c:v>42802</c:v>
                </c:pt>
                <c:pt idx="552">
                  <c:v>42809</c:v>
                </c:pt>
                <c:pt idx="553">
                  <c:v>42816</c:v>
                </c:pt>
                <c:pt idx="554">
                  <c:v>42823</c:v>
                </c:pt>
                <c:pt idx="555">
                  <c:v>42830</c:v>
                </c:pt>
                <c:pt idx="556">
                  <c:v>42837</c:v>
                </c:pt>
                <c:pt idx="557">
                  <c:v>42844</c:v>
                </c:pt>
                <c:pt idx="558">
                  <c:v>42851</c:v>
                </c:pt>
                <c:pt idx="559">
                  <c:v>42858</c:v>
                </c:pt>
                <c:pt idx="560">
                  <c:v>42865</c:v>
                </c:pt>
                <c:pt idx="561">
                  <c:v>42872</c:v>
                </c:pt>
                <c:pt idx="562">
                  <c:v>42879</c:v>
                </c:pt>
                <c:pt idx="563">
                  <c:v>42886</c:v>
                </c:pt>
                <c:pt idx="564">
                  <c:v>42893</c:v>
                </c:pt>
                <c:pt idx="565">
                  <c:v>42900</c:v>
                </c:pt>
                <c:pt idx="566">
                  <c:v>42907</c:v>
                </c:pt>
                <c:pt idx="567">
                  <c:v>42914</c:v>
                </c:pt>
                <c:pt idx="568">
                  <c:v>42921</c:v>
                </c:pt>
                <c:pt idx="569">
                  <c:v>42928</c:v>
                </c:pt>
                <c:pt idx="570">
                  <c:v>42935</c:v>
                </c:pt>
                <c:pt idx="571">
                  <c:v>42942</c:v>
                </c:pt>
                <c:pt idx="572">
                  <c:v>42949</c:v>
                </c:pt>
                <c:pt idx="573">
                  <c:v>42956</c:v>
                </c:pt>
                <c:pt idx="574">
                  <c:v>42963</c:v>
                </c:pt>
                <c:pt idx="575">
                  <c:v>42970</c:v>
                </c:pt>
                <c:pt idx="576">
                  <c:v>42977</c:v>
                </c:pt>
                <c:pt idx="577">
                  <c:v>42984</c:v>
                </c:pt>
                <c:pt idx="578">
                  <c:v>42991</c:v>
                </c:pt>
                <c:pt idx="579">
                  <c:v>42998</c:v>
                </c:pt>
                <c:pt idx="580">
                  <c:v>43005</c:v>
                </c:pt>
                <c:pt idx="581">
                  <c:v>43012</c:v>
                </c:pt>
                <c:pt idx="582">
                  <c:v>43019</c:v>
                </c:pt>
                <c:pt idx="583">
                  <c:v>43026</c:v>
                </c:pt>
                <c:pt idx="584">
                  <c:v>43033</c:v>
                </c:pt>
                <c:pt idx="585">
                  <c:v>43040</c:v>
                </c:pt>
                <c:pt idx="586">
                  <c:v>43047</c:v>
                </c:pt>
                <c:pt idx="587">
                  <c:v>43054</c:v>
                </c:pt>
                <c:pt idx="588">
                  <c:v>43061</c:v>
                </c:pt>
                <c:pt idx="589">
                  <c:v>43068</c:v>
                </c:pt>
                <c:pt idx="590">
                  <c:v>43075</c:v>
                </c:pt>
                <c:pt idx="591">
                  <c:v>43082</c:v>
                </c:pt>
                <c:pt idx="592">
                  <c:v>43089</c:v>
                </c:pt>
                <c:pt idx="593">
                  <c:v>43096</c:v>
                </c:pt>
                <c:pt idx="594">
                  <c:v>43103</c:v>
                </c:pt>
                <c:pt idx="595">
                  <c:v>43110</c:v>
                </c:pt>
                <c:pt idx="596">
                  <c:v>43117</c:v>
                </c:pt>
                <c:pt idx="597">
                  <c:v>43124</c:v>
                </c:pt>
                <c:pt idx="598">
                  <c:v>43131</c:v>
                </c:pt>
                <c:pt idx="599">
                  <c:v>43138</c:v>
                </c:pt>
                <c:pt idx="600">
                  <c:v>43145</c:v>
                </c:pt>
                <c:pt idx="601">
                  <c:v>43152</c:v>
                </c:pt>
                <c:pt idx="602">
                  <c:v>43159</c:v>
                </c:pt>
                <c:pt idx="603">
                  <c:v>43166</c:v>
                </c:pt>
                <c:pt idx="604">
                  <c:v>43173</c:v>
                </c:pt>
                <c:pt idx="605">
                  <c:v>43180</c:v>
                </c:pt>
                <c:pt idx="606">
                  <c:v>43187</c:v>
                </c:pt>
                <c:pt idx="607">
                  <c:v>43194</c:v>
                </c:pt>
                <c:pt idx="608">
                  <c:v>43201</c:v>
                </c:pt>
                <c:pt idx="609">
                  <c:v>43208</c:v>
                </c:pt>
                <c:pt idx="610">
                  <c:v>43215</c:v>
                </c:pt>
                <c:pt idx="611">
                  <c:v>43222</c:v>
                </c:pt>
                <c:pt idx="612">
                  <c:v>43229</c:v>
                </c:pt>
                <c:pt idx="613">
                  <c:v>43236</c:v>
                </c:pt>
                <c:pt idx="614">
                  <c:v>43243</c:v>
                </c:pt>
                <c:pt idx="615">
                  <c:v>43250</c:v>
                </c:pt>
                <c:pt idx="616">
                  <c:v>43257</c:v>
                </c:pt>
                <c:pt idx="617">
                  <c:v>43264</c:v>
                </c:pt>
                <c:pt idx="618">
                  <c:v>43271</c:v>
                </c:pt>
                <c:pt idx="619">
                  <c:v>43278</c:v>
                </c:pt>
                <c:pt idx="620">
                  <c:v>43285</c:v>
                </c:pt>
                <c:pt idx="621">
                  <c:v>43292</c:v>
                </c:pt>
                <c:pt idx="622">
                  <c:v>43299</c:v>
                </c:pt>
                <c:pt idx="623">
                  <c:v>43306</c:v>
                </c:pt>
                <c:pt idx="624">
                  <c:v>43313</c:v>
                </c:pt>
                <c:pt idx="625">
                  <c:v>43320</c:v>
                </c:pt>
                <c:pt idx="626">
                  <c:v>43327</c:v>
                </c:pt>
                <c:pt idx="627">
                  <c:v>43334</c:v>
                </c:pt>
                <c:pt idx="628">
                  <c:v>43341</c:v>
                </c:pt>
                <c:pt idx="629">
                  <c:v>43348</c:v>
                </c:pt>
                <c:pt idx="630">
                  <c:v>43355</c:v>
                </c:pt>
                <c:pt idx="631">
                  <c:v>43362</c:v>
                </c:pt>
                <c:pt idx="632">
                  <c:v>43369</c:v>
                </c:pt>
                <c:pt idx="633">
                  <c:v>43376</c:v>
                </c:pt>
                <c:pt idx="634">
                  <c:v>43383</c:v>
                </c:pt>
                <c:pt idx="635">
                  <c:v>43390</c:v>
                </c:pt>
                <c:pt idx="636">
                  <c:v>43397</c:v>
                </c:pt>
                <c:pt idx="637">
                  <c:v>43404</c:v>
                </c:pt>
                <c:pt idx="638">
                  <c:v>43411</c:v>
                </c:pt>
                <c:pt idx="639">
                  <c:v>43418</c:v>
                </c:pt>
                <c:pt idx="640">
                  <c:v>43425</c:v>
                </c:pt>
                <c:pt idx="641">
                  <c:v>43432</c:v>
                </c:pt>
                <c:pt idx="642">
                  <c:v>43439</c:v>
                </c:pt>
                <c:pt idx="643">
                  <c:v>43446</c:v>
                </c:pt>
                <c:pt idx="644">
                  <c:v>43453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43580</c:v>
                </c:pt>
                <c:pt idx="663">
                  <c:v>43587</c:v>
                </c:pt>
                <c:pt idx="664">
                  <c:v>43594</c:v>
                </c:pt>
                <c:pt idx="665">
                  <c:v>43601</c:v>
                </c:pt>
                <c:pt idx="666">
                  <c:v>43608</c:v>
                </c:pt>
                <c:pt idx="667">
                  <c:v>43615</c:v>
                </c:pt>
                <c:pt idx="668">
                  <c:v>43622</c:v>
                </c:pt>
                <c:pt idx="669">
                  <c:v>43629</c:v>
                </c:pt>
                <c:pt idx="670">
                  <c:v>43636</c:v>
                </c:pt>
                <c:pt idx="671">
                  <c:v>43643</c:v>
                </c:pt>
                <c:pt idx="672">
                  <c:v>43650</c:v>
                </c:pt>
                <c:pt idx="673">
                  <c:v>43657</c:v>
                </c:pt>
                <c:pt idx="674">
                  <c:v>43664</c:v>
                </c:pt>
                <c:pt idx="675">
                  <c:v>43671</c:v>
                </c:pt>
                <c:pt idx="676">
                  <c:v>43678</c:v>
                </c:pt>
                <c:pt idx="677">
                  <c:v>43685</c:v>
                </c:pt>
                <c:pt idx="678">
                  <c:v>43692</c:v>
                </c:pt>
                <c:pt idx="679">
                  <c:v>43699</c:v>
                </c:pt>
                <c:pt idx="680">
                  <c:v>43706</c:v>
                </c:pt>
                <c:pt idx="681">
                  <c:v>43713</c:v>
                </c:pt>
                <c:pt idx="682">
                  <c:v>43720</c:v>
                </c:pt>
                <c:pt idx="683">
                  <c:v>43727</c:v>
                </c:pt>
                <c:pt idx="684">
                  <c:v>43734</c:v>
                </c:pt>
                <c:pt idx="685">
                  <c:v>43741</c:v>
                </c:pt>
                <c:pt idx="686">
                  <c:v>43748</c:v>
                </c:pt>
                <c:pt idx="687">
                  <c:v>43755</c:v>
                </c:pt>
                <c:pt idx="688">
                  <c:v>43762</c:v>
                </c:pt>
                <c:pt idx="689">
                  <c:v>43769</c:v>
                </c:pt>
                <c:pt idx="690">
                  <c:v>43776</c:v>
                </c:pt>
                <c:pt idx="691">
                  <c:v>43783</c:v>
                </c:pt>
                <c:pt idx="692">
                  <c:v>43790</c:v>
                </c:pt>
                <c:pt idx="693">
                  <c:v>43797</c:v>
                </c:pt>
                <c:pt idx="694">
                  <c:v>43804</c:v>
                </c:pt>
                <c:pt idx="695">
                  <c:v>43811</c:v>
                </c:pt>
                <c:pt idx="696">
                  <c:v>43818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44222</c:v>
                </c:pt>
                <c:pt idx="754">
                  <c:v>44229</c:v>
                </c:pt>
                <c:pt idx="755">
                  <c:v>44236</c:v>
                </c:pt>
                <c:pt idx="756">
                  <c:v>44243</c:v>
                </c:pt>
                <c:pt idx="757">
                  <c:v>44250</c:v>
                </c:pt>
                <c:pt idx="758">
                  <c:v>44257</c:v>
                </c:pt>
                <c:pt idx="759">
                  <c:v>44264</c:v>
                </c:pt>
                <c:pt idx="760">
                  <c:v>44271</c:v>
                </c:pt>
                <c:pt idx="761">
                  <c:v>44278</c:v>
                </c:pt>
                <c:pt idx="762">
                  <c:v>44285</c:v>
                </c:pt>
                <c:pt idx="763">
                  <c:v>44292</c:v>
                </c:pt>
                <c:pt idx="764">
                  <c:v>44299</c:v>
                </c:pt>
                <c:pt idx="765">
                  <c:v>44306</c:v>
                </c:pt>
                <c:pt idx="766">
                  <c:v>44313</c:v>
                </c:pt>
                <c:pt idx="767">
                  <c:v>44320</c:v>
                </c:pt>
                <c:pt idx="768">
                  <c:v>44327</c:v>
                </c:pt>
                <c:pt idx="769">
                  <c:v>44334</c:v>
                </c:pt>
                <c:pt idx="770">
                  <c:v>44341</c:v>
                </c:pt>
                <c:pt idx="771">
                  <c:v>44348</c:v>
                </c:pt>
                <c:pt idx="772">
                  <c:v>44355</c:v>
                </c:pt>
                <c:pt idx="773">
                  <c:v>44362</c:v>
                </c:pt>
                <c:pt idx="774">
                  <c:v>44369</c:v>
                </c:pt>
                <c:pt idx="775">
                  <c:v>44376</c:v>
                </c:pt>
                <c:pt idx="776">
                  <c:v>44383</c:v>
                </c:pt>
                <c:pt idx="777">
                  <c:v>44390</c:v>
                </c:pt>
                <c:pt idx="778">
                  <c:v>44397</c:v>
                </c:pt>
                <c:pt idx="779">
                  <c:v>44404</c:v>
                </c:pt>
                <c:pt idx="780">
                  <c:v>44411</c:v>
                </c:pt>
                <c:pt idx="781">
                  <c:v>44418</c:v>
                </c:pt>
                <c:pt idx="782">
                  <c:v>44425</c:v>
                </c:pt>
                <c:pt idx="783">
                  <c:v>44432</c:v>
                </c:pt>
                <c:pt idx="784">
                  <c:v>44439</c:v>
                </c:pt>
                <c:pt idx="785">
                  <c:v>44446</c:v>
                </c:pt>
                <c:pt idx="786">
                  <c:v>44453</c:v>
                </c:pt>
                <c:pt idx="787">
                  <c:v>44460</c:v>
                </c:pt>
                <c:pt idx="788">
                  <c:v>44467</c:v>
                </c:pt>
                <c:pt idx="789">
                  <c:v>44474</c:v>
                </c:pt>
                <c:pt idx="790">
                  <c:v>44481</c:v>
                </c:pt>
                <c:pt idx="791">
                  <c:v>44488</c:v>
                </c:pt>
                <c:pt idx="792">
                  <c:v>44495</c:v>
                </c:pt>
                <c:pt idx="793">
                  <c:v>44502</c:v>
                </c:pt>
                <c:pt idx="794">
                  <c:v>44509</c:v>
                </c:pt>
                <c:pt idx="795">
                  <c:v>44516</c:v>
                </c:pt>
                <c:pt idx="796">
                  <c:v>44523</c:v>
                </c:pt>
                <c:pt idx="797">
                  <c:v>44530</c:v>
                </c:pt>
                <c:pt idx="798">
                  <c:v>44537</c:v>
                </c:pt>
                <c:pt idx="799">
                  <c:v>44544</c:v>
                </c:pt>
                <c:pt idx="800">
                  <c:v>44551</c:v>
                </c:pt>
                <c:pt idx="801">
                  <c:v>44559</c:v>
                </c:pt>
                <c:pt idx="802">
                  <c:v>44566</c:v>
                </c:pt>
                <c:pt idx="803">
                  <c:v>44573</c:v>
                </c:pt>
                <c:pt idx="804">
                  <c:v>44580</c:v>
                </c:pt>
                <c:pt idx="805">
                  <c:v>44587</c:v>
                </c:pt>
                <c:pt idx="806">
                  <c:v>44594</c:v>
                </c:pt>
                <c:pt idx="807">
                  <c:v>44601</c:v>
                </c:pt>
                <c:pt idx="808">
                  <c:v>44608</c:v>
                </c:pt>
                <c:pt idx="809">
                  <c:v>44615</c:v>
                </c:pt>
                <c:pt idx="810">
                  <c:v>44622</c:v>
                </c:pt>
                <c:pt idx="811">
                  <c:v>44629</c:v>
                </c:pt>
                <c:pt idx="812">
                  <c:v>44636</c:v>
                </c:pt>
                <c:pt idx="813">
                  <c:v>44643</c:v>
                </c:pt>
                <c:pt idx="814">
                  <c:v>44650</c:v>
                </c:pt>
                <c:pt idx="815">
                  <c:v>44657</c:v>
                </c:pt>
                <c:pt idx="816">
                  <c:v>44664</c:v>
                </c:pt>
                <c:pt idx="817">
                  <c:v>44671</c:v>
                </c:pt>
                <c:pt idx="818">
                  <c:v>44678</c:v>
                </c:pt>
                <c:pt idx="819">
                  <c:v>44685</c:v>
                </c:pt>
                <c:pt idx="820">
                  <c:v>44692</c:v>
                </c:pt>
                <c:pt idx="821">
                  <c:v>44699</c:v>
                </c:pt>
                <c:pt idx="822">
                  <c:v>44706</c:v>
                </c:pt>
                <c:pt idx="823">
                  <c:v>44713</c:v>
                </c:pt>
                <c:pt idx="824">
                  <c:v>44720</c:v>
                </c:pt>
                <c:pt idx="825">
                  <c:v>44727</c:v>
                </c:pt>
                <c:pt idx="826">
                  <c:v>44734</c:v>
                </c:pt>
                <c:pt idx="827">
                  <c:v>44741</c:v>
                </c:pt>
                <c:pt idx="828">
                  <c:v>44748</c:v>
                </c:pt>
                <c:pt idx="829">
                  <c:v>44755</c:v>
                </c:pt>
                <c:pt idx="830">
                  <c:v>44762</c:v>
                </c:pt>
                <c:pt idx="831">
                  <c:v>44769</c:v>
                </c:pt>
                <c:pt idx="832">
                  <c:v>44776</c:v>
                </c:pt>
                <c:pt idx="833">
                  <c:v>44783</c:v>
                </c:pt>
                <c:pt idx="834">
                  <c:v>44790</c:v>
                </c:pt>
                <c:pt idx="835">
                  <c:v>44797</c:v>
                </c:pt>
                <c:pt idx="836">
                  <c:v>44804</c:v>
                </c:pt>
                <c:pt idx="837">
                  <c:v>44811</c:v>
                </c:pt>
                <c:pt idx="838">
                  <c:v>44818</c:v>
                </c:pt>
                <c:pt idx="839">
                  <c:v>44825</c:v>
                </c:pt>
                <c:pt idx="840">
                  <c:v>44832</c:v>
                </c:pt>
                <c:pt idx="841">
                  <c:v>44839</c:v>
                </c:pt>
                <c:pt idx="842">
                  <c:v>44846</c:v>
                </c:pt>
                <c:pt idx="843">
                  <c:v>44853</c:v>
                </c:pt>
                <c:pt idx="844">
                  <c:v>44860</c:v>
                </c:pt>
                <c:pt idx="845">
                  <c:v>44867</c:v>
                </c:pt>
                <c:pt idx="846">
                  <c:v>44874</c:v>
                </c:pt>
                <c:pt idx="847">
                  <c:v>44881</c:v>
                </c:pt>
                <c:pt idx="848">
                  <c:v>44888</c:v>
                </c:pt>
                <c:pt idx="849">
                  <c:v>44895</c:v>
                </c:pt>
                <c:pt idx="850">
                  <c:v>44902</c:v>
                </c:pt>
                <c:pt idx="851">
                  <c:v>44909</c:v>
                </c:pt>
                <c:pt idx="852">
                  <c:v>44916</c:v>
                </c:pt>
                <c:pt idx="853">
                  <c:v>44923</c:v>
                </c:pt>
                <c:pt idx="854">
                  <c:v>44930</c:v>
                </c:pt>
                <c:pt idx="855">
                  <c:v>44937</c:v>
                </c:pt>
                <c:pt idx="856">
                  <c:v>44944</c:v>
                </c:pt>
                <c:pt idx="857">
                  <c:v>44951</c:v>
                </c:pt>
                <c:pt idx="858">
                  <c:v>44958</c:v>
                </c:pt>
                <c:pt idx="859">
                  <c:v>44965</c:v>
                </c:pt>
                <c:pt idx="860">
                  <c:v>44972</c:v>
                </c:pt>
                <c:pt idx="861">
                  <c:v>44979</c:v>
                </c:pt>
                <c:pt idx="862">
                  <c:v>44986</c:v>
                </c:pt>
                <c:pt idx="863">
                  <c:v>44993</c:v>
                </c:pt>
                <c:pt idx="864">
                  <c:v>45000</c:v>
                </c:pt>
                <c:pt idx="865">
                  <c:v>45007</c:v>
                </c:pt>
                <c:pt idx="866">
                  <c:v>45014</c:v>
                </c:pt>
                <c:pt idx="867">
                  <c:v>45021</c:v>
                </c:pt>
                <c:pt idx="868">
                  <c:v>45028</c:v>
                </c:pt>
                <c:pt idx="869">
                  <c:v>45035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46413</c:v>
                </c:pt>
                <c:pt idx="1066">
                  <c:v>46420</c:v>
                </c:pt>
                <c:pt idx="1067">
                  <c:v>46427</c:v>
                </c:pt>
                <c:pt idx="1068">
                  <c:v>46434</c:v>
                </c:pt>
                <c:pt idx="1069">
                  <c:v>46441</c:v>
                </c:pt>
                <c:pt idx="1070">
                  <c:v>46448</c:v>
                </c:pt>
                <c:pt idx="1071">
                  <c:v>46455</c:v>
                </c:pt>
                <c:pt idx="1072">
                  <c:v>46462</c:v>
                </c:pt>
                <c:pt idx="1073">
                  <c:v>46469</c:v>
                </c:pt>
                <c:pt idx="1074">
                  <c:v>46476</c:v>
                </c:pt>
                <c:pt idx="1075">
                  <c:v>46483</c:v>
                </c:pt>
                <c:pt idx="1076">
                  <c:v>46490</c:v>
                </c:pt>
                <c:pt idx="1077">
                  <c:v>46497</c:v>
                </c:pt>
                <c:pt idx="1078">
                  <c:v>46504</c:v>
                </c:pt>
                <c:pt idx="1079">
                  <c:v>46511</c:v>
                </c:pt>
                <c:pt idx="1080">
                  <c:v>46518</c:v>
                </c:pt>
                <c:pt idx="1081">
                  <c:v>46525</c:v>
                </c:pt>
                <c:pt idx="1082">
                  <c:v>46532</c:v>
                </c:pt>
                <c:pt idx="1083">
                  <c:v>46539</c:v>
                </c:pt>
                <c:pt idx="1084">
                  <c:v>46546</c:v>
                </c:pt>
                <c:pt idx="1085">
                  <c:v>46553</c:v>
                </c:pt>
                <c:pt idx="1086">
                  <c:v>46560</c:v>
                </c:pt>
                <c:pt idx="1087">
                  <c:v>46567</c:v>
                </c:pt>
                <c:pt idx="1088">
                  <c:v>46574</c:v>
                </c:pt>
                <c:pt idx="1089">
                  <c:v>46581</c:v>
                </c:pt>
                <c:pt idx="1090">
                  <c:v>46588</c:v>
                </c:pt>
                <c:pt idx="1091">
                  <c:v>46595</c:v>
                </c:pt>
                <c:pt idx="1092">
                  <c:v>46602</c:v>
                </c:pt>
                <c:pt idx="1093">
                  <c:v>46609</c:v>
                </c:pt>
                <c:pt idx="1094">
                  <c:v>46616</c:v>
                </c:pt>
                <c:pt idx="1095">
                  <c:v>46623</c:v>
                </c:pt>
                <c:pt idx="1096">
                  <c:v>46630</c:v>
                </c:pt>
                <c:pt idx="1097">
                  <c:v>46637</c:v>
                </c:pt>
                <c:pt idx="1098">
                  <c:v>46644</c:v>
                </c:pt>
                <c:pt idx="1099">
                  <c:v>46651</c:v>
                </c:pt>
                <c:pt idx="1100">
                  <c:v>46658</c:v>
                </c:pt>
                <c:pt idx="1101">
                  <c:v>46665</c:v>
                </c:pt>
                <c:pt idx="1102">
                  <c:v>46672</c:v>
                </c:pt>
                <c:pt idx="1103">
                  <c:v>46679</c:v>
                </c:pt>
                <c:pt idx="1104">
                  <c:v>46686</c:v>
                </c:pt>
                <c:pt idx="1105">
                  <c:v>46693</c:v>
                </c:pt>
                <c:pt idx="1106">
                  <c:v>46700</c:v>
                </c:pt>
                <c:pt idx="1107">
                  <c:v>46707</c:v>
                </c:pt>
                <c:pt idx="1108">
                  <c:v>46714</c:v>
                </c:pt>
                <c:pt idx="1109">
                  <c:v>46721</c:v>
                </c:pt>
                <c:pt idx="1110">
                  <c:v>46728</c:v>
                </c:pt>
                <c:pt idx="1111">
                  <c:v>46735</c:v>
                </c:pt>
                <c:pt idx="1112">
                  <c:v>46742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46778</c:v>
                </c:pt>
                <c:pt idx="1118">
                  <c:v>46785</c:v>
                </c:pt>
                <c:pt idx="1119">
                  <c:v>46792</c:v>
                </c:pt>
                <c:pt idx="1120">
                  <c:v>46799</c:v>
                </c:pt>
                <c:pt idx="1121">
                  <c:v>46806</c:v>
                </c:pt>
                <c:pt idx="1122">
                  <c:v>46813</c:v>
                </c:pt>
                <c:pt idx="1123">
                  <c:v>46820</c:v>
                </c:pt>
                <c:pt idx="1124">
                  <c:v>46827</c:v>
                </c:pt>
                <c:pt idx="1125">
                  <c:v>46834</c:v>
                </c:pt>
                <c:pt idx="1126">
                  <c:v>46841</c:v>
                </c:pt>
                <c:pt idx="1127">
                  <c:v>46848</c:v>
                </c:pt>
                <c:pt idx="1128">
                  <c:v>46855</c:v>
                </c:pt>
                <c:pt idx="1129">
                  <c:v>46862</c:v>
                </c:pt>
                <c:pt idx="1130">
                  <c:v>46869</c:v>
                </c:pt>
                <c:pt idx="1131">
                  <c:v>46876</c:v>
                </c:pt>
                <c:pt idx="1132">
                  <c:v>46883</c:v>
                </c:pt>
                <c:pt idx="1133">
                  <c:v>46890</c:v>
                </c:pt>
                <c:pt idx="1134">
                  <c:v>46897</c:v>
                </c:pt>
                <c:pt idx="1135">
                  <c:v>46904</c:v>
                </c:pt>
                <c:pt idx="1136">
                  <c:v>46911</c:v>
                </c:pt>
                <c:pt idx="1137">
                  <c:v>46918</c:v>
                </c:pt>
                <c:pt idx="1138">
                  <c:v>46925</c:v>
                </c:pt>
                <c:pt idx="1139">
                  <c:v>46932</c:v>
                </c:pt>
                <c:pt idx="1140">
                  <c:v>46939</c:v>
                </c:pt>
                <c:pt idx="1141">
                  <c:v>46946</c:v>
                </c:pt>
                <c:pt idx="1142">
                  <c:v>46953</c:v>
                </c:pt>
                <c:pt idx="1143">
                  <c:v>46960</c:v>
                </c:pt>
                <c:pt idx="1144">
                  <c:v>46967</c:v>
                </c:pt>
                <c:pt idx="1145">
                  <c:v>46974</c:v>
                </c:pt>
                <c:pt idx="1146">
                  <c:v>46981</c:v>
                </c:pt>
                <c:pt idx="1147">
                  <c:v>46988</c:v>
                </c:pt>
                <c:pt idx="1148">
                  <c:v>46995</c:v>
                </c:pt>
                <c:pt idx="1149">
                  <c:v>47002</c:v>
                </c:pt>
                <c:pt idx="1150">
                  <c:v>47009</c:v>
                </c:pt>
                <c:pt idx="1151">
                  <c:v>47016</c:v>
                </c:pt>
                <c:pt idx="1152">
                  <c:v>47023</c:v>
                </c:pt>
                <c:pt idx="1153">
                  <c:v>47030</c:v>
                </c:pt>
                <c:pt idx="1154">
                  <c:v>47037</c:v>
                </c:pt>
                <c:pt idx="1155">
                  <c:v>47044</c:v>
                </c:pt>
                <c:pt idx="1156">
                  <c:v>47051</c:v>
                </c:pt>
                <c:pt idx="1157">
                  <c:v>47058</c:v>
                </c:pt>
                <c:pt idx="1158">
                  <c:v>47065</c:v>
                </c:pt>
                <c:pt idx="1159">
                  <c:v>47072</c:v>
                </c:pt>
                <c:pt idx="1160">
                  <c:v>47079</c:v>
                </c:pt>
                <c:pt idx="1161">
                  <c:v>47086</c:v>
                </c:pt>
                <c:pt idx="1162">
                  <c:v>47093</c:v>
                </c:pt>
                <c:pt idx="1163">
                  <c:v>47100</c:v>
                </c:pt>
                <c:pt idx="1164">
                  <c:v>47107</c:v>
                </c:pt>
                <c:pt idx="1165">
                  <c:v>47114</c:v>
                </c:pt>
                <c:pt idx="1166">
                  <c:v>47121</c:v>
                </c:pt>
                <c:pt idx="1167">
                  <c:v>47128</c:v>
                </c:pt>
                <c:pt idx="1168">
                  <c:v>47135</c:v>
                </c:pt>
                <c:pt idx="1169">
                  <c:v>47142</c:v>
                </c:pt>
                <c:pt idx="1170">
                  <c:v>47149</c:v>
                </c:pt>
                <c:pt idx="1171">
                  <c:v>47156</c:v>
                </c:pt>
                <c:pt idx="1172">
                  <c:v>47163</c:v>
                </c:pt>
                <c:pt idx="1173">
                  <c:v>47170</c:v>
                </c:pt>
                <c:pt idx="1174">
                  <c:v>47177</c:v>
                </c:pt>
                <c:pt idx="1175">
                  <c:v>47184</c:v>
                </c:pt>
                <c:pt idx="1176">
                  <c:v>47191</c:v>
                </c:pt>
                <c:pt idx="1177">
                  <c:v>47198</c:v>
                </c:pt>
                <c:pt idx="1178">
                  <c:v>47205</c:v>
                </c:pt>
                <c:pt idx="1179">
                  <c:v>47212</c:v>
                </c:pt>
                <c:pt idx="1180">
                  <c:v>47219</c:v>
                </c:pt>
                <c:pt idx="1181">
                  <c:v>47226</c:v>
                </c:pt>
                <c:pt idx="1182">
                  <c:v>47233</c:v>
                </c:pt>
                <c:pt idx="1183">
                  <c:v>47240</c:v>
                </c:pt>
                <c:pt idx="1184">
                  <c:v>47247</c:v>
                </c:pt>
                <c:pt idx="1185">
                  <c:v>47254</c:v>
                </c:pt>
                <c:pt idx="1186">
                  <c:v>47261</c:v>
                </c:pt>
                <c:pt idx="1187">
                  <c:v>47268</c:v>
                </c:pt>
                <c:pt idx="1188">
                  <c:v>47275</c:v>
                </c:pt>
                <c:pt idx="1189">
                  <c:v>47282</c:v>
                </c:pt>
                <c:pt idx="1190">
                  <c:v>47289</c:v>
                </c:pt>
                <c:pt idx="1191">
                  <c:v>47296</c:v>
                </c:pt>
                <c:pt idx="1192">
                  <c:v>47303</c:v>
                </c:pt>
                <c:pt idx="1193">
                  <c:v>47310</c:v>
                </c:pt>
                <c:pt idx="1194">
                  <c:v>47317</c:v>
                </c:pt>
                <c:pt idx="1195">
                  <c:v>47324</c:v>
                </c:pt>
                <c:pt idx="1196">
                  <c:v>47331</c:v>
                </c:pt>
                <c:pt idx="1197">
                  <c:v>47338</c:v>
                </c:pt>
                <c:pt idx="1198">
                  <c:v>47345</c:v>
                </c:pt>
                <c:pt idx="1199">
                  <c:v>47352</c:v>
                </c:pt>
                <c:pt idx="1200">
                  <c:v>47359</c:v>
                </c:pt>
                <c:pt idx="1201">
                  <c:v>47366</c:v>
                </c:pt>
                <c:pt idx="1202">
                  <c:v>47373</c:v>
                </c:pt>
                <c:pt idx="1203">
                  <c:v>47380</c:v>
                </c:pt>
                <c:pt idx="1204">
                  <c:v>47387</c:v>
                </c:pt>
                <c:pt idx="1205">
                  <c:v>47394</c:v>
                </c:pt>
                <c:pt idx="1206">
                  <c:v>47401</c:v>
                </c:pt>
                <c:pt idx="1207">
                  <c:v>47408</c:v>
                </c:pt>
                <c:pt idx="1208">
                  <c:v>47415</c:v>
                </c:pt>
                <c:pt idx="1209">
                  <c:v>47422</c:v>
                </c:pt>
                <c:pt idx="1210">
                  <c:v>47429</c:v>
                </c:pt>
                <c:pt idx="1211">
                  <c:v>47436</c:v>
                </c:pt>
                <c:pt idx="1212">
                  <c:v>47443</c:v>
                </c:pt>
                <c:pt idx="1213">
                  <c:v>47450</c:v>
                </c:pt>
                <c:pt idx="1214">
                  <c:v>47457</c:v>
                </c:pt>
                <c:pt idx="1215">
                  <c:v>47464</c:v>
                </c:pt>
                <c:pt idx="1216">
                  <c:v>47471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47598</c:v>
                </c:pt>
                <c:pt idx="1235">
                  <c:v>47605</c:v>
                </c:pt>
                <c:pt idx="1236">
                  <c:v>47612</c:v>
                </c:pt>
                <c:pt idx="1237">
                  <c:v>47619</c:v>
                </c:pt>
                <c:pt idx="1238">
                  <c:v>47626</c:v>
                </c:pt>
                <c:pt idx="1239">
                  <c:v>47633</c:v>
                </c:pt>
                <c:pt idx="1240">
                  <c:v>47640</c:v>
                </c:pt>
                <c:pt idx="1241">
                  <c:v>47647</c:v>
                </c:pt>
                <c:pt idx="1242">
                  <c:v>47654</c:v>
                </c:pt>
                <c:pt idx="1243">
                  <c:v>47661</c:v>
                </c:pt>
                <c:pt idx="1244">
                  <c:v>47668</c:v>
                </c:pt>
                <c:pt idx="1245">
                  <c:v>47675</c:v>
                </c:pt>
                <c:pt idx="1246">
                  <c:v>47682</c:v>
                </c:pt>
                <c:pt idx="1247">
                  <c:v>47689</c:v>
                </c:pt>
                <c:pt idx="1248">
                  <c:v>47696</c:v>
                </c:pt>
                <c:pt idx="1249">
                  <c:v>47703</c:v>
                </c:pt>
                <c:pt idx="1250">
                  <c:v>47710</c:v>
                </c:pt>
                <c:pt idx="1251">
                  <c:v>47717</c:v>
                </c:pt>
                <c:pt idx="1252">
                  <c:v>47724</c:v>
                </c:pt>
                <c:pt idx="1253">
                  <c:v>47731</c:v>
                </c:pt>
                <c:pt idx="1254">
                  <c:v>47738</c:v>
                </c:pt>
                <c:pt idx="1255">
                  <c:v>47745</c:v>
                </c:pt>
                <c:pt idx="1256">
                  <c:v>47752</c:v>
                </c:pt>
                <c:pt idx="1257">
                  <c:v>47759</c:v>
                </c:pt>
                <c:pt idx="1258">
                  <c:v>47766</c:v>
                </c:pt>
                <c:pt idx="1259">
                  <c:v>47773</c:v>
                </c:pt>
                <c:pt idx="1260">
                  <c:v>47780</c:v>
                </c:pt>
                <c:pt idx="1261">
                  <c:v>47787</c:v>
                </c:pt>
                <c:pt idx="1262">
                  <c:v>47794</c:v>
                </c:pt>
                <c:pt idx="1263">
                  <c:v>47801</c:v>
                </c:pt>
                <c:pt idx="1264">
                  <c:v>47808</c:v>
                </c:pt>
                <c:pt idx="1265">
                  <c:v>47815</c:v>
                </c:pt>
                <c:pt idx="1266">
                  <c:v>47822</c:v>
                </c:pt>
                <c:pt idx="1267">
                  <c:v>47829</c:v>
                </c:pt>
                <c:pt idx="1268">
                  <c:v>47836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48605</c:v>
                </c:pt>
                <c:pt idx="1378">
                  <c:v>48612</c:v>
                </c:pt>
                <c:pt idx="1379">
                  <c:v>48619</c:v>
                </c:pt>
                <c:pt idx="1380">
                  <c:v>48626</c:v>
                </c:pt>
                <c:pt idx="1381">
                  <c:v>48633</c:v>
                </c:pt>
                <c:pt idx="1382">
                  <c:v>48640</c:v>
                </c:pt>
                <c:pt idx="1383">
                  <c:v>48647</c:v>
                </c:pt>
                <c:pt idx="1384">
                  <c:v>48654</c:v>
                </c:pt>
                <c:pt idx="1385">
                  <c:v>48661</c:v>
                </c:pt>
                <c:pt idx="1386">
                  <c:v>48668</c:v>
                </c:pt>
                <c:pt idx="1387">
                  <c:v>48675</c:v>
                </c:pt>
                <c:pt idx="1388">
                  <c:v>48682</c:v>
                </c:pt>
                <c:pt idx="1389">
                  <c:v>48689</c:v>
                </c:pt>
                <c:pt idx="1390">
                  <c:v>48696</c:v>
                </c:pt>
                <c:pt idx="1391">
                  <c:v>48703</c:v>
                </c:pt>
                <c:pt idx="1392">
                  <c:v>48710</c:v>
                </c:pt>
                <c:pt idx="1393">
                  <c:v>48717</c:v>
                </c:pt>
                <c:pt idx="1394">
                  <c:v>48724</c:v>
                </c:pt>
                <c:pt idx="1395">
                  <c:v>48731</c:v>
                </c:pt>
                <c:pt idx="1396">
                  <c:v>48738</c:v>
                </c:pt>
                <c:pt idx="1397">
                  <c:v>48745</c:v>
                </c:pt>
                <c:pt idx="1398">
                  <c:v>48752</c:v>
                </c:pt>
                <c:pt idx="1399">
                  <c:v>48759</c:v>
                </c:pt>
                <c:pt idx="1400">
                  <c:v>48766</c:v>
                </c:pt>
                <c:pt idx="1401">
                  <c:v>48773</c:v>
                </c:pt>
                <c:pt idx="1402">
                  <c:v>48780</c:v>
                </c:pt>
                <c:pt idx="1403">
                  <c:v>48787</c:v>
                </c:pt>
                <c:pt idx="1404">
                  <c:v>48794</c:v>
                </c:pt>
                <c:pt idx="1405">
                  <c:v>48801</c:v>
                </c:pt>
                <c:pt idx="1406">
                  <c:v>48808</c:v>
                </c:pt>
                <c:pt idx="1407">
                  <c:v>48815</c:v>
                </c:pt>
                <c:pt idx="1408">
                  <c:v>48822</c:v>
                </c:pt>
                <c:pt idx="1409">
                  <c:v>48829</c:v>
                </c:pt>
                <c:pt idx="1410">
                  <c:v>48836</c:v>
                </c:pt>
                <c:pt idx="1411">
                  <c:v>48843</c:v>
                </c:pt>
                <c:pt idx="1412">
                  <c:v>48850</c:v>
                </c:pt>
                <c:pt idx="1413">
                  <c:v>48857</c:v>
                </c:pt>
                <c:pt idx="1414">
                  <c:v>48864</c:v>
                </c:pt>
                <c:pt idx="1415">
                  <c:v>48871</c:v>
                </c:pt>
                <c:pt idx="1416">
                  <c:v>48878</c:v>
                </c:pt>
                <c:pt idx="1417">
                  <c:v>48885</c:v>
                </c:pt>
                <c:pt idx="1418">
                  <c:v>48892</c:v>
                </c:pt>
                <c:pt idx="1419">
                  <c:v>48899</c:v>
                </c:pt>
                <c:pt idx="1420">
                  <c:v>48906</c:v>
                </c:pt>
                <c:pt idx="1421">
                  <c:v>48913</c:v>
                </c:pt>
                <c:pt idx="1422">
                  <c:v>48920</c:v>
                </c:pt>
                <c:pt idx="1423">
                  <c:v>48927</c:v>
                </c:pt>
                <c:pt idx="1424">
                  <c:v>48934</c:v>
                </c:pt>
                <c:pt idx="1425">
                  <c:v>48941</c:v>
                </c:pt>
                <c:pt idx="1426">
                  <c:v>48948</c:v>
                </c:pt>
                <c:pt idx="1427">
                  <c:v>48955</c:v>
                </c:pt>
                <c:pt idx="1428">
                  <c:v>48962</c:v>
                </c:pt>
                <c:pt idx="1429">
                  <c:v>48969</c:v>
                </c:pt>
                <c:pt idx="1430">
                  <c:v>48976</c:v>
                </c:pt>
                <c:pt idx="1431">
                  <c:v>48983</c:v>
                </c:pt>
                <c:pt idx="1432">
                  <c:v>48990</c:v>
                </c:pt>
                <c:pt idx="1433">
                  <c:v>48997</c:v>
                </c:pt>
                <c:pt idx="1434">
                  <c:v>49004</c:v>
                </c:pt>
                <c:pt idx="1435">
                  <c:v>49011</c:v>
                </c:pt>
                <c:pt idx="1436">
                  <c:v>49018</c:v>
                </c:pt>
                <c:pt idx="1437">
                  <c:v>49025</c:v>
                </c:pt>
                <c:pt idx="1438">
                  <c:v>49032</c:v>
                </c:pt>
                <c:pt idx="1439">
                  <c:v>49039</c:v>
                </c:pt>
                <c:pt idx="1440">
                  <c:v>49046</c:v>
                </c:pt>
                <c:pt idx="1441">
                  <c:v>49053</c:v>
                </c:pt>
                <c:pt idx="1442">
                  <c:v>49060</c:v>
                </c:pt>
                <c:pt idx="1443">
                  <c:v>49067</c:v>
                </c:pt>
                <c:pt idx="1444">
                  <c:v>49074</c:v>
                </c:pt>
                <c:pt idx="1445">
                  <c:v>49081</c:v>
                </c:pt>
                <c:pt idx="1446">
                  <c:v>49088</c:v>
                </c:pt>
                <c:pt idx="1447">
                  <c:v>49095</c:v>
                </c:pt>
                <c:pt idx="1448">
                  <c:v>49102</c:v>
                </c:pt>
                <c:pt idx="1449">
                  <c:v>49109</c:v>
                </c:pt>
                <c:pt idx="1450">
                  <c:v>49116</c:v>
                </c:pt>
                <c:pt idx="1451">
                  <c:v>49123</c:v>
                </c:pt>
                <c:pt idx="1452">
                  <c:v>49130</c:v>
                </c:pt>
                <c:pt idx="1453">
                  <c:v>49137</c:v>
                </c:pt>
                <c:pt idx="1454">
                  <c:v>49144</c:v>
                </c:pt>
                <c:pt idx="1455">
                  <c:v>49151</c:v>
                </c:pt>
                <c:pt idx="1456">
                  <c:v>49158</c:v>
                </c:pt>
                <c:pt idx="1457">
                  <c:v>49165</c:v>
                </c:pt>
                <c:pt idx="1458">
                  <c:v>49172</c:v>
                </c:pt>
                <c:pt idx="1459">
                  <c:v>49179</c:v>
                </c:pt>
                <c:pt idx="1460">
                  <c:v>49186</c:v>
                </c:pt>
                <c:pt idx="1461">
                  <c:v>49193</c:v>
                </c:pt>
                <c:pt idx="1462">
                  <c:v>49200</c:v>
                </c:pt>
                <c:pt idx="1463">
                  <c:v>49207</c:v>
                </c:pt>
                <c:pt idx="1464">
                  <c:v>49214</c:v>
                </c:pt>
                <c:pt idx="1465">
                  <c:v>49221</c:v>
                </c:pt>
                <c:pt idx="1466">
                  <c:v>49228</c:v>
                </c:pt>
                <c:pt idx="1467">
                  <c:v>49235</c:v>
                </c:pt>
                <c:pt idx="1468">
                  <c:v>49242</c:v>
                </c:pt>
                <c:pt idx="1469">
                  <c:v>49249</c:v>
                </c:pt>
                <c:pt idx="1470">
                  <c:v>49256</c:v>
                </c:pt>
                <c:pt idx="1471">
                  <c:v>49263</c:v>
                </c:pt>
                <c:pt idx="1472">
                  <c:v>49270</c:v>
                </c:pt>
                <c:pt idx="1473">
                  <c:v>49277</c:v>
                </c:pt>
                <c:pt idx="1474">
                  <c:v>49284</c:v>
                </c:pt>
                <c:pt idx="1475">
                  <c:v>49291</c:v>
                </c:pt>
                <c:pt idx="1476">
                  <c:v>49298</c:v>
                </c:pt>
                <c:pt idx="1477">
                  <c:v>49305</c:v>
                </c:pt>
                <c:pt idx="1478">
                  <c:v>49312</c:v>
                </c:pt>
                <c:pt idx="1479">
                  <c:v>49319</c:v>
                </c:pt>
                <c:pt idx="1480">
                  <c:v>49326</c:v>
                </c:pt>
                <c:pt idx="1481">
                  <c:v>49333</c:v>
                </c:pt>
                <c:pt idx="1482">
                  <c:v>49340</c:v>
                </c:pt>
                <c:pt idx="1483">
                  <c:v>49347</c:v>
                </c:pt>
                <c:pt idx="1484">
                  <c:v>49354</c:v>
                </c:pt>
                <c:pt idx="1485">
                  <c:v>49361</c:v>
                </c:pt>
                <c:pt idx="1486">
                  <c:v>49368</c:v>
                </c:pt>
                <c:pt idx="1487">
                  <c:v>49375</c:v>
                </c:pt>
                <c:pt idx="1488">
                  <c:v>49382</c:v>
                </c:pt>
                <c:pt idx="1489">
                  <c:v>49389</c:v>
                </c:pt>
                <c:pt idx="1490">
                  <c:v>49396</c:v>
                </c:pt>
                <c:pt idx="1491">
                  <c:v>49403</c:v>
                </c:pt>
                <c:pt idx="1492">
                  <c:v>49410</c:v>
                </c:pt>
                <c:pt idx="1493">
                  <c:v>49417</c:v>
                </c:pt>
                <c:pt idx="1494">
                  <c:v>49424</c:v>
                </c:pt>
                <c:pt idx="1495">
                  <c:v>49431</c:v>
                </c:pt>
                <c:pt idx="1496">
                  <c:v>49438</c:v>
                </c:pt>
                <c:pt idx="1497">
                  <c:v>49445</c:v>
                </c:pt>
                <c:pt idx="1498">
                  <c:v>49452</c:v>
                </c:pt>
                <c:pt idx="1499">
                  <c:v>49459</c:v>
                </c:pt>
                <c:pt idx="1500">
                  <c:v>49466</c:v>
                </c:pt>
                <c:pt idx="1501">
                  <c:v>49473</c:v>
                </c:pt>
                <c:pt idx="1502">
                  <c:v>49480</c:v>
                </c:pt>
                <c:pt idx="1503">
                  <c:v>49487</c:v>
                </c:pt>
                <c:pt idx="1504">
                  <c:v>49494</c:v>
                </c:pt>
                <c:pt idx="1505">
                  <c:v>49501</c:v>
                </c:pt>
                <c:pt idx="1506">
                  <c:v>49508</c:v>
                </c:pt>
                <c:pt idx="1507">
                  <c:v>49515</c:v>
                </c:pt>
                <c:pt idx="1508">
                  <c:v>49522</c:v>
                </c:pt>
                <c:pt idx="1509">
                  <c:v>49529</c:v>
                </c:pt>
                <c:pt idx="1510">
                  <c:v>49536</c:v>
                </c:pt>
                <c:pt idx="1511">
                  <c:v>49543</c:v>
                </c:pt>
                <c:pt idx="1512">
                  <c:v>49550</c:v>
                </c:pt>
                <c:pt idx="1513">
                  <c:v>49557</c:v>
                </c:pt>
                <c:pt idx="1514">
                  <c:v>49564</c:v>
                </c:pt>
                <c:pt idx="1515">
                  <c:v>49571</c:v>
                </c:pt>
                <c:pt idx="1516">
                  <c:v>49578</c:v>
                </c:pt>
                <c:pt idx="1517">
                  <c:v>49585</c:v>
                </c:pt>
                <c:pt idx="1518">
                  <c:v>49592</c:v>
                </c:pt>
                <c:pt idx="1519">
                  <c:v>49599</c:v>
                </c:pt>
                <c:pt idx="1520">
                  <c:v>49606</c:v>
                </c:pt>
                <c:pt idx="1521">
                  <c:v>49613</c:v>
                </c:pt>
                <c:pt idx="1522">
                  <c:v>49620</c:v>
                </c:pt>
                <c:pt idx="1523">
                  <c:v>49627</c:v>
                </c:pt>
                <c:pt idx="1524">
                  <c:v>49634</c:v>
                </c:pt>
                <c:pt idx="1525">
                  <c:v>49641</c:v>
                </c:pt>
                <c:pt idx="1526">
                  <c:v>49648</c:v>
                </c:pt>
                <c:pt idx="1527">
                  <c:v>49655</c:v>
                </c:pt>
                <c:pt idx="1528">
                  <c:v>49662</c:v>
                </c:pt>
                <c:pt idx="1529">
                  <c:v>49670</c:v>
                </c:pt>
                <c:pt idx="1530">
                  <c:v>49677</c:v>
                </c:pt>
                <c:pt idx="1531">
                  <c:v>49684</c:v>
                </c:pt>
                <c:pt idx="1532">
                  <c:v>49691</c:v>
                </c:pt>
                <c:pt idx="1533">
                  <c:v>49698</c:v>
                </c:pt>
                <c:pt idx="1534">
                  <c:v>49705</c:v>
                </c:pt>
                <c:pt idx="1535">
                  <c:v>49712</c:v>
                </c:pt>
                <c:pt idx="1536">
                  <c:v>49719</c:v>
                </c:pt>
                <c:pt idx="1537">
                  <c:v>49726</c:v>
                </c:pt>
                <c:pt idx="1538">
                  <c:v>49733</c:v>
                </c:pt>
                <c:pt idx="1539">
                  <c:v>49740</c:v>
                </c:pt>
                <c:pt idx="1540">
                  <c:v>49747</c:v>
                </c:pt>
                <c:pt idx="1541">
                  <c:v>49754</c:v>
                </c:pt>
                <c:pt idx="1542">
                  <c:v>49761</c:v>
                </c:pt>
                <c:pt idx="1543">
                  <c:v>49768</c:v>
                </c:pt>
                <c:pt idx="1544">
                  <c:v>49775</c:v>
                </c:pt>
                <c:pt idx="1545">
                  <c:v>49782</c:v>
                </c:pt>
                <c:pt idx="1546">
                  <c:v>49789</c:v>
                </c:pt>
                <c:pt idx="1547">
                  <c:v>49796</c:v>
                </c:pt>
                <c:pt idx="1548">
                  <c:v>49803</c:v>
                </c:pt>
                <c:pt idx="1549">
                  <c:v>49810</c:v>
                </c:pt>
                <c:pt idx="1550">
                  <c:v>49817</c:v>
                </c:pt>
                <c:pt idx="1551">
                  <c:v>49824</c:v>
                </c:pt>
                <c:pt idx="1552">
                  <c:v>49831</c:v>
                </c:pt>
                <c:pt idx="1553">
                  <c:v>49838</c:v>
                </c:pt>
                <c:pt idx="1554">
                  <c:v>49845</c:v>
                </c:pt>
                <c:pt idx="1555">
                  <c:v>49852</c:v>
                </c:pt>
                <c:pt idx="1556">
                  <c:v>49859</c:v>
                </c:pt>
                <c:pt idx="1557">
                  <c:v>49866</c:v>
                </c:pt>
                <c:pt idx="1558">
                  <c:v>49873</c:v>
                </c:pt>
                <c:pt idx="1559">
                  <c:v>49880</c:v>
                </c:pt>
                <c:pt idx="1560">
                  <c:v>49887</c:v>
                </c:pt>
                <c:pt idx="1561">
                  <c:v>49894</c:v>
                </c:pt>
                <c:pt idx="1562">
                  <c:v>49901</c:v>
                </c:pt>
                <c:pt idx="1563">
                  <c:v>49908</c:v>
                </c:pt>
                <c:pt idx="1564">
                  <c:v>49915</c:v>
                </c:pt>
                <c:pt idx="1565">
                  <c:v>49922</c:v>
                </c:pt>
                <c:pt idx="1566">
                  <c:v>49929</c:v>
                </c:pt>
                <c:pt idx="1567">
                  <c:v>49936</c:v>
                </c:pt>
                <c:pt idx="1568">
                  <c:v>49943</c:v>
                </c:pt>
                <c:pt idx="1569">
                  <c:v>49950</c:v>
                </c:pt>
                <c:pt idx="1570">
                  <c:v>49957</c:v>
                </c:pt>
                <c:pt idx="1571">
                  <c:v>49964</c:v>
                </c:pt>
                <c:pt idx="1572">
                  <c:v>49971</c:v>
                </c:pt>
                <c:pt idx="1573">
                  <c:v>49978</c:v>
                </c:pt>
                <c:pt idx="1574">
                  <c:v>49985</c:v>
                </c:pt>
                <c:pt idx="1575">
                  <c:v>49992</c:v>
                </c:pt>
                <c:pt idx="1576">
                  <c:v>49999</c:v>
                </c:pt>
                <c:pt idx="1577">
                  <c:v>50006</c:v>
                </c:pt>
                <c:pt idx="1578">
                  <c:v>50013</c:v>
                </c:pt>
                <c:pt idx="1579">
                  <c:v>50020</c:v>
                </c:pt>
                <c:pt idx="1580">
                  <c:v>50027</c:v>
                </c:pt>
                <c:pt idx="1581">
                  <c:v>50038</c:v>
                </c:pt>
                <c:pt idx="1582">
                  <c:v>50045</c:v>
                </c:pt>
                <c:pt idx="1583">
                  <c:v>50052</c:v>
                </c:pt>
                <c:pt idx="1584">
                  <c:v>50059</c:v>
                </c:pt>
                <c:pt idx="1585">
                  <c:v>50066</c:v>
                </c:pt>
                <c:pt idx="1586">
                  <c:v>50073</c:v>
                </c:pt>
                <c:pt idx="1587">
                  <c:v>50080</c:v>
                </c:pt>
                <c:pt idx="1588">
                  <c:v>50087</c:v>
                </c:pt>
                <c:pt idx="1589">
                  <c:v>50094</c:v>
                </c:pt>
                <c:pt idx="1590">
                  <c:v>50101</c:v>
                </c:pt>
                <c:pt idx="1591">
                  <c:v>50108</c:v>
                </c:pt>
                <c:pt idx="1592">
                  <c:v>50115</c:v>
                </c:pt>
                <c:pt idx="1593">
                  <c:v>50122</c:v>
                </c:pt>
                <c:pt idx="1594">
                  <c:v>50129</c:v>
                </c:pt>
                <c:pt idx="1595">
                  <c:v>50137</c:v>
                </c:pt>
                <c:pt idx="1596">
                  <c:v>50144</c:v>
                </c:pt>
                <c:pt idx="1597">
                  <c:v>50151</c:v>
                </c:pt>
                <c:pt idx="1598">
                  <c:v>50158</c:v>
                </c:pt>
                <c:pt idx="1599">
                  <c:v>50165</c:v>
                </c:pt>
                <c:pt idx="1600">
                  <c:v>50172</c:v>
                </c:pt>
                <c:pt idx="1601">
                  <c:v>50179</c:v>
                </c:pt>
                <c:pt idx="1602">
                  <c:v>50186</c:v>
                </c:pt>
                <c:pt idx="1603">
                  <c:v>50193</c:v>
                </c:pt>
                <c:pt idx="1604">
                  <c:v>50200</c:v>
                </c:pt>
                <c:pt idx="1605">
                  <c:v>50207</c:v>
                </c:pt>
                <c:pt idx="1606">
                  <c:v>50214</c:v>
                </c:pt>
                <c:pt idx="1607">
                  <c:v>50221</c:v>
                </c:pt>
                <c:pt idx="1608">
                  <c:v>50228</c:v>
                </c:pt>
                <c:pt idx="1609">
                  <c:v>50235</c:v>
                </c:pt>
                <c:pt idx="1610">
                  <c:v>50242</c:v>
                </c:pt>
                <c:pt idx="1611">
                  <c:v>50249</c:v>
                </c:pt>
                <c:pt idx="1612">
                  <c:v>50256</c:v>
                </c:pt>
                <c:pt idx="1613">
                  <c:v>50263</c:v>
                </c:pt>
                <c:pt idx="1614">
                  <c:v>50270</c:v>
                </c:pt>
                <c:pt idx="1615">
                  <c:v>50277</c:v>
                </c:pt>
                <c:pt idx="1616">
                  <c:v>50284</c:v>
                </c:pt>
                <c:pt idx="1617">
                  <c:v>50291</c:v>
                </c:pt>
                <c:pt idx="1618">
                  <c:v>50298</c:v>
                </c:pt>
                <c:pt idx="1619">
                  <c:v>50305</c:v>
                </c:pt>
                <c:pt idx="1620">
                  <c:v>50312</c:v>
                </c:pt>
                <c:pt idx="1621">
                  <c:v>50319</c:v>
                </c:pt>
                <c:pt idx="1622">
                  <c:v>50326</c:v>
                </c:pt>
                <c:pt idx="1623">
                  <c:v>50333</c:v>
                </c:pt>
                <c:pt idx="1624">
                  <c:v>50340</c:v>
                </c:pt>
                <c:pt idx="1625">
                  <c:v>50347</c:v>
                </c:pt>
                <c:pt idx="1626">
                  <c:v>50354</c:v>
                </c:pt>
                <c:pt idx="1627">
                  <c:v>50361</c:v>
                </c:pt>
                <c:pt idx="1628">
                  <c:v>50368</c:v>
                </c:pt>
                <c:pt idx="1629">
                  <c:v>50375</c:v>
                </c:pt>
                <c:pt idx="1630">
                  <c:v>50382</c:v>
                </c:pt>
                <c:pt idx="1631">
                  <c:v>50389</c:v>
                </c:pt>
                <c:pt idx="1632">
                  <c:v>50396</c:v>
                </c:pt>
                <c:pt idx="1633">
                  <c:v>50403</c:v>
                </c:pt>
                <c:pt idx="1634">
                  <c:v>50410</c:v>
                </c:pt>
                <c:pt idx="1635">
                  <c:v>50417</c:v>
                </c:pt>
                <c:pt idx="1636">
                  <c:v>50424</c:v>
                </c:pt>
                <c:pt idx="1637">
                  <c:v>50431</c:v>
                </c:pt>
                <c:pt idx="1638">
                  <c:v>50438</c:v>
                </c:pt>
                <c:pt idx="1639">
                  <c:v>50445</c:v>
                </c:pt>
                <c:pt idx="1640">
                  <c:v>50452</c:v>
                </c:pt>
                <c:pt idx="1641">
                  <c:v>50459</c:v>
                </c:pt>
                <c:pt idx="1642">
                  <c:v>50466</c:v>
                </c:pt>
                <c:pt idx="1643">
                  <c:v>50473</c:v>
                </c:pt>
                <c:pt idx="1644">
                  <c:v>50480</c:v>
                </c:pt>
                <c:pt idx="1645">
                  <c:v>50487</c:v>
                </c:pt>
                <c:pt idx="1646">
                  <c:v>50494</c:v>
                </c:pt>
                <c:pt idx="1647">
                  <c:v>50501</c:v>
                </c:pt>
                <c:pt idx="1648">
                  <c:v>50508</c:v>
                </c:pt>
                <c:pt idx="1649">
                  <c:v>50515</c:v>
                </c:pt>
                <c:pt idx="1650">
                  <c:v>50522</c:v>
                </c:pt>
                <c:pt idx="1651">
                  <c:v>50529</c:v>
                </c:pt>
                <c:pt idx="1652">
                  <c:v>50536</c:v>
                </c:pt>
                <c:pt idx="1653">
                  <c:v>50543</c:v>
                </c:pt>
                <c:pt idx="1654">
                  <c:v>50550</c:v>
                </c:pt>
                <c:pt idx="1655">
                  <c:v>50557</c:v>
                </c:pt>
                <c:pt idx="1656">
                  <c:v>50564</c:v>
                </c:pt>
                <c:pt idx="1657">
                  <c:v>50571</c:v>
                </c:pt>
                <c:pt idx="1658">
                  <c:v>50578</c:v>
                </c:pt>
                <c:pt idx="1659">
                  <c:v>50585</c:v>
                </c:pt>
                <c:pt idx="1660">
                  <c:v>50592</c:v>
                </c:pt>
                <c:pt idx="1661">
                  <c:v>50599</c:v>
                </c:pt>
                <c:pt idx="1662">
                  <c:v>50606</c:v>
                </c:pt>
                <c:pt idx="1663">
                  <c:v>50613</c:v>
                </c:pt>
                <c:pt idx="1664">
                  <c:v>50620</c:v>
                </c:pt>
                <c:pt idx="1665">
                  <c:v>50627</c:v>
                </c:pt>
                <c:pt idx="1666">
                  <c:v>50634</c:v>
                </c:pt>
                <c:pt idx="1667">
                  <c:v>50641</c:v>
                </c:pt>
                <c:pt idx="1668">
                  <c:v>50648</c:v>
                </c:pt>
                <c:pt idx="1669">
                  <c:v>50655</c:v>
                </c:pt>
                <c:pt idx="1670">
                  <c:v>50662</c:v>
                </c:pt>
                <c:pt idx="1671">
                  <c:v>50669</c:v>
                </c:pt>
                <c:pt idx="1672">
                  <c:v>50676</c:v>
                </c:pt>
                <c:pt idx="1673">
                  <c:v>50683</c:v>
                </c:pt>
                <c:pt idx="1674">
                  <c:v>50690</c:v>
                </c:pt>
                <c:pt idx="1675">
                  <c:v>50697</c:v>
                </c:pt>
                <c:pt idx="1676">
                  <c:v>50704</c:v>
                </c:pt>
                <c:pt idx="1677">
                  <c:v>50711</c:v>
                </c:pt>
                <c:pt idx="1678">
                  <c:v>50718</c:v>
                </c:pt>
                <c:pt idx="1679">
                  <c:v>50725</c:v>
                </c:pt>
                <c:pt idx="1680">
                  <c:v>50732</c:v>
                </c:pt>
                <c:pt idx="1681">
                  <c:v>50739</c:v>
                </c:pt>
                <c:pt idx="1682">
                  <c:v>50746</c:v>
                </c:pt>
                <c:pt idx="1683">
                  <c:v>50753</c:v>
                </c:pt>
                <c:pt idx="1684">
                  <c:v>50760</c:v>
                </c:pt>
                <c:pt idx="1685">
                  <c:v>50768</c:v>
                </c:pt>
                <c:pt idx="1686">
                  <c:v>50775</c:v>
                </c:pt>
                <c:pt idx="1687">
                  <c:v>50782</c:v>
                </c:pt>
                <c:pt idx="1688">
                  <c:v>50789</c:v>
                </c:pt>
                <c:pt idx="1689">
                  <c:v>50796</c:v>
                </c:pt>
                <c:pt idx="1690">
                  <c:v>50803</c:v>
                </c:pt>
                <c:pt idx="1691">
                  <c:v>50810</c:v>
                </c:pt>
                <c:pt idx="1692">
                  <c:v>50817</c:v>
                </c:pt>
                <c:pt idx="1693">
                  <c:v>50824</c:v>
                </c:pt>
                <c:pt idx="1694">
                  <c:v>50831</c:v>
                </c:pt>
                <c:pt idx="1695">
                  <c:v>50838</c:v>
                </c:pt>
                <c:pt idx="1696">
                  <c:v>50845</c:v>
                </c:pt>
                <c:pt idx="1697">
                  <c:v>50852</c:v>
                </c:pt>
                <c:pt idx="1698">
                  <c:v>50859</c:v>
                </c:pt>
                <c:pt idx="1699">
                  <c:v>50866</c:v>
                </c:pt>
                <c:pt idx="1700">
                  <c:v>50873</c:v>
                </c:pt>
                <c:pt idx="1701">
                  <c:v>50880</c:v>
                </c:pt>
                <c:pt idx="1702">
                  <c:v>50887</c:v>
                </c:pt>
                <c:pt idx="1703">
                  <c:v>50894</c:v>
                </c:pt>
                <c:pt idx="1704">
                  <c:v>50901</c:v>
                </c:pt>
                <c:pt idx="1705">
                  <c:v>50908</c:v>
                </c:pt>
                <c:pt idx="1706">
                  <c:v>50915</c:v>
                </c:pt>
                <c:pt idx="1707">
                  <c:v>50922</c:v>
                </c:pt>
                <c:pt idx="1708">
                  <c:v>50929</c:v>
                </c:pt>
                <c:pt idx="1709">
                  <c:v>50936</c:v>
                </c:pt>
                <c:pt idx="1710">
                  <c:v>50943</c:v>
                </c:pt>
                <c:pt idx="1711">
                  <c:v>50950</c:v>
                </c:pt>
                <c:pt idx="1712">
                  <c:v>50957</c:v>
                </c:pt>
                <c:pt idx="1713">
                  <c:v>50964</c:v>
                </c:pt>
                <c:pt idx="1714">
                  <c:v>50971</c:v>
                </c:pt>
                <c:pt idx="1715">
                  <c:v>50978</c:v>
                </c:pt>
                <c:pt idx="1716">
                  <c:v>50985</c:v>
                </c:pt>
                <c:pt idx="1717">
                  <c:v>50992</c:v>
                </c:pt>
                <c:pt idx="1718">
                  <c:v>50999</c:v>
                </c:pt>
                <c:pt idx="1719">
                  <c:v>51006</c:v>
                </c:pt>
                <c:pt idx="1720">
                  <c:v>51013</c:v>
                </c:pt>
                <c:pt idx="1721">
                  <c:v>51020</c:v>
                </c:pt>
                <c:pt idx="1722">
                  <c:v>51027</c:v>
                </c:pt>
                <c:pt idx="1723">
                  <c:v>51034</c:v>
                </c:pt>
                <c:pt idx="1724">
                  <c:v>51041</c:v>
                </c:pt>
                <c:pt idx="1725">
                  <c:v>51048</c:v>
                </c:pt>
                <c:pt idx="1726">
                  <c:v>51055</c:v>
                </c:pt>
                <c:pt idx="1727">
                  <c:v>51062</c:v>
                </c:pt>
                <c:pt idx="1728">
                  <c:v>51069</c:v>
                </c:pt>
                <c:pt idx="1729">
                  <c:v>51076</c:v>
                </c:pt>
                <c:pt idx="1730">
                  <c:v>51083</c:v>
                </c:pt>
                <c:pt idx="1731">
                  <c:v>51090</c:v>
                </c:pt>
                <c:pt idx="1732">
                  <c:v>51097</c:v>
                </c:pt>
                <c:pt idx="1733">
                  <c:v>51104</c:v>
                </c:pt>
                <c:pt idx="1734">
                  <c:v>51111</c:v>
                </c:pt>
                <c:pt idx="1735">
                  <c:v>51118</c:v>
                </c:pt>
                <c:pt idx="1736">
                  <c:v>51125</c:v>
                </c:pt>
                <c:pt idx="1737">
                  <c:v>51132</c:v>
                </c:pt>
                <c:pt idx="1738">
                  <c:v>51139</c:v>
                </c:pt>
                <c:pt idx="1739">
                  <c:v>51146</c:v>
                </c:pt>
                <c:pt idx="1740">
                  <c:v>51153</c:v>
                </c:pt>
                <c:pt idx="1741">
                  <c:v>51160</c:v>
                </c:pt>
                <c:pt idx="1742">
                  <c:v>51167</c:v>
                </c:pt>
                <c:pt idx="1743">
                  <c:v>51174</c:v>
                </c:pt>
                <c:pt idx="1744">
                  <c:v>51181</c:v>
                </c:pt>
                <c:pt idx="1745">
                  <c:v>51188</c:v>
                </c:pt>
                <c:pt idx="1746">
                  <c:v>51195</c:v>
                </c:pt>
                <c:pt idx="1747">
                  <c:v>51202</c:v>
                </c:pt>
                <c:pt idx="1748">
                  <c:v>51209</c:v>
                </c:pt>
                <c:pt idx="1749">
                  <c:v>51216</c:v>
                </c:pt>
                <c:pt idx="1750">
                  <c:v>51223</c:v>
                </c:pt>
                <c:pt idx="1751">
                  <c:v>51230</c:v>
                </c:pt>
                <c:pt idx="1752">
                  <c:v>51237</c:v>
                </c:pt>
                <c:pt idx="1753">
                  <c:v>51244</c:v>
                </c:pt>
                <c:pt idx="1754">
                  <c:v>51251</c:v>
                </c:pt>
                <c:pt idx="1755">
                  <c:v>51258</c:v>
                </c:pt>
                <c:pt idx="1756">
                  <c:v>51265</c:v>
                </c:pt>
                <c:pt idx="1757">
                  <c:v>51272</c:v>
                </c:pt>
                <c:pt idx="1758">
                  <c:v>51279</c:v>
                </c:pt>
                <c:pt idx="1759">
                  <c:v>51286</c:v>
                </c:pt>
                <c:pt idx="1760">
                  <c:v>51293</c:v>
                </c:pt>
                <c:pt idx="1761">
                  <c:v>51300</c:v>
                </c:pt>
                <c:pt idx="1762">
                  <c:v>51307</c:v>
                </c:pt>
                <c:pt idx="1763">
                  <c:v>51314</c:v>
                </c:pt>
                <c:pt idx="1764">
                  <c:v>51321</c:v>
                </c:pt>
                <c:pt idx="1765">
                  <c:v>51328</c:v>
                </c:pt>
                <c:pt idx="1766">
                  <c:v>51335</c:v>
                </c:pt>
                <c:pt idx="1767">
                  <c:v>51342</c:v>
                </c:pt>
                <c:pt idx="1768">
                  <c:v>51349</c:v>
                </c:pt>
                <c:pt idx="1769">
                  <c:v>51356</c:v>
                </c:pt>
                <c:pt idx="1770">
                  <c:v>51363</c:v>
                </c:pt>
                <c:pt idx="1771">
                  <c:v>51370</c:v>
                </c:pt>
                <c:pt idx="1772">
                  <c:v>51377</c:v>
                </c:pt>
                <c:pt idx="1773">
                  <c:v>51384</c:v>
                </c:pt>
                <c:pt idx="1774">
                  <c:v>51391</c:v>
                </c:pt>
                <c:pt idx="1775">
                  <c:v>51398</c:v>
                </c:pt>
                <c:pt idx="1776">
                  <c:v>51405</c:v>
                </c:pt>
                <c:pt idx="1777">
                  <c:v>51412</c:v>
                </c:pt>
                <c:pt idx="1778">
                  <c:v>51419</c:v>
                </c:pt>
                <c:pt idx="1779">
                  <c:v>51426</c:v>
                </c:pt>
                <c:pt idx="1780">
                  <c:v>51433</c:v>
                </c:pt>
                <c:pt idx="1781">
                  <c:v>51440</c:v>
                </c:pt>
                <c:pt idx="1782">
                  <c:v>51447</c:v>
                </c:pt>
                <c:pt idx="1783">
                  <c:v>51454</c:v>
                </c:pt>
                <c:pt idx="1784">
                  <c:v>51461</c:v>
                </c:pt>
                <c:pt idx="1785">
                  <c:v>51468</c:v>
                </c:pt>
                <c:pt idx="1786">
                  <c:v>51475</c:v>
                </c:pt>
                <c:pt idx="1787">
                  <c:v>51482</c:v>
                </c:pt>
                <c:pt idx="1788">
                  <c:v>51489</c:v>
                </c:pt>
                <c:pt idx="1789">
                  <c:v>51497</c:v>
                </c:pt>
                <c:pt idx="1790">
                  <c:v>51504</c:v>
                </c:pt>
                <c:pt idx="1791">
                  <c:v>51511</c:v>
                </c:pt>
                <c:pt idx="1792">
                  <c:v>51518</c:v>
                </c:pt>
                <c:pt idx="1793">
                  <c:v>51525</c:v>
                </c:pt>
                <c:pt idx="1794">
                  <c:v>51532</c:v>
                </c:pt>
                <c:pt idx="1795">
                  <c:v>51539</c:v>
                </c:pt>
                <c:pt idx="1796">
                  <c:v>51546</c:v>
                </c:pt>
                <c:pt idx="1797">
                  <c:v>51553</c:v>
                </c:pt>
                <c:pt idx="1798">
                  <c:v>51560</c:v>
                </c:pt>
                <c:pt idx="1799">
                  <c:v>51567</c:v>
                </c:pt>
                <c:pt idx="1800">
                  <c:v>51574</c:v>
                </c:pt>
                <c:pt idx="1801">
                  <c:v>51581</c:v>
                </c:pt>
                <c:pt idx="1802">
                  <c:v>51588</c:v>
                </c:pt>
                <c:pt idx="1803">
                  <c:v>51595</c:v>
                </c:pt>
                <c:pt idx="1804">
                  <c:v>51602</c:v>
                </c:pt>
                <c:pt idx="1805">
                  <c:v>51609</c:v>
                </c:pt>
                <c:pt idx="1806">
                  <c:v>51616</c:v>
                </c:pt>
                <c:pt idx="1807">
                  <c:v>51623</c:v>
                </c:pt>
                <c:pt idx="1808">
                  <c:v>51630</c:v>
                </c:pt>
                <c:pt idx="1809">
                  <c:v>51637</c:v>
                </c:pt>
                <c:pt idx="1810">
                  <c:v>51644</c:v>
                </c:pt>
                <c:pt idx="1811">
                  <c:v>51651</c:v>
                </c:pt>
                <c:pt idx="1812">
                  <c:v>51658</c:v>
                </c:pt>
                <c:pt idx="1813">
                  <c:v>51665</c:v>
                </c:pt>
                <c:pt idx="1814">
                  <c:v>51672</c:v>
                </c:pt>
                <c:pt idx="1815">
                  <c:v>51679</c:v>
                </c:pt>
                <c:pt idx="1816">
                  <c:v>51686</c:v>
                </c:pt>
                <c:pt idx="1817">
                  <c:v>51693</c:v>
                </c:pt>
                <c:pt idx="1818">
                  <c:v>51700</c:v>
                </c:pt>
                <c:pt idx="1819">
                  <c:v>51707</c:v>
                </c:pt>
                <c:pt idx="1820">
                  <c:v>51714</c:v>
                </c:pt>
                <c:pt idx="1821">
                  <c:v>51721</c:v>
                </c:pt>
                <c:pt idx="1822">
                  <c:v>51728</c:v>
                </c:pt>
                <c:pt idx="1823">
                  <c:v>51735</c:v>
                </c:pt>
                <c:pt idx="1824">
                  <c:v>51742</c:v>
                </c:pt>
                <c:pt idx="1825">
                  <c:v>51749</c:v>
                </c:pt>
                <c:pt idx="1826">
                  <c:v>51756</c:v>
                </c:pt>
                <c:pt idx="1827">
                  <c:v>51763</c:v>
                </c:pt>
                <c:pt idx="1828">
                  <c:v>51770</c:v>
                </c:pt>
                <c:pt idx="1829">
                  <c:v>51777</c:v>
                </c:pt>
                <c:pt idx="1830">
                  <c:v>51784</c:v>
                </c:pt>
                <c:pt idx="1831">
                  <c:v>51791</c:v>
                </c:pt>
                <c:pt idx="1832">
                  <c:v>51798</c:v>
                </c:pt>
                <c:pt idx="1833">
                  <c:v>51805</c:v>
                </c:pt>
                <c:pt idx="1834">
                  <c:v>51812</c:v>
                </c:pt>
                <c:pt idx="1835">
                  <c:v>51819</c:v>
                </c:pt>
                <c:pt idx="1836">
                  <c:v>51826</c:v>
                </c:pt>
                <c:pt idx="1837">
                  <c:v>51833</c:v>
                </c:pt>
                <c:pt idx="1838">
                  <c:v>51840</c:v>
                </c:pt>
                <c:pt idx="1839">
                  <c:v>51847</c:v>
                </c:pt>
                <c:pt idx="1840">
                  <c:v>51854</c:v>
                </c:pt>
                <c:pt idx="1841">
                  <c:v>51862</c:v>
                </c:pt>
                <c:pt idx="1842">
                  <c:v>51869</c:v>
                </c:pt>
                <c:pt idx="1843">
                  <c:v>51876</c:v>
                </c:pt>
                <c:pt idx="1844">
                  <c:v>51883</c:v>
                </c:pt>
                <c:pt idx="1845">
                  <c:v>51890</c:v>
                </c:pt>
                <c:pt idx="1846">
                  <c:v>51897</c:v>
                </c:pt>
                <c:pt idx="1847">
                  <c:v>51904</c:v>
                </c:pt>
                <c:pt idx="1848">
                  <c:v>51911</c:v>
                </c:pt>
                <c:pt idx="1849">
                  <c:v>51918</c:v>
                </c:pt>
                <c:pt idx="1850">
                  <c:v>51925</c:v>
                </c:pt>
                <c:pt idx="1851">
                  <c:v>51932</c:v>
                </c:pt>
                <c:pt idx="1852">
                  <c:v>51939</c:v>
                </c:pt>
                <c:pt idx="1853">
                  <c:v>51946</c:v>
                </c:pt>
                <c:pt idx="1854">
                  <c:v>51953</c:v>
                </c:pt>
                <c:pt idx="1855">
                  <c:v>51964</c:v>
                </c:pt>
                <c:pt idx="1856">
                  <c:v>51971</c:v>
                </c:pt>
                <c:pt idx="1857">
                  <c:v>51978</c:v>
                </c:pt>
                <c:pt idx="1858">
                  <c:v>51985</c:v>
                </c:pt>
                <c:pt idx="1859">
                  <c:v>51992</c:v>
                </c:pt>
                <c:pt idx="1860">
                  <c:v>51999</c:v>
                </c:pt>
                <c:pt idx="1861">
                  <c:v>52006</c:v>
                </c:pt>
                <c:pt idx="1862">
                  <c:v>52013</c:v>
                </c:pt>
                <c:pt idx="1863">
                  <c:v>52020</c:v>
                </c:pt>
                <c:pt idx="1864">
                  <c:v>52027</c:v>
                </c:pt>
                <c:pt idx="1865">
                  <c:v>52034</c:v>
                </c:pt>
                <c:pt idx="1866">
                  <c:v>52041</c:v>
                </c:pt>
                <c:pt idx="1867">
                  <c:v>52048</c:v>
                </c:pt>
                <c:pt idx="1868">
                  <c:v>52055</c:v>
                </c:pt>
                <c:pt idx="1869">
                  <c:v>52062</c:v>
                </c:pt>
                <c:pt idx="1870">
                  <c:v>52069</c:v>
                </c:pt>
                <c:pt idx="1871">
                  <c:v>52076</c:v>
                </c:pt>
                <c:pt idx="1872">
                  <c:v>52083</c:v>
                </c:pt>
                <c:pt idx="1873">
                  <c:v>52090</c:v>
                </c:pt>
                <c:pt idx="1874">
                  <c:v>52097</c:v>
                </c:pt>
                <c:pt idx="1875">
                  <c:v>52104</c:v>
                </c:pt>
                <c:pt idx="1876">
                  <c:v>52111</c:v>
                </c:pt>
                <c:pt idx="1877">
                  <c:v>52118</c:v>
                </c:pt>
                <c:pt idx="1878">
                  <c:v>52125</c:v>
                </c:pt>
                <c:pt idx="1879">
                  <c:v>52132</c:v>
                </c:pt>
                <c:pt idx="1880">
                  <c:v>52139</c:v>
                </c:pt>
                <c:pt idx="1881">
                  <c:v>52146</c:v>
                </c:pt>
                <c:pt idx="1882">
                  <c:v>52153</c:v>
                </c:pt>
                <c:pt idx="1883">
                  <c:v>52160</c:v>
                </c:pt>
                <c:pt idx="1884">
                  <c:v>52167</c:v>
                </c:pt>
                <c:pt idx="1885">
                  <c:v>52174</c:v>
                </c:pt>
                <c:pt idx="1886">
                  <c:v>52181</c:v>
                </c:pt>
                <c:pt idx="1887">
                  <c:v>52188</c:v>
                </c:pt>
                <c:pt idx="1888">
                  <c:v>52195</c:v>
                </c:pt>
                <c:pt idx="1889">
                  <c:v>52202</c:v>
                </c:pt>
                <c:pt idx="1890">
                  <c:v>52209</c:v>
                </c:pt>
                <c:pt idx="1891">
                  <c:v>52216</c:v>
                </c:pt>
                <c:pt idx="1892">
                  <c:v>52223</c:v>
                </c:pt>
                <c:pt idx="1893">
                  <c:v>52230</c:v>
                </c:pt>
                <c:pt idx="1894">
                  <c:v>52237</c:v>
                </c:pt>
                <c:pt idx="1895">
                  <c:v>52244</c:v>
                </c:pt>
                <c:pt idx="1896">
                  <c:v>52251</c:v>
                </c:pt>
                <c:pt idx="1897">
                  <c:v>52258</c:v>
                </c:pt>
                <c:pt idx="1898">
                  <c:v>52265</c:v>
                </c:pt>
                <c:pt idx="1899">
                  <c:v>52272</c:v>
                </c:pt>
                <c:pt idx="1900">
                  <c:v>52279</c:v>
                </c:pt>
                <c:pt idx="1901">
                  <c:v>52286</c:v>
                </c:pt>
                <c:pt idx="1902">
                  <c:v>52293</c:v>
                </c:pt>
                <c:pt idx="1903">
                  <c:v>52300</c:v>
                </c:pt>
                <c:pt idx="1904">
                  <c:v>52307</c:v>
                </c:pt>
                <c:pt idx="1905">
                  <c:v>52314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52959</c:v>
                </c:pt>
                <c:pt idx="1998">
                  <c:v>52966</c:v>
                </c:pt>
                <c:pt idx="1999">
                  <c:v>52973</c:v>
                </c:pt>
                <c:pt idx="2000">
                  <c:v>52980</c:v>
                </c:pt>
                <c:pt idx="2001">
                  <c:v>52987</c:v>
                </c:pt>
                <c:pt idx="2002">
                  <c:v>52994</c:v>
                </c:pt>
                <c:pt idx="2003">
                  <c:v>53001</c:v>
                </c:pt>
                <c:pt idx="2004">
                  <c:v>53008</c:v>
                </c:pt>
                <c:pt idx="2005">
                  <c:v>53015</c:v>
                </c:pt>
                <c:pt idx="2006">
                  <c:v>53022</c:v>
                </c:pt>
                <c:pt idx="2007">
                  <c:v>53029</c:v>
                </c:pt>
                <c:pt idx="2008">
                  <c:v>53036</c:v>
                </c:pt>
                <c:pt idx="2009">
                  <c:v>53043</c:v>
                </c:pt>
                <c:pt idx="2010">
                  <c:v>53050</c:v>
                </c:pt>
                <c:pt idx="2011">
                  <c:v>53057</c:v>
                </c:pt>
                <c:pt idx="2012">
                  <c:v>53064</c:v>
                </c:pt>
                <c:pt idx="2013">
                  <c:v>53071</c:v>
                </c:pt>
                <c:pt idx="2014">
                  <c:v>53078</c:v>
                </c:pt>
                <c:pt idx="2015">
                  <c:v>53085</c:v>
                </c:pt>
                <c:pt idx="2016">
                  <c:v>53092</c:v>
                </c:pt>
                <c:pt idx="2017">
                  <c:v>53099</c:v>
                </c:pt>
                <c:pt idx="2018">
                  <c:v>53106</c:v>
                </c:pt>
                <c:pt idx="2019">
                  <c:v>53113</c:v>
                </c:pt>
                <c:pt idx="2020">
                  <c:v>53120</c:v>
                </c:pt>
                <c:pt idx="2021">
                  <c:v>53127</c:v>
                </c:pt>
                <c:pt idx="2022">
                  <c:v>53134</c:v>
                </c:pt>
                <c:pt idx="2023">
                  <c:v>53141</c:v>
                </c:pt>
                <c:pt idx="2024">
                  <c:v>53148</c:v>
                </c:pt>
                <c:pt idx="2025">
                  <c:v>53155</c:v>
                </c:pt>
                <c:pt idx="2026">
                  <c:v>53162</c:v>
                </c:pt>
                <c:pt idx="2027">
                  <c:v>53169</c:v>
                </c:pt>
                <c:pt idx="2028">
                  <c:v>53176</c:v>
                </c:pt>
                <c:pt idx="2029">
                  <c:v>53183</c:v>
                </c:pt>
                <c:pt idx="2030">
                  <c:v>53190</c:v>
                </c:pt>
                <c:pt idx="2031">
                  <c:v>53197</c:v>
                </c:pt>
                <c:pt idx="2032">
                  <c:v>53204</c:v>
                </c:pt>
                <c:pt idx="2033">
                  <c:v>53211</c:v>
                </c:pt>
                <c:pt idx="2034">
                  <c:v>53218</c:v>
                </c:pt>
                <c:pt idx="2035">
                  <c:v>53225</c:v>
                </c:pt>
                <c:pt idx="2036">
                  <c:v>53232</c:v>
                </c:pt>
                <c:pt idx="2037">
                  <c:v>53239</c:v>
                </c:pt>
                <c:pt idx="2038">
                  <c:v>53246</c:v>
                </c:pt>
                <c:pt idx="2039">
                  <c:v>53253</c:v>
                </c:pt>
                <c:pt idx="2040">
                  <c:v>53260</c:v>
                </c:pt>
                <c:pt idx="2041">
                  <c:v>53267</c:v>
                </c:pt>
                <c:pt idx="2042">
                  <c:v>53274</c:v>
                </c:pt>
                <c:pt idx="2043">
                  <c:v>53281</c:v>
                </c:pt>
                <c:pt idx="2044">
                  <c:v>53288</c:v>
                </c:pt>
                <c:pt idx="2045">
                  <c:v>53295</c:v>
                </c:pt>
                <c:pt idx="2046">
                  <c:v>53302</c:v>
                </c:pt>
                <c:pt idx="2047">
                  <c:v>53309</c:v>
                </c:pt>
                <c:pt idx="2048">
                  <c:v>53316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54786</c:v>
                </c:pt>
                <c:pt idx="2258">
                  <c:v>54793</c:v>
                </c:pt>
                <c:pt idx="2259">
                  <c:v>54800</c:v>
                </c:pt>
                <c:pt idx="2260">
                  <c:v>54807</c:v>
                </c:pt>
                <c:pt idx="2261">
                  <c:v>54814</c:v>
                </c:pt>
                <c:pt idx="2262">
                  <c:v>54821</c:v>
                </c:pt>
                <c:pt idx="2263">
                  <c:v>54828</c:v>
                </c:pt>
                <c:pt idx="2264">
                  <c:v>54835</c:v>
                </c:pt>
                <c:pt idx="2265">
                  <c:v>54842</c:v>
                </c:pt>
                <c:pt idx="2266">
                  <c:v>54849</c:v>
                </c:pt>
                <c:pt idx="2267">
                  <c:v>54856</c:v>
                </c:pt>
                <c:pt idx="2268">
                  <c:v>54863</c:v>
                </c:pt>
                <c:pt idx="2269">
                  <c:v>54870</c:v>
                </c:pt>
                <c:pt idx="2270">
                  <c:v>54877</c:v>
                </c:pt>
                <c:pt idx="2271">
                  <c:v>54884</c:v>
                </c:pt>
                <c:pt idx="2272">
                  <c:v>54891</c:v>
                </c:pt>
                <c:pt idx="2273">
                  <c:v>54898</c:v>
                </c:pt>
                <c:pt idx="2274">
                  <c:v>54905</c:v>
                </c:pt>
                <c:pt idx="2275">
                  <c:v>54912</c:v>
                </c:pt>
                <c:pt idx="2276">
                  <c:v>54919</c:v>
                </c:pt>
                <c:pt idx="2277">
                  <c:v>54926</c:v>
                </c:pt>
                <c:pt idx="2278">
                  <c:v>54933</c:v>
                </c:pt>
                <c:pt idx="2279">
                  <c:v>54940</c:v>
                </c:pt>
                <c:pt idx="2280">
                  <c:v>54947</c:v>
                </c:pt>
                <c:pt idx="2281">
                  <c:v>54954</c:v>
                </c:pt>
                <c:pt idx="2282">
                  <c:v>54961</c:v>
                </c:pt>
                <c:pt idx="2283">
                  <c:v>54968</c:v>
                </c:pt>
                <c:pt idx="2284">
                  <c:v>54975</c:v>
                </c:pt>
                <c:pt idx="2285">
                  <c:v>54982</c:v>
                </c:pt>
                <c:pt idx="2286">
                  <c:v>54989</c:v>
                </c:pt>
                <c:pt idx="2287">
                  <c:v>54996</c:v>
                </c:pt>
                <c:pt idx="2288">
                  <c:v>55003</c:v>
                </c:pt>
                <c:pt idx="2289">
                  <c:v>55010</c:v>
                </c:pt>
                <c:pt idx="2290">
                  <c:v>55017</c:v>
                </c:pt>
                <c:pt idx="2291">
                  <c:v>55024</c:v>
                </c:pt>
                <c:pt idx="2292">
                  <c:v>55031</c:v>
                </c:pt>
                <c:pt idx="2293">
                  <c:v>55038</c:v>
                </c:pt>
                <c:pt idx="2294">
                  <c:v>55045</c:v>
                </c:pt>
                <c:pt idx="2295">
                  <c:v>55052</c:v>
                </c:pt>
                <c:pt idx="2296">
                  <c:v>55059</c:v>
                </c:pt>
                <c:pt idx="2297">
                  <c:v>55066</c:v>
                </c:pt>
                <c:pt idx="2298">
                  <c:v>55073</c:v>
                </c:pt>
                <c:pt idx="2299">
                  <c:v>55080</c:v>
                </c:pt>
                <c:pt idx="2300">
                  <c:v>55087</c:v>
                </c:pt>
                <c:pt idx="2301">
                  <c:v>55094</c:v>
                </c:pt>
                <c:pt idx="2302">
                  <c:v>55101</c:v>
                </c:pt>
                <c:pt idx="2303">
                  <c:v>55108</c:v>
                </c:pt>
                <c:pt idx="2304">
                  <c:v>55115</c:v>
                </c:pt>
                <c:pt idx="2305">
                  <c:v>55122</c:v>
                </c:pt>
                <c:pt idx="2306">
                  <c:v>55129</c:v>
                </c:pt>
                <c:pt idx="2307">
                  <c:v>55136</c:v>
                </c:pt>
                <c:pt idx="2308">
                  <c:v>55143</c:v>
                </c:pt>
                <c:pt idx="2309">
                  <c:v>55150</c:v>
                </c:pt>
                <c:pt idx="2310">
                  <c:v>55157</c:v>
                </c:pt>
                <c:pt idx="2311">
                  <c:v>55164</c:v>
                </c:pt>
                <c:pt idx="2312">
                  <c:v>55171</c:v>
                </c:pt>
                <c:pt idx="2313">
                  <c:v>55178</c:v>
                </c:pt>
                <c:pt idx="2314">
                  <c:v>55185</c:v>
                </c:pt>
                <c:pt idx="2315">
                  <c:v>55192</c:v>
                </c:pt>
                <c:pt idx="2316">
                  <c:v>55199</c:v>
                </c:pt>
                <c:pt idx="2317">
                  <c:v>55206</c:v>
                </c:pt>
                <c:pt idx="2318">
                  <c:v>55213</c:v>
                </c:pt>
                <c:pt idx="2319">
                  <c:v>55220</c:v>
                </c:pt>
                <c:pt idx="2320">
                  <c:v>55227</c:v>
                </c:pt>
                <c:pt idx="2321">
                  <c:v>55234</c:v>
                </c:pt>
                <c:pt idx="2322">
                  <c:v>55241</c:v>
                </c:pt>
                <c:pt idx="2323">
                  <c:v>55248</c:v>
                </c:pt>
                <c:pt idx="2324">
                  <c:v>55255</c:v>
                </c:pt>
                <c:pt idx="2325">
                  <c:v>55262</c:v>
                </c:pt>
                <c:pt idx="2326">
                  <c:v>55269</c:v>
                </c:pt>
                <c:pt idx="2327">
                  <c:v>55276</c:v>
                </c:pt>
                <c:pt idx="2328">
                  <c:v>55283</c:v>
                </c:pt>
                <c:pt idx="2329">
                  <c:v>55290</c:v>
                </c:pt>
                <c:pt idx="2330">
                  <c:v>55297</c:v>
                </c:pt>
                <c:pt idx="2331">
                  <c:v>55304</c:v>
                </c:pt>
                <c:pt idx="2332">
                  <c:v>55311</c:v>
                </c:pt>
                <c:pt idx="2333">
                  <c:v>55318</c:v>
                </c:pt>
                <c:pt idx="2334">
                  <c:v>55325</c:v>
                </c:pt>
                <c:pt idx="2335">
                  <c:v>55332</c:v>
                </c:pt>
                <c:pt idx="2336">
                  <c:v>55339</c:v>
                </c:pt>
                <c:pt idx="2337">
                  <c:v>55346</c:v>
                </c:pt>
                <c:pt idx="2338">
                  <c:v>55353</c:v>
                </c:pt>
                <c:pt idx="2339">
                  <c:v>55360</c:v>
                </c:pt>
                <c:pt idx="2340">
                  <c:v>55367</c:v>
                </c:pt>
                <c:pt idx="2341">
                  <c:v>55374</c:v>
                </c:pt>
                <c:pt idx="2342">
                  <c:v>55381</c:v>
                </c:pt>
                <c:pt idx="2343">
                  <c:v>55388</c:v>
                </c:pt>
                <c:pt idx="2344">
                  <c:v>55395</c:v>
                </c:pt>
                <c:pt idx="2345">
                  <c:v>55402</c:v>
                </c:pt>
                <c:pt idx="2346">
                  <c:v>55409</c:v>
                </c:pt>
                <c:pt idx="2347">
                  <c:v>55416</c:v>
                </c:pt>
                <c:pt idx="2348">
                  <c:v>55423</c:v>
                </c:pt>
                <c:pt idx="2349">
                  <c:v>55430</c:v>
                </c:pt>
                <c:pt idx="2350">
                  <c:v>55437</c:v>
                </c:pt>
                <c:pt idx="2351">
                  <c:v>55444</c:v>
                </c:pt>
                <c:pt idx="2352">
                  <c:v>55451</c:v>
                </c:pt>
                <c:pt idx="2353">
                  <c:v>55458</c:v>
                </c:pt>
                <c:pt idx="2354">
                  <c:v>55465</c:v>
                </c:pt>
                <c:pt idx="2355">
                  <c:v>55472</c:v>
                </c:pt>
                <c:pt idx="2356">
                  <c:v>55479</c:v>
                </c:pt>
                <c:pt idx="2357">
                  <c:v>55486</c:v>
                </c:pt>
                <c:pt idx="2358">
                  <c:v>55493</c:v>
                </c:pt>
                <c:pt idx="2359">
                  <c:v>55500</c:v>
                </c:pt>
                <c:pt idx="2360">
                  <c:v>55507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55640</c:v>
                </c:pt>
                <c:pt idx="2380">
                  <c:v>55647</c:v>
                </c:pt>
                <c:pt idx="2381">
                  <c:v>55654</c:v>
                </c:pt>
                <c:pt idx="2382">
                  <c:v>55661</c:v>
                </c:pt>
                <c:pt idx="2383">
                  <c:v>55668</c:v>
                </c:pt>
                <c:pt idx="2384">
                  <c:v>55675</c:v>
                </c:pt>
                <c:pt idx="2385">
                  <c:v>55682</c:v>
                </c:pt>
                <c:pt idx="2386">
                  <c:v>55689</c:v>
                </c:pt>
                <c:pt idx="2387">
                  <c:v>55696</c:v>
                </c:pt>
                <c:pt idx="2388">
                  <c:v>55703</c:v>
                </c:pt>
                <c:pt idx="2389">
                  <c:v>55710</c:v>
                </c:pt>
                <c:pt idx="2390">
                  <c:v>55717</c:v>
                </c:pt>
                <c:pt idx="2391">
                  <c:v>55724</c:v>
                </c:pt>
                <c:pt idx="2392">
                  <c:v>55731</c:v>
                </c:pt>
                <c:pt idx="2393">
                  <c:v>55738</c:v>
                </c:pt>
                <c:pt idx="2394">
                  <c:v>55745</c:v>
                </c:pt>
                <c:pt idx="2395">
                  <c:v>55752</c:v>
                </c:pt>
                <c:pt idx="2396">
                  <c:v>55759</c:v>
                </c:pt>
                <c:pt idx="2397">
                  <c:v>55766</c:v>
                </c:pt>
                <c:pt idx="2398">
                  <c:v>55773</c:v>
                </c:pt>
                <c:pt idx="2399">
                  <c:v>55780</c:v>
                </c:pt>
                <c:pt idx="2400">
                  <c:v>55787</c:v>
                </c:pt>
                <c:pt idx="2401">
                  <c:v>55794</c:v>
                </c:pt>
                <c:pt idx="2402">
                  <c:v>55801</c:v>
                </c:pt>
                <c:pt idx="2403">
                  <c:v>55808</c:v>
                </c:pt>
                <c:pt idx="2404">
                  <c:v>55815</c:v>
                </c:pt>
                <c:pt idx="2405">
                  <c:v>55822</c:v>
                </c:pt>
                <c:pt idx="2406">
                  <c:v>55829</c:v>
                </c:pt>
                <c:pt idx="2407">
                  <c:v>55836</c:v>
                </c:pt>
                <c:pt idx="2408">
                  <c:v>55843</c:v>
                </c:pt>
                <c:pt idx="2409">
                  <c:v>55850</c:v>
                </c:pt>
                <c:pt idx="2410">
                  <c:v>55857</c:v>
                </c:pt>
                <c:pt idx="2411">
                  <c:v>55864</c:v>
                </c:pt>
                <c:pt idx="2412">
                  <c:v>55871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56066</c:v>
                </c:pt>
                <c:pt idx="2440">
                  <c:v>56073</c:v>
                </c:pt>
                <c:pt idx="2441">
                  <c:v>56080</c:v>
                </c:pt>
                <c:pt idx="2442">
                  <c:v>56087</c:v>
                </c:pt>
                <c:pt idx="2443">
                  <c:v>56094</c:v>
                </c:pt>
                <c:pt idx="2444">
                  <c:v>56101</c:v>
                </c:pt>
                <c:pt idx="2445">
                  <c:v>56108</c:v>
                </c:pt>
                <c:pt idx="2446">
                  <c:v>56115</c:v>
                </c:pt>
                <c:pt idx="2447">
                  <c:v>56122</c:v>
                </c:pt>
                <c:pt idx="2448">
                  <c:v>56129</c:v>
                </c:pt>
                <c:pt idx="2449">
                  <c:v>56136</c:v>
                </c:pt>
                <c:pt idx="2450">
                  <c:v>56143</c:v>
                </c:pt>
                <c:pt idx="2451">
                  <c:v>56150</c:v>
                </c:pt>
                <c:pt idx="2452">
                  <c:v>56157</c:v>
                </c:pt>
                <c:pt idx="2453">
                  <c:v>56164</c:v>
                </c:pt>
                <c:pt idx="2454">
                  <c:v>56171</c:v>
                </c:pt>
                <c:pt idx="2455">
                  <c:v>56178</c:v>
                </c:pt>
                <c:pt idx="2456">
                  <c:v>56185</c:v>
                </c:pt>
                <c:pt idx="2457">
                  <c:v>56192</c:v>
                </c:pt>
                <c:pt idx="2458">
                  <c:v>56199</c:v>
                </c:pt>
                <c:pt idx="2459">
                  <c:v>56206</c:v>
                </c:pt>
                <c:pt idx="2460">
                  <c:v>56213</c:v>
                </c:pt>
                <c:pt idx="2461">
                  <c:v>56220</c:v>
                </c:pt>
                <c:pt idx="2462">
                  <c:v>56227</c:v>
                </c:pt>
                <c:pt idx="2463">
                  <c:v>56234</c:v>
                </c:pt>
                <c:pt idx="2464">
                  <c:v>56241</c:v>
                </c:pt>
                <c:pt idx="2465">
                  <c:v>56248</c:v>
                </c:pt>
                <c:pt idx="2466">
                  <c:v>56255</c:v>
                </c:pt>
                <c:pt idx="2467">
                  <c:v>56262</c:v>
                </c:pt>
                <c:pt idx="2468">
                  <c:v>56269</c:v>
                </c:pt>
                <c:pt idx="2469">
                  <c:v>56276</c:v>
                </c:pt>
                <c:pt idx="2470">
                  <c:v>56283</c:v>
                </c:pt>
                <c:pt idx="2471">
                  <c:v>56290</c:v>
                </c:pt>
                <c:pt idx="2472">
                  <c:v>56297</c:v>
                </c:pt>
                <c:pt idx="2473">
                  <c:v>56304</c:v>
                </c:pt>
                <c:pt idx="2474">
                  <c:v>56311</c:v>
                </c:pt>
                <c:pt idx="2475">
                  <c:v>56318</c:v>
                </c:pt>
                <c:pt idx="2476">
                  <c:v>56325</c:v>
                </c:pt>
                <c:pt idx="2477">
                  <c:v>56332</c:v>
                </c:pt>
                <c:pt idx="2478">
                  <c:v>56339</c:v>
                </c:pt>
                <c:pt idx="2479">
                  <c:v>56346</c:v>
                </c:pt>
                <c:pt idx="2480">
                  <c:v>56353</c:v>
                </c:pt>
                <c:pt idx="2481">
                  <c:v>56360</c:v>
                </c:pt>
                <c:pt idx="2482">
                  <c:v>56367</c:v>
                </c:pt>
                <c:pt idx="2483">
                  <c:v>56374</c:v>
                </c:pt>
                <c:pt idx="2484">
                  <c:v>56381</c:v>
                </c:pt>
                <c:pt idx="2485">
                  <c:v>56388</c:v>
                </c:pt>
                <c:pt idx="2486">
                  <c:v>56395</c:v>
                </c:pt>
                <c:pt idx="2487">
                  <c:v>56402</c:v>
                </c:pt>
                <c:pt idx="2488">
                  <c:v>56409</c:v>
                </c:pt>
                <c:pt idx="2489">
                  <c:v>56416</c:v>
                </c:pt>
                <c:pt idx="2490">
                  <c:v>56423</c:v>
                </c:pt>
                <c:pt idx="2491">
                  <c:v>56430</c:v>
                </c:pt>
                <c:pt idx="2492">
                  <c:v>56437</c:v>
                </c:pt>
                <c:pt idx="2493">
                  <c:v>56444</c:v>
                </c:pt>
                <c:pt idx="2494">
                  <c:v>56451</c:v>
                </c:pt>
                <c:pt idx="2495">
                  <c:v>56458</c:v>
                </c:pt>
                <c:pt idx="2496">
                  <c:v>56465</c:v>
                </c:pt>
                <c:pt idx="2497">
                  <c:v>56472</c:v>
                </c:pt>
                <c:pt idx="2498">
                  <c:v>56479</c:v>
                </c:pt>
                <c:pt idx="2499">
                  <c:v>56486</c:v>
                </c:pt>
                <c:pt idx="2500">
                  <c:v>56493</c:v>
                </c:pt>
                <c:pt idx="2501">
                  <c:v>56500</c:v>
                </c:pt>
                <c:pt idx="2502">
                  <c:v>56507</c:v>
                </c:pt>
                <c:pt idx="2503">
                  <c:v>56514</c:v>
                </c:pt>
                <c:pt idx="2504">
                  <c:v>56521</c:v>
                </c:pt>
                <c:pt idx="2505">
                  <c:v>56528</c:v>
                </c:pt>
                <c:pt idx="2506">
                  <c:v>56535</c:v>
                </c:pt>
                <c:pt idx="2507">
                  <c:v>56542</c:v>
                </c:pt>
                <c:pt idx="2508">
                  <c:v>56549</c:v>
                </c:pt>
                <c:pt idx="2509">
                  <c:v>56556</c:v>
                </c:pt>
                <c:pt idx="2510">
                  <c:v>56563</c:v>
                </c:pt>
                <c:pt idx="2511">
                  <c:v>56570</c:v>
                </c:pt>
                <c:pt idx="2512">
                  <c:v>56577</c:v>
                </c:pt>
                <c:pt idx="2513">
                  <c:v>56584</c:v>
                </c:pt>
                <c:pt idx="2514">
                  <c:v>56591</c:v>
                </c:pt>
                <c:pt idx="2515">
                  <c:v>56598</c:v>
                </c:pt>
                <c:pt idx="2516">
                  <c:v>56605</c:v>
                </c:pt>
                <c:pt idx="2517">
                  <c:v>56612</c:v>
                </c:pt>
                <c:pt idx="2518">
                  <c:v>56619</c:v>
                </c:pt>
                <c:pt idx="2519">
                  <c:v>56626</c:v>
                </c:pt>
                <c:pt idx="2520">
                  <c:v>56633</c:v>
                </c:pt>
                <c:pt idx="2521">
                  <c:v>56640</c:v>
                </c:pt>
                <c:pt idx="2522">
                  <c:v>56647</c:v>
                </c:pt>
                <c:pt idx="2523">
                  <c:v>56654</c:v>
                </c:pt>
                <c:pt idx="2524">
                  <c:v>56661</c:v>
                </c:pt>
                <c:pt idx="2525">
                  <c:v>56668</c:v>
                </c:pt>
                <c:pt idx="2526">
                  <c:v>56675</c:v>
                </c:pt>
                <c:pt idx="2527">
                  <c:v>56682</c:v>
                </c:pt>
                <c:pt idx="2528">
                  <c:v>56689</c:v>
                </c:pt>
                <c:pt idx="2529">
                  <c:v>56696</c:v>
                </c:pt>
                <c:pt idx="2530">
                  <c:v>56703</c:v>
                </c:pt>
                <c:pt idx="2531">
                  <c:v>56710</c:v>
                </c:pt>
                <c:pt idx="2532">
                  <c:v>56717</c:v>
                </c:pt>
                <c:pt idx="2533">
                  <c:v>56724</c:v>
                </c:pt>
                <c:pt idx="2534">
                  <c:v>56731</c:v>
                </c:pt>
                <c:pt idx="2535">
                  <c:v>56738</c:v>
                </c:pt>
                <c:pt idx="2536">
                  <c:v>56745</c:v>
                </c:pt>
                <c:pt idx="2537">
                  <c:v>56752</c:v>
                </c:pt>
                <c:pt idx="2538">
                  <c:v>56759</c:v>
                </c:pt>
                <c:pt idx="2539">
                  <c:v>56766</c:v>
                </c:pt>
                <c:pt idx="2540">
                  <c:v>56773</c:v>
                </c:pt>
                <c:pt idx="2541">
                  <c:v>56780</c:v>
                </c:pt>
                <c:pt idx="2542">
                  <c:v>56787</c:v>
                </c:pt>
                <c:pt idx="2543">
                  <c:v>56794</c:v>
                </c:pt>
                <c:pt idx="2544">
                  <c:v>56801</c:v>
                </c:pt>
                <c:pt idx="2545">
                  <c:v>56808</c:v>
                </c:pt>
                <c:pt idx="2546">
                  <c:v>56815</c:v>
                </c:pt>
                <c:pt idx="2547">
                  <c:v>56822</c:v>
                </c:pt>
                <c:pt idx="2548">
                  <c:v>56829</c:v>
                </c:pt>
                <c:pt idx="2549">
                  <c:v>56836</c:v>
                </c:pt>
                <c:pt idx="2550">
                  <c:v>56843</c:v>
                </c:pt>
                <c:pt idx="2551">
                  <c:v>56850</c:v>
                </c:pt>
                <c:pt idx="2552">
                  <c:v>56857</c:v>
                </c:pt>
                <c:pt idx="2553">
                  <c:v>56864</c:v>
                </c:pt>
                <c:pt idx="2554">
                  <c:v>56871</c:v>
                </c:pt>
                <c:pt idx="2555">
                  <c:v>56878</c:v>
                </c:pt>
                <c:pt idx="2556">
                  <c:v>56885</c:v>
                </c:pt>
                <c:pt idx="2557">
                  <c:v>56892</c:v>
                </c:pt>
                <c:pt idx="2558">
                  <c:v>56899</c:v>
                </c:pt>
                <c:pt idx="2559">
                  <c:v>56906</c:v>
                </c:pt>
                <c:pt idx="2560">
                  <c:v>56913</c:v>
                </c:pt>
                <c:pt idx="2561">
                  <c:v>56920</c:v>
                </c:pt>
                <c:pt idx="2562">
                  <c:v>56927</c:v>
                </c:pt>
                <c:pt idx="2563">
                  <c:v>56934</c:v>
                </c:pt>
                <c:pt idx="2564">
                  <c:v>56941</c:v>
                </c:pt>
                <c:pt idx="2565">
                  <c:v>56948</c:v>
                </c:pt>
                <c:pt idx="2566">
                  <c:v>56955</c:v>
                </c:pt>
                <c:pt idx="2567">
                  <c:v>56962</c:v>
                </c:pt>
                <c:pt idx="2568">
                  <c:v>56969</c:v>
                </c:pt>
                <c:pt idx="2569">
                  <c:v>56977</c:v>
                </c:pt>
                <c:pt idx="2570">
                  <c:v>56984</c:v>
                </c:pt>
                <c:pt idx="2571">
                  <c:v>56991</c:v>
                </c:pt>
                <c:pt idx="2572">
                  <c:v>56998</c:v>
                </c:pt>
                <c:pt idx="2573">
                  <c:v>57005</c:v>
                </c:pt>
                <c:pt idx="2574">
                  <c:v>57012</c:v>
                </c:pt>
                <c:pt idx="2575">
                  <c:v>57019</c:v>
                </c:pt>
                <c:pt idx="2576">
                  <c:v>57026</c:v>
                </c:pt>
                <c:pt idx="2577">
                  <c:v>57033</c:v>
                </c:pt>
                <c:pt idx="2578">
                  <c:v>57040</c:v>
                </c:pt>
                <c:pt idx="2579">
                  <c:v>57047</c:v>
                </c:pt>
                <c:pt idx="2580">
                  <c:v>57054</c:v>
                </c:pt>
                <c:pt idx="2581">
                  <c:v>57061</c:v>
                </c:pt>
                <c:pt idx="2582">
                  <c:v>57068</c:v>
                </c:pt>
                <c:pt idx="2583">
                  <c:v>57075</c:v>
                </c:pt>
                <c:pt idx="2584">
                  <c:v>57082</c:v>
                </c:pt>
                <c:pt idx="2585">
                  <c:v>57089</c:v>
                </c:pt>
                <c:pt idx="2586">
                  <c:v>57096</c:v>
                </c:pt>
                <c:pt idx="2587">
                  <c:v>57103</c:v>
                </c:pt>
                <c:pt idx="2588">
                  <c:v>57110</c:v>
                </c:pt>
                <c:pt idx="2589">
                  <c:v>57117</c:v>
                </c:pt>
                <c:pt idx="2590">
                  <c:v>57124</c:v>
                </c:pt>
                <c:pt idx="2591">
                  <c:v>57131</c:v>
                </c:pt>
                <c:pt idx="2592">
                  <c:v>57138</c:v>
                </c:pt>
                <c:pt idx="2593">
                  <c:v>57145</c:v>
                </c:pt>
                <c:pt idx="2594">
                  <c:v>57152</c:v>
                </c:pt>
                <c:pt idx="2595">
                  <c:v>57159</c:v>
                </c:pt>
                <c:pt idx="2596">
                  <c:v>57166</c:v>
                </c:pt>
                <c:pt idx="2597">
                  <c:v>57173</c:v>
                </c:pt>
                <c:pt idx="2598">
                  <c:v>57180</c:v>
                </c:pt>
                <c:pt idx="2599">
                  <c:v>57187</c:v>
                </c:pt>
                <c:pt idx="2600">
                  <c:v>57194</c:v>
                </c:pt>
                <c:pt idx="2601">
                  <c:v>57201</c:v>
                </c:pt>
                <c:pt idx="2602">
                  <c:v>57208</c:v>
                </c:pt>
                <c:pt idx="2603">
                  <c:v>57215</c:v>
                </c:pt>
                <c:pt idx="2604">
                  <c:v>57222</c:v>
                </c:pt>
                <c:pt idx="2605">
                  <c:v>57229</c:v>
                </c:pt>
                <c:pt idx="2606">
                  <c:v>57236</c:v>
                </c:pt>
                <c:pt idx="2607">
                  <c:v>57243</c:v>
                </c:pt>
                <c:pt idx="2608">
                  <c:v>57250</c:v>
                </c:pt>
                <c:pt idx="2609">
                  <c:v>57257</c:v>
                </c:pt>
                <c:pt idx="2610">
                  <c:v>57264</c:v>
                </c:pt>
                <c:pt idx="2611">
                  <c:v>57271</c:v>
                </c:pt>
                <c:pt idx="2612">
                  <c:v>57278</c:v>
                </c:pt>
                <c:pt idx="2613">
                  <c:v>57285</c:v>
                </c:pt>
                <c:pt idx="2614">
                  <c:v>57292</c:v>
                </c:pt>
                <c:pt idx="2615">
                  <c:v>57299</c:v>
                </c:pt>
                <c:pt idx="2616">
                  <c:v>57306</c:v>
                </c:pt>
                <c:pt idx="2617">
                  <c:v>57313</c:v>
                </c:pt>
                <c:pt idx="2618">
                  <c:v>57320</c:v>
                </c:pt>
                <c:pt idx="2619">
                  <c:v>57327</c:v>
                </c:pt>
                <c:pt idx="2620">
                  <c:v>57334</c:v>
                </c:pt>
                <c:pt idx="2621">
                  <c:v>57341</c:v>
                </c:pt>
                <c:pt idx="2622">
                  <c:v>57348</c:v>
                </c:pt>
                <c:pt idx="2623">
                  <c:v>57355</c:v>
                </c:pt>
                <c:pt idx="2624">
                  <c:v>57362</c:v>
                </c:pt>
                <c:pt idx="2625">
                  <c:v>57369</c:v>
                </c:pt>
                <c:pt idx="2626">
                  <c:v>57376</c:v>
                </c:pt>
                <c:pt idx="2627">
                  <c:v>57383</c:v>
                </c:pt>
                <c:pt idx="2628">
                  <c:v>57390</c:v>
                </c:pt>
                <c:pt idx="2629">
                  <c:v>57397</c:v>
                </c:pt>
                <c:pt idx="2630">
                  <c:v>57404</c:v>
                </c:pt>
                <c:pt idx="2631">
                  <c:v>57411</c:v>
                </c:pt>
                <c:pt idx="2632">
                  <c:v>57418</c:v>
                </c:pt>
                <c:pt idx="2633">
                  <c:v>57425</c:v>
                </c:pt>
                <c:pt idx="2634">
                  <c:v>57432</c:v>
                </c:pt>
                <c:pt idx="2635">
                  <c:v>57439</c:v>
                </c:pt>
                <c:pt idx="2636">
                  <c:v>57446</c:v>
                </c:pt>
                <c:pt idx="2637">
                  <c:v>57453</c:v>
                </c:pt>
                <c:pt idx="2638">
                  <c:v>57460</c:v>
                </c:pt>
                <c:pt idx="2639">
                  <c:v>57467</c:v>
                </c:pt>
                <c:pt idx="2640">
                  <c:v>57474</c:v>
                </c:pt>
                <c:pt idx="2641">
                  <c:v>57481</c:v>
                </c:pt>
                <c:pt idx="2642">
                  <c:v>57488</c:v>
                </c:pt>
                <c:pt idx="2643">
                  <c:v>57495</c:v>
                </c:pt>
                <c:pt idx="2644">
                  <c:v>57502</c:v>
                </c:pt>
                <c:pt idx="2645">
                  <c:v>57509</c:v>
                </c:pt>
                <c:pt idx="2646">
                  <c:v>57516</c:v>
                </c:pt>
                <c:pt idx="2647">
                  <c:v>57523</c:v>
                </c:pt>
                <c:pt idx="2648">
                  <c:v>57530</c:v>
                </c:pt>
                <c:pt idx="2649">
                  <c:v>57537</c:v>
                </c:pt>
                <c:pt idx="2650">
                  <c:v>57544</c:v>
                </c:pt>
                <c:pt idx="2651">
                  <c:v>57551</c:v>
                </c:pt>
                <c:pt idx="2652">
                  <c:v>57558</c:v>
                </c:pt>
                <c:pt idx="2653">
                  <c:v>57565</c:v>
                </c:pt>
                <c:pt idx="2654">
                  <c:v>57572</c:v>
                </c:pt>
                <c:pt idx="2655">
                  <c:v>57579</c:v>
                </c:pt>
                <c:pt idx="2656">
                  <c:v>57586</c:v>
                </c:pt>
                <c:pt idx="2657">
                  <c:v>57593</c:v>
                </c:pt>
                <c:pt idx="2658">
                  <c:v>57600</c:v>
                </c:pt>
                <c:pt idx="2659">
                  <c:v>57607</c:v>
                </c:pt>
                <c:pt idx="2660">
                  <c:v>57614</c:v>
                </c:pt>
                <c:pt idx="2661">
                  <c:v>57621</c:v>
                </c:pt>
                <c:pt idx="2662">
                  <c:v>57628</c:v>
                </c:pt>
                <c:pt idx="2663">
                  <c:v>57635</c:v>
                </c:pt>
                <c:pt idx="2664">
                  <c:v>57642</c:v>
                </c:pt>
                <c:pt idx="2665">
                  <c:v>57649</c:v>
                </c:pt>
                <c:pt idx="2666">
                  <c:v>57656</c:v>
                </c:pt>
                <c:pt idx="2667">
                  <c:v>57663</c:v>
                </c:pt>
                <c:pt idx="2668">
                  <c:v>57670</c:v>
                </c:pt>
                <c:pt idx="2669">
                  <c:v>57677</c:v>
                </c:pt>
                <c:pt idx="2670">
                  <c:v>57684</c:v>
                </c:pt>
                <c:pt idx="2671">
                  <c:v>57691</c:v>
                </c:pt>
                <c:pt idx="2672">
                  <c:v>57698</c:v>
                </c:pt>
                <c:pt idx="2673">
                  <c:v>57706</c:v>
                </c:pt>
                <c:pt idx="2674">
                  <c:v>57713</c:v>
                </c:pt>
                <c:pt idx="2675">
                  <c:v>57720</c:v>
                </c:pt>
                <c:pt idx="2676">
                  <c:v>57727</c:v>
                </c:pt>
                <c:pt idx="2677">
                  <c:v>57734</c:v>
                </c:pt>
                <c:pt idx="2678">
                  <c:v>57741</c:v>
                </c:pt>
                <c:pt idx="2679">
                  <c:v>57748</c:v>
                </c:pt>
                <c:pt idx="2680">
                  <c:v>57755</c:v>
                </c:pt>
                <c:pt idx="2681">
                  <c:v>57762</c:v>
                </c:pt>
                <c:pt idx="2682">
                  <c:v>57769</c:v>
                </c:pt>
                <c:pt idx="2683">
                  <c:v>57776</c:v>
                </c:pt>
                <c:pt idx="2684">
                  <c:v>57783</c:v>
                </c:pt>
                <c:pt idx="2685">
                  <c:v>57790</c:v>
                </c:pt>
                <c:pt idx="2686">
                  <c:v>57797</c:v>
                </c:pt>
                <c:pt idx="2687">
                  <c:v>57804</c:v>
                </c:pt>
                <c:pt idx="2688">
                  <c:v>57811</c:v>
                </c:pt>
                <c:pt idx="2689">
                  <c:v>57818</c:v>
                </c:pt>
                <c:pt idx="2690">
                  <c:v>57825</c:v>
                </c:pt>
                <c:pt idx="2691">
                  <c:v>57832</c:v>
                </c:pt>
                <c:pt idx="2692">
                  <c:v>57839</c:v>
                </c:pt>
                <c:pt idx="2693">
                  <c:v>57846</c:v>
                </c:pt>
                <c:pt idx="2694">
                  <c:v>57853</c:v>
                </c:pt>
                <c:pt idx="2695">
                  <c:v>57860</c:v>
                </c:pt>
                <c:pt idx="2696">
                  <c:v>57867</c:v>
                </c:pt>
                <c:pt idx="2697">
                  <c:v>57874</c:v>
                </c:pt>
                <c:pt idx="2698">
                  <c:v>57881</c:v>
                </c:pt>
                <c:pt idx="2699">
                  <c:v>57888</c:v>
                </c:pt>
                <c:pt idx="2700">
                  <c:v>57895</c:v>
                </c:pt>
                <c:pt idx="2701">
                  <c:v>57902</c:v>
                </c:pt>
                <c:pt idx="2702">
                  <c:v>57909</c:v>
                </c:pt>
                <c:pt idx="2703">
                  <c:v>57916</c:v>
                </c:pt>
                <c:pt idx="2704">
                  <c:v>57923</c:v>
                </c:pt>
                <c:pt idx="2705">
                  <c:v>57930</c:v>
                </c:pt>
                <c:pt idx="2706">
                  <c:v>57937</c:v>
                </c:pt>
                <c:pt idx="2707">
                  <c:v>57944</c:v>
                </c:pt>
                <c:pt idx="2708">
                  <c:v>57951</c:v>
                </c:pt>
                <c:pt idx="2709">
                  <c:v>57958</c:v>
                </c:pt>
                <c:pt idx="2710">
                  <c:v>57965</c:v>
                </c:pt>
                <c:pt idx="2711">
                  <c:v>57972</c:v>
                </c:pt>
                <c:pt idx="2712">
                  <c:v>57979</c:v>
                </c:pt>
                <c:pt idx="2713">
                  <c:v>57986</c:v>
                </c:pt>
                <c:pt idx="2714">
                  <c:v>57993</c:v>
                </c:pt>
                <c:pt idx="2715">
                  <c:v>58000</c:v>
                </c:pt>
                <c:pt idx="2716">
                  <c:v>58007</c:v>
                </c:pt>
                <c:pt idx="2717">
                  <c:v>58014</c:v>
                </c:pt>
                <c:pt idx="2718">
                  <c:v>58021</c:v>
                </c:pt>
                <c:pt idx="2719">
                  <c:v>58028</c:v>
                </c:pt>
                <c:pt idx="2720">
                  <c:v>58035</c:v>
                </c:pt>
                <c:pt idx="2721">
                  <c:v>58042</c:v>
                </c:pt>
                <c:pt idx="2722">
                  <c:v>58049</c:v>
                </c:pt>
                <c:pt idx="2723">
                  <c:v>58056</c:v>
                </c:pt>
                <c:pt idx="2724">
                  <c:v>58063</c:v>
                </c:pt>
                <c:pt idx="2725">
                  <c:v>58071</c:v>
                </c:pt>
                <c:pt idx="2726">
                  <c:v>58078</c:v>
                </c:pt>
                <c:pt idx="2727">
                  <c:v>58085</c:v>
                </c:pt>
                <c:pt idx="2728">
                  <c:v>58092</c:v>
                </c:pt>
                <c:pt idx="2729">
                  <c:v>58099</c:v>
                </c:pt>
                <c:pt idx="2730">
                  <c:v>58106</c:v>
                </c:pt>
                <c:pt idx="2731">
                  <c:v>58113</c:v>
                </c:pt>
                <c:pt idx="2732">
                  <c:v>58120</c:v>
                </c:pt>
                <c:pt idx="2733">
                  <c:v>58127</c:v>
                </c:pt>
                <c:pt idx="2734">
                  <c:v>58134</c:v>
                </c:pt>
                <c:pt idx="2735">
                  <c:v>58141</c:v>
                </c:pt>
                <c:pt idx="2736">
                  <c:v>58148</c:v>
                </c:pt>
                <c:pt idx="2737">
                  <c:v>58155</c:v>
                </c:pt>
                <c:pt idx="2738">
                  <c:v>58166</c:v>
                </c:pt>
                <c:pt idx="2739">
                  <c:v>58173</c:v>
                </c:pt>
                <c:pt idx="2740">
                  <c:v>58180</c:v>
                </c:pt>
                <c:pt idx="2741">
                  <c:v>58187</c:v>
                </c:pt>
                <c:pt idx="2742">
                  <c:v>58194</c:v>
                </c:pt>
                <c:pt idx="2743">
                  <c:v>58201</c:v>
                </c:pt>
                <c:pt idx="2744">
                  <c:v>58208</c:v>
                </c:pt>
                <c:pt idx="2745">
                  <c:v>58215</c:v>
                </c:pt>
                <c:pt idx="2746">
                  <c:v>58222</c:v>
                </c:pt>
                <c:pt idx="2747">
                  <c:v>58229</c:v>
                </c:pt>
                <c:pt idx="2748">
                  <c:v>58236</c:v>
                </c:pt>
                <c:pt idx="2749">
                  <c:v>58243</c:v>
                </c:pt>
                <c:pt idx="2750">
                  <c:v>58250</c:v>
                </c:pt>
                <c:pt idx="2751">
                  <c:v>58257</c:v>
                </c:pt>
                <c:pt idx="2752">
                  <c:v>58264</c:v>
                </c:pt>
                <c:pt idx="2753">
                  <c:v>58271</c:v>
                </c:pt>
                <c:pt idx="2754">
                  <c:v>58278</c:v>
                </c:pt>
                <c:pt idx="2755">
                  <c:v>58285</c:v>
                </c:pt>
                <c:pt idx="2756">
                  <c:v>58292</c:v>
                </c:pt>
                <c:pt idx="2757">
                  <c:v>58299</c:v>
                </c:pt>
                <c:pt idx="2758">
                  <c:v>58306</c:v>
                </c:pt>
                <c:pt idx="2759">
                  <c:v>58313</c:v>
                </c:pt>
                <c:pt idx="2760">
                  <c:v>58320</c:v>
                </c:pt>
                <c:pt idx="2761">
                  <c:v>58327</c:v>
                </c:pt>
                <c:pt idx="2762">
                  <c:v>58334</c:v>
                </c:pt>
                <c:pt idx="2763">
                  <c:v>58341</c:v>
                </c:pt>
                <c:pt idx="2764">
                  <c:v>58348</c:v>
                </c:pt>
                <c:pt idx="2765">
                  <c:v>58355</c:v>
                </c:pt>
                <c:pt idx="2766">
                  <c:v>58362</c:v>
                </c:pt>
                <c:pt idx="2767">
                  <c:v>58369</c:v>
                </c:pt>
                <c:pt idx="2768">
                  <c:v>58376</c:v>
                </c:pt>
                <c:pt idx="2769">
                  <c:v>58383</c:v>
                </c:pt>
                <c:pt idx="2770">
                  <c:v>58390</c:v>
                </c:pt>
                <c:pt idx="2771">
                  <c:v>58397</c:v>
                </c:pt>
                <c:pt idx="2772">
                  <c:v>58404</c:v>
                </c:pt>
                <c:pt idx="2773">
                  <c:v>58411</c:v>
                </c:pt>
                <c:pt idx="2774">
                  <c:v>58418</c:v>
                </c:pt>
                <c:pt idx="2775">
                  <c:v>58425</c:v>
                </c:pt>
                <c:pt idx="2776">
                  <c:v>58432</c:v>
                </c:pt>
                <c:pt idx="2777">
                  <c:v>58439</c:v>
                </c:pt>
                <c:pt idx="2778">
                  <c:v>58446</c:v>
                </c:pt>
                <c:pt idx="2779">
                  <c:v>58453</c:v>
                </c:pt>
                <c:pt idx="2780">
                  <c:v>58460</c:v>
                </c:pt>
                <c:pt idx="2781">
                  <c:v>58467</c:v>
                </c:pt>
                <c:pt idx="2782">
                  <c:v>58474</c:v>
                </c:pt>
                <c:pt idx="2783">
                  <c:v>58481</c:v>
                </c:pt>
                <c:pt idx="2784">
                  <c:v>58488</c:v>
                </c:pt>
                <c:pt idx="2785">
                  <c:v>58495</c:v>
                </c:pt>
                <c:pt idx="2786">
                  <c:v>58502</c:v>
                </c:pt>
                <c:pt idx="2787">
                  <c:v>58509</c:v>
                </c:pt>
                <c:pt idx="2788">
                  <c:v>58516</c:v>
                </c:pt>
                <c:pt idx="2789">
                  <c:v>58523</c:v>
                </c:pt>
                <c:pt idx="2790">
                  <c:v>58530</c:v>
                </c:pt>
                <c:pt idx="2791">
                  <c:v>58537</c:v>
                </c:pt>
                <c:pt idx="2792">
                  <c:v>58544</c:v>
                </c:pt>
                <c:pt idx="2793">
                  <c:v>58551</c:v>
                </c:pt>
                <c:pt idx="2794">
                  <c:v>58558</c:v>
                </c:pt>
                <c:pt idx="2795">
                  <c:v>58565</c:v>
                </c:pt>
                <c:pt idx="2796">
                  <c:v>58572</c:v>
                </c:pt>
                <c:pt idx="2797">
                  <c:v>58579</c:v>
                </c:pt>
                <c:pt idx="2798">
                  <c:v>58586</c:v>
                </c:pt>
                <c:pt idx="2799">
                  <c:v>58593</c:v>
                </c:pt>
                <c:pt idx="2800">
                  <c:v>58600</c:v>
                </c:pt>
                <c:pt idx="2801">
                  <c:v>58607</c:v>
                </c:pt>
                <c:pt idx="2802">
                  <c:v>58614</c:v>
                </c:pt>
                <c:pt idx="2803">
                  <c:v>58621</c:v>
                </c:pt>
                <c:pt idx="2804">
                  <c:v>58628</c:v>
                </c:pt>
                <c:pt idx="2805">
                  <c:v>58635</c:v>
                </c:pt>
                <c:pt idx="2806">
                  <c:v>58642</c:v>
                </c:pt>
                <c:pt idx="2807">
                  <c:v>58649</c:v>
                </c:pt>
                <c:pt idx="2808">
                  <c:v>58656</c:v>
                </c:pt>
                <c:pt idx="2809">
                  <c:v>58663</c:v>
                </c:pt>
                <c:pt idx="2810">
                  <c:v>58670</c:v>
                </c:pt>
                <c:pt idx="2811">
                  <c:v>58677</c:v>
                </c:pt>
                <c:pt idx="2812">
                  <c:v>58684</c:v>
                </c:pt>
                <c:pt idx="2813">
                  <c:v>58691</c:v>
                </c:pt>
                <c:pt idx="2814">
                  <c:v>58698</c:v>
                </c:pt>
                <c:pt idx="2815">
                  <c:v>58705</c:v>
                </c:pt>
                <c:pt idx="2816">
                  <c:v>58712</c:v>
                </c:pt>
                <c:pt idx="2817">
                  <c:v>58719</c:v>
                </c:pt>
                <c:pt idx="2818">
                  <c:v>58726</c:v>
                </c:pt>
                <c:pt idx="2819">
                  <c:v>58733</c:v>
                </c:pt>
                <c:pt idx="2820">
                  <c:v>58740</c:v>
                </c:pt>
                <c:pt idx="2821">
                  <c:v>58747</c:v>
                </c:pt>
                <c:pt idx="2822">
                  <c:v>58754</c:v>
                </c:pt>
                <c:pt idx="2823">
                  <c:v>58761</c:v>
                </c:pt>
                <c:pt idx="2824">
                  <c:v>58768</c:v>
                </c:pt>
                <c:pt idx="2825">
                  <c:v>58775</c:v>
                </c:pt>
                <c:pt idx="2826">
                  <c:v>58782</c:v>
                </c:pt>
                <c:pt idx="2827">
                  <c:v>58789</c:v>
                </c:pt>
                <c:pt idx="2828">
                  <c:v>58796</c:v>
                </c:pt>
                <c:pt idx="2829">
                  <c:v>58804</c:v>
                </c:pt>
                <c:pt idx="2830">
                  <c:v>58811</c:v>
                </c:pt>
                <c:pt idx="2831">
                  <c:v>58818</c:v>
                </c:pt>
                <c:pt idx="2832">
                  <c:v>58825</c:v>
                </c:pt>
                <c:pt idx="2833">
                  <c:v>58832</c:v>
                </c:pt>
                <c:pt idx="2834">
                  <c:v>58839</c:v>
                </c:pt>
                <c:pt idx="2835">
                  <c:v>58846</c:v>
                </c:pt>
                <c:pt idx="2836">
                  <c:v>58853</c:v>
                </c:pt>
                <c:pt idx="2837">
                  <c:v>58860</c:v>
                </c:pt>
                <c:pt idx="2838">
                  <c:v>58867</c:v>
                </c:pt>
                <c:pt idx="2839">
                  <c:v>58874</c:v>
                </c:pt>
                <c:pt idx="2840">
                  <c:v>58881</c:v>
                </c:pt>
                <c:pt idx="2841">
                  <c:v>58888</c:v>
                </c:pt>
                <c:pt idx="2842">
                  <c:v>58895</c:v>
                </c:pt>
                <c:pt idx="2843">
                  <c:v>58902</c:v>
                </c:pt>
                <c:pt idx="2844">
                  <c:v>58909</c:v>
                </c:pt>
                <c:pt idx="2845">
                  <c:v>58916</c:v>
                </c:pt>
                <c:pt idx="2846">
                  <c:v>58923</c:v>
                </c:pt>
                <c:pt idx="2847">
                  <c:v>58930</c:v>
                </c:pt>
                <c:pt idx="2848">
                  <c:v>58937</c:v>
                </c:pt>
                <c:pt idx="2849">
                  <c:v>58944</c:v>
                </c:pt>
                <c:pt idx="2850">
                  <c:v>58951</c:v>
                </c:pt>
                <c:pt idx="2851">
                  <c:v>58958</c:v>
                </c:pt>
                <c:pt idx="2852">
                  <c:v>58965</c:v>
                </c:pt>
                <c:pt idx="2853">
                  <c:v>58972</c:v>
                </c:pt>
                <c:pt idx="2854">
                  <c:v>58979</c:v>
                </c:pt>
                <c:pt idx="2855">
                  <c:v>58986</c:v>
                </c:pt>
                <c:pt idx="2856">
                  <c:v>58993</c:v>
                </c:pt>
                <c:pt idx="2857">
                  <c:v>59000</c:v>
                </c:pt>
                <c:pt idx="2858">
                  <c:v>59007</c:v>
                </c:pt>
                <c:pt idx="2859">
                  <c:v>59014</c:v>
                </c:pt>
                <c:pt idx="2860">
                  <c:v>59021</c:v>
                </c:pt>
                <c:pt idx="2861">
                  <c:v>59028</c:v>
                </c:pt>
                <c:pt idx="2862">
                  <c:v>59035</c:v>
                </c:pt>
                <c:pt idx="2863">
                  <c:v>59042</c:v>
                </c:pt>
                <c:pt idx="2864">
                  <c:v>59049</c:v>
                </c:pt>
                <c:pt idx="2865">
                  <c:v>59056</c:v>
                </c:pt>
                <c:pt idx="2866">
                  <c:v>59063</c:v>
                </c:pt>
                <c:pt idx="2867">
                  <c:v>59070</c:v>
                </c:pt>
                <c:pt idx="2868">
                  <c:v>59077</c:v>
                </c:pt>
                <c:pt idx="2869">
                  <c:v>59084</c:v>
                </c:pt>
                <c:pt idx="2870">
                  <c:v>59091</c:v>
                </c:pt>
                <c:pt idx="2871">
                  <c:v>59098</c:v>
                </c:pt>
                <c:pt idx="2872">
                  <c:v>59105</c:v>
                </c:pt>
                <c:pt idx="2873">
                  <c:v>59112</c:v>
                </c:pt>
                <c:pt idx="2874">
                  <c:v>59119</c:v>
                </c:pt>
                <c:pt idx="2875">
                  <c:v>59126</c:v>
                </c:pt>
                <c:pt idx="2876">
                  <c:v>59133</c:v>
                </c:pt>
                <c:pt idx="2877">
                  <c:v>59140</c:v>
                </c:pt>
                <c:pt idx="2878">
                  <c:v>59147</c:v>
                </c:pt>
                <c:pt idx="2879">
                  <c:v>59154</c:v>
                </c:pt>
                <c:pt idx="2880">
                  <c:v>59161</c:v>
                </c:pt>
                <c:pt idx="2881">
                  <c:v>59168</c:v>
                </c:pt>
                <c:pt idx="2882">
                  <c:v>59175</c:v>
                </c:pt>
                <c:pt idx="2883">
                  <c:v>59182</c:v>
                </c:pt>
                <c:pt idx="2884">
                  <c:v>59189</c:v>
                </c:pt>
                <c:pt idx="2885">
                  <c:v>59196</c:v>
                </c:pt>
                <c:pt idx="2886">
                  <c:v>59203</c:v>
                </c:pt>
                <c:pt idx="2887">
                  <c:v>59210</c:v>
                </c:pt>
                <c:pt idx="2888">
                  <c:v>59217</c:v>
                </c:pt>
                <c:pt idx="2889">
                  <c:v>59224</c:v>
                </c:pt>
                <c:pt idx="2890">
                  <c:v>59231</c:v>
                </c:pt>
                <c:pt idx="2891">
                  <c:v>59238</c:v>
                </c:pt>
                <c:pt idx="2892">
                  <c:v>59245</c:v>
                </c:pt>
                <c:pt idx="2893">
                  <c:v>59252</c:v>
                </c:pt>
                <c:pt idx="2894">
                  <c:v>59259</c:v>
                </c:pt>
                <c:pt idx="2895">
                  <c:v>59266</c:v>
                </c:pt>
                <c:pt idx="2896">
                  <c:v>59273</c:v>
                </c:pt>
                <c:pt idx="2897">
                  <c:v>59280</c:v>
                </c:pt>
                <c:pt idx="2898">
                  <c:v>59287</c:v>
                </c:pt>
                <c:pt idx="2899">
                  <c:v>59294</c:v>
                </c:pt>
                <c:pt idx="2900">
                  <c:v>59301</c:v>
                </c:pt>
                <c:pt idx="2901">
                  <c:v>59308</c:v>
                </c:pt>
                <c:pt idx="2902">
                  <c:v>59315</c:v>
                </c:pt>
                <c:pt idx="2903">
                  <c:v>59322</c:v>
                </c:pt>
                <c:pt idx="2904">
                  <c:v>59329</c:v>
                </c:pt>
                <c:pt idx="2905">
                  <c:v>59336</c:v>
                </c:pt>
                <c:pt idx="2906">
                  <c:v>59343</c:v>
                </c:pt>
                <c:pt idx="2907">
                  <c:v>59350</c:v>
                </c:pt>
                <c:pt idx="2908">
                  <c:v>59357</c:v>
                </c:pt>
                <c:pt idx="2909">
                  <c:v>59364</c:v>
                </c:pt>
                <c:pt idx="2910">
                  <c:v>59371</c:v>
                </c:pt>
                <c:pt idx="2911">
                  <c:v>59378</c:v>
                </c:pt>
                <c:pt idx="2912">
                  <c:v>59385</c:v>
                </c:pt>
                <c:pt idx="2913">
                  <c:v>59392</c:v>
                </c:pt>
                <c:pt idx="2914">
                  <c:v>59399</c:v>
                </c:pt>
                <c:pt idx="2915">
                  <c:v>59406</c:v>
                </c:pt>
                <c:pt idx="2916">
                  <c:v>59413</c:v>
                </c:pt>
                <c:pt idx="2917">
                  <c:v>59420</c:v>
                </c:pt>
                <c:pt idx="2918">
                  <c:v>59427</c:v>
                </c:pt>
                <c:pt idx="2919">
                  <c:v>59434</c:v>
                </c:pt>
                <c:pt idx="2920">
                  <c:v>59441</c:v>
                </c:pt>
                <c:pt idx="2921">
                  <c:v>59448</c:v>
                </c:pt>
                <c:pt idx="2922">
                  <c:v>59455</c:v>
                </c:pt>
                <c:pt idx="2923">
                  <c:v>59462</c:v>
                </c:pt>
                <c:pt idx="2924">
                  <c:v>59469</c:v>
                </c:pt>
                <c:pt idx="2925">
                  <c:v>59476</c:v>
                </c:pt>
                <c:pt idx="2926">
                  <c:v>59483</c:v>
                </c:pt>
                <c:pt idx="2927">
                  <c:v>59490</c:v>
                </c:pt>
                <c:pt idx="2928">
                  <c:v>59497</c:v>
                </c:pt>
                <c:pt idx="2929">
                  <c:v>59504</c:v>
                </c:pt>
                <c:pt idx="2930">
                  <c:v>59511</c:v>
                </c:pt>
                <c:pt idx="2931">
                  <c:v>59518</c:v>
                </c:pt>
                <c:pt idx="2932">
                  <c:v>59525</c:v>
                </c:pt>
                <c:pt idx="2933">
                  <c:v>59532</c:v>
                </c:pt>
                <c:pt idx="2934">
                  <c:v>59539</c:v>
                </c:pt>
                <c:pt idx="2935">
                  <c:v>59546</c:v>
                </c:pt>
                <c:pt idx="2936">
                  <c:v>59553</c:v>
                </c:pt>
                <c:pt idx="2937">
                  <c:v>59560</c:v>
                </c:pt>
                <c:pt idx="2938">
                  <c:v>59567</c:v>
                </c:pt>
                <c:pt idx="2939">
                  <c:v>59574</c:v>
                </c:pt>
                <c:pt idx="2940">
                  <c:v>59581</c:v>
                </c:pt>
                <c:pt idx="2941">
                  <c:v>59588</c:v>
                </c:pt>
                <c:pt idx="2942">
                  <c:v>59595</c:v>
                </c:pt>
                <c:pt idx="2943">
                  <c:v>59602</c:v>
                </c:pt>
                <c:pt idx="2944">
                  <c:v>59609</c:v>
                </c:pt>
                <c:pt idx="2945">
                  <c:v>59616</c:v>
                </c:pt>
                <c:pt idx="2946">
                  <c:v>59623</c:v>
                </c:pt>
                <c:pt idx="2947">
                  <c:v>59630</c:v>
                </c:pt>
                <c:pt idx="2948">
                  <c:v>59637</c:v>
                </c:pt>
                <c:pt idx="2949">
                  <c:v>59644</c:v>
                </c:pt>
                <c:pt idx="2950">
                  <c:v>59651</c:v>
                </c:pt>
                <c:pt idx="2951">
                  <c:v>59658</c:v>
                </c:pt>
                <c:pt idx="2952">
                  <c:v>59665</c:v>
                </c:pt>
                <c:pt idx="2953">
                  <c:v>59672</c:v>
                </c:pt>
                <c:pt idx="2954">
                  <c:v>59679</c:v>
                </c:pt>
                <c:pt idx="2955">
                  <c:v>59686</c:v>
                </c:pt>
                <c:pt idx="2956">
                  <c:v>59693</c:v>
                </c:pt>
                <c:pt idx="2957">
                  <c:v>59700</c:v>
                </c:pt>
                <c:pt idx="2958">
                  <c:v>59707</c:v>
                </c:pt>
                <c:pt idx="2959">
                  <c:v>59714</c:v>
                </c:pt>
                <c:pt idx="2960">
                  <c:v>59721</c:v>
                </c:pt>
                <c:pt idx="2961">
                  <c:v>59728</c:v>
                </c:pt>
                <c:pt idx="2962">
                  <c:v>59735</c:v>
                </c:pt>
                <c:pt idx="2963">
                  <c:v>59742</c:v>
                </c:pt>
                <c:pt idx="2964">
                  <c:v>59749</c:v>
                </c:pt>
                <c:pt idx="2965">
                  <c:v>59756</c:v>
                </c:pt>
                <c:pt idx="2966">
                  <c:v>59763</c:v>
                </c:pt>
                <c:pt idx="2967">
                  <c:v>59770</c:v>
                </c:pt>
                <c:pt idx="2968">
                  <c:v>59777</c:v>
                </c:pt>
                <c:pt idx="2969">
                  <c:v>59784</c:v>
                </c:pt>
                <c:pt idx="2970">
                  <c:v>59791</c:v>
                </c:pt>
                <c:pt idx="2971">
                  <c:v>59798</c:v>
                </c:pt>
                <c:pt idx="2972">
                  <c:v>59805</c:v>
                </c:pt>
                <c:pt idx="2973">
                  <c:v>59812</c:v>
                </c:pt>
                <c:pt idx="2974">
                  <c:v>59819</c:v>
                </c:pt>
                <c:pt idx="2975">
                  <c:v>59826</c:v>
                </c:pt>
                <c:pt idx="2976">
                  <c:v>59833</c:v>
                </c:pt>
                <c:pt idx="2977">
                  <c:v>59840</c:v>
                </c:pt>
                <c:pt idx="2978">
                  <c:v>59847</c:v>
                </c:pt>
                <c:pt idx="2979">
                  <c:v>59854</c:v>
                </c:pt>
                <c:pt idx="2980">
                  <c:v>59861</c:v>
                </c:pt>
                <c:pt idx="2981">
                  <c:v>59868</c:v>
                </c:pt>
                <c:pt idx="2982">
                  <c:v>59875</c:v>
                </c:pt>
                <c:pt idx="2983">
                  <c:v>59882</c:v>
                </c:pt>
                <c:pt idx="2984">
                  <c:v>59889</c:v>
                </c:pt>
                <c:pt idx="2985">
                  <c:v>59897</c:v>
                </c:pt>
                <c:pt idx="2986">
                  <c:v>59904</c:v>
                </c:pt>
                <c:pt idx="2987">
                  <c:v>59911</c:v>
                </c:pt>
                <c:pt idx="2988">
                  <c:v>59918</c:v>
                </c:pt>
                <c:pt idx="2989">
                  <c:v>59925</c:v>
                </c:pt>
                <c:pt idx="2990">
                  <c:v>59932</c:v>
                </c:pt>
                <c:pt idx="2991">
                  <c:v>59939</c:v>
                </c:pt>
                <c:pt idx="2992">
                  <c:v>59946</c:v>
                </c:pt>
                <c:pt idx="2993">
                  <c:v>59953</c:v>
                </c:pt>
                <c:pt idx="2994">
                  <c:v>59960</c:v>
                </c:pt>
                <c:pt idx="2995">
                  <c:v>59967</c:v>
                </c:pt>
                <c:pt idx="2996">
                  <c:v>59974</c:v>
                </c:pt>
                <c:pt idx="2997">
                  <c:v>59981</c:v>
                </c:pt>
                <c:pt idx="2998">
                  <c:v>59988</c:v>
                </c:pt>
                <c:pt idx="2999">
                  <c:v>59995</c:v>
                </c:pt>
                <c:pt idx="3000">
                  <c:v>60002</c:v>
                </c:pt>
                <c:pt idx="3001">
                  <c:v>60009</c:v>
                </c:pt>
                <c:pt idx="3002">
                  <c:v>60016</c:v>
                </c:pt>
                <c:pt idx="3003">
                  <c:v>60023</c:v>
                </c:pt>
                <c:pt idx="3004">
                  <c:v>60030</c:v>
                </c:pt>
                <c:pt idx="3005">
                  <c:v>60037</c:v>
                </c:pt>
                <c:pt idx="3006">
                  <c:v>60044</c:v>
                </c:pt>
                <c:pt idx="3007">
                  <c:v>60051</c:v>
                </c:pt>
                <c:pt idx="3008">
                  <c:v>60058</c:v>
                </c:pt>
                <c:pt idx="3009">
                  <c:v>60065</c:v>
                </c:pt>
                <c:pt idx="3010">
                  <c:v>60072</c:v>
                </c:pt>
                <c:pt idx="3011">
                  <c:v>60079</c:v>
                </c:pt>
                <c:pt idx="3012">
                  <c:v>60086</c:v>
                </c:pt>
                <c:pt idx="3013">
                  <c:v>60093</c:v>
                </c:pt>
                <c:pt idx="3014">
                  <c:v>60100</c:v>
                </c:pt>
                <c:pt idx="3015">
                  <c:v>60107</c:v>
                </c:pt>
                <c:pt idx="3016">
                  <c:v>60114</c:v>
                </c:pt>
                <c:pt idx="3017">
                  <c:v>60121</c:v>
                </c:pt>
                <c:pt idx="3018">
                  <c:v>60128</c:v>
                </c:pt>
                <c:pt idx="3019">
                  <c:v>60135</c:v>
                </c:pt>
                <c:pt idx="3020">
                  <c:v>60142</c:v>
                </c:pt>
                <c:pt idx="3021">
                  <c:v>60149</c:v>
                </c:pt>
                <c:pt idx="3022">
                  <c:v>60156</c:v>
                </c:pt>
                <c:pt idx="3023">
                  <c:v>60163</c:v>
                </c:pt>
                <c:pt idx="3024">
                  <c:v>60170</c:v>
                </c:pt>
                <c:pt idx="3025">
                  <c:v>60177</c:v>
                </c:pt>
                <c:pt idx="3026">
                  <c:v>60184</c:v>
                </c:pt>
                <c:pt idx="3027">
                  <c:v>60191</c:v>
                </c:pt>
                <c:pt idx="3028">
                  <c:v>60198</c:v>
                </c:pt>
                <c:pt idx="3029">
                  <c:v>60205</c:v>
                </c:pt>
                <c:pt idx="3030">
                  <c:v>60212</c:v>
                </c:pt>
                <c:pt idx="3031">
                  <c:v>60219</c:v>
                </c:pt>
                <c:pt idx="3032">
                  <c:v>60226</c:v>
                </c:pt>
                <c:pt idx="3033">
                  <c:v>60233</c:v>
                </c:pt>
                <c:pt idx="3034">
                  <c:v>60240</c:v>
                </c:pt>
                <c:pt idx="3035">
                  <c:v>60247</c:v>
                </c:pt>
                <c:pt idx="3036">
                  <c:v>60254</c:v>
                </c:pt>
                <c:pt idx="3037">
                  <c:v>60265</c:v>
                </c:pt>
                <c:pt idx="3038">
                  <c:v>60272</c:v>
                </c:pt>
                <c:pt idx="3039">
                  <c:v>60279</c:v>
                </c:pt>
                <c:pt idx="3040">
                  <c:v>60286</c:v>
                </c:pt>
                <c:pt idx="3041">
                  <c:v>60293</c:v>
                </c:pt>
                <c:pt idx="3042">
                  <c:v>60300</c:v>
                </c:pt>
                <c:pt idx="3043">
                  <c:v>60307</c:v>
                </c:pt>
                <c:pt idx="3044">
                  <c:v>60314</c:v>
                </c:pt>
                <c:pt idx="3045">
                  <c:v>60321</c:v>
                </c:pt>
                <c:pt idx="3046">
                  <c:v>60328</c:v>
                </c:pt>
                <c:pt idx="3047">
                  <c:v>60335</c:v>
                </c:pt>
                <c:pt idx="3048">
                  <c:v>60342</c:v>
                </c:pt>
                <c:pt idx="3049">
                  <c:v>60349</c:v>
                </c:pt>
                <c:pt idx="3050">
                  <c:v>60357</c:v>
                </c:pt>
                <c:pt idx="3051">
                  <c:v>60364</c:v>
                </c:pt>
                <c:pt idx="3052">
                  <c:v>60371</c:v>
                </c:pt>
                <c:pt idx="3053">
                  <c:v>60378</c:v>
                </c:pt>
                <c:pt idx="3054">
                  <c:v>60385</c:v>
                </c:pt>
                <c:pt idx="3055">
                  <c:v>60392</c:v>
                </c:pt>
                <c:pt idx="3056">
                  <c:v>60399</c:v>
                </c:pt>
                <c:pt idx="3057">
                  <c:v>60406</c:v>
                </c:pt>
                <c:pt idx="3058">
                  <c:v>60413</c:v>
                </c:pt>
                <c:pt idx="3059">
                  <c:v>60420</c:v>
                </c:pt>
                <c:pt idx="3060">
                  <c:v>60427</c:v>
                </c:pt>
                <c:pt idx="3061">
                  <c:v>60434</c:v>
                </c:pt>
                <c:pt idx="3062">
                  <c:v>60441</c:v>
                </c:pt>
                <c:pt idx="3063">
                  <c:v>60448</c:v>
                </c:pt>
                <c:pt idx="3064">
                  <c:v>60455</c:v>
                </c:pt>
                <c:pt idx="3065">
                  <c:v>60462</c:v>
                </c:pt>
                <c:pt idx="3066">
                  <c:v>60469</c:v>
                </c:pt>
                <c:pt idx="3067">
                  <c:v>60476</c:v>
                </c:pt>
                <c:pt idx="3068">
                  <c:v>60483</c:v>
                </c:pt>
                <c:pt idx="3069">
                  <c:v>60490</c:v>
                </c:pt>
                <c:pt idx="3070">
                  <c:v>60497</c:v>
                </c:pt>
                <c:pt idx="3071">
                  <c:v>60504</c:v>
                </c:pt>
                <c:pt idx="3072">
                  <c:v>60511</c:v>
                </c:pt>
                <c:pt idx="3073">
                  <c:v>60518</c:v>
                </c:pt>
                <c:pt idx="3074">
                  <c:v>60525</c:v>
                </c:pt>
                <c:pt idx="3075">
                  <c:v>60532</c:v>
                </c:pt>
                <c:pt idx="3076">
                  <c:v>60539</c:v>
                </c:pt>
                <c:pt idx="3077">
                  <c:v>60546</c:v>
                </c:pt>
                <c:pt idx="3078">
                  <c:v>60553</c:v>
                </c:pt>
                <c:pt idx="3079">
                  <c:v>60560</c:v>
                </c:pt>
                <c:pt idx="3080">
                  <c:v>60567</c:v>
                </c:pt>
                <c:pt idx="3081">
                  <c:v>60574</c:v>
                </c:pt>
                <c:pt idx="3082">
                  <c:v>60581</c:v>
                </c:pt>
                <c:pt idx="3083">
                  <c:v>60588</c:v>
                </c:pt>
                <c:pt idx="3084">
                  <c:v>60595</c:v>
                </c:pt>
                <c:pt idx="3085">
                  <c:v>60602</c:v>
                </c:pt>
                <c:pt idx="3086">
                  <c:v>60609</c:v>
                </c:pt>
                <c:pt idx="3087">
                  <c:v>60616</c:v>
                </c:pt>
                <c:pt idx="3088">
                  <c:v>60623</c:v>
                </c:pt>
                <c:pt idx="3089">
                  <c:v>60630</c:v>
                </c:pt>
                <c:pt idx="3090">
                  <c:v>60637</c:v>
                </c:pt>
                <c:pt idx="3091">
                  <c:v>60644</c:v>
                </c:pt>
                <c:pt idx="3092">
                  <c:v>60651</c:v>
                </c:pt>
                <c:pt idx="3093">
                  <c:v>60658</c:v>
                </c:pt>
                <c:pt idx="3094">
                  <c:v>60665</c:v>
                </c:pt>
                <c:pt idx="3095">
                  <c:v>60672</c:v>
                </c:pt>
                <c:pt idx="3096">
                  <c:v>60679</c:v>
                </c:pt>
                <c:pt idx="3097">
                  <c:v>60686</c:v>
                </c:pt>
                <c:pt idx="3098">
                  <c:v>60693</c:v>
                </c:pt>
                <c:pt idx="3099">
                  <c:v>60700</c:v>
                </c:pt>
                <c:pt idx="3100">
                  <c:v>60707</c:v>
                </c:pt>
                <c:pt idx="3101">
                  <c:v>60714</c:v>
                </c:pt>
                <c:pt idx="3102">
                  <c:v>60721</c:v>
                </c:pt>
                <c:pt idx="3103">
                  <c:v>60728</c:v>
                </c:pt>
                <c:pt idx="3104">
                  <c:v>60735</c:v>
                </c:pt>
                <c:pt idx="3105">
                  <c:v>60742</c:v>
                </c:pt>
                <c:pt idx="3106">
                  <c:v>60749</c:v>
                </c:pt>
                <c:pt idx="3107">
                  <c:v>60756</c:v>
                </c:pt>
                <c:pt idx="3108">
                  <c:v>60763</c:v>
                </c:pt>
                <c:pt idx="3109">
                  <c:v>60770</c:v>
                </c:pt>
                <c:pt idx="3110">
                  <c:v>60777</c:v>
                </c:pt>
                <c:pt idx="3111">
                  <c:v>60784</c:v>
                </c:pt>
                <c:pt idx="3112">
                  <c:v>60791</c:v>
                </c:pt>
                <c:pt idx="3113">
                  <c:v>60798</c:v>
                </c:pt>
                <c:pt idx="3114">
                  <c:v>60805</c:v>
                </c:pt>
                <c:pt idx="3115">
                  <c:v>60812</c:v>
                </c:pt>
                <c:pt idx="3116">
                  <c:v>60819</c:v>
                </c:pt>
                <c:pt idx="3117">
                  <c:v>60826</c:v>
                </c:pt>
                <c:pt idx="3118">
                  <c:v>60833</c:v>
                </c:pt>
                <c:pt idx="3119">
                  <c:v>60840</c:v>
                </c:pt>
                <c:pt idx="3120">
                  <c:v>60847</c:v>
                </c:pt>
                <c:pt idx="3121">
                  <c:v>60854</c:v>
                </c:pt>
                <c:pt idx="3122">
                  <c:v>60861</c:v>
                </c:pt>
                <c:pt idx="3123">
                  <c:v>60868</c:v>
                </c:pt>
                <c:pt idx="3124">
                  <c:v>60875</c:v>
                </c:pt>
                <c:pt idx="3125">
                  <c:v>60882</c:v>
                </c:pt>
                <c:pt idx="3126">
                  <c:v>60889</c:v>
                </c:pt>
                <c:pt idx="3127">
                  <c:v>60896</c:v>
                </c:pt>
                <c:pt idx="3128">
                  <c:v>60903</c:v>
                </c:pt>
                <c:pt idx="3129">
                  <c:v>60910</c:v>
                </c:pt>
                <c:pt idx="3130">
                  <c:v>60917</c:v>
                </c:pt>
                <c:pt idx="3131">
                  <c:v>60924</c:v>
                </c:pt>
                <c:pt idx="3132">
                  <c:v>60931</c:v>
                </c:pt>
                <c:pt idx="3133">
                  <c:v>60938</c:v>
                </c:pt>
                <c:pt idx="3134">
                  <c:v>60945</c:v>
                </c:pt>
                <c:pt idx="3135">
                  <c:v>60952</c:v>
                </c:pt>
                <c:pt idx="3136">
                  <c:v>60959</c:v>
                </c:pt>
                <c:pt idx="3137">
                  <c:v>60966</c:v>
                </c:pt>
                <c:pt idx="3138">
                  <c:v>60973</c:v>
                </c:pt>
                <c:pt idx="3139">
                  <c:v>60980</c:v>
                </c:pt>
                <c:pt idx="3140">
                  <c:v>60987</c:v>
                </c:pt>
                <c:pt idx="3141">
                  <c:v>60995</c:v>
                </c:pt>
                <c:pt idx="3142">
                  <c:v>61002</c:v>
                </c:pt>
                <c:pt idx="3143">
                  <c:v>61009</c:v>
                </c:pt>
                <c:pt idx="3144">
                  <c:v>61016</c:v>
                </c:pt>
                <c:pt idx="3145">
                  <c:v>61023</c:v>
                </c:pt>
                <c:pt idx="3146">
                  <c:v>61030</c:v>
                </c:pt>
                <c:pt idx="3147">
                  <c:v>61037</c:v>
                </c:pt>
                <c:pt idx="3148">
                  <c:v>61044</c:v>
                </c:pt>
                <c:pt idx="3149">
                  <c:v>61051</c:v>
                </c:pt>
                <c:pt idx="3150">
                  <c:v>61058</c:v>
                </c:pt>
                <c:pt idx="3151">
                  <c:v>61065</c:v>
                </c:pt>
                <c:pt idx="3152">
                  <c:v>61072</c:v>
                </c:pt>
                <c:pt idx="3153">
                  <c:v>61079</c:v>
                </c:pt>
                <c:pt idx="3154">
                  <c:v>61086</c:v>
                </c:pt>
                <c:pt idx="3155">
                  <c:v>61093</c:v>
                </c:pt>
                <c:pt idx="3156">
                  <c:v>61100</c:v>
                </c:pt>
                <c:pt idx="3157">
                  <c:v>61107</c:v>
                </c:pt>
                <c:pt idx="3158">
                  <c:v>61114</c:v>
                </c:pt>
                <c:pt idx="3159">
                  <c:v>61121</c:v>
                </c:pt>
                <c:pt idx="3160">
                  <c:v>61128</c:v>
                </c:pt>
                <c:pt idx="3161">
                  <c:v>61135</c:v>
                </c:pt>
                <c:pt idx="3162">
                  <c:v>61142</c:v>
                </c:pt>
                <c:pt idx="3163">
                  <c:v>61149</c:v>
                </c:pt>
                <c:pt idx="3164">
                  <c:v>61156</c:v>
                </c:pt>
                <c:pt idx="3165">
                  <c:v>61163</c:v>
                </c:pt>
                <c:pt idx="3166">
                  <c:v>61170</c:v>
                </c:pt>
                <c:pt idx="3167">
                  <c:v>61177</c:v>
                </c:pt>
                <c:pt idx="3168">
                  <c:v>61184</c:v>
                </c:pt>
                <c:pt idx="3169">
                  <c:v>61191</c:v>
                </c:pt>
                <c:pt idx="3170">
                  <c:v>61198</c:v>
                </c:pt>
                <c:pt idx="3171">
                  <c:v>61205</c:v>
                </c:pt>
                <c:pt idx="3172">
                  <c:v>61212</c:v>
                </c:pt>
                <c:pt idx="3173">
                  <c:v>61219</c:v>
                </c:pt>
                <c:pt idx="3174">
                  <c:v>61226</c:v>
                </c:pt>
                <c:pt idx="3175">
                  <c:v>61233</c:v>
                </c:pt>
                <c:pt idx="3176">
                  <c:v>61240</c:v>
                </c:pt>
                <c:pt idx="3177">
                  <c:v>61247</c:v>
                </c:pt>
                <c:pt idx="3178">
                  <c:v>61254</c:v>
                </c:pt>
                <c:pt idx="3179">
                  <c:v>61261</c:v>
                </c:pt>
                <c:pt idx="3180">
                  <c:v>61268</c:v>
                </c:pt>
                <c:pt idx="3181">
                  <c:v>61275</c:v>
                </c:pt>
                <c:pt idx="3182">
                  <c:v>61282</c:v>
                </c:pt>
                <c:pt idx="3183">
                  <c:v>61289</c:v>
                </c:pt>
                <c:pt idx="3184">
                  <c:v>61296</c:v>
                </c:pt>
                <c:pt idx="3185">
                  <c:v>61303</c:v>
                </c:pt>
                <c:pt idx="3186">
                  <c:v>61310</c:v>
                </c:pt>
                <c:pt idx="3187">
                  <c:v>61317</c:v>
                </c:pt>
                <c:pt idx="3188">
                  <c:v>61324</c:v>
                </c:pt>
                <c:pt idx="3189">
                  <c:v>61331</c:v>
                </c:pt>
                <c:pt idx="3190">
                  <c:v>61338</c:v>
                </c:pt>
                <c:pt idx="3191">
                  <c:v>61345</c:v>
                </c:pt>
                <c:pt idx="3192">
                  <c:v>61352</c:v>
                </c:pt>
                <c:pt idx="3193">
                  <c:v>61359</c:v>
                </c:pt>
                <c:pt idx="3194">
                  <c:v>61366</c:v>
                </c:pt>
                <c:pt idx="3195">
                  <c:v>61373</c:v>
                </c:pt>
                <c:pt idx="3196">
                  <c:v>61380</c:v>
                </c:pt>
                <c:pt idx="3197">
                  <c:v>61387</c:v>
                </c:pt>
                <c:pt idx="3198">
                  <c:v>61394</c:v>
                </c:pt>
                <c:pt idx="3199">
                  <c:v>61401</c:v>
                </c:pt>
                <c:pt idx="3200">
                  <c:v>61408</c:v>
                </c:pt>
                <c:pt idx="3201">
                  <c:v>61415</c:v>
                </c:pt>
                <c:pt idx="3202">
                  <c:v>61422</c:v>
                </c:pt>
                <c:pt idx="3203">
                  <c:v>61429</c:v>
                </c:pt>
                <c:pt idx="3204">
                  <c:v>61436</c:v>
                </c:pt>
                <c:pt idx="3205">
                  <c:v>61443</c:v>
                </c:pt>
                <c:pt idx="3206">
                  <c:v>61450</c:v>
                </c:pt>
                <c:pt idx="3207">
                  <c:v>61457</c:v>
                </c:pt>
                <c:pt idx="3208">
                  <c:v>61464</c:v>
                </c:pt>
                <c:pt idx="3209">
                  <c:v>61471</c:v>
                </c:pt>
                <c:pt idx="3210">
                  <c:v>61478</c:v>
                </c:pt>
                <c:pt idx="3211">
                  <c:v>61485</c:v>
                </c:pt>
                <c:pt idx="3212">
                  <c:v>61492</c:v>
                </c:pt>
                <c:pt idx="3213">
                  <c:v>61499</c:v>
                </c:pt>
                <c:pt idx="3214">
                  <c:v>61506</c:v>
                </c:pt>
                <c:pt idx="3215">
                  <c:v>61513</c:v>
                </c:pt>
                <c:pt idx="3216">
                  <c:v>61520</c:v>
                </c:pt>
                <c:pt idx="3217">
                  <c:v>61527</c:v>
                </c:pt>
                <c:pt idx="3218">
                  <c:v>61534</c:v>
                </c:pt>
                <c:pt idx="3219">
                  <c:v>61541</c:v>
                </c:pt>
                <c:pt idx="3220">
                  <c:v>61548</c:v>
                </c:pt>
                <c:pt idx="3221">
                  <c:v>61555</c:v>
                </c:pt>
                <c:pt idx="3222">
                  <c:v>61562</c:v>
                </c:pt>
                <c:pt idx="3223">
                  <c:v>61569</c:v>
                </c:pt>
                <c:pt idx="3224">
                  <c:v>61576</c:v>
                </c:pt>
                <c:pt idx="3225">
                  <c:v>61583</c:v>
                </c:pt>
                <c:pt idx="3226">
                  <c:v>61590</c:v>
                </c:pt>
                <c:pt idx="3227">
                  <c:v>61597</c:v>
                </c:pt>
                <c:pt idx="3228">
                  <c:v>61604</c:v>
                </c:pt>
                <c:pt idx="3229">
                  <c:v>61611</c:v>
                </c:pt>
                <c:pt idx="3230">
                  <c:v>61618</c:v>
                </c:pt>
                <c:pt idx="3231">
                  <c:v>61625</c:v>
                </c:pt>
                <c:pt idx="3232">
                  <c:v>61632</c:v>
                </c:pt>
                <c:pt idx="3233">
                  <c:v>61639</c:v>
                </c:pt>
                <c:pt idx="3234">
                  <c:v>61646</c:v>
                </c:pt>
                <c:pt idx="3235">
                  <c:v>61653</c:v>
                </c:pt>
                <c:pt idx="3236">
                  <c:v>61660</c:v>
                </c:pt>
                <c:pt idx="3237">
                  <c:v>61667</c:v>
                </c:pt>
                <c:pt idx="3238">
                  <c:v>61674</c:v>
                </c:pt>
                <c:pt idx="3239">
                  <c:v>61681</c:v>
                </c:pt>
                <c:pt idx="3240">
                  <c:v>61688</c:v>
                </c:pt>
                <c:pt idx="3241">
                  <c:v>61695</c:v>
                </c:pt>
                <c:pt idx="3242">
                  <c:v>61702</c:v>
                </c:pt>
                <c:pt idx="3243">
                  <c:v>61709</c:v>
                </c:pt>
                <c:pt idx="3244">
                  <c:v>61716</c:v>
                </c:pt>
                <c:pt idx="3245">
                  <c:v>61724</c:v>
                </c:pt>
                <c:pt idx="3246">
                  <c:v>61731</c:v>
                </c:pt>
                <c:pt idx="3247">
                  <c:v>61738</c:v>
                </c:pt>
                <c:pt idx="3248">
                  <c:v>61745</c:v>
                </c:pt>
                <c:pt idx="3249">
                  <c:v>61752</c:v>
                </c:pt>
                <c:pt idx="3250">
                  <c:v>61759</c:v>
                </c:pt>
                <c:pt idx="3251">
                  <c:v>61766</c:v>
                </c:pt>
                <c:pt idx="3252">
                  <c:v>61773</c:v>
                </c:pt>
                <c:pt idx="3253">
                  <c:v>61780</c:v>
                </c:pt>
                <c:pt idx="3254">
                  <c:v>61787</c:v>
                </c:pt>
                <c:pt idx="3255">
                  <c:v>61794</c:v>
                </c:pt>
                <c:pt idx="3256">
                  <c:v>61801</c:v>
                </c:pt>
                <c:pt idx="3257">
                  <c:v>61808</c:v>
                </c:pt>
                <c:pt idx="3258">
                  <c:v>61815</c:v>
                </c:pt>
                <c:pt idx="3259">
                  <c:v>61822</c:v>
                </c:pt>
                <c:pt idx="3260">
                  <c:v>61829</c:v>
                </c:pt>
                <c:pt idx="3261">
                  <c:v>61836</c:v>
                </c:pt>
                <c:pt idx="3262">
                  <c:v>61843</c:v>
                </c:pt>
                <c:pt idx="3263">
                  <c:v>61850</c:v>
                </c:pt>
                <c:pt idx="3264">
                  <c:v>61857</c:v>
                </c:pt>
                <c:pt idx="3265">
                  <c:v>61864</c:v>
                </c:pt>
                <c:pt idx="3266">
                  <c:v>61871</c:v>
                </c:pt>
                <c:pt idx="3267">
                  <c:v>61878</c:v>
                </c:pt>
                <c:pt idx="3268">
                  <c:v>61885</c:v>
                </c:pt>
                <c:pt idx="3269">
                  <c:v>61892</c:v>
                </c:pt>
                <c:pt idx="3270">
                  <c:v>61899</c:v>
                </c:pt>
                <c:pt idx="3271">
                  <c:v>61906</c:v>
                </c:pt>
                <c:pt idx="3272">
                  <c:v>61913</c:v>
                </c:pt>
                <c:pt idx="3273">
                  <c:v>61920</c:v>
                </c:pt>
                <c:pt idx="3274">
                  <c:v>61927</c:v>
                </c:pt>
                <c:pt idx="3275">
                  <c:v>61934</c:v>
                </c:pt>
                <c:pt idx="3276">
                  <c:v>61941</c:v>
                </c:pt>
                <c:pt idx="3277">
                  <c:v>61948</c:v>
                </c:pt>
                <c:pt idx="3278">
                  <c:v>61955</c:v>
                </c:pt>
                <c:pt idx="3279">
                  <c:v>61962</c:v>
                </c:pt>
                <c:pt idx="3280">
                  <c:v>61969</c:v>
                </c:pt>
                <c:pt idx="3281">
                  <c:v>61976</c:v>
                </c:pt>
                <c:pt idx="3282">
                  <c:v>61983</c:v>
                </c:pt>
                <c:pt idx="3283">
                  <c:v>61990</c:v>
                </c:pt>
                <c:pt idx="3284">
                  <c:v>61997</c:v>
                </c:pt>
                <c:pt idx="3285">
                  <c:v>62004</c:v>
                </c:pt>
                <c:pt idx="3286">
                  <c:v>62011</c:v>
                </c:pt>
                <c:pt idx="3287">
                  <c:v>62018</c:v>
                </c:pt>
                <c:pt idx="3288">
                  <c:v>62025</c:v>
                </c:pt>
                <c:pt idx="3289">
                  <c:v>62032</c:v>
                </c:pt>
                <c:pt idx="3290">
                  <c:v>62039</c:v>
                </c:pt>
                <c:pt idx="3291">
                  <c:v>62046</c:v>
                </c:pt>
                <c:pt idx="3292">
                  <c:v>62053</c:v>
                </c:pt>
                <c:pt idx="3293">
                  <c:v>62060</c:v>
                </c:pt>
                <c:pt idx="3294">
                  <c:v>62067</c:v>
                </c:pt>
                <c:pt idx="3295">
                  <c:v>62074</c:v>
                </c:pt>
                <c:pt idx="3296">
                  <c:v>62081</c:v>
                </c:pt>
                <c:pt idx="3297">
                  <c:v>62089</c:v>
                </c:pt>
                <c:pt idx="3298">
                  <c:v>62096</c:v>
                </c:pt>
                <c:pt idx="3299">
                  <c:v>62103</c:v>
                </c:pt>
                <c:pt idx="3300">
                  <c:v>62110</c:v>
                </c:pt>
                <c:pt idx="3301">
                  <c:v>62117</c:v>
                </c:pt>
                <c:pt idx="3302">
                  <c:v>62124</c:v>
                </c:pt>
                <c:pt idx="3303">
                  <c:v>62131</c:v>
                </c:pt>
                <c:pt idx="3304">
                  <c:v>62138</c:v>
                </c:pt>
                <c:pt idx="3305">
                  <c:v>62145</c:v>
                </c:pt>
                <c:pt idx="3306">
                  <c:v>62152</c:v>
                </c:pt>
                <c:pt idx="3307">
                  <c:v>62159</c:v>
                </c:pt>
                <c:pt idx="3308">
                  <c:v>62166</c:v>
                </c:pt>
                <c:pt idx="3309">
                  <c:v>62173</c:v>
                </c:pt>
                <c:pt idx="3310">
                  <c:v>62184</c:v>
                </c:pt>
                <c:pt idx="3311">
                  <c:v>62191</c:v>
                </c:pt>
                <c:pt idx="3312">
                  <c:v>62198</c:v>
                </c:pt>
                <c:pt idx="3313">
                  <c:v>62205</c:v>
                </c:pt>
                <c:pt idx="3314">
                  <c:v>62212</c:v>
                </c:pt>
                <c:pt idx="3315">
                  <c:v>62219</c:v>
                </c:pt>
                <c:pt idx="3316">
                  <c:v>62226</c:v>
                </c:pt>
                <c:pt idx="3317">
                  <c:v>62233</c:v>
                </c:pt>
                <c:pt idx="3318">
                  <c:v>62240</c:v>
                </c:pt>
                <c:pt idx="3319">
                  <c:v>62247</c:v>
                </c:pt>
                <c:pt idx="3320">
                  <c:v>62254</c:v>
                </c:pt>
                <c:pt idx="3321">
                  <c:v>62261</c:v>
                </c:pt>
                <c:pt idx="3322">
                  <c:v>62268</c:v>
                </c:pt>
                <c:pt idx="3323">
                  <c:v>62275</c:v>
                </c:pt>
                <c:pt idx="3324">
                  <c:v>62282</c:v>
                </c:pt>
                <c:pt idx="3325">
                  <c:v>62289</c:v>
                </c:pt>
                <c:pt idx="3326">
                  <c:v>62296</c:v>
                </c:pt>
                <c:pt idx="3327">
                  <c:v>62303</c:v>
                </c:pt>
                <c:pt idx="3328">
                  <c:v>62310</c:v>
                </c:pt>
                <c:pt idx="3329">
                  <c:v>62317</c:v>
                </c:pt>
                <c:pt idx="3330">
                  <c:v>62324</c:v>
                </c:pt>
                <c:pt idx="3331">
                  <c:v>62331</c:v>
                </c:pt>
                <c:pt idx="3332">
                  <c:v>62338</c:v>
                </c:pt>
                <c:pt idx="3333">
                  <c:v>62345</c:v>
                </c:pt>
                <c:pt idx="3334">
                  <c:v>62352</c:v>
                </c:pt>
                <c:pt idx="3335">
                  <c:v>62359</c:v>
                </c:pt>
                <c:pt idx="3336">
                  <c:v>62366</c:v>
                </c:pt>
                <c:pt idx="3337">
                  <c:v>62373</c:v>
                </c:pt>
                <c:pt idx="3338">
                  <c:v>62380</c:v>
                </c:pt>
                <c:pt idx="3339">
                  <c:v>62387</c:v>
                </c:pt>
                <c:pt idx="3340">
                  <c:v>62394</c:v>
                </c:pt>
                <c:pt idx="3341">
                  <c:v>62401</c:v>
                </c:pt>
                <c:pt idx="3342">
                  <c:v>62408</c:v>
                </c:pt>
                <c:pt idx="3343">
                  <c:v>62415</c:v>
                </c:pt>
                <c:pt idx="3344">
                  <c:v>62422</c:v>
                </c:pt>
                <c:pt idx="3345">
                  <c:v>62429</c:v>
                </c:pt>
                <c:pt idx="3346">
                  <c:v>62436</c:v>
                </c:pt>
                <c:pt idx="3347">
                  <c:v>62443</c:v>
                </c:pt>
                <c:pt idx="3348">
                  <c:v>62450</c:v>
                </c:pt>
                <c:pt idx="3349">
                  <c:v>62457</c:v>
                </c:pt>
                <c:pt idx="3350">
                  <c:v>62464</c:v>
                </c:pt>
                <c:pt idx="3351">
                  <c:v>62471</c:v>
                </c:pt>
                <c:pt idx="3352">
                  <c:v>62478</c:v>
                </c:pt>
                <c:pt idx="3353">
                  <c:v>62485</c:v>
                </c:pt>
                <c:pt idx="3354">
                  <c:v>62492</c:v>
                </c:pt>
                <c:pt idx="3355">
                  <c:v>62499</c:v>
                </c:pt>
                <c:pt idx="3356">
                  <c:v>62506</c:v>
                </c:pt>
                <c:pt idx="3357">
                  <c:v>62513</c:v>
                </c:pt>
                <c:pt idx="3358">
                  <c:v>62520</c:v>
                </c:pt>
                <c:pt idx="3359">
                  <c:v>62527</c:v>
                </c:pt>
                <c:pt idx="3360">
                  <c:v>62534</c:v>
                </c:pt>
                <c:pt idx="3361">
                  <c:v>62541</c:v>
                </c:pt>
                <c:pt idx="3362">
                  <c:v>62548</c:v>
                </c:pt>
                <c:pt idx="3363">
                  <c:v>62555</c:v>
                </c:pt>
                <c:pt idx="3364">
                  <c:v>62562</c:v>
                </c:pt>
                <c:pt idx="3365">
                  <c:v>62569</c:v>
                </c:pt>
                <c:pt idx="3366">
                  <c:v>62576</c:v>
                </c:pt>
                <c:pt idx="3367">
                  <c:v>62583</c:v>
                </c:pt>
                <c:pt idx="3368">
                  <c:v>62590</c:v>
                </c:pt>
                <c:pt idx="3369">
                  <c:v>62597</c:v>
                </c:pt>
                <c:pt idx="3370">
                  <c:v>62604</c:v>
                </c:pt>
                <c:pt idx="3371">
                  <c:v>62611</c:v>
                </c:pt>
                <c:pt idx="3372">
                  <c:v>62618</c:v>
                </c:pt>
                <c:pt idx="3373">
                  <c:v>62625</c:v>
                </c:pt>
                <c:pt idx="3374">
                  <c:v>62632</c:v>
                </c:pt>
                <c:pt idx="3375">
                  <c:v>62639</c:v>
                </c:pt>
                <c:pt idx="3376">
                  <c:v>62646</c:v>
                </c:pt>
                <c:pt idx="3377">
                  <c:v>62653</c:v>
                </c:pt>
                <c:pt idx="3378">
                  <c:v>62660</c:v>
                </c:pt>
                <c:pt idx="3379">
                  <c:v>62667</c:v>
                </c:pt>
                <c:pt idx="3380">
                  <c:v>62674</c:v>
                </c:pt>
                <c:pt idx="3381">
                  <c:v>62681</c:v>
                </c:pt>
                <c:pt idx="3382">
                  <c:v>62688</c:v>
                </c:pt>
                <c:pt idx="3383">
                  <c:v>62695</c:v>
                </c:pt>
                <c:pt idx="3384">
                  <c:v>62702</c:v>
                </c:pt>
                <c:pt idx="3385">
                  <c:v>62709</c:v>
                </c:pt>
                <c:pt idx="3386">
                  <c:v>62716</c:v>
                </c:pt>
                <c:pt idx="3387">
                  <c:v>62723</c:v>
                </c:pt>
                <c:pt idx="3388">
                  <c:v>62730</c:v>
                </c:pt>
                <c:pt idx="3389">
                  <c:v>62737</c:v>
                </c:pt>
                <c:pt idx="3390">
                  <c:v>62744</c:v>
                </c:pt>
                <c:pt idx="3391">
                  <c:v>62751</c:v>
                </c:pt>
                <c:pt idx="3392">
                  <c:v>62758</c:v>
                </c:pt>
                <c:pt idx="3393">
                  <c:v>62765</c:v>
                </c:pt>
                <c:pt idx="3394">
                  <c:v>62772</c:v>
                </c:pt>
                <c:pt idx="3395">
                  <c:v>62779</c:v>
                </c:pt>
                <c:pt idx="3396">
                  <c:v>62786</c:v>
                </c:pt>
                <c:pt idx="3397">
                  <c:v>62793</c:v>
                </c:pt>
                <c:pt idx="3398">
                  <c:v>62800</c:v>
                </c:pt>
                <c:pt idx="3399">
                  <c:v>62807</c:v>
                </c:pt>
                <c:pt idx="3400">
                  <c:v>62814</c:v>
                </c:pt>
                <c:pt idx="3401">
                  <c:v>62821</c:v>
                </c:pt>
                <c:pt idx="3402">
                  <c:v>62828</c:v>
                </c:pt>
                <c:pt idx="3403">
                  <c:v>62835</c:v>
                </c:pt>
                <c:pt idx="3404">
                  <c:v>62842</c:v>
                </c:pt>
                <c:pt idx="3405">
                  <c:v>62849</c:v>
                </c:pt>
                <c:pt idx="3406">
                  <c:v>62856</c:v>
                </c:pt>
                <c:pt idx="3407">
                  <c:v>62863</c:v>
                </c:pt>
                <c:pt idx="3408">
                  <c:v>62870</c:v>
                </c:pt>
                <c:pt idx="3409">
                  <c:v>62877</c:v>
                </c:pt>
                <c:pt idx="3410">
                  <c:v>62884</c:v>
                </c:pt>
                <c:pt idx="3411">
                  <c:v>62891</c:v>
                </c:pt>
                <c:pt idx="3412">
                  <c:v>62898</c:v>
                </c:pt>
                <c:pt idx="3413">
                  <c:v>62905</c:v>
                </c:pt>
                <c:pt idx="3414">
                  <c:v>62912</c:v>
                </c:pt>
                <c:pt idx="3415">
                  <c:v>62919</c:v>
                </c:pt>
                <c:pt idx="3416">
                  <c:v>62926</c:v>
                </c:pt>
                <c:pt idx="3417">
                  <c:v>62933</c:v>
                </c:pt>
                <c:pt idx="3418">
                  <c:v>62940</c:v>
                </c:pt>
                <c:pt idx="3419">
                  <c:v>62947</c:v>
                </c:pt>
                <c:pt idx="3420">
                  <c:v>62954</c:v>
                </c:pt>
                <c:pt idx="3421">
                  <c:v>62961</c:v>
                </c:pt>
                <c:pt idx="3422">
                  <c:v>62968</c:v>
                </c:pt>
                <c:pt idx="3423">
                  <c:v>62975</c:v>
                </c:pt>
                <c:pt idx="3424">
                  <c:v>62982</c:v>
                </c:pt>
                <c:pt idx="3425">
                  <c:v>62989</c:v>
                </c:pt>
                <c:pt idx="3426">
                  <c:v>62996</c:v>
                </c:pt>
                <c:pt idx="3427">
                  <c:v>63003</c:v>
                </c:pt>
                <c:pt idx="3428">
                  <c:v>63010</c:v>
                </c:pt>
                <c:pt idx="3429">
                  <c:v>63017</c:v>
                </c:pt>
                <c:pt idx="3430">
                  <c:v>63024</c:v>
                </c:pt>
                <c:pt idx="3431">
                  <c:v>63031</c:v>
                </c:pt>
                <c:pt idx="3432">
                  <c:v>63038</c:v>
                </c:pt>
                <c:pt idx="3433">
                  <c:v>63045</c:v>
                </c:pt>
                <c:pt idx="3434">
                  <c:v>63052</c:v>
                </c:pt>
                <c:pt idx="3435">
                  <c:v>63059</c:v>
                </c:pt>
                <c:pt idx="3436">
                  <c:v>63066</c:v>
                </c:pt>
                <c:pt idx="3437">
                  <c:v>63073</c:v>
                </c:pt>
                <c:pt idx="3438">
                  <c:v>63080</c:v>
                </c:pt>
                <c:pt idx="3439">
                  <c:v>63087</c:v>
                </c:pt>
                <c:pt idx="3440">
                  <c:v>63094</c:v>
                </c:pt>
                <c:pt idx="3441">
                  <c:v>63101</c:v>
                </c:pt>
                <c:pt idx="3442">
                  <c:v>63108</c:v>
                </c:pt>
                <c:pt idx="3443">
                  <c:v>63115</c:v>
                </c:pt>
                <c:pt idx="3444">
                  <c:v>63122</c:v>
                </c:pt>
                <c:pt idx="3445">
                  <c:v>63129</c:v>
                </c:pt>
                <c:pt idx="3446">
                  <c:v>63136</c:v>
                </c:pt>
                <c:pt idx="3447">
                  <c:v>63143</c:v>
                </c:pt>
                <c:pt idx="3448">
                  <c:v>63150</c:v>
                </c:pt>
                <c:pt idx="3449">
                  <c:v>63157</c:v>
                </c:pt>
                <c:pt idx="3450">
                  <c:v>63164</c:v>
                </c:pt>
                <c:pt idx="3451">
                  <c:v>63171</c:v>
                </c:pt>
                <c:pt idx="3452">
                  <c:v>63178</c:v>
                </c:pt>
                <c:pt idx="3453">
                  <c:v>63186</c:v>
                </c:pt>
                <c:pt idx="3454">
                  <c:v>63193</c:v>
                </c:pt>
                <c:pt idx="3455">
                  <c:v>63200</c:v>
                </c:pt>
                <c:pt idx="3456">
                  <c:v>63207</c:v>
                </c:pt>
                <c:pt idx="3457">
                  <c:v>63214</c:v>
                </c:pt>
                <c:pt idx="3458">
                  <c:v>63221</c:v>
                </c:pt>
                <c:pt idx="3459">
                  <c:v>63228</c:v>
                </c:pt>
                <c:pt idx="3460">
                  <c:v>63235</c:v>
                </c:pt>
                <c:pt idx="3461">
                  <c:v>63242</c:v>
                </c:pt>
                <c:pt idx="3462">
                  <c:v>63249</c:v>
                </c:pt>
                <c:pt idx="3463">
                  <c:v>63256</c:v>
                </c:pt>
                <c:pt idx="3464">
                  <c:v>63263</c:v>
                </c:pt>
                <c:pt idx="3465">
                  <c:v>63270</c:v>
                </c:pt>
                <c:pt idx="3466">
                  <c:v>63277</c:v>
                </c:pt>
                <c:pt idx="3467">
                  <c:v>63284</c:v>
                </c:pt>
                <c:pt idx="3468">
                  <c:v>63291</c:v>
                </c:pt>
                <c:pt idx="3469">
                  <c:v>63298</c:v>
                </c:pt>
                <c:pt idx="3470">
                  <c:v>63305</c:v>
                </c:pt>
                <c:pt idx="3471">
                  <c:v>63312</c:v>
                </c:pt>
                <c:pt idx="3472">
                  <c:v>63319</c:v>
                </c:pt>
                <c:pt idx="3473">
                  <c:v>63326</c:v>
                </c:pt>
                <c:pt idx="3474">
                  <c:v>63333</c:v>
                </c:pt>
                <c:pt idx="3475">
                  <c:v>63340</c:v>
                </c:pt>
                <c:pt idx="3476">
                  <c:v>63347</c:v>
                </c:pt>
                <c:pt idx="3477">
                  <c:v>63354</c:v>
                </c:pt>
                <c:pt idx="3478">
                  <c:v>63361</c:v>
                </c:pt>
                <c:pt idx="3479">
                  <c:v>63368</c:v>
                </c:pt>
                <c:pt idx="3480">
                  <c:v>63375</c:v>
                </c:pt>
                <c:pt idx="3481">
                  <c:v>63382</c:v>
                </c:pt>
                <c:pt idx="3482">
                  <c:v>63389</c:v>
                </c:pt>
                <c:pt idx="3483">
                  <c:v>63396</c:v>
                </c:pt>
                <c:pt idx="3484">
                  <c:v>63403</c:v>
                </c:pt>
                <c:pt idx="3485">
                  <c:v>63410</c:v>
                </c:pt>
                <c:pt idx="3486">
                  <c:v>63417</c:v>
                </c:pt>
                <c:pt idx="3487">
                  <c:v>63424</c:v>
                </c:pt>
                <c:pt idx="3488">
                  <c:v>63431</c:v>
                </c:pt>
                <c:pt idx="3489">
                  <c:v>63438</c:v>
                </c:pt>
                <c:pt idx="3490">
                  <c:v>63445</c:v>
                </c:pt>
                <c:pt idx="3491">
                  <c:v>63452</c:v>
                </c:pt>
                <c:pt idx="3492">
                  <c:v>63459</c:v>
                </c:pt>
                <c:pt idx="3493">
                  <c:v>63466</c:v>
                </c:pt>
                <c:pt idx="3494">
                  <c:v>63473</c:v>
                </c:pt>
                <c:pt idx="3495">
                  <c:v>63480</c:v>
                </c:pt>
                <c:pt idx="3496">
                  <c:v>63487</c:v>
                </c:pt>
                <c:pt idx="3497">
                  <c:v>63494</c:v>
                </c:pt>
                <c:pt idx="3498">
                  <c:v>63501</c:v>
                </c:pt>
                <c:pt idx="3499">
                  <c:v>63508</c:v>
                </c:pt>
                <c:pt idx="3500">
                  <c:v>63515</c:v>
                </c:pt>
                <c:pt idx="3501">
                  <c:v>63522</c:v>
                </c:pt>
                <c:pt idx="3502">
                  <c:v>63529</c:v>
                </c:pt>
                <c:pt idx="3503">
                  <c:v>63536</c:v>
                </c:pt>
                <c:pt idx="3504">
                  <c:v>63543</c:v>
                </c:pt>
                <c:pt idx="3505">
                  <c:v>63550</c:v>
                </c:pt>
                <c:pt idx="3506">
                  <c:v>63557</c:v>
                </c:pt>
                <c:pt idx="3507">
                  <c:v>63564</c:v>
                </c:pt>
                <c:pt idx="3508">
                  <c:v>63571</c:v>
                </c:pt>
                <c:pt idx="3509">
                  <c:v>63578</c:v>
                </c:pt>
                <c:pt idx="3510">
                  <c:v>63585</c:v>
                </c:pt>
                <c:pt idx="3511">
                  <c:v>63592</c:v>
                </c:pt>
                <c:pt idx="3512">
                  <c:v>63599</c:v>
                </c:pt>
                <c:pt idx="3513">
                  <c:v>63606</c:v>
                </c:pt>
                <c:pt idx="3514">
                  <c:v>63613</c:v>
                </c:pt>
                <c:pt idx="3515">
                  <c:v>63620</c:v>
                </c:pt>
                <c:pt idx="3516">
                  <c:v>63627</c:v>
                </c:pt>
                <c:pt idx="3517">
                  <c:v>63634</c:v>
                </c:pt>
                <c:pt idx="3518">
                  <c:v>63641</c:v>
                </c:pt>
                <c:pt idx="3519">
                  <c:v>63648</c:v>
                </c:pt>
                <c:pt idx="3520">
                  <c:v>63655</c:v>
                </c:pt>
                <c:pt idx="3521">
                  <c:v>63662</c:v>
                </c:pt>
                <c:pt idx="3522">
                  <c:v>63669</c:v>
                </c:pt>
                <c:pt idx="3523">
                  <c:v>63676</c:v>
                </c:pt>
                <c:pt idx="3524">
                  <c:v>63683</c:v>
                </c:pt>
                <c:pt idx="3525">
                  <c:v>63690</c:v>
                </c:pt>
                <c:pt idx="3526">
                  <c:v>63697</c:v>
                </c:pt>
                <c:pt idx="3527">
                  <c:v>63704</c:v>
                </c:pt>
                <c:pt idx="3528">
                  <c:v>63711</c:v>
                </c:pt>
                <c:pt idx="3529">
                  <c:v>63718</c:v>
                </c:pt>
                <c:pt idx="3530">
                  <c:v>63725</c:v>
                </c:pt>
                <c:pt idx="3531">
                  <c:v>63732</c:v>
                </c:pt>
                <c:pt idx="3532">
                  <c:v>63739</c:v>
                </c:pt>
                <c:pt idx="3533">
                  <c:v>63746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1.0449999999957859E-2</c:v>
                </c:pt>
                <c:pt idx="1">
                  <c:v>1.0489575785451288E-2</c:v>
                </c:pt>
                <c:pt idx="2">
                  <c:v>1.0511862308411279E-2</c:v>
                </c:pt>
                <c:pt idx="3">
                  <c:v>1.0534276497612183E-2</c:v>
                </c:pt>
                <c:pt idx="4">
                  <c:v>1.0556814430700889E-2</c:v>
                </c:pt>
                <c:pt idx="5">
                  <c:v>1.06069264394133E-2</c:v>
                </c:pt>
                <c:pt idx="6">
                  <c:v>1.0648125144109954E-2</c:v>
                </c:pt>
                <c:pt idx="7">
                  <c:v>1.0671222950520143E-2</c:v>
                </c:pt>
                <c:pt idx="8">
                  <c:v>1.06944209601465E-2</c:v>
                </c:pt>
                <c:pt idx="9">
                  <c:v>1.0717715248411475E-2</c:v>
                </c:pt>
                <c:pt idx="10">
                  <c:v>1.0769226216064697E-2</c:v>
                </c:pt>
                <c:pt idx="11">
                  <c:v>1.0811776684541474E-2</c:v>
                </c:pt>
                <c:pt idx="12">
                  <c:v>1.0835493485519487E-2</c:v>
                </c:pt>
                <c:pt idx="13">
                  <c:v>1.0859283010531851E-2</c:v>
                </c:pt>
                <c:pt idx="14">
                  <c:v>1.0883141332590496E-2</c:v>
                </c:pt>
                <c:pt idx="15">
                  <c:v>1.093556041558809E-2</c:v>
                </c:pt>
                <c:pt idx="16">
                  <c:v>1.0979184038989453E-2</c:v>
                </c:pt>
                <c:pt idx="17">
                  <c:v>1.1003327428888099E-2</c:v>
                </c:pt>
                <c:pt idx="18">
                  <c:v>1.1027516046329566E-2</c:v>
                </c:pt>
                <c:pt idx="19">
                  <c:v>1.105174596178049E-2</c:v>
                </c:pt>
                <c:pt idx="20">
                  <c:v>1.1104589297094335E-2</c:v>
                </c:pt>
                <c:pt idx="21">
                  <c:v>1.1148999999966769E-2</c:v>
                </c:pt>
                <c:pt idx="22">
                  <c:v>1.1173378224649255E-2</c:v>
                </c:pt>
                <c:pt idx="23">
                  <c:v>1.1197778813912818E-2</c:v>
                </c:pt>
                <c:pt idx="24">
                  <c:v>1.1222202487633171E-2</c:v>
                </c:pt>
                <c:pt idx="25">
                  <c:v>1.1275115563028763E-2</c:v>
                </c:pt>
                <c:pt idx="26">
                  <c:v>1.1320142427087232E-2</c:v>
                </c:pt>
                <c:pt idx="27">
                  <c:v>1.1344692323718153E-2</c:v>
                </c:pt>
                <c:pt idx="28">
                  <c:v>1.1369269625557177E-2</c:v>
                </c:pt>
                <c:pt idx="29">
                  <c:v>1.1393875052979174E-2</c:v>
                </c:pt>
                <c:pt idx="30">
                  <c:v>1.144692975201435E-2</c:v>
                </c:pt>
                <c:pt idx="31">
                  <c:v>1.1492592428558046E-2</c:v>
                </c:pt>
                <c:pt idx="32">
                  <c:v>1.1517349292074153E-2</c:v>
                </c:pt>
                <c:pt idx="33">
                  <c:v>1.1542138604954344E-2</c:v>
                </c:pt>
                <c:pt idx="34">
                  <c:v>1.1566961088084415E-2</c:v>
                </c:pt>
                <c:pt idx="35">
                  <c:v>1.1620272904956847E-2</c:v>
                </c:pt>
                <c:pt idx="36">
                  <c:v>1.1666597143409785E-2</c:v>
                </c:pt>
                <c:pt idx="37">
                  <c:v>1.1691596293669226E-2</c:v>
                </c:pt>
                <c:pt idx="38">
                  <c:v>1.1716632941051408E-2</c:v>
                </c:pt>
                <c:pt idx="39">
                  <c:v>1.1741707806964596E-2</c:v>
                </c:pt>
                <c:pt idx="40">
                  <c:v>1.1795390985762426E-2</c:v>
                </c:pt>
                <c:pt idx="41">
                  <c:v>1.1867680669049641E-2</c:v>
                </c:pt>
                <c:pt idx="42">
                  <c:v>1.1892999999950193E-2</c:v>
                </c:pt>
                <c:pt idx="43">
                  <c:v>1.1918362569752539E-2</c:v>
                </c:pt>
                <c:pt idx="44">
                  <c:v>1.1929401798018378E-2</c:v>
                </c:pt>
                <c:pt idx="45">
                  <c:v>1.2020256201924484E-2</c:v>
                </c:pt>
                <c:pt idx="46">
                  <c:v>1.2045843110686905E-2</c:v>
                </c:pt>
                <c:pt idx="47">
                  <c:v>1.2071476484937227E-2</c:v>
                </c:pt>
                <c:pt idx="48">
                  <c:v>1.2097156857379554E-2</c:v>
                </c:pt>
                <c:pt idx="49">
                  <c:v>1.215177629424897E-2</c:v>
                </c:pt>
                <c:pt idx="50">
                  <c:v>1.2200358985274162E-2</c:v>
                </c:pt>
                <c:pt idx="51">
                  <c:v>1.2226282341361472E-2</c:v>
                </c:pt>
                <c:pt idx="52">
                  <c:v>1.2252255893141495E-2</c:v>
                </c:pt>
                <c:pt idx="53">
                  <c:v>1.2278280173745548E-2</c:v>
                </c:pt>
                <c:pt idx="54">
                  <c:v>1.2333331827204546E-2</c:v>
                </c:pt>
                <c:pt idx="55">
                  <c:v>1.2382895249202219E-2</c:v>
                </c:pt>
                <c:pt idx="56">
                  <c:v>1.2409181173074879E-2</c:v>
                </c:pt>
                <c:pt idx="57">
                  <c:v>1.2435521025870866E-2</c:v>
                </c:pt>
                <c:pt idx="58">
                  <c:v>1.2461915341161145E-2</c:v>
                </c:pt>
                <c:pt idx="59">
                  <c:v>1.2517365546199203E-2</c:v>
                </c:pt>
                <c:pt idx="60">
                  <c:v>1.25680479009318E-2</c:v>
                </c:pt>
                <c:pt idx="61">
                  <c:v>1.2594722534507774E-2</c:v>
                </c:pt>
                <c:pt idx="62">
                  <c:v>1.2621454833357193E-2</c:v>
                </c:pt>
                <c:pt idx="63">
                  <c:v>1.2648245331505104E-2</c:v>
                </c:pt>
                <c:pt idx="64">
                  <c:v>1.2704059447385301E-2</c:v>
                </c:pt>
                <c:pt idx="65">
                  <c:v>1.2755999999890744E-2</c:v>
                </c:pt>
                <c:pt idx="66">
                  <c:v>1.2783088745815796E-2</c:v>
                </c:pt>
                <c:pt idx="67">
                  <c:v>1.281023432798345E-2</c:v>
                </c:pt>
                <c:pt idx="68">
                  <c:v>1.2837432711835461E-2</c:v>
                </c:pt>
                <c:pt idx="69">
                  <c:v>1.2893557217443988E-2</c:v>
                </c:pt>
                <c:pt idx="70">
                  <c:v>1.2946673558007715E-2</c:v>
                </c:pt>
                <c:pt idx="71">
                  <c:v>1.2974075416964492E-2</c:v>
                </c:pt>
                <c:pt idx="72">
                  <c:v>1.3001505861264251E-2</c:v>
                </c:pt>
                <c:pt idx="73">
                  <c:v>1.3028960853336047E-2</c:v>
                </c:pt>
                <c:pt idx="74">
                  <c:v>1.3085205313826571E-2</c:v>
                </c:pt>
                <c:pt idx="75">
                  <c:v>1.3138945532646051E-2</c:v>
                </c:pt>
                <c:pt idx="76">
                  <c:v>1.3166462684725877E-2</c:v>
                </c:pt>
                <c:pt idx="77">
                  <c:v>1.319398014997053E-2</c:v>
                </c:pt>
                <c:pt idx="78">
                  <c:v>1.3221493887744407E-2</c:v>
                </c:pt>
                <c:pt idx="79">
                  <c:v>1.3277648563821878E-2</c:v>
                </c:pt>
                <c:pt idx="80">
                  <c:v>1.3331430736057914E-2</c:v>
                </c:pt>
                <c:pt idx="81">
                  <c:v>1.3358865211589466E-2</c:v>
                </c:pt>
                <c:pt idx="82">
                  <c:v>1.3386271706632202E-2</c:v>
                </c:pt>
                <c:pt idx="83">
                  <c:v>1.3413646177488303E-2</c:v>
                </c:pt>
                <c:pt idx="84">
                  <c:v>1.346950859013857E-2</c:v>
                </c:pt>
                <c:pt idx="85">
                  <c:v>1.3522742929943377E-2</c:v>
                </c:pt>
                <c:pt idx="86">
                  <c:v>1.3549897617100459E-2</c:v>
                </c:pt>
                <c:pt idx="87">
                  <c:v>1.3577002056022414E-2</c:v>
                </c:pt>
                <c:pt idx="88">
                  <c:v>1.3604058247794537E-2</c:v>
                </c:pt>
                <c:pt idx="89">
                  <c:v>1.3616850432467943E-2</c:v>
                </c:pt>
                <c:pt idx="90">
                  <c:v>1.3711840572812939E-2</c:v>
                </c:pt>
                <c:pt idx="91">
                  <c:v>1.3738685552825425E-2</c:v>
                </c:pt>
                <c:pt idx="92">
                  <c:v>1.3765494296813285E-2</c:v>
                </c:pt>
                <c:pt idx="93">
                  <c:v>1.379226880739215E-2</c:v>
                </c:pt>
                <c:pt idx="94">
                  <c:v>1.3847294839495828E-2</c:v>
                </c:pt>
                <c:pt idx="95">
                  <c:v>1.3899064575452869E-2</c:v>
                </c:pt>
                <c:pt idx="96">
                  <c:v>1.3925697965736283E-2</c:v>
                </c:pt>
                <c:pt idx="97">
                  <c:v>1.3952309142806207E-2</c:v>
                </c:pt>
                <c:pt idx="98">
                  <c:v>1.397890011077374E-2</c:v>
                </c:pt>
                <c:pt idx="99">
                  <c:v>1.4033638799919684E-2</c:v>
                </c:pt>
                <c:pt idx="100">
                  <c:v>1.4085101981247572E-2</c:v>
                </c:pt>
                <c:pt idx="101">
                  <c:v>1.4111621972769495E-2</c:v>
                </c:pt>
                <c:pt idx="102">
                  <c:v>1.4138133784290297E-2</c:v>
                </c:pt>
                <c:pt idx="103">
                  <c:v>1.4164639421396785E-2</c:v>
                </c:pt>
                <c:pt idx="104">
                  <c:v>1.4219185663534049E-2</c:v>
                </c:pt>
                <c:pt idx="105">
                  <c:v>1.4270640344755448E-2</c:v>
                </c:pt>
                <c:pt idx="106">
                  <c:v>1.4297145200932171E-2</c:v>
                </c:pt>
                <c:pt idx="107">
                  <c:v>1.432365592061946E-2</c:v>
                </c:pt>
                <c:pt idx="108">
                  <c:v>1.435017451087206E-2</c:v>
                </c:pt>
                <c:pt idx="109">
                  <c:v>1.4404619501956067E-2</c:v>
                </c:pt>
                <c:pt idx="110">
                  <c:v>1.4456361975611953E-2</c:v>
                </c:pt>
                <c:pt idx="111">
                  <c:v>1.4482944550749277E-2</c:v>
                </c:pt>
                <c:pt idx="112">
                  <c:v>1.4509544347280023E-2</c:v>
                </c:pt>
                <c:pt idx="113">
                  <c:v>1.4536162834381638E-2</c:v>
                </c:pt>
                <c:pt idx="114">
                  <c:v>1.4590579486204673E-2</c:v>
                </c:pt>
                <c:pt idx="115">
                  <c:v>1.4642853077466267E-2</c:v>
                </c:pt>
                <c:pt idx="116">
                  <c:v>1.4669587060512468E-2</c:v>
                </c:pt>
                <c:pt idx="117">
                  <c:v>1.4696348552457383E-2</c:v>
                </c:pt>
                <c:pt idx="118">
                  <c:v>1.4723139023570253E-2</c:v>
                </c:pt>
                <c:pt idx="119">
                  <c:v>1.4777586094893156E-2</c:v>
                </c:pt>
                <c:pt idx="120">
                  <c:v>1.4830620110595438E-2</c:v>
                </c:pt>
                <c:pt idx="121">
                  <c:v>1.4857577537106037E-2</c:v>
                </c:pt>
                <c:pt idx="122">
                  <c:v>1.4884572767719373E-2</c:v>
                </c:pt>
                <c:pt idx="123">
                  <c:v>1.4911607273816685E-2</c:v>
                </c:pt>
                <c:pt idx="124">
                  <c:v>1.4966140881579167E-2</c:v>
                </c:pt>
                <c:pt idx="125">
                  <c:v>1.5020167486302194E-2</c:v>
                </c:pt>
                <c:pt idx="126">
                  <c:v>1.5047420446181903E-2</c:v>
                </c:pt>
                <c:pt idx="127">
                  <c:v>1.5074721513230083E-2</c:v>
                </c:pt>
                <c:pt idx="128">
                  <c:v>1.5212000000000003E-2</c:v>
                </c:pt>
                <c:pt idx="129">
                  <c:v>1.5239619500104329E-2</c:v>
                </c:pt>
                <c:pt idx="130">
                  <c:v>1.5267290586135296E-2</c:v>
                </c:pt>
                <c:pt idx="131">
                  <c:v>1.5349827512314151E-2</c:v>
                </c:pt>
                <c:pt idx="132">
                  <c:v>1.5406232206852E-2</c:v>
                </c:pt>
                <c:pt idx="133">
                  <c:v>1.5434100241289883E-2</c:v>
                </c:pt>
                <c:pt idx="134">
                  <c:v>1.5461982333821789E-2</c:v>
                </c:pt>
                <c:pt idx="135">
                  <c:v>1.5489873120985154E-2</c:v>
                </c:pt>
                <c:pt idx="136">
                  <c:v>1.5544589978674824E-2</c:v>
                </c:pt>
                <c:pt idx="137">
                  <c:v>1.5601415926077555E-2</c:v>
                </c:pt>
                <c:pt idx="138">
                  <c:v>1.5629269713836491E-2</c:v>
                </c:pt>
                <c:pt idx="139">
                  <c:v>1.5657100003080071E-2</c:v>
                </c:pt>
                <c:pt idx="140">
                  <c:v>1.5684901426225695E-2</c:v>
                </c:pt>
                <c:pt idx="141">
                  <c:v>1.5739233570695524E-2</c:v>
                </c:pt>
                <c:pt idx="142">
                  <c:v>1.5795711085730302E-2</c:v>
                </c:pt>
                <c:pt idx="143">
                  <c:v>1.5823287644227024E-2</c:v>
                </c:pt>
                <c:pt idx="144">
                  <c:v>1.5850803118908185E-2</c:v>
                </c:pt>
                <c:pt idx="145">
                  <c:v>1.5878252138138427E-2</c:v>
                </c:pt>
                <c:pt idx="146">
                  <c:v>1.5931927226608057E-2</c:v>
                </c:pt>
                <c:pt idx="147">
                  <c:v>1.5987276208070833E-2</c:v>
                </c:pt>
                <c:pt idx="148">
                  <c:v>1.6014312355793869E-2</c:v>
                </c:pt>
                <c:pt idx="149">
                  <c:v>1.6041251217601804E-2</c:v>
                </c:pt>
                <c:pt idx="150">
                  <c:v>1.6068094473900008E-2</c:v>
                </c:pt>
                <c:pt idx="151">
                  <c:v>1.6081806615931071E-2</c:v>
                </c:pt>
                <c:pt idx="152">
                  <c:v>1.6174573285513416E-2</c:v>
                </c:pt>
                <c:pt idx="153">
                  <c:v>1.6200984898453452E-2</c:v>
                </c:pt>
                <c:pt idx="154">
                  <c:v>1.62273194619873E-2</c:v>
                </c:pt>
                <c:pt idx="155">
                  <c:v>1.6253580070001217E-2</c:v>
                </c:pt>
                <c:pt idx="156">
                  <c:v>1.6305537512902826E-2</c:v>
                </c:pt>
                <c:pt idx="157">
                  <c:v>1.635794483632691E-2</c:v>
                </c:pt>
                <c:pt idx="158">
                  <c:v>1.6383882086751678E-2</c:v>
                </c:pt>
                <c:pt idx="159">
                  <c:v>1.6409763951975798E-2</c:v>
                </c:pt>
                <c:pt idx="160">
                  <c:v>1.6435593528201897E-2</c:v>
                </c:pt>
                <c:pt idx="161">
                  <c:v>1.6486876162719887E-2</c:v>
                </c:pt>
                <c:pt idx="162">
                  <c:v>1.6538450878458066E-2</c:v>
                </c:pt>
                <c:pt idx="163">
                  <c:v>1.6564065463996913E-2</c:v>
                </c:pt>
                <c:pt idx="164">
                  <c:v>1.6589646344493669E-2</c:v>
                </c:pt>
                <c:pt idx="165">
                  <c:v>1.6615196618386729E-2</c:v>
                </c:pt>
                <c:pt idx="166">
                  <c:v>1.6665948542872518E-2</c:v>
                </c:pt>
                <c:pt idx="167">
                  <c:v>1.6717153627672454E-2</c:v>
                </c:pt>
                <c:pt idx="168">
                  <c:v>1.6742597356098843E-2</c:v>
                </c:pt>
                <c:pt idx="169">
                  <c:v>1.6768029075129087E-2</c:v>
                </c:pt>
                <c:pt idx="170">
                  <c:v>1.6793451885388944E-2</c:v>
                </c:pt>
                <c:pt idx="171">
                  <c:v>1.6843811622707091E-2</c:v>
                </c:pt>
                <c:pt idx="172">
                  <c:v>1.6907519935894389E-2</c:v>
                </c:pt>
                <c:pt idx="173">
                  <c:v>1.6932905887137265E-2</c:v>
                </c:pt>
                <c:pt idx="174">
                  <c:v>1.6958290236070588E-2</c:v>
                </c:pt>
                <c:pt idx="175">
                  <c:v>1.7008319291480826E-2</c:v>
                </c:pt>
                <c:pt idx="176">
                  <c:v>1.7021365255872126E-2</c:v>
                </c:pt>
                <c:pt idx="177">
                  <c:v>1.7085199315133789E-2</c:v>
                </c:pt>
                <c:pt idx="178">
                  <c:v>1.7110580872089394E-2</c:v>
                </c:pt>
                <c:pt idx="179">
                  <c:v>1.7135963100999047E-2</c:v>
                </c:pt>
                <c:pt idx="180">
                  <c:v>1.7185669925952874E-2</c:v>
                </c:pt>
                <c:pt idx="181">
                  <c:v>1.7198878346771827E-2</c:v>
                </c:pt>
                <c:pt idx="182">
                  <c:v>1.7262895701869008E-2</c:v>
                </c:pt>
                <c:pt idx="183">
                  <c:v>1.7288288789164937E-2</c:v>
                </c:pt>
                <c:pt idx="184">
                  <c:v>1.7313684824272875E-2</c:v>
                </c:pt>
                <c:pt idx="185">
                  <c:v>1.7363065310259024E-2</c:v>
                </c:pt>
                <c:pt idx="186">
                  <c:v>1.7376462065293263E-2</c:v>
                </c:pt>
                <c:pt idx="187">
                  <c:v>1.7440720601975761E-2</c:v>
                </c:pt>
                <c:pt idx="188">
                  <c:v>1.7466141155402751E-2</c:v>
                </c:pt>
                <c:pt idx="189">
                  <c:v>1.7538830354742709E-2</c:v>
                </c:pt>
                <c:pt idx="190">
                  <c:v>1.7552395707697278E-2</c:v>
                </c:pt>
                <c:pt idx="191">
                  <c:v>1.7565999999999887E-2</c:v>
                </c:pt>
                <c:pt idx="192">
                  <c:v>1.7618774266400433E-2</c:v>
                </c:pt>
                <c:pt idx="193">
                  <c:v>1.7644222967879895E-2</c:v>
                </c:pt>
                <c:pt idx="194">
                  <c:v>1.7669669623923061E-2</c:v>
                </c:pt>
                <c:pt idx="195">
                  <c:v>1.7718353743686518E-2</c:v>
                </c:pt>
                <c:pt idx="196">
                  <c:v>1.7822199047167413E-2</c:v>
                </c:pt>
                <c:pt idx="197">
                  <c:v>1.78475776016918E-2</c:v>
                </c:pt>
                <c:pt idx="198">
                  <c:v>1.7895811732089643E-2</c:v>
                </c:pt>
                <c:pt idx="199">
                  <c:v>1.7909699669900483E-2</c:v>
                </c:pt>
                <c:pt idx="200">
                  <c:v>1.7974170714993524E-2</c:v>
                </c:pt>
                <c:pt idx="201">
                  <c:v>1.7999415949202659E-2</c:v>
                </c:pt>
                <c:pt idx="202">
                  <c:v>1.802463223418008E-2</c:v>
                </c:pt>
                <c:pt idx="203">
                  <c:v>1.8072335179981188E-2</c:v>
                </c:pt>
                <c:pt idx="204">
                  <c:v>1.8086211950046227E-2</c:v>
                </c:pt>
                <c:pt idx="205">
                  <c:v>1.8150212104591154E-2</c:v>
                </c:pt>
                <c:pt idx="206">
                  <c:v>1.8175214301961284E-2</c:v>
                </c:pt>
                <c:pt idx="207">
                  <c:v>1.8200174084288489E-2</c:v>
                </c:pt>
                <c:pt idx="208">
                  <c:v>1.8247268093284728E-2</c:v>
                </c:pt>
                <c:pt idx="209">
                  <c:v>1.8261031472449979E-2</c:v>
                </c:pt>
                <c:pt idx="210">
                  <c:v>1.8324269408912127E-2</c:v>
                </c:pt>
                <c:pt idx="211">
                  <c:v>1.8348934787818273E-2</c:v>
                </c:pt>
                <c:pt idx="212">
                  <c:v>1.8373547314163456E-2</c:v>
                </c:pt>
                <c:pt idx="213">
                  <c:v>1.8387159268289377E-2</c:v>
                </c:pt>
                <c:pt idx="214">
                  <c:v>1.8444433952781742E-2</c:v>
                </c:pt>
                <c:pt idx="215">
                  <c:v>1.8520174841219407E-2</c:v>
                </c:pt>
                <c:pt idx="216">
                  <c:v>1.8544448538430736E-2</c:v>
                </c:pt>
                <c:pt idx="217">
                  <c:v>1.859023972853063E-2</c:v>
                </c:pt>
                <c:pt idx="218">
                  <c:v>1.8603630906329455E-2</c:v>
                </c:pt>
                <c:pt idx="219">
                  <c:v>1.8665179965920441E-2</c:v>
                </c:pt>
                <c:pt idx="220">
                  <c:v>1.868920663073614E-2</c:v>
                </c:pt>
                <c:pt idx="221">
                  <c:v>1.871319601951784E-2</c:v>
                </c:pt>
                <c:pt idx="222">
                  <c:v>1.8758431722006055E-2</c:v>
                </c:pt>
                <c:pt idx="223">
                  <c:v>1.8771694266434855E-2</c:v>
                </c:pt>
                <c:pt idx="224">
                  <c:v>1.8832622797334459E-2</c:v>
                </c:pt>
                <c:pt idx="225">
                  <c:v>1.8856411916082196E-2</c:v>
                </c:pt>
                <c:pt idx="226">
                  <c:v>1.8880171555195925E-2</c:v>
                </c:pt>
                <c:pt idx="227">
                  <c:v>1.8924923412555156E-2</c:v>
                </c:pt>
                <c:pt idx="228">
                  <c:v>1.893810323143429E-2</c:v>
                </c:pt>
                <c:pt idx="229">
                  <c:v>1.9022172720350672E-2</c:v>
                </c:pt>
                <c:pt idx="230">
                  <c:v>1.9045757205647613E-2</c:v>
                </c:pt>
                <c:pt idx="231">
                  <c:v>1.9100470519832196E-2</c:v>
                </c:pt>
                <c:pt idx="232">
                  <c:v>1.9113600943744025E-2</c:v>
                </c:pt>
                <c:pt idx="233">
                  <c:v>1.9163326794444442E-2</c:v>
                </c:pt>
                <c:pt idx="234">
                  <c:v>1.9186756072988725E-2</c:v>
                </c:pt>
                <c:pt idx="235">
                  <c:v>1.921015226918588E-2</c:v>
                </c:pt>
                <c:pt idx="236">
                  <c:v>1.9254054663354878E-2</c:v>
                </c:pt>
                <c:pt idx="237">
                  <c:v>1.9267094734690553E-2</c:v>
                </c:pt>
                <c:pt idx="238">
                  <c:v>1.9326563956009297E-2</c:v>
                </c:pt>
                <c:pt idx="239">
                  <c:v>1.9349717820133946E-2</c:v>
                </c:pt>
                <c:pt idx="240">
                  <c:v>1.9372823987510598E-2</c:v>
                </c:pt>
                <c:pt idx="241">
                  <c:v>1.941620701775558E-2</c:v>
                </c:pt>
                <c:pt idx="242">
                  <c:v>1.9429036013188013E-2</c:v>
                </c:pt>
                <c:pt idx="243">
                  <c:v>1.9487566268942304E-2</c:v>
                </c:pt>
                <c:pt idx="244">
                  <c:v>1.9510342390767103E-2</c:v>
                </c:pt>
                <c:pt idx="245">
                  <c:v>1.9533056192482318E-2</c:v>
                </c:pt>
                <c:pt idx="246">
                  <c:v>1.9575838972960422E-2</c:v>
                </c:pt>
                <c:pt idx="247">
                  <c:v>1.9588344109235014E-2</c:v>
                </c:pt>
                <c:pt idx="248">
                  <c:v>1.9645617251692962E-2</c:v>
                </c:pt>
                <c:pt idx="249">
                  <c:v>1.9667913241714831E-2</c:v>
                </c:pt>
                <c:pt idx="250">
                  <c:v>1.9690132279691908E-2</c:v>
                </c:pt>
                <c:pt idx="251">
                  <c:v>1.9732237667836262E-2</c:v>
                </c:pt>
                <c:pt idx="252">
                  <c:v>1.9744304204445493E-2</c:v>
                </c:pt>
                <c:pt idx="253">
                  <c:v>1.9799999999999936E-2</c:v>
                </c:pt>
                <c:pt idx="254">
                  <c:v>1.9821714204074838E-2</c:v>
                </c:pt>
                <c:pt idx="255">
                  <c:v>1.9843341579989845E-2</c:v>
                </c:pt>
                <c:pt idx="256">
                  <c:v>1.9884707117788111E-2</c:v>
                </c:pt>
                <c:pt idx="257">
                  <c:v>1.9896249234078421E-2</c:v>
                </c:pt>
                <c:pt idx="258">
                  <c:v>1.9950269573344139E-2</c:v>
                </c:pt>
                <c:pt idx="259">
                  <c:v>1.9971432105432955E-2</c:v>
                </c:pt>
                <c:pt idx="260">
                  <c:v>1.9992526520007194E-2</c:v>
                </c:pt>
                <c:pt idx="261">
                  <c:v>2.0033241712982035E-2</c:v>
                </c:pt>
                <c:pt idx="262">
                  <c:v>2.0044356875831369E-2</c:v>
                </c:pt>
                <c:pt idx="263">
                  <c:v>2.0097070425155336E-2</c:v>
                </c:pt>
                <c:pt idx="264">
                  <c:v>2.0117812294885608E-2</c:v>
                </c:pt>
                <c:pt idx="265">
                  <c:v>2.0138504769332925E-2</c:v>
                </c:pt>
                <c:pt idx="266">
                  <c:v>2.0178700712309997E-2</c:v>
                </c:pt>
                <c:pt idx="267">
                  <c:v>2.0189519585848057E-2</c:v>
                </c:pt>
                <c:pt idx="268">
                  <c:v>2.0241319863258771E-2</c:v>
                </c:pt>
                <c:pt idx="269">
                  <c:v>2.026177215967942E-2</c:v>
                </c:pt>
                <c:pt idx="270">
                  <c:v>2.0282193794106004E-2</c:v>
                </c:pt>
                <c:pt idx="271">
                  <c:v>2.0321996777766291E-2</c:v>
                </c:pt>
                <c:pt idx="272">
                  <c:v>2.0332652538595654E-2</c:v>
                </c:pt>
                <c:pt idx="273">
                  <c:v>2.0383935741142823E-2</c:v>
                </c:pt>
                <c:pt idx="274">
                  <c:v>2.0404229629519918E-2</c:v>
                </c:pt>
                <c:pt idx="275">
                  <c:v>2.0424510974427025E-2</c:v>
                </c:pt>
                <c:pt idx="276">
                  <c:v>2.0435141654879585E-2</c:v>
                </c:pt>
                <c:pt idx="277">
                  <c:v>2.0445775025632419E-2</c:v>
                </c:pt>
                <c:pt idx="278">
                  <c:v>2.0525701326168131E-2</c:v>
                </c:pt>
                <c:pt idx="279">
                  <c:v>2.0545888600315216E-2</c:v>
                </c:pt>
                <c:pt idx="280">
                  <c:v>2.0566056434787084E-2</c:v>
                </c:pt>
                <c:pt idx="281">
                  <c:v>2.060529980709307E-2</c:v>
                </c:pt>
                <c:pt idx="282">
                  <c:v>2.061586861609117E-2</c:v>
                </c:pt>
                <c:pt idx="283">
                  <c:v>2.0666566389064701E-2</c:v>
                </c:pt>
                <c:pt idx="284">
                  <c:v>2.0686595010545979E-2</c:v>
                </c:pt>
                <c:pt idx="285">
                  <c:v>2.070659666659614E-2</c:v>
                </c:pt>
                <c:pt idx="286">
                  <c:v>2.0745492895989835E-2</c:v>
                </c:pt>
                <c:pt idx="287">
                  <c:v>2.07559668382741E-2</c:v>
                </c:pt>
                <c:pt idx="288">
                  <c:v>2.0806162822136057E-2</c:v>
                </c:pt>
                <c:pt idx="289">
                  <c:v>2.0825980098512553E-2</c:v>
                </c:pt>
                <c:pt idx="290">
                  <c:v>2.0845762879670972E-2</c:v>
                </c:pt>
                <c:pt idx="291">
                  <c:v>2.0884250526373133E-2</c:v>
                </c:pt>
                <c:pt idx="292">
                  <c:v>2.0894581395376755E-2</c:v>
                </c:pt>
                <c:pt idx="293">
                  <c:v>2.0944121694176903E-2</c:v>
                </c:pt>
                <c:pt idx="294">
                  <c:v>2.0963674905111345E-2</c:v>
                </c:pt>
                <c:pt idx="295">
                  <c:v>2.0983186087121072E-2</c:v>
                </c:pt>
                <c:pt idx="296">
                  <c:v>2.1030468960933732E-2</c:v>
                </c:pt>
                <c:pt idx="297">
                  <c:v>2.1049851798899823E-2</c:v>
                </c:pt>
                <c:pt idx="298">
                  <c:v>2.1099339153951107E-2</c:v>
                </c:pt>
                <c:pt idx="299">
                  <c:v>2.1118547007353314E-2</c:v>
                </c:pt>
                <c:pt idx="300">
                  <c:v>2.1156069771696626E-2</c:v>
                </c:pt>
                <c:pt idx="301">
                  <c:v>2.116600502707423E-2</c:v>
                </c:pt>
                <c:pt idx="302">
                  <c:v>2.1213957564868598E-2</c:v>
                </c:pt>
                <c:pt idx="303">
                  <c:v>2.1232916100466386E-2</c:v>
                </c:pt>
                <c:pt idx="304">
                  <c:v>2.1251834166226093E-2</c:v>
                </c:pt>
                <c:pt idx="305">
                  <c:v>2.1288869663390022E-2</c:v>
                </c:pt>
                <c:pt idx="306">
                  <c:v>2.1298619173876581E-2</c:v>
                </c:pt>
                <c:pt idx="307">
                  <c:v>2.1345828282345439E-2</c:v>
                </c:pt>
                <c:pt idx="308">
                  <c:v>2.1364510030400526E-2</c:v>
                </c:pt>
                <c:pt idx="309">
                  <c:v>2.1383153475982863E-2</c:v>
                </c:pt>
                <c:pt idx="310">
                  <c:v>2.1419710887526304E-2</c:v>
                </c:pt>
                <c:pt idx="311">
                  <c:v>2.1429292768466467E-2</c:v>
                </c:pt>
                <c:pt idx="312">
                  <c:v>2.1475807008419005E-2</c:v>
                </c:pt>
                <c:pt idx="313">
                  <c:v>2.1494227144509333E-2</c:v>
                </c:pt>
                <c:pt idx="314">
                  <c:v>2.1512611146824633E-2</c:v>
                </c:pt>
                <c:pt idx="315">
                  <c:v>2.1548699091282261E-2</c:v>
                </c:pt>
                <c:pt idx="316">
                  <c:v>2.1558131752820744E-2</c:v>
                </c:pt>
                <c:pt idx="317">
                  <c:v>2.1603999999904099E-2</c:v>
                </c:pt>
                <c:pt idx="318">
                  <c:v>2.1622173733779473E-2</c:v>
                </c:pt>
                <c:pt idx="319">
                  <c:v>2.164031358707692E-2</c:v>
                </c:pt>
                <c:pt idx="320">
                  <c:v>2.1675942561088533E-2</c:v>
                </c:pt>
                <c:pt idx="321">
                  <c:v>2.1685243452651441E-2</c:v>
                </c:pt>
                <c:pt idx="322">
                  <c:v>2.1730507754783256E-2</c:v>
                </c:pt>
                <c:pt idx="323">
                  <c:v>2.1748445990854938E-2</c:v>
                </c:pt>
                <c:pt idx="324">
                  <c:v>2.1766350835235364E-2</c:v>
                </c:pt>
                <c:pt idx="325">
                  <c:v>2.1801533968195223E-2</c:v>
                </c:pt>
                <c:pt idx="326">
                  <c:v>2.1810706580781554E-2</c:v>
                </c:pt>
                <c:pt idx="327">
                  <c:v>2.1855376294542636E-2</c:v>
                </c:pt>
                <c:pt idx="328">
                  <c:v>2.1873082056547054E-2</c:v>
                </c:pt>
                <c:pt idx="329">
                  <c:v>2.1890754849521882E-2</c:v>
                </c:pt>
                <c:pt idx="330">
                  <c:v>2.1925501978793862E-2</c:v>
                </c:pt>
                <c:pt idx="331">
                  <c:v>2.1934545832280938E-2</c:v>
                </c:pt>
                <c:pt idx="332">
                  <c:v>2.1978626393578317E-2</c:v>
                </c:pt>
                <c:pt idx="333">
                  <c:v>2.1996102641256336E-2</c:v>
                </c:pt>
                <c:pt idx="334">
                  <c:v>2.2013546342934686E-2</c:v>
                </c:pt>
                <c:pt idx="335">
                  <c:v>2.2047867195799341E-2</c:v>
                </c:pt>
                <c:pt idx="336">
                  <c:v>2.2056781868829381E-2</c:v>
                </c:pt>
                <c:pt idx="337">
                  <c:v>2.2100278777774866E-2</c:v>
                </c:pt>
                <c:pt idx="338">
                  <c:v>2.2117528473424075E-2</c:v>
                </c:pt>
                <c:pt idx="339">
                  <c:v>2.2134746046464919E-2</c:v>
                </c:pt>
                <c:pt idx="340">
                  <c:v>2.2168650240031611E-2</c:v>
                </c:pt>
                <c:pt idx="341">
                  <c:v>2.2177435369983671E-2</c:v>
                </c:pt>
                <c:pt idx="342">
                  <c:v>2.222035419077174E-2</c:v>
                </c:pt>
                <c:pt idx="343">
                  <c:v>2.223738029919994E-2</c:v>
                </c:pt>
                <c:pt idx="344">
                  <c:v>2.2254374708765609E-2</c:v>
                </c:pt>
                <c:pt idx="345">
                  <c:v>2.2287871749886431E-2</c:v>
                </c:pt>
                <c:pt idx="346">
                  <c:v>2.2296527032850535E-2</c:v>
                </c:pt>
                <c:pt idx="347">
                  <c:v>2.2338873393638211E-2</c:v>
                </c:pt>
                <c:pt idx="348">
                  <c:v>2.2355678882116047E-2</c:v>
                </c:pt>
                <c:pt idx="349">
                  <c:v>2.2372453095825501E-2</c:v>
                </c:pt>
                <c:pt idx="350">
                  <c:v>2.2405552381011856E-2</c:v>
                </c:pt>
                <c:pt idx="351">
                  <c:v>2.2414077571760248E-2</c:v>
                </c:pt>
                <c:pt idx="352">
                  <c:v>2.2455857164548759E-2</c:v>
                </c:pt>
                <c:pt idx="353">
                  <c:v>2.2472445002764529E-2</c:v>
                </c:pt>
                <c:pt idx="354">
                  <c:v>2.2489001990647964E-2</c:v>
                </c:pt>
                <c:pt idx="355">
                  <c:v>2.2521712805986898E-2</c:v>
                </c:pt>
                <c:pt idx="356">
                  <c:v>2.2530107717948201E-2</c:v>
                </c:pt>
                <c:pt idx="357">
                  <c:v>2.2571326298463732E-2</c:v>
                </c:pt>
                <c:pt idx="358">
                  <c:v>2.2587699458477998E-2</c:v>
                </c:pt>
                <c:pt idx="359">
                  <c:v>2.2604042192930798E-2</c:v>
                </c:pt>
                <c:pt idx="360">
                  <c:v>2.2636373714007261E-2</c:v>
                </c:pt>
                <c:pt idx="361">
                  <c:v>2.2644638219237762E-2</c:v>
                </c:pt>
                <c:pt idx="362">
                  <c:v>2.2685301606815145E-2</c:v>
                </c:pt>
                <c:pt idx="363">
                  <c:v>2.2701463063015785E-2</c:v>
                </c:pt>
                <c:pt idx="364">
                  <c:v>2.2717594518755546E-2</c:v>
                </c:pt>
                <c:pt idx="365">
                  <c:v>2.2749555810571948E-2</c:v>
                </c:pt>
                <c:pt idx="366">
                  <c:v>2.2757689839728912E-2</c:v>
                </c:pt>
                <c:pt idx="367">
                  <c:v>2.2797803917195329E-2</c:v>
                </c:pt>
                <c:pt idx="368">
                  <c:v>2.281375664625435E-2</c:v>
                </c:pt>
                <c:pt idx="369">
                  <c:v>2.2829679800274828E-2</c:v>
                </c:pt>
                <c:pt idx="370">
                  <c:v>2.286127981717646E-2</c:v>
                </c:pt>
                <c:pt idx="371">
                  <c:v>2.28692833594904E-2</c:v>
                </c:pt>
                <c:pt idx="372">
                  <c:v>2.2908854073050464E-2</c:v>
                </c:pt>
                <c:pt idx="373">
                  <c:v>2.2924601053879719E-2</c:v>
                </c:pt>
                <c:pt idx="374">
                  <c:v>2.2940318885409424E-2</c:v>
                </c:pt>
                <c:pt idx="375">
                  <c:v>2.2971566471009123E-2</c:v>
                </c:pt>
                <c:pt idx="376">
                  <c:v>2.2979439574255658E-2</c:v>
                </c:pt>
                <c:pt idx="377">
                  <c:v>2.3018472933379421E-2</c:v>
                </c:pt>
                <c:pt idx="378">
                  <c:v>2.3034017147087429E-2</c:v>
                </c:pt>
                <c:pt idx="379">
                  <c:v>2.3049532637545778E-2</c:v>
                </c:pt>
                <c:pt idx="380">
                  <c:v>2.3095829815679311E-2</c:v>
                </c:pt>
                <c:pt idx="381">
                  <c:v>2.3142025802284253E-2</c:v>
                </c:pt>
                <c:pt idx="382">
                  <c:v>2.3157341955897436E-2</c:v>
                </c:pt>
                <c:pt idx="383">
                  <c:v>2.3164980945202585E-2</c:v>
                </c:pt>
                <c:pt idx="384">
                  <c:v>2.3233504741846728E-2</c:v>
                </c:pt>
                <c:pt idx="385">
                  <c:v>2.3248654997062402E-2</c:v>
                </c:pt>
                <c:pt idx="386">
                  <c:v>2.3263778249831835E-2</c:v>
                </c:pt>
                <c:pt idx="387">
                  <c:v>2.32940248984769E-2</c:v>
                </c:pt>
                <c:pt idx="388">
                  <c:v>2.3301513180367512E-2</c:v>
                </c:pt>
                <c:pt idx="389">
                  <c:v>2.3338995951548661E-2</c:v>
                </c:pt>
                <c:pt idx="390">
                  <c:v>2.3353961074561561E-2</c:v>
                </c:pt>
                <c:pt idx="391">
                  <c:v>2.336890049022277E-2</c:v>
                </c:pt>
                <c:pt idx="392">
                  <c:v>2.3398839020032067E-2</c:v>
                </c:pt>
                <c:pt idx="393">
                  <c:v>2.3406209076038853E-2</c:v>
                </c:pt>
                <c:pt idx="394">
                  <c:v>2.3443218435997591E-2</c:v>
                </c:pt>
                <c:pt idx="395">
                  <c:v>2.3458007494371245E-2</c:v>
                </c:pt>
                <c:pt idx="396">
                  <c:v>2.3472772141118845E-2</c:v>
                </c:pt>
                <c:pt idx="397">
                  <c:v>2.3502416405024359E-2</c:v>
                </c:pt>
                <c:pt idx="398">
                  <c:v>2.3509674894876618E-2</c:v>
                </c:pt>
                <c:pt idx="399">
                  <c:v>2.3546235681289808E-2</c:v>
                </c:pt>
                <c:pt idx="400">
                  <c:v>2.3560857746950284E-2</c:v>
                </c:pt>
                <c:pt idx="401">
                  <c:v>2.3575456697323732E-2</c:v>
                </c:pt>
                <c:pt idx="402">
                  <c:v>2.3604820214241578E-2</c:v>
                </c:pt>
                <c:pt idx="403">
                  <c:v>2.3619357211958084E-2</c:v>
                </c:pt>
                <c:pt idx="404">
                  <c:v>2.3648111203730397E-2</c:v>
                </c:pt>
                <c:pt idx="405">
                  <c:v>2.3662575352858692E-2</c:v>
                </c:pt>
                <c:pt idx="406">
                  <c:v>2.3677017683638196E-2</c:v>
                </c:pt>
                <c:pt idx="407">
                  <c:v>2.3706113638322979E-2</c:v>
                </c:pt>
                <c:pt idx="408">
                  <c:v>2.3713169667068833E-2</c:v>
                </c:pt>
                <c:pt idx="409">
                  <c:v>2.3748908549101576E-2</c:v>
                </c:pt>
                <c:pt idx="410">
                  <c:v>2.376322386203154E-2</c:v>
                </c:pt>
                <c:pt idx="411">
                  <c:v>2.3777518654137093E-2</c:v>
                </c:pt>
                <c:pt idx="412">
                  <c:v>2.3806359897046825E-2</c:v>
                </c:pt>
                <c:pt idx="413">
                  <c:v>2.3813325376638623E-2</c:v>
                </c:pt>
                <c:pt idx="414">
                  <c:v>2.3848691291969405E-2</c:v>
                </c:pt>
                <c:pt idx="415">
                  <c:v>2.3862866853093176E-2</c:v>
                </c:pt>
                <c:pt idx="416">
                  <c:v>2.3877023191488673E-2</c:v>
                </c:pt>
                <c:pt idx="417">
                  <c:v>2.3905622238656894E-2</c:v>
                </c:pt>
                <c:pt idx="418">
                  <c:v>2.39125045204297E-2</c:v>
                </c:pt>
                <c:pt idx="419">
                  <c:v>2.3947523035030532E-2</c:v>
                </c:pt>
                <c:pt idx="420">
                  <c:v>2.3961567932707976E-2</c:v>
                </c:pt>
                <c:pt idx="421">
                  <c:v>2.3975594906313076E-2</c:v>
                </c:pt>
                <c:pt idx="422">
                  <c:v>2.4003963939228004E-2</c:v>
                </c:pt>
                <c:pt idx="423">
                  <c:v>2.4010770547227393E-2</c:v>
                </c:pt>
                <c:pt idx="424">
                  <c:v>2.4038310127046048E-2</c:v>
                </c:pt>
                <c:pt idx="425">
                  <c:v>2.4052240547909332E-2</c:v>
                </c:pt>
                <c:pt idx="426">
                  <c:v>2.4066154318061805E-2</c:v>
                </c:pt>
                <c:pt idx="427">
                  <c:v>2.4080051623645238E-2</c:v>
                </c:pt>
                <c:pt idx="428">
                  <c:v>2.4108186932988062E-2</c:v>
                </c:pt>
                <c:pt idx="429">
                  <c:v>2.4135479923518721E-2</c:v>
                </c:pt>
                <c:pt idx="430">
                  <c:v>2.4149297698774275E-2</c:v>
                </c:pt>
                <c:pt idx="431">
                  <c:v>2.4163100126543435E-2</c:v>
                </c:pt>
                <c:pt idx="432">
                  <c:v>2.4176887393044355E-2</c:v>
                </c:pt>
                <c:pt idx="433">
                  <c:v>2.4204817180286591E-2</c:v>
                </c:pt>
                <c:pt idx="434">
                  <c:v>2.423188857110814E-2</c:v>
                </c:pt>
                <c:pt idx="435">
                  <c:v>2.4245602824917611E-2</c:v>
                </c:pt>
                <c:pt idx="436">
                  <c:v>2.4259303034992907E-2</c:v>
                </c:pt>
                <c:pt idx="437">
                  <c:v>2.4272989387627453E-2</c:v>
                </c:pt>
                <c:pt idx="438">
                  <c:v>2.4300724817807127E-2</c:v>
                </c:pt>
                <c:pt idx="439">
                  <c:v>2.4327599949981016E-2</c:v>
                </c:pt>
                <c:pt idx="440">
                  <c:v>2.4341219810171788E-2</c:v>
                </c:pt>
                <c:pt idx="441">
                  <c:v>2.435482693089952E-2</c:v>
                </c:pt>
                <c:pt idx="442">
                  <c:v>2.436842149853069E-2</c:v>
                </c:pt>
                <c:pt idx="443">
                  <c:v>2.4436212563779147E-2</c:v>
                </c:pt>
                <c:pt idx="444">
                  <c:v>2.4449735679371365E-2</c:v>
                </c:pt>
                <c:pt idx="445">
                  <c:v>2.4463247260338106E-2</c:v>
                </c:pt>
                <c:pt idx="446">
                  <c:v>2.4490625224111578E-2</c:v>
                </c:pt>
                <c:pt idx="447">
                  <c:v>2.4517176238932903E-2</c:v>
                </c:pt>
                <c:pt idx="448">
                  <c:v>2.4530628647466912E-2</c:v>
                </c:pt>
                <c:pt idx="449">
                  <c:v>2.4544068921619644E-2</c:v>
                </c:pt>
                <c:pt idx="450">
                  <c:v>2.4557496961414627E-2</c:v>
                </c:pt>
                <c:pt idx="451">
                  <c:v>2.4584700258648982E-2</c:v>
                </c:pt>
                <c:pt idx="452">
                  <c:v>2.4611084777331316E-2</c:v>
                </c:pt>
                <c:pt idx="453">
                  <c:v>2.4624450145530163E-2</c:v>
                </c:pt>
                <c:pt idx="454">
                  <c:v>2.4637802679414733E-2</c:v>
                </c:pt>
                <c:pt idx="455">
                  <c:v>2.4678552961327423E-2</c:v>
                </c:pt>
                <c:pt idx="456">
                  <c:v>2.468501234941883E-2</c:v>
                </c:pt>
                <c:pt idx="457">
                  <c:v>2.4704369333633514E-2</c:v>
                </c:pt>
                <c:pt idx="458">
                  <c:v>2.4717642761272751E-2</c:v>
                </c:pt>
                <c:pt idx="459">
                  <c:v>2.4730902654434228E-2</c:v>
                </c:pt>
                <c:pt idx="460">
                  <c:v>2.4744148913075747E-2</c:v>
                </c:pt>
                <c:pt idx="461">
                  <c:v>2.4770992624255448E-2</c:v>
                </c:pt>
                <c:pt idx="462">
                  <c:v>2.479699560144577E-2</c:v>
                </c:pt>
                <c:pt idx="463">
                  <c:v>2.481017218669912E-2</c:v>
                </c:pt>
                <c:pt idx="464">
                  <c:v>2.4823334537084962E-2</c:v>
                </c:pt>
                <c:pt idx="465">
                  <c:v>2.4836482552529571E-2</c:v>
                </c:pt>
                <c:pt idx="466">
                  <c:v>2.4842849352556078E-2</c:v>
                </c:pt>
                <c:pt idx="467">
                  <c:v>2.4902004102730135E-2</c:v>
                </c:pt>
                <c:pt idx="468">
                  <c:v>2.4915064006723275E-2</c:v>
                </c:pt>
                <c:pt idx="469">
                  <c:v>2.4928108875132304E-2</c:v>
                </c:pt>
                <c:pt idx="470">
                  <c:v>2.4954580523796038E-2</c:v>
                </c:pt>
                <c:pt idx="471">
                  <c:v>2.4980135990672059E-2</c:v>
                </c:pt>
                <c:pt idx="472">
                  <c:v>2.4993104179430237E-2</c:v>
                </c:pt>
                <c:pt idx="473">
                  <c:v>2.5006056731881499E-2</c:v>
                </c:pt>
                <c:pt idx="474">
                  <c:v>2.5018993547890389E-2</c:v>
                </c:pt>
                <c:pt idx="475">
                  <c:v>2.5045274934602887E-2</c:v>
                </c:pt>
                <c:pt idx="476">
                  <c:v>2.5070581444635698E-2</c:v>
                </c:pt>
                <c:pt idx="477">
                  <c:v>2.5083438076246356E-2</c:v>
                </c:pt>
                <c:pt idx="478">
                  <c:v>2.5096278370510205E-2</c:v>
                </c:pt>
                <c:pt idx="479">
                  <c:v>2.5109102227262259E-2</c:v>
                </c:pt>
                <c:pt idx="480">
                  <c:v>2.5135190770574301E-2</c:v>
                </c:pt>
                <c:pt idx="481">
                  <c:v>2.5160231275694001E-2</c:v>
                </c:pt>
                <c:pt idx="482">
                  <c:v>2.5172971442257719E-2</c:v>
                </c:pt>
                <c:pt idx="483">
                  <c:v>2.51856945702289E-2</c:v>
                </c:pt>
                <c:pt idx="484">
                  <c:v>2.5198400559413026E-2</c:v>
                </c:pt>
                <c:pt idx="485">
                  <c:v>2.5230892849339669E-2</c:v>
                </c:pt>
                <c:pt idx="486">
                  <c:v>2.5261669916438301E-2</c:v>
                </c:pt>
                <c:pt idx="487">
                  <c:v>2.5274270968589585E-2</c:v>
                </c:pt>
                <c:pt idx="488">
                  <c:v>2.5286854180478713E-2</c:v>
                </c:pt>
                <c:pt idx="489">
                  <c:v>2.5312550009959928E-2</c:v>
                </c:pt>
                <c:pt idx="490">
                  <c:v>2.5337006620827163E-2</c:v>
                </c:pt>
                <c:pt idx="491">
                  <c:v>2.534949912792972E-2</c:v>
                </c:pt>
                <c:pt idx="492">
                  <c:v>2.5361973193351872E-2</c:v>
                </c:pt>
                <c:pt idx="493">
                  <c:v>2.5374428716843367E-2</c:v>
                </c:pt>
                <c:pt idx="494">
                  <c:v>2.5399925034673407E-2</c:v>
                </c:pt>
                <c:pt idx="495">
                  <c:v>2.5424063386370488E-2</c:v>
                </c:pt>
                <c:pt idx="496">
                  <c:v>2.5436424696325455E-2</c:v>
                </c:pt>
                <c:pt idx="497">
                  <c:v>2.5448766862769645E-2</c:v>
                </c:pt>
                <c:pt idx="498">
                  <c:v>2.5461089785426827E-2</c:v>
                </c:pt>
                <c:pt idx="499">
                  <c:v>2.5486384727715319E-2</c:v>
                </c:pt>
                <c:pt idx="500">
                  <c:v>2.551018703252339E-2</c:v>
                </c:pt>
                <c:pt idx="501">
                  <c:v>2.5522412231967717E-2</c:v>
                </c:pt>
                <c:pt idx="502">
                  <c:v>2.5534617585888375E-2</c:v>
                </c:pt>
                <c:pt idx="503">
                  <c:v>2.5546802993983597E-2</c:v>
                </c:pt>
                <c:pt idx="504">
                  <c:v>2.557189487635356E-2</c:v>
                </c:pt>
                <c:pt idx="505">
                  <c:v>2.5595343161942896E-2</c:v>
                </c:pt>
                <c:pt idx="506">
                  <c:v>2.5607427336254984E-2</c:v>
                </c:pt>
                <c:pt idx="507">
                  <c:v>2.5619490962854874E-2</c:v>
                </c:pt>
                <c:pt idx="508">
                  <c:v>2.5631533983147881E-2</c:v>
                </c:pt>
                <c:pt idx="509">
                  <c:v>2.5656421591145662E-2</c:v>
                </c:pt>
                <c:pt idx="510">
                  <c:v>2.5679502585418845E-2</c:v>
                </c:pt>
                <c:pt idx="511">
                  <c:v>2.5691444616702697E-2</c:v>
                </c:pt>
                <c:pt idx="512">
                  <c:v>2.5703366900478697E-2</c:v>
                </c:pt>
                <c:pt idx="513">
                  <c:v>2.5715269586863654E-2</c:v>
                </c:pt>
                <c:pt idx="514">
                  <c:v>2.5739959910333638E-2</c:v>
                </c:pt>
                <c:pt idx="515">
                  <c:v>2.5762687361119641E-2</c:v>
                </c:pt>
                <c:pt idx="516">
                  <c:v>2.5774494312589491E-2</c:v>
                </c:pt>
                <c:pt idx="517">
                  <c:v>2.5786282567540342E-2</c:v>
                </c:pt>
                <c:pt idx="518">
                  <c:v>2.5868289465228456E-2</c:v>
                </c:pt>
                <c:pt idx="519">
                  <c:v>2.5949439113783113E-2</c:v>
                </c:pt>
                <c:pt idx="520">
                  <c:v>2.6029783052052835E-2</c:v>
                </c:pt>
                <c:pt idx="521">
                  <c:v>2.6109372837074929E-2</c:v>
                </c:pt>
                <c:pt idx="522">
                  <c:v>2.6188260043683576E-2</c:v>
                </c:pt>
                <c:pt idx="523">
                  <c:v>2.6266496264142569E-2</c:v>
                </c:pt>
                <c:pt idx="524">
                  <c:v>2.6344133107804701E-2</c:v>
                </c:pt>
                <c:pt idx="525">
                  <c:v>2.6421222200797345E-2</c:v>
                </c:pt>
                <c:pt idx="526">
                  <c:v>2.6497815185733353E-2</c:v>
                </c:pt>
                <c:pt idx="527">
                  <c:v>2.6573963721447269E-2</c:v>
                </c:pt>
                <c:pt idx="528">
                  <c:v>2.6649719482759959E-2</c:v>
                </c:pt>
                <c:pt idx="529">
                  <c:v>2.6725125530536298E-2</c:v>
                </c:pt>
                <c:pt idx="530">
                  <c:v>2.6800190417260339E-2</c:v>
                </c:pt>
                <c:pt idx="531">
                  <c:v>2.6874914067296363E-2</c:v>
                </c:pt>
                <c:pt idx="532">
                  <c:v>2.6949296405348155E-2</c:v>
                </c:pt>
                <c:pt idx="533">
                  <c:v>2.7023337356460786E-2</c:v>
                </c:pt>
                <c:pt idx="534">
                  <c:v>2.7097036846019051E-2</c:v>
                </c:pt>
                <c:pt idx="535">
                  <c:v>2.7170394799748365E-2</c:v>
                </c:pt>
                <c:pt idx="536">
                  <c:v>2.7243411143715202E-2</c:v>
                </c:pt>
                <c:pt idx="537">
                  <c:v>2.7316085804326207E-2</c:v>
                </c:pt>
                <c:pt idx="538">
                  <c:v>2.7388418708329532E-2</c:v>
                </c:pt>
                <c:pt idx="539">
                  <c:v>2.7460409782813944E-2</c:v>
                </c:pt>
                <c:pt idx="540">
                  <c:v>2.7532058955209493E-2</c:v>
                </c:pt>
                <c:pt idx="541">
                  <c:v>2.760336615328729E-2</c:v>
                </c:pt>
                <c:pt idx="542">
                  <c:v>2.7674331305160171E-2</c:v>
                </c:pt>
                <c:pt idx="543">
                  <c:v>2.7744954339282257E-2</c:v>
                </c:pt>
                <c:pt idx="544">
                  <c:v>2.7815235184449616E-2</c:v>
                </c:pt>
                <c:pt idx="545">
                  <c:v>2.7885173769799598E-2</c:v>
                </c:pt>
                <c:pt idx="546">
                  <c:v>2.7954770024811726E-2</c:v>
                </c:pt>
                <c:pt idx="547">
                  <c:v>2.8024023879307469E-2</c:v>
                </c:pt>
                <c:pt idx="548">
                  <c:v>2.8092935263450469E-2</c:v>
                </c:pt>
                <c:pt idx="549">
                  <c:v>2.8161504107746316E-2</c:v>
                </c:pt>
                <c:pt idx="550">
                  <c:v>2.8229730343042991E-2</c:v>
                </c:pt>
                <c:pt idx="551">
                  <c:v>2.8297613900531537E-2</c:v>
                </c:pt>
                <c:pt idx="552">
                  <c:v>2.83651547117445E-2</c:v>
                </c:pt>
                <c:pt idx="553">
                  <c:v>2.8432352708558373E-2</c:v>
                </c:pt>
                <c:pt idx="554">
                  <c:v>2.8499207823191153E-2</c:v>
                </c:pt>
                <c:pt idx="555">
                  <c:v>2.8565719988205007E-2</c:v>
                </c:pt>
                <c:pt idx="556">
                  <c:v>2.8631889136504052E-2</c:v>
                </c:pt>
                <c:pt idx="557">
                  <c:v>2.8697715201336127E-2</c:v>
                </c:pt>
                <c:pt idx="558">
                  <c:v>2.8763198116292577E-2</c:v>
                </c:pt>
                <c:pt idx="559">
                  <c:v>2.8828337815307137E-2</c:v>
                </c:pt>
                <c:pt idx="560">
                  <c:v>2.8893134232657935E-2</c:v>
                </c:pt>
                <c:pt idx="561">
                  <c:v>2.8957587302966381E-2</c:v>
                </c:pt>
                <c:pt idx="562">
                  <c:v>2.9021696961197607E-2</c:v>
                </c:pt>
                <c:pt idx="563">
                  <c:v>2.9085463142660473E-2</c:v>
                </c:pt>
                <c:pt idx="564">
                  <c:v>2.9148885783007783E-2</c:v>
                </c:pt>
                <c:pt idx="565">
                  <c:v>2.9211964818236513E-2</c:v>
                </c:pt>
                <c:pt idx="566">
                  <c:v>2.9274700184687585E-2</c:v>
                </c:pt>
                <c:pt idx="567">
                  <c:v>2.9337091819046091E-2</c:v>
                </c:pt>
                <c:pt idx="568">
                  <c:v>2.9399139658341955E-2</c:v>
                </c:pt>
                <c:pt idx="569">
                  <c:v>2.946084363994883E-2</c:v>
                </c:pt>
                <c:pt idx="570">
                  <c:v>2.9522203701585648E-2</c:v>
                </c:pt>
                <c:pt idx="571">
                  <c:v>2.9583219781315284E-2</c:v>
                </c:pt>
                <c:pt idx="572">
                  <c:v>2.964389181754612E-2</c:v>
                </c:pt>
                <c:pt idx="573">
                  <c:v>2.970421974903048E-2</c:v>
                </c:pt>
                <c:pt idx="574">
                  <c:v>2.976420351486686E-2</c:v>
                </c:pt>
                <c:pt idx="575">
                  <c:v>2.9823843054497923E-2</c:v>
                </c:pt>
                <c:pt idx="576">
                  <c:v>2.988313830771161E-2</c:v>
                </c:pt>
                <c:pt idx="577">
                  <c:v>2.9942089214641587E-2</c:v>
                </c:pt>
                <c:pt idx="578">
                  <c:v>3.0000695715766579E-2</c:v>
                </c:pt>
                <c:pt idx="579">
                  <c:v>3.0058957751910587E-2</c:v>
                </c:pt>
                <c:pt idx="580">
                  <c:v>3.0116875264243559E-2</c:v>
                </c:pt>
                <c:pt idx="581">
                  <c:v>3.0174448194281167E-2</c:v>
                </c:pt>
                <c:pt idx="582">
                  <c:v>3.0231676483884362E-2</c:v>
                </c:pt>
                <c:pt idx="583">
                  <c:v>3.0288560075260262E-2</c:v>
                </c:pt>
                <c:pt idx="584">
                  <c:v>3.0345098910962598E-2</c:v>
                </c:pt>
                <c:pt idx="585">
                  <c:v>3.0401292933889934E-2</c:v>
                </c:pt>
                <c:pt idx="586">
                  <c:v>3.0457142087288114E-2</c:v>
                </c:pt>
                <c:pt idx="587">
                  <c:v>3.0512646314748038E-2</c:v>
                </c:pt>
                <c:pt idx="588">
                  <c:v>3.0567805560208328E-2</c:v>
                </c:pt>
                <c:pt idx="589">
                  <c:v>3.0622619767953108E-2</c:v>
                </c:pt>
                <c:pt idx="590">
                  <c:v>3.0677088882613557E-2</c:v>
                </c:pt>
                <c:pt idx="591">
                  <c:v>3.07312128491668E-2</c:v>
                </c:pt>
                <c:pt idx="592">
                  <c:v>3.0784991612937684E-2</c:v>
                </c:pt>
                <c:pt idx="593">
                  <c:v>3.0838425119597002E-2</c:v>
                </c:pt>
                <c:pt idx="594">
                  <c:v>3.0891513315163266E-2</c:v>
                </c:pt>
                <c:pt idx="595">
                  <c:v>3.0944256146000937E-2</c:v>
                </c:pt>
                <c:pt idx="596">
                  <c:v>3.099665355882264E-2</c:v>
                </c:pt>
                <c:pt idx="597">
                  <c:v>3.1048705500687168E-2</c:v>
                </c:pt>
                <c:pt idx="598">
                  <c:v>3.1100411919001703E-2</c:v>
                </c:pt>
                <c:pt idx="599">
                  <c:v>3.1151772761520036E-2</c:v>
                </c:pt>
                <c:pt idx="600">
                  <c:v>3.120278797634346E-2</c:v>
                </c:pt>
                <c:pt idx="601">
                  <c:v>3.1253457511920768E-2</c:v>
                </c:pt>
                <c:pt idx="602">
                  <c:v>3.130378131704914E-2</c:v>
                </c:pt>
                <c:pt idx="603">
                  <c:v>3.1353759340872367E-2</c:v>
                </c:pt>
                <c:pt idx="604">
                  <c:v>3.1403391532882408E-2</c:v>
                </c:pt>
                <c:pt idx="605">
                  <c:v>3.1452677842919607E-2</c:v>
                </c:pt>
                <c:pt idx="606">
                  <c:v>3.1501618221171812E-2</c:v>
                </c:pt>
                <c:pt idx="607">
                  <c:v>3.1550212618175033E-2</c:v>
                </c:pt>
                <c:pt idx="608">
                  <c:v>3.1598460984813004E-2</c:v>
                </c:pt>
                <c:pt idx="609">
                  <c:v>3.1646363272318512E-2</c:v>
                </c:pt>
                <c:pt idx="610">
                  <c:v>3.1693919432271844E-2</c:v>
                </c:pt>
                <c:pt idx="611">
                  <c:v>3.1741129416602121E-2</c:v>
                </c:pt>
                <c:pt idx="612">
                  <c:v>3.1787993177586849E-2</c:v>
                </c:pt>
                <c:pt idx="613">
                  <c:v>3.1834510667851923E-2</c:v>
                </c:pt>
                <c:pt idx="614">
                  <c:v>3.1880681840371849E-2</c:v>
                </c:pt>
                <c:pt idx="615">
                  <c:v>3.1926506648470188E-2</c:v>
                </c:pt>
                <c:pt idx="616">
                  <c:v>3.1971985045818885E-2</c:v>
                </c:pt>
                <c:pt idx="617">
                  <c:v>3.2017116986439165E-2</c:v>
                </c:pt>
                <c:pt idx="618">
                  <c:v>3.2061902424700417E-2</c:v>
                </c:pt>
                <c:pt idx="619">
                  <c:v>3.2106341315321751E-2</c:v>
                </c:pt>
                <c:pt idx="620">
                  <c:v>3.215043361337111E-2</c:v>
                </c:pt>
                <c:pt idx="621">
                  <c:v>3.2194179274265711E-2</c:v>
                </c:pt>
                <c:pt idx="622">
                  <c:v>3.2237578253771826E-2</c:v>
                </c:pt>
                <c:pt idx="623">
                  <c:v>3.2280630508005448E-2</c:v>
                </c:pt>
                <c:pt idx="624">
                  <c:v>3.2323335993431179E-2</c:v>
                </c:pt>
                <c:pt idx="625">
                  <c:v>3.2365694666863787E-2</c:v>
                </c:pt>
                <c:pt idx="626">
                  <c:v>3.2407706485467092E-2</c:v>
                </c:pt>
                <c:pt idx="627">
                  <c:v>3.2449371406755079E-2</c:v>
                </c:pt>
                <c:pt idx="628">
                  <c:v>3.249068938859101E-2</c:v>
                </c:pt>
                <c:pt idx="629">
                  <c:v>3.2531660389187866E-2</c:v>
                </c:pt>
                <c:pt idx="630">
                  <c:v>3.2572284367108795E-2</c:v>
                </c:pt>
                <c:pt idx="631">
                  <c:v>3.2612561281265995E-2</c:v>
                </c:pt>
                <c:pt idx="632">
                  <c:v>3.265249109092272E-2</c:v>
                </c:pt>
                <c:pt idx="633">
                  <c:v>3.269207375569172E-2</c:v>
                </c:pt>
                <c:pt idx="634">
                  <c:v>3.2731309235535688E-2</c:v>
                </c:pt>
                <c:pt idx="635">
                  <c:v>3.2770197490767705E-2</c:v>
                </c:pt>
                <c:pt idx="636">
                  <c:v>3.2808738482051014E-2</c:v>
                </c:pt>
                <c:pt idx="637">
                  <c:v>3.2846932170399024E-2</c:v>
                </c:pt>
                <c:pt idx="638">
                  <c:v>3.288477851717575E-2</c:v>
                </c:pt>
                <c:pt idx="639">
                  <c:v>3.2922277484095597E-2</c:v>
                </c:pt>
                <c:pt idx="640">
                  <c:v>3.2959429033223131E-2</c:v>
                </c:pt>
                <c:pt idx="641">
                  <c:v>3.2996233126974195E-2</c:v>
                </c:pt>
                <c:pt idx="642">
                  <c:v>3.3032689728114129E-2</c:v>
                </c:pt>
                <c:pt idx="643">
                  <c:v>3.3068798799759991E-2</c:v>
                </c:pt>
                <c:pt idx="644">
                  <c:v>3.3104560305379005E-2</c:v>
                </c:pt>
                <c:pt idx="645">
                  <c:v>3.3145004960064117E-2</c:v>
                </c:pt>
                <c:pt idx="646">
                  <c:v>3.318002155995381E-2</c:v>
                </c:pt>
                <c:pt idx="647">
                  <c:v>3.3214690481283782E-2</c:v>
                </c:pt>
                <c:pt idx="648">
                  <c:v>3.3249011688975427E-2</c:v>
                </c:pt>
                <c:pt idx="649">
                  <c:v>3.328298514830097E-2</c:v>
                </c:pt>
                <c:pt idx="650">
                  <c:v>3.3316610824883908E-2</c:v>
                </c:pt>
                <c:pt idx="651">
                  <c:v>3.3349888684698126E-2</c:v>
                </c:pt>
                <c:pt idx="652">
                  <c:v>3.3382818694069671E-2</c:v>
                </c:pt>
                <c:pt idx="653">
                  <c:v>3.3415400819675423E-2</c:v>
                </c:pt>
                <c:pt idx="654">
                  <c:v>3.3447635028543754E-2</c:v>
                </c:pt>
                <c:pt idx="655">
                  <c:v>3.3490214132042895E-2</c:v>
                </c:pt>
                <c:pt idx="656">
                  <c:v>3.3521686341247303E-2</c:v>
                </c:pt>
                <c:pt idx="657">
                  <c:v>3.3552810443807604E-2</c:v>
                </c:pt>
                <c:pt idx="658">
                  <c:v>3.3583586407965549E-2</c:v>
                </c:pt>
                <c:pt idx="659">
                  <c:v>3.3614014202318125E-2</c:v>
                </c:pt>
                <c:pt idx="660">
                  <c:v>3.3647543791081848E-2</c:v>
                </c:pt>
                <c:pt idx="661">
                  <c:v>3.3673825157769358E-2</c:v>
                </c:pt>
                <c:pt idx="662">
                  <c:v>3.3703208257835307E-2</c:v>
                </c:pt>
                <c:pt idx="663">
                  <c:v>3.3735626406294003E-2</c:v>
                </c:pt>
                <c:pt idx="664">
                  <c:v>3.3760929552726589E-2</c:v>
                </c:pt>
                <c:pt idx="665">
                  <c:v>3.3789267688648449E-2</c:v>
                </c:pt>
                <c:pt idx="666">
                  <c:v>3.3820573846789034E-2</c:v>
                </c:pt>
                <c:pt idx="667">
                  <c:v>3.383500495836711E-2</c:v>
                </c:pt>
                <c:pt idx="668">
                  <c:v>3.3872191704350164E-2</c:v>
                </c:pt>
                <c:pt idx="669">
                  <c:v>3.38991361515317E-2</c:v>
                </c:pt>
                <c:pt idx="670">
                  <c:v>3.3925732106892495E-2</c:v>
                </c:pt>
                <c:pt idx="671">
                  <c:v>3.3951979543288435E-2</c:v>
                </c:pt>
                <c:pt idx="672">
                  <c:v>3.3977880059724762E-2</c:v>
                </c:pt>
                <c:pt idx="673">
                  <c:v>3.4003441759059748E-2</c:v>
                </c:pt>
                <c:pt idx="674">
                  <c:v>3.4028674371176675E-2</c:v>
                </c:pt>
                <c:pt idx="675">
                  <c:v>3.4053587627242796E-2</c:v>
                </c:pt>
                <c:pt idx="676">
                  <c:v>3.4078191259676295E-2</c:v>
                </c:pt>
                <c:pt idx="677">
                  <c:v>3.4102495002118767E-2</c:v>
                </c:pt>
                <c:pt idx="678">
                  <c:v>3.4126508589403255E-2</c:v>
                </c:pt>
                <c:pt idx="679">
                  <c:v>3.4150241757529398E-2</c:v>
                </c:pt>
                <c:pt idx="680">
                  <c:v>3.4164538166552516E-2</c:v>
                </c:pt>
                <c:pt idx="681">
                  <c:v>3.4196905785968311E-2</c:v>
                </c:pt>
                <c:pt idx="682">
                  <c:v>3.4219856123865716E-2</c:v>
                </c:pt>
                <c:pt idx="683">
                  <c:v>3.4242564997725607E-2</c:v>
                </c:pt>
                <c:pt idx="684">
                  <c:v>3.426504214898498E-2</c:v>
                </c:pt>
                <c:pt idx="685">
                  <c:v>3.428729732009745E-2</c:v>
                </c:pt>
                <c:pt idx="686">
                  <c:v>3.430934025451142E-2</c:v>
                </c:pt>
                <c:pt idx="687">
                  <c:v>3.4331180696649394E-2</c:v>
                </c:pt>
                <c:pt idx="688">
                  <c:v>3.435282839188903E-2</c:v>
                </c:pt>
                <c:pt idx="689">
                  <c:v>3.436530832229745E-2</c:v>
                </c:pt>
                <c:pt idx="690">
                  <c:v>3.4395584527843436E-2</c:v>
                </c:pt>
                <c:pt idx="691">
                  <c:v>3.4416712463920834E-2</c:v>
                </c:pt>
                <c:pt idx="692">
                  <c:v>3.4437686643792986E-2</c:v>
                </c:pt>
                <c:pt idx="693">
                  <c:v>3.4458516817346414E-2</c:v>
                </c:pt>
                <c:pt idx="694">
                  <c:v>3.4479212735323922E-2</c:v>
                </c:pt>
                <c:pt idx="695">
                  <c:v>3.4499784149310903E-2</c:v>
                </c:pt>
                <c:pt idx="696">
                  <c:v>3.452024081172262E-2</c:v>
                </c:pt>
                <c:pt idx="697">
                  <c:v>3.4543491853820496E-2</c:v>
                </c:pt>
                <c:pt idx="698">
                  <c:v>3.4560725591527855E-2</c:v>
                </c:pt>
                <c:pt idx="699">
                  <c:v>3.4580879773353654E-2</c:v>
                </c:pt>
                <c:pt idx="700">
                  <c:v>3.4600958971258727E-2</c:v>
                </c:pt>
                <c:pt idx="701">
                  <c:v>3.4620972967415224E-2</c:v>
                </c:pt>
                <c:pt idx="702">
                  <c:v>3.4631834102587203E-2</c:v>
                </c:pt>
                <c:pt idx="703">
                  <c:v>3.4660844487036747E-2</c:v>
                </c:pt>
                <c:pt idx="704">
                  <c:v>3.4680721578698295E-2</c:v>
                </c:pt>
                <c:pt idx="705">
                  <c:v>3.4700572604994151E-2</c:v>
                </c:pt>
                <c:pt idx="706">
                  <c:v>3.4711208136032942E-2</c:v>
                </c:pt>
                <c:pt idx="707">
                  <c:v>3.4740235606239074E-2</c:v>
                </c:pt>
                <c:pt idx="708">
                  <c:v>3.4760067155450762E-2</c:v>
                </c:pt>
                <c:pt idx="709">
                  <c:v>3.4779911787821569E-2</c:v>
                </c:pt>
                <c:pt idx="710">
                  <c:v>3.4799779292368833E-2</c:v>
                </c:pt>
                <c:pt idx="711">
                  <c:v>3.4822801531309358E-2</c:v>
                </c:pt>
                <c:pt idx="712">
                  <c:v>3.4844763891363817E-2</c:v>
                </c:pt>
                <c:pt idx="713">
                  <c:v>3.4864768679014668E-2</c:v>
                </c:pt>
                <c:pt idx="714">
                  <c:v>3.4884840553878194E-2</c:v>
                </c:pt>
                <c:pt idx="715">
                  <c:v>3.4904989360940109E-2</c:v>
                </c:pt>
                <c:pt idx="716">
                  <c:v>3.4925224945969724E-2</c:v>
                </c:pt>
                <c:pt idx="717">
                  <c:v>3.4945557155524831E-2</c:v>
                </c:pt>
                <c:pt idx="718">
                  <c:v>3.4965995836963248E-2</c:v>
                </c:pt>
                <c:pt idx="719">
                  <c:v>3.498655083845037E-2</c:v>
                </c:pt>
                <c:pt idx="720">
                  <c:v>3.500723200897049E-2</c:v>
                </c:pt>
                <c:pt idx="721">
                  <c:v>3.5028049198339017E-2</c:v>
                </c:pt>
                <c:pt idx="722">
                  <c:v>3.5049012257213574E-2</c:v>
                </c:pt>
                <c:pt idx="723">
                  <c:v>3.5070131012298056E-2</c:v>
                </c:pt>
                <c:pt idx="724">
                  <c:v>3.509141111657943E-2</c:v>
                </c:pt>
                <c:pt idx="725">
                  <c:v>3.5112848773672045E-2</c:v>
                </c:pt>
                <c:pt idx="726">
                  <c:v>3.5134438840881632E-2</c:v>
                </c:pt>
                <c:pt idx="727">
                  <c:v>3.5156176175151987E-2</c:v>
                </c:pt>
                <c:pt idx="728">
                  <c:v>3.5178055633058758E-2</c:v>
                </c:pt>
                <c:pt idx="729">
                  <c:v>3.5200072070802113E-2</c:v>
                </c:pt>
                <c:pt idx="730">
                  <c:v>3.5222220344199862E-2</c:v>
                </c:pt>
                <c:pt idx="731">
                  <c:v>3.5244495308679902E-2</c:v>
                </c:pt>
                <c:pt idx="732">
                  <c:v>3.5266891819274448E-2</c:v>
                </c:pt>
                <c:pt idx="733">
                  <c:v>3.5289404730614704E-2</c:v>
                </c:pt>
                <c:pt idx="734">
                  <c:v>3.5312028896923309E-2</c:v>
                </c:pt>
                <c:pt idx="735">
                  <c:v>3.5334759172009678E-2</c:v>
                </c:pt>
                <c:pt idx="736">
                  <c:v>3.5357590409264006E-2</c:v>
                </c:pt>
                <c:pt idx="737">
                  <c:v>3.5380517461653271E-2</c:v>
                </c:pt>
                <c:pt idx="738">
                  <c:v>3.5403535181714796E-2</c:v>
                </c:pt>
                <c:pt idx="739">
                  <c:v>3.5426638421552692E-2</c:v>
                </c:pt>
                <c:pt idx="740">
                  <c:v>3.5449822032833422E-2</c:v>
                </c:pt>
                <c:pt idx="741">
                  <c:v>3.5473080866780471E-2</c:v>
                </c:pt>
                <c:pt idx="742">
                  <c:v>3.5496409774172566E-2</c:v>
                </c:pt>
                <c:pt idx="743">
                  <c:v>3.5519803605338129E-2</c:v>
                </c:pt>
                <c:pt idx="744">
                  <c:v>3.5543257210152834E-2</c:v>
                </c:pt>
                <c:pt idx="745">
                  <c:v>3.5566765438036496E-2</c:v>
                </c:pt>
                <c:pt idx="746">
                  <c:v>3.5590323137949964E-2</c:v>
                </c:pt>
                <c:pt idx="747">
                  <c:v>3.5613925158392679E-2</c:v>
                </c:pt>
                <c:pt idx="748">
                  <c:v>3.5637566347400229E-2</c:v>
                </c:pt>
                <c:pt idx="749">
                  <c:v>3.5661241552542799E-2</c:v>
                </c:pt>
                <c:pt idx="750">
                  <c:v>3.5684945620922282E-2</c:v>
                </c:pt>
                <c:pt idx="751">
                  <c:v>3.5708673399171609E-2</c:v>
                </c:pt>
                <c:pt idx="752">
                  <c:v>3.5732419733453424E-2</c:v>
                </c:pt>
                <c:pt idx="753">
                  <c:v>3.5756179469458305E-2</c:v>
                </c:pt>
                <c:pt idx="754">
                  <c:v>3.5779947452404759E-2</c:v>
                </c:pt>
                <c:pt idx="755">
                  <c:v>3.5803718527038564E-2</c:v>
                </c:pt>
                <c:pt idx="756">
                  <c:v>3.5827487537631653E-2</c:v>
                </c:pt>
                <c:pt idx="757">
                  <c:v>3.5851249327983448E-2</c:v>
                </c:pt>
                <c:pt idx="758">
                  <c:v>3.5874998741419528E-2</c:v>
                </c:pt>
                <c:pt idx="759">
                  <c:v>3.5898730620794073E-2</c:v>
                </c:pt>
                <c:pt idx="760">
                  <c:v>3.5922439808488305E-2</c:v>
                </c:pt>
                <c:pt idx="761">
                  <c:v>3.5946121146413601E-2</c:v>
                </c:pt>
                <c:pt idx="762">
                  <c:v>3.5969769476011715E-2</c:v>
                </c:pt>
                <c:pt idx="763">
                  <c:v>3.5993379638255441E-2</c:v>
                </c:pt>
                <c:pt idx="764">
                  <c:v>3.6016946473652611E-2</c:v>
                </c:pt>
                <c:pt idx="765">
                  <c:v>3.6040464822246099E-2</c:v>
                </c:pt>
                <c:pt idx="766">
                  <c:v>3.6063929523617144E-2</c:v>
                </c:pt>
                <c:pt idx="767">
                  <c:v>3.6087335416888022E-2</c:v>
                </c:pt>
                <c:pt idx="768">
                  <c:v>3.6110677340723152E-2</c:v>
                </c:pt>
                <c:pt idx="769">
                  <c:v>3.6133950133335091E-2</c:v>
                </c:pt>
                <c:pt idx="770">
                  <c:v>3.6157148632484981E-2</c:v>
                </c:pt>
                <c:pt idx="771">
                  <c:v>3.6180267675487876E-2</c:v>
                </c:pt>
                <c:pt idx="772">
                  <c:v>3.6203302099215851E-2</c:v>
                </c:pt>
                <c:pt idx="773">
                  <c:v>3.6226246740102441E-2</c:v>
                </c:pt>
                <c:pt idx="774">
                  <c:v>3.6249096434146866E-2</c:v>
                </c:pt>
                <c:pt idx="775">
                  <c:v>3.6271846000702324E-2</c:v>
                </c:pt>
                <c:pt idx="776">
                  <c:v>3.6294489900765114E-2</c:v>
                </c:pt>
                <c:pt idx="777">
                  <c:v>3.6317023062057974E-2</c:v>
                </c:pt>
                <c:pt idx="778">
                  <c:v>3.6339440660759115E-2</c:v>
                </c:pt>
                <c:pt idx="779">
                  <c:v>3.6361737872667055E-2</c:v>
                </c:pt>
                <c:pt idx="780">
                  <c:v>3.6383909873207276E-2</c:v>
                </c:pt>
                <c:pt idx="781">
                  <c:v>3.6405951837436668E-2</c:v>
                </c:pt>
                <c:pt idx="782">
                  <c:v>3.6427858940050406E-2</c:v>
                </c:pt>
                <c:pt idx="783">
                  <c:v>3.6449626355387954E-2</c:v>
                </c:pt>
                <c:pt idx="784">
                  <c:v>3.6471249257439053E-2</c:v>
                </c:pt>
                <c:pt idx="785">
                  <c:v>3.6492722819850387E-2</c:v>
                </c:pt>
                <c:pt idx="786">
                  <c:v>3.6514042215933573E-2</c:v>
                </c:pt>
                <c:pt idx="787">
                  <c:v>3.6535202618670048E-2</c:v>
                </c:pt>
                <c:pt idx="788">
                  <c:v>3.6556199200720174E-2</c:v>
                </c:pt>
                <c:pt idx="789">
                  <c:v>3.657702713443034E-2</c:v>
                </c:pt>
                <c:pt idx="790">
                  <c:v>3.659768159184007E-2</c:v>
                </c:pt>
                <c:pt idx="791">
                  <c:v>3.6618157744690905E-2</c:v>
                </c:pt>
                <c:pt idx="792">
                  <c:v>3.6638450764433506E-2</c:v>
                </c:pt>
                <c:pt idx="793">
                  <c:v>3.6658555822236982E-2</c:v>
                </c:pt>
                <c:pt idx="794">
                  <c:v>3.6678468088996885E-2</c:v>
                </c:pt>
                <c:pt idx="795">
                  <c:v>3.6698182735345197E-2</c:v>
                </c:pt>
                <c:pt idx="796">
                  <c:v>3.6717694931657441E-2</c:v>
                </c:pt>
                <c:pt idx="797">
                  <c:v>3.6736999848064222E-2</c:v>
                </c:pt>
                <c:pt idx="798">
                  <c:v>3.6756092654459005E-2</c:v>
                </c:pt>
                <c:pt idx="799">
                  <c:v>3.6774968520508544E-2</c:v>
                </c:pt>
                <c:pt idx="800">
                  <c:v>3.6793622615663324E-2</c:v>
                </c:pt>
                <c:pt idx="801">
                  <c:v>3.6814663828458993E-2</c:v>
                </c:pt>
                <c:pt idx="802">
                  <c:v>3.6832826433183863E-2</c:v>
                </c:pt>
                <c:pt idx="803">
                  <c:v>3.6850752083990468E-2</c:v>
                </c:pt>
                <c:pt idx="804">
                  <c:v>3.6868435949542144E-2</c:v>
                </c:pt>
                <c:pt idx="805">
                  <c:v>3.688587319834058E-2</c:v>
                </c:pt>
                <c:pt idx="806">
                  <c:v>3.6903058998737359E-2</c:v>
                </c:pt>
                <c:pt idx="807">
                  <c:v>3.6919988518944846E-2</c:v>
                </c:pt>
                <c:pt idx="808">
                  <c:v>3.6936656927047951E-2</c:v>
                </c:pt>
                <c:pt idx="809">
                  <c:v>3.6953059391017451E-2</c:v>
                </c:pt>
                <c:pt idx="810">
                  <c:v>3.6969191078720653E-2</c:v>
                </c:pt>
                <c:pt idx="811">
                  <c:v>3.6985047157934936E-2</c:v>
                </c:pt>
                <c:pt idx="812">
                  <c:v>3.7000622796360183E-2</c:v>
                </c:pt>
                <c:pt idx="813">
                  <c:v>3.7015913161630998E-2</c:v>
                </c:pt>
                <c:pt idx="814">
                  <c:v>3.7030913421331579E-2</c:v>
                </c:pt>
                <c:pt idx="815">
                  <c:v>3.7045618743007269E-2</c:v>
                </c:pt>
                <c:pt idx="816">
                  <c:v>3.7060024294179206E-2</c:v>
                </c:pt>
                <c:pt idx="817">
                  <c:v>3.7074125242357869E-2</c:v>
                </c:pt>
                <c:pt idx="818">
                  <c:v>3.7087916755057071E-2</c:v>
                </c:pt>
                <c:pt idx="819">
                  <c:v>3.7101393999808829E-2</c:v>
                </c:pt>
                <c:pt idx="820">
                  <c:v>3.7114552144176693E-2</c:v>
                </c:pt>
                <c:pt idx="821">
                  <c:v>3.7127386355771952E-2</c:v>
                </c:pt>
                <c:pt idx="822">
                  <c:v>3.7139891802267178E-2</c:v>
                </c:pt>
                <c:pt idx="823">
                  <c:v>3.7152063651412215E-2</c:v>
                </c:pt>
                <c:pt idx="824">
                  <c:v>3.7163897071050167E-2</c:v>
                </c:pt>
                <c:pt idx="825">
                  <c:v>3.7175387229131385E-2</c:v>
                </c:pt>
                <c:pt idx="826">
                  <c:v>3.7186529293730564E-2</c:v>
                </c:pt>
                <c:pt idx="827">
                  <c:v>3.7197318500772347E-2</c:v>
                </c:pt>
                <c:pt idx="828">
                  <c:v>3.7207755985580127E-2</c:v>
                </c:pt>
                <c:pt idx="829">
                  <c:v>3.7217853277482726E-2</c:v>
                </c:pt>
                <c:pt idx="830">
                  <c:v>3.7227622964588925E-2</c:v>
                </c:pt>
                <c:pt idx="831">
                  <c:v>3.7237077635802418E-2</c:v>
                </c:pt>
                <c:pt idx="832">
                  <c:v>3.7246229880779413E-2</c:v>
                </c:pt>
                <c:pt idx="833">
                  <c:v>3.7255092289894431E-2</c:v>
                </c:pt>
                <c:pt idx="834">
                  <c:v>3.7263677454201227E-2</c:v>
                </c:pt>
                <c:pt idx="835">
                  <c:v>3.727199796540126E-2</c:v>
                </c:pt>
                <c:pt idx="836">
                  <c:v>3.7280066415808388E-2</c:v>
                </c:pt>
                <c:pt idx="837">
                  <c:v>3.7287895398319115E-2</c:v>
                </c:pt>
                <c:pt idx="838">
                  <c:v>3.7295497506381059E-2</c:v>
                </c:pt>
                <c:pt idx="839">
                  <c:v>3.7302885333967195E-2</c:v>
                </c:pt>
                <c:pt idx="840">
                  <c:v>3.7310071475546547E-2</c:v>
                </c:pt>
                <c:pt idx="841">
                  <c:v>3.7317068526060204E-2</c:v>
                </c:pt>
                <c:pt idx="842">
                  <c:v>3.7323889080897787E-2</c:v>
                </c:pt>
                <c:pt idx="843">
                  <c:v>3.733054573587391E-2</c:v>
                </c:pt>
                <c:pt idx="844">
                  <c:v>3.7337051087209305E-2</c:v>
                </c:pt>
                <c:pt idx="845">
                  <c:v>3.7343417731510398E-2</c:v>
                </c:pt>
                <c:pt idx="846">
                  <c:v>3.7349658265751984E-2</c:v>
                </c:pt>
                <c:pt idx="847">
                  <c:v>3.7355785287261467E-2</c:v>
                </c:pt>
                <c:pt idx="848">
                  <c:v>3.7361811393703981E-2</c:v>
                </c:pt>
                <c:pt idx="849">
                  <c:v>3.736774918306951E-2</c:v>
                </c:pt>
                <c:pt idx="850">
                  <c:v>3.7373611253661787E-2</c:v>
                </c:pt>
                <c:pt idx="851">
                  <c:v>3.7379410204086971E-2</c:v>
                </c:pt>
                <c:pt idx="852">
                  <c:v>3.7385158633246984E-2</c:v>
                </c:pt>
                <c:pt idx="853">
                  <c:v>3.7390869140331295E-2</c:v>
                </c:pt>
                <c:pt idx="854">
                  <c:v>3.7396554324812703E-2</c:v>
                </c:pt>
                <c:pt idx="855">
                  <c:v>3.7402226786442228E-2</c:v>
                </c:pt>
                <c:pt idx="856">
                  <c:v>3.7407899125247335E-2</c:v>
                </c:pt>
                <c:pt idx="857">
                  <c:v>3.7413583941531714E-2</c:v>
                </c:pt>
                <c:pt idx="858">
                  <c:v>3.7419293835875056E-2</c:v>
                </c:pt>
                <c:pt idx="859">
                  <c:v>3.7425041409136384E-2</c:v>
                </c:pt>
                <c:pt idx="860">
                  <c:v>3.7430839262456939E-2</c:v>
                </c:pt>
                <c:pt idx="861">
                  <c:v>3.7436699997265732E-2</c:v>
                </c:pt>
                <c:pt idx="862">
                  <c:v>3.7445047432064137E-2</c:v>
                </c:pt>
                <c:pt idx="863">
                  <c:v>3.7451089201314146E-2</c:v>
                </c:pt>
                <c:pt idx="864">
                  <c:v>3.7457232214625318E-2</c:v>
                </c:pt>
                <c:pt idx="865">
                  <c:v>3.7463489041527326E-2</c:v>
                </c:pt>
                <c:pt idx="866">
                  <c:v>3.7467387964806864E-2</c:v>
                </c:pt>
                <c:pt idx="867">
                  <c:v>3.7476394415929044E-2</c:v>
                </c:pt>
                <c:pt idx="868">
                  <c:v>3.7483068104242144E-2</c:v>
                </c:pt>
                <c:pt idx="869">
                  <c:v>3.7489905887805867E-2</c:v>
                </c:pt>
                <c:pt idx="870">
                  <c:v>3.7496920338004891E-2</c:v>
                </c:pt>
                <c:pt idx="871">
                  <c:v>3.7504124026651493E-2</c:v>
                </c:pt>
                <c:pt idx="872">
                  <c:v>3.7511529526007462E-2</c:v>
                </c:pt>
                <c:pt idx="873">
                  <c:v>3.7519149408807358E-2</c:v>
                </c:pt>
                <c:pt idx="874">
                  <c:v>3.7526996248283984E-2</c:v>
                </c:pt>
                <c:pt idx="875">
                  <c:v>3.7535082618195825E-2</c:v>
                </c:pt>
                <c:pt idx="876">
                  <c:v>3.7543421092854759E-2</c:v>
                </c:pt>
                <c:pt idx="877">
                  <c:v>3.7552024247155459E-2</c:v>
                </c:pt>
                <c:pt idx="878">
                  <c:v>3.7560904656608662E-2</c:v>
                </c:pt>
                <c:pt idx="879">
                  <c:v>3.7570074886242456E-2</c:v>
                </c:pt>
                <c:pt idx="880">
                  <c:v>3.7579541848282202E-2</c:v>
                </c:pt>
                <c:pt idx="881">
                  <c:v>3.7589297620480973E-2</c:v>
                </c:pt>
                <c:pt idx="882">
                  <c:v>3.7599331876648649E-2</c:v>
                </c:pt>
                <c:pt idx="883">
                  <c:v>3.7609634290425492E-2</c:v>
                </c:pt>
                <c:pt idx="884">
                  <c:v>3.7620194535253358E-2</c:v>
                </c:pt>
                <c:pt idx="885">
                  <c:v>3.7631002284350873E-2</c:v>
                </c:pt>
                <c:pt idx="886">
                  <c:v>3.7642047210686917E-2</c:v>
                </c:pt>
                <c:pt idx="887">
                  <c:v>3.7653318986957743E-2</c:v>
                </c:pt>
                <c:pt idx="888">
                  <c:v>3.7664807285562464E-2</c:v>
                </c:pt>
                <c:pt idx="889">
                  <c:v>3.7676501778582637E-2</c:v>
                </c:pt>
                <c:pt idx="890">
                  <c:v>3.7688392137759243E-2</c:v>
                </c:pt>
                <c:pt idx="891">
                  <c:v>3.7700468034473876E-2</c:v>
                </c:pt>
                <c:pt idx="892">
                  <c:v>3.7712719139729477E-2</c:v>
                </c:pt>
                <c:pt idx="893">
                  <c:v>3.772513512413149E-2</c:v>
                </c:pt>
                <c:pt idx="894">
                  <c:v>3.7737705657872836E-2</c:v>
                </c:pt>
                <c:pt idx="895">
                  <c:v>3.7750420410715732E-2</c:v>
                </c:pt>
                <c:pt idx="896">
                  <c:v>3.7763269051978188E-2</c:v>
                </c:pt>
                <c:pt idx="897">
                  <c:v>3.7776241250519399E-2</c:v>
                </c:pt>
                <c:pt idx="898">
                  <c:v>3.7789326674727786E-2</c:v>
                </c:pt>
                <c:pt idx="899">
                  <c:v>3.7802514992508141E-2</c:v>
                </c:pt>
                <c:pt idx="900">
                  <c:v>3.7815795871271006E-2</c:v>
                </c:pt>
                <c:pt idx="901">
                  <c:v>3.7829158977924493E-2</c:v>
                </c:pt>
                <c:pt idx="902">
                  <c:v>3.7842593978862304E-2</c:v>
                </c:pt>
                <c:pt idx="903">
                  <c:v>3.7856090539960204E-2</c:v>
                </c:pt>
                <c:pt idx="904">
                  <c:v>3.7869638326565154E-2</c:v>
                </c:pt>
                <c:pt idx="905">
                  <c:v>3.7883227003493107E-2</c:v>
                </c:pt>
                <c:pt idx="906">
                  <c:v>3.7896846235022166E-2</c:v>
                </c:pt>
                <c:pt idx="907">
                  <c:v>3.791048568489009E-2</c:v>
                </c:pt>
                <c:pt idx="908">
                  <c:v>3.7924135016291924E-2</c:v>
                </c:pt>
                <c:pt idx="909">
                  <c:v>3.793778389187729E-2</c:v>
                </c:pt>
                <c:pt idx="910">
                  <c:v>3.7951421973751093E-2</c:v>
                </c:pt>
                <c:pt idx="911">
                  <c:v>3.7965038923474151E-2</c:v>
                </c:pt>
                <c:pt idx="912">
                  <c:v>3.7978624402063427E-2</c:v>
                </c:pt>
                <c:pt idx="913">
                  <c:v>3.7992168069996474E-2</c:v>
                </c:pt>
                <c:pt idx="914">
                  <c:v>3.8005659587213185E-2</c:v>
                </c:pt>
                <c:pt idx="915">
                  <c:v>3.8016248804747077E-2</c:v>
                </c:pt>
                <c:pt idx="916">
                  <c:v>3.8029617289075945E-2</c:v>
                </c:pt>
                <c:pt idx="917">
                  <c:v>3.8042903036685116E-2</c:v>
                </c:pt>
                <c:pt idx="918">
                  <c:v>3.8056095678191015E-2</c:v>
                </c:pt>
                <c:pt idx="919">
                  <c:v>3.8069184843706472E-2</c:v>
                </c:pt>
                <c:pt idx="920">
                  <c:v>3.8082160162850265E-2</c:v>
                </c:pt>
                <c:pt idx="921">
                  <c:v>3.8095011264758893E-2</c:v>
                </c:pt>
                <c:pt idx="922">
                  <c:v>3.8107727778097233E-2</c:v>
                </c:pt>
                <c:pt idx="923">
                  <c:v>3.8120299331071639E-2</c:v>
                </c:pt>
                <c:pt idx="924">
                  <c:v>3.813271555144504E-2</c:v>
                </c:pt>
                <c:pt idx="925">
                  <c:v>3.8144966066550046E-2</c:v>
                </c:pt>
                <c:pt idx="926">
                  <c:v>3.8157040503306927E-2</c:v>
                </c:pt>
                <c:pt idx="927">
                  <c:v>3.8168928488239828E-2</c:v>
                </c:pt>
                <c:pt idx="928">
                  <c:v>3.8180619647494529E-2</c:v>
                </c:pt>
                <c:pt idx="929">
                  <c:v>3.8192103606857986E-2</c:v>
                </c:pt>
                <c:pt idx="930">
                  <c:v>3.8203369991778313E-2</c:v>
                </c:pt>
                <c:pt idx="931">
                  <c:v>3.821440842738677E-2</c:v>
                </c:pt>
                <c:pt idx="932">
                  <c:v>3.8225210122670328E-2</c:v>
                </c:pt>
                <c:pt idx="933">
                  <c:v>3.8235776062780724E-2</c:v>
                </c:pt>
                <c:pt idx="934">
                  <c:v>3.8246110958836121E-2</c:v>
                </c:pt>
                <c:pt idx="935">
                  <c:v>3.8256219529632984E-2</c:v>
                </c:pt>
                <c:pt idx="936">
                  <c:v>3.8266106494302621E-2</c:v>
                </c:pt>
                <c:pt idx="937">
                  <c:v>3.827577657230008E-2</c:v>
                </c:pt>
                <c:pt idx="938">
                  <c:v>3.8285234483393937E-2</c:v>
                </c:pt>
                <c:pt idx="939">
                  <c:v>3.8294484947657415E-2</c:v>
                </c:pt>
                <c:pt idx="940">
                  <c:v>3.8303532685458164E-2</c:v>
                </c:pt>
                <c:pt idx="941">
                  <c:v>3.8312382417449609E-2</c:v>
                </c:pt>
                <c:pt idx="942">
                  <c:v>3.8321038864560508E-2</c:v>
                </c:pt>
                <c:pt idx="943">
                  <c:v>3.8329506747988296E-2</c:v>
                </c:pt>
                <c:pt idx="944">
                  <c:v>3.8337790789187531E-2</c:v>
                </c:pt>
                <c:pt idx="945">
                  <c:v>3.8345895709864131E-2</c:v>
                </c:pt>
                <c:pt idx="946">
                  <c:v>3.8353826231965371E-2</c:v>
                </c:pt>
                <c:pt idx="947">
                  <c:v>3.8361587077672565E-2</c:v>
                </c:pt>
                <c:pt idx="948">
                  <c:v>3.8369182969392623E-2</c:v>
                </c:pt>
                <c:pt idx="949">
                  <c:v>3.8376618629751835E-2</c:v>
                </c:pt>
                <c:pt idx="950">
                  <c:v>3.8383898781586545E-2</c:v>
                </c:pt>
                <c:pt idx="951">
                  <c:v>3.8391028147937156E-2</c:v>
                </c:pt>
                <c:pt idx="952">
                  <c:v>3.8398011452041914E-2</c:v>
                </c:pt>
                <c:pt idx="953">
                  <c:v>3.84048534173278E-2</c:v>
                </c:pt>
                <c:pt idx="954">
                  <c:v>3.8411558767405873E-2</c:v>
                </c:pt>
                <c:pt idx="955">
                  <c:v>3.8418132226065271E-2</c:v>
                </c:pt>
                <c:pt idx="956">
                  <c:v>3.8424578517264996E-2</c:v>
                </c:pt>
                <c:pt idx="957">
                  <c:v>3.8437429157403918E-2</c:v>
                </c:pt>
                <c:pt idx="958">
                  <c:v>3.8443596349319854E-2</c:v>
                </c:pt>
                <c:pt idx="959">
                  <c:v>3.8449652517523081E-2</c:v>
                </c:pt>
                <c:pt idx="960">
                  <c:v>3.8455602361862032E-2</c:v>
                </c:pt>
                <c:pt idx="961">
                  <c:v>3.8461450582327784E-2</c:v>
                </c:pt>
                <c:pt idx="962">
                  <c:v>3.8460126725303988E-2</c:v>
                </c:pt>
                <c:pt idx="963">
                  <c:v>3.8472860952286012E-2</c:v>
                </c:pt>
                <c:pt idx="964">
                  <c:v>3.8478432502429334E-2</c:v>
                </c:pt>
                <c:pt idx="965">
                  <c:v>3.8483921229993244E-2</c:v>
                </c:pt>
                <c:pt idx="966">
                  <c:v>3.8482272311095522E-2</c:v>
                </c:pt>
                <c:pt idx="967">
                  <c:v>3.8494669020038882E-2</c:v>
                </c:pt>
                <c:pt idx="968">
                  <c:v>3.8499937484138075E-2</c:v>
                </c:pt>
                <c:pt idx="969">
                  <c:v>3.8505141928885468E-2</c:v>
                </c:pt>
                <c:pt idx="970">
                  <c:v>3.8510287055364391E-2</c:v>
                </c:pt>
                <c:pt idx="971">
                  <c:v>3.8517729372377442E-2</c:v>
                </c:pt>
                <c:pt idx="972">
                  <c:v>3.8520418158367133E-2</c:v>
                </c:pt>
                <c:pt idx="973">
                  <c:v>3.8523545401889514E-2</c:v>
                </c:pt>
                <c:pt idx="974">
                  <c:v>3.8528478305392078E-2</c:v>
                </c:pt>
                <c:pt idx="975">
                  <c:v>3.8533377873855246E-2</c:v>
                </c:pt>
                <c:pt idx="976">
                  <c:v>3.8538248833789757E-2</c:v>
                </c:pt>
                <c:pt idx="977">
                  <c:v>3.8543095911796943E-2</c:v>
                </c:pt>
                <c:pt idx="978">
                  <c:v>3.8547923834568287E-2</c:v>
                </c:pt>
                <c:pt idx="979">
                  <c:v>3.8552737328884978E-2</c:v>
                </c:pt>
                <c:pt idx="980">
                  <c:v>3.8557541121616357E-2</c:v>
                </c:pt>
                <c:pt idx="981">
                  <c:v>3.8562339939719248E-2</c:v>
                </c:pt>
                <c:pt idx="982">
                  <c:v>3.8567138510238408E-2</c:v>
                </c:pt>
                <c:pt idx="983">
                  <c:v>3.8571941410481037E-2</c:v>
                </c:pt>
                <c:pt idx="984">
                  <c:v>3.8576750502933077E-2</c:v>
                </c:pt>
                <c:pt idx="985">
                  <c:v>3.8581565168386955E-2</c:v>
                </c:pt>
                <c:pt idx="986">
                  <c:v>3.8586384681545294E-2</c:v>
                </c:pt>
                <c:pt idx="987">
                  <c:v>3.8591208317098502E-2</c:v>
                </c:pt>
                <c:pt idx="988">
                  <c:v>3.8596035349723001E-2</c:v>
                </c:pt>
                <c:pt idx="989">
                  <c:v>3.860086505408189E-2</c:v>
                </c:pt>
                <c:pt idx="990">
                  <c:v>3.8605696704824943E-2</c:v>
                </c:pt>
                <c:pt idx="991">
                  <c:v>3.8610529576588171E-2</c:v>
                </c:pt>
                <c:pt idx="992">
                  <c:v>3.8615362943994258E-2</c:v>
                </c:pt>
                <c:pt idx="993">
                  <c:v>3.8620196081652347E-2</c:v>
                </c:pt>
                <c:pt idx="994">
                  <c:v>3.8625028264158479E-2</c:v>
                </c:pt>
                <c:pt idx="995">
                  <c:v>3.8629858766094261E-2</c:v>
                </c:pt>
                <c:pt idx="996">
                  <c:v>3.8634686862028644E-2</c:v>
                </c:pt>
                <c:pt idx="997">
                  <c:v>3.8639511826516815E-2</c:v>
                </c:pt>
                <c:pt idx="998">
                  <c:v>3.8644332934100634E-2</c:v>
                </c:pt>
                <c:pt idx="999">
                  <c:v>3.8649149459307974E-2</c:v>
                </c:pt>
                <c:pt idx="1000">
                  <c:v>3.8653960676654497E-2</c:v>
                </c:pt>
                <c:pt idx="1001">
                  <c:v>3.8658765860641209E-2</c:v>
                </c:pt>
                <c:pt idx="1002">
                  <c:v>3.8663564285756236E-2</c:v>
                </c:pt>
                <c:pt idx="1003">
                  <c:v>3.8668355226475049E-2</c:v>
                </c:pt>
                <c:pt idx="1004">
                  <c:v>3.8673137957258907E-2</c:v>
                </c:pt>
                <c:pt idx="1005">
                  <c:v>3.8677911752556415E-2</c:v>
                </c:pt>
                <c:pt idx="1006">
                  <c:v>3.8682675886803075E-2</c:v>
                </c:pt>
                <c:pt idx="1007">
                  <c:v>3.8687429634421067E-2</c:v>
                </c:pt>
                <c:pt idx="1008">
                  <c:v>3.8692172269820135E-2</c:v>
                </c:pt>
                <c:pt idx="1009">
                  <c:v>3.8696903067396704E-2</c:v>
                </c:pt>
                <c:pt idx="1010">
                  <c:v>3.8701621301533873E-2</c:v>
                </c:pt>
                <c:pt idx="1011">
                  <c:v>3.8706326246603195E-2</c:v>
                </c:pt>
                <c:pt idx="1012">
                  <c:v>3.8711017176962459E-2</c:v>
                </c:pt>
                <c:pt idx="1013">
                  <c:v>3.871569336695746E-2</c:v>
                </c:pt>
                <c:pt idx="1014">
                  <c:v>3.8720354090921782E-2</c:v>
                </c:pt>
                <c:pt idx="1015">
                  <c:v>3.8724998623175688E-2</c:v>
                </c:pt>
                <c:pt idx="1016">
                  <c:v>3.8729626238028558E-2</c:v>
                </c:pt>
                <c:pt idx="1017">
                  <c:v>3.8734236209776007E-2</c:v>
                </c:pt>
                <c:pt idx="1018">
                  <c:v>3.8738827812703436E-2</c:v>
                </c:pt>
                <c:pt idx="1019">
                  <c:v>3.8743400321082921E-2</c:v>
                </c:pt>
                <c:pt idx="1020">
                  <c:v>3.8747953009175884E-2</c:v>
                </c:pt>
                <c:pt idx="1021">
                  <c:v>3.8752485151230864E-2</c:v>
                </c:pt>
                <c:pt idx="1022">
                  <c:v>3.8756996021485968E-2</c:v>
                </c:pt>
                <c:pt idx="1023">
                  <c:v>3.8761484894167975E-2</c:v>
                </c:pt>
                <c:pt idx="1024">
                  <c:v>3.8765951043491897E-2</c:v>
                </c:pt>
                <c:pt idx="1025">
                  <c:v>3.877039374366209E-2</c:v>
                </c:pt>
                <c:pt idx="1026">
                  <c:v>3.8774812268871806E-2</c:v>
                </c:pt>
                <c:pt idx="1027">
                  <c:v>3.8779205893304081E-2</c:v>
                </c:pt>
                <c:pt idx="1028">
                  <c:v>3.8783573891131295E-2</c:v>
                </c:pt>
                <c:pt idx="1029">
                  <c:v>3.878791553651495E-2</c:v>
                </c:pt>
                <c:pt idx="1030">
                  <c:v>3.8792230103606773E-2</c:v>
                </c:pt>
                <c:pt idx="1031">
                  <c:v>3.8796516866548725E-2</c:v>
                </c:pt>
                <c:pt idx="1032">
                  <c:v>3.8800775099472551E-2</c:v>
                </c:pt>
                <c:pt idx="1033">
                  <c:v>3.8805004076501115E-2</c:v>
                </c:pt>
                <c:pt idx="1034">
                  <c:v>3.8809203071746845E-2</c:v>
                </c:pt>
                <c:pt idx="1035">
                  <c:v>3.8813371359611049E-2</c:v>
                </c:pt>
                <c:pt idx="1036">
                  <c:v>3.8817508388748756E-2</c:v>
                </c:pt>
                <c:pt idx="1037">
                  <c:v>3.8821614069243893E-2</c:v>
                </c:pt>
                <c:pt idx="1038">
                  <c:v>3.8825688386466162E-2</c:v>
                </c:pt>
                <c:pt idx="1039">
                  <c:v>3.8829731325787487E-2</c:v>
                </c:pt>
                <c:pt idx="1040">
                  <c:v>3.8833742872582677E-2</c:v>
                </c:pt>
                <c:pt idx="1041">
                  <c:v>3.8837723012228764E-2</c:v>
                </c:pt>
                <c:pt idx="1042">
                  <c:v>3.8841671730105887E-2</c:v>
                </c:pt>
                <c:pt idx="1043">
                  <c:v>3.8845589011596626E-2</c:v>
                </c:pt>
                <c:pt idx="1044">
                  <c:v>3.8849474842086007E-2</c:v>
                </c:pt>
                <c:pt idx="1045">
                  <c:v>3.8853329206962162E-2</c:v>
                </c:pt>
                <c:pt idx="1046">
                  <c:v>3.8857152091615443E-2</c:v>
                </c:pt>
                <c:pt idx="1047">
                  <c:v>3.886094348143887E-2</c:v>
                </c:pt>
                <c:pt idx="1048">
                  <c:v>3.8864703361828568E-2</c:v>
                </c:pt>
                <c:pt idx="1049">
                  <c:v>3.8868431718182661E-2</c:v>
                </c:pt>
                <c:pt idx="1050">
                  <c:v>3.8872128535902606E-2</c:v>
                </c:pt>
                <c:pt idx="1051">
                  <c:v>3.8875793800391856E-2</c:v>
                </c:pt>
                <c:pt idx="1052">
                  <c:v>3.8879427497057195E-2</c:v>
                </c:pt>
                <c:pt idx="1053">
                  <c:v>3.8883029611307407E-2</c:v>
                </c:pt>
                <c:pt idx="1054">
                  <c:v>3.8886600128554605E-2</c:v>
                </c:pt>
                <c:pt idx="1055">
                  <c:v>3.8890139034213345E-2</c:v>
                </c:pt>
                <c:pt idx="1056">
                  <c:v>3.8893646313700625E-2</c:v>
                </c:pt>
                <c:pt idx="1057">
                  <c:v>3.8897121952436553E-2</c:v>
                </c:pt>
                <c:pt idx="1058">
                  <c:v>3.8900565935843678E-2</c:v>
                </c:pt>
                <c:pt idx="1059">
                  <c:v>3.8903978249346993E-2</c:v>
                </c:pt>
                <c:pt idx="1060">
                  <c:v>3.8907358878375042E-2</c:v>
                </c:pt>
                <c:pt idx="1061">
                  <c:v>3.8910707808358147E-2</c:v>
                </c:pt>
                <c:pt idx="1062">
                  <c:v>3.8914025024729959E-2</c:v>
                </c:pt>
                <c:pt idx="1063">
                  <c:v>3.8917310512926573E-2</c:v>
                </c:pt>
                <c:pt idx="1064">
                  <c:v>3.8920564258386747E-2</c:v>
                </c:pt>
                <c:pt idx="1065">
                  <c:v>3.892378624655235E-2</c:v>
                </c:pt>
                <c:pt idx="1066">
                  <c:v>3.8926976462867469E-2</c:v>
                </c:pt>
                <c:pt idx="1067">
                  <c:v>3.89301348927793E-2</c:v>
                </c:pt>
                <c:pt idx="1068">
                  <c:v>3.8933261521737705E-2</c:v>
                </c:pt>
                <c:pt idx="1069">
                  <c:v>3.8936356335195654E-2</c:v>
                </c:pt>
                <c:pt idx="1070">
                  <c:v>3.8941667787046413E-2</c:v>
                </c:pt>
                <c:pt idx="1071">
                  <c:v>3.8944696956258226E-2</c:v>
                </c:pt>
                <c:pt idx="1072">
                  <c:v>3.8947694262395784E-2</c:v>
                </c:pt>
                <c:pt idx="1073">
                  <c:v>3.8950659690958893E-2</c:v>
                </c:pt>
                <c:pt idx="1074">
                  <c:v>3.8953593227451552E-2</c:v>
                </c:pt>
                <c:pt idx="1075">
                  <c:v>3.8956494857379544E-2</c:v>
                </c:pt>
                <c:pt idx="1076">
                  <c:v>3.8959364566251535E-2</c:v>
                </c:pt>
                <c:pt idx="1077">
                  <c:v>3.8962202339579498E-2</c:v>
                </c:pt>
                <c:pt idx="1078">
                  <c:v>3.8965008162877415E-2</c:v>
                </c:pt>
                <c:pt idx="1079">
                  <c:v>3.8967782021663018E-2</c:v>
                </c:pt>
                <c:pt idx="1080">
                  <c:v>3.8970523901456042E-2</c:v>
                </c:pt>
                <c:pt idx="1081">
                  <c:v>3.8973233787779539E-2</c:v>
                </c:pt>
                <c:pt idx="1082">
                  <c:v>3.8975911666159435E-2</c:v>
                </c:pt>
                <c:pt idx="1083">
                  <c:v>3.8978557522123439E-2</c:v>
                </c:pt>
                <c:pt idx="1084">
                  <c:v>3.8981171341203463E-2</c:v>
                </c:pt>
                <c:pt idx="1085">
                  <c:v>3.8983753108933622E-2</c:v>
                </c:pt>
                <c:pt idx="1086">
                  <c:v>3.8986302810850929E-2</c:v>
                </c:pt>
                <c:pt idx="1087">
                  <c:v>3.8988820433158024E-2</c:v>
                </c:pt>
                <c:pt idx="1088">
                  <c:v>3.8991306022757237E-2</c:v>
                </c:pt>
                <c:pt idx="1089">
                  <c:v>3.8993759736518065E-2</c:v>
                </c:pt>
                <c:pt idx="1090">
                  <c:v>3.8996181743062394E-2</c:v>
                </c:pt>
                <c:pt idx="1091">
                  <c:v>3.8998572211016977E-2</c:v>
                </c:pt>
                <c:pt idx="1092">
                  <c:v>3.9000931309013658E-2</c:v>
                </c:pt>
                <c:pt idx="1093">
                  <c:v>3.9003259205687153E-2</c:v>
                </c:pt>
                <c:pt idx="1094">
                  <c:v>3.9005556069677733E-2</c:v>
                </c:pt>
                <c:pt idx="1095">
                  <c:v>3.9007822069629862E-2</c:v>
                </c:pt>
                <c:pt idx="1096">
                  <c:v>3.9010057374191984E-2</c:v>
                </c:pt>
                <c:pt idx="1097">
                  <c:v>3.9012262152016766E-2</c:v>
                </c:pt>
                <c:pt idx="1098">
                  <c:v>3.9014436571760416E-2</c:v>
                </c:pt>
                <c:pt idx="1099">
                  <c:v>3.9016580802084665E-2</c:v>
                </c:pt>
                <c:pt idx="1100">
                  <c:v>3.9018695011654357E-2</c:v>
                </c:pt>
                <c:pt idx="1101">
                  <c:v>3.9020779369137872E-2</c:v>
                </c:pt>
                <c:pt idx="1102">
                  <c:v>3.9022834043208908E-2</c:v>
                </c:pt>
                <c:pt idx="1103">
                  <c:v>3.9024859202543595E-2</c:v>
                </c:pt>
                <c:pt idx="1104">
                  <c:v>3.9026855015823161E-2</c:v>
                </c:pt>
                <c:pt idx="1105">
                  <c:v>3.9028821651731715E-2</c:v>
                </c:pt>
                <c:pt idx="1106">
                  <c:v>3.9030759278957557E-2</c:v>
                </c:pt>
                <c:pt idx="1107">
                  <c:v>3.9032668066192329E-2</c:v>
                </c:pt>
                <c:pt idx="1108">
                  <c:v>3.9034548182132089E-2</c:v>
                </c:pt>
                <c:pt idx="1109">
                  <c:v>3.9036399795475782E-2</c:v>
                </c:pt>
                <c:pt idx="1110">
                  <c:v>3.9038223074926333E-2</c:v>
                </c:pt>
                <c:pt idx="1111">
                  <c:v>3.9040018189189764E-2</c:v>
                </c:pt>
                <c:pt idx="1112">
                  <c:v>3.9041785306976315E-2</c:v>
                </c:pt>
                <c:pt idx="1113">
                  <c:v>3.9043770805185271E-2</c:v>
                </c:pt>
                <c:pt idx="1114">
                  <c:v>3.9045478498640762E-2</c:v>
                </c:pt>
                <c:pt idx="1115">
                  <c:v>3.9047158725871743E-2</c:v>
                </c:pt>
                <c:pt idx="1116">
                  <c:v>3.9048811655602193E-2</c:v>
                </c:pt>
                <c:pt idx="1117">
                  <c:v>3.9050437456559159E-2</c:v>
                </c:pt>
                <c:pt idx="1118">
                  <c:v>3.9052036297472149E-2</c:v>
                </c:pt>
                <c:pt idx="1119">
                  <c:v>3.9053608347074865E-2</c:v>
                </c:pt>
                <c:pt idx="1120">
                  <c:v>3.9055153774103672E-2</c:v>
                </c:pt>
                <c:pt idx="1121">
                  <c:v>3.905667274729803E-2</c:v>
                </c:pt>
                <c:pt idx="1122">
                  <c:v>3.9056012561207165E-2</c:v>
                </c:pt>
                <c:pt idx="1123">
                  <c:v>3.9057480702914926E-2</c:v>
                </c:pt>
                <c:pt idx="1124">
                  <c:v>3.9058922892414527E-2</c:v>
                </c:pt>
                <c:pt idx="1125">
                  <c:v>3.9060339298901736E-2</c:v>
                </c:pt>
                <c:pt idx="1126">
                  <c:v>3.9061730091576541E-2</c:v>
                </c:pt>
                <c:pt idx="1127">
                  <c:v>3.9063095439640261E-2</c:v>
                </c:pt>
                <c:pt idx="1128">
                  <c:v>3.9064435512297768E-2</c:v>
                </c:pt>
                <c:pt idx="1129">
                  <c:v>3.90657504787566E-2</c:v>
                </c:pt>
                <c:pt idx="1130">
                  <c:v>3.9067040508226736E-2</c:v>
                </c:pt>
                <c:pt idx="1131">
                  <c:v>3.9068305769921263E-2</c:v>
                </c:pt>
                <c:pt idx="1132">
                  <c:v>3.9069546433055047E-2</c:v>
                </c:pt>
                <c:pt idx="1133">
                  <c:v>3.9070762666846282E-2</c:v>
                </c:pt>
                <c:pt idx="1134">
                  <c:v>3.9071954640515605E-2</c:v>
                </c:pt>
                <c:pt idx="1135">
                  <c:v>3.9073122523285875E-2</c:v>
                </c:pt>
                <c:pt idx="1136">
                  <c:v>3.907426648438217E-2</c:v>
                </c:pt>
                <c:pt idx="1137">
                  <c:v>3.9075386693032677E-2</c:v>
                </c:pt>
                <c:pt idx="1138">
                  <c:v>3.9076483318467359E-2</c:v>
                </c:pt>
                <c:pt idx="1139">
                  <c:v>3.9077556529488966E-2</c:v>
                </c:pt>
                <c:pt idx="1140">
                  <c:v>3.9078606276550243E-2</c:v>
                </c:pt>
                <c:pt idx="1141">
                  <c:v>3.9079631937145587E-2</c:v>
                </c:pt>
                <c:pt idx="1142">
                  <c:v>3.9080632795925441E-2</c:v>
                </c:pt>
                <c:pt idx="1143">
                  <c:v>3.9081608137539581E-2</c:v>
                </c:pt>
                <c:pt idx="1144">
                  <c:v>3.9082557246636673E-2</c:v>
                </c:pt>
                <c:pt idx="1145">
                  <c:v>3.9083479407864719E-2</c:v>
                </c:pt>
                <c:pt idx="1146">
                  <c:v>3.9084373905871717E-2</c:v>
                </c:pt>
                <c:pt idx="1147">
                  <c:v>3.9085240025304779E-2</c:v>
                </c:pt>
                <c:pt idx="1148">
                  <c:v>3.9086077050810797E-2</c:v>
                </c:pt>
                <c:pt idx="1149">
                  <c:v>3.9086884267037547E-2</c:v>
                </c:pt>
                <c:pt idx="1150">
                  <c:v>3.9087660958632808E-2</c:v>
                </c:pt>
                <c:pt idx="1151">
                  <c:v>3.9088406410244136E-2</c:v>
                </c:pt>
                <c:pt idx="1152">
                  <c:v>3.9089119906520864E-2</c:v>
                </c:pt>
                <c:pt idx="1153">
                  <c:v>3.9089800732112545E-2</c:v>
                </c:pt>
                <c:pt idx="1154">
                  <c:v>3.9090448171670511E-2</c:v>
                </c:pt>
                <c:pt idx="1155">
                  <c:v>3.9091061509846536E-2</c:v>
                </c:pt>
                <c:pt idx="1156">
                  <c:v>3.9091640031295283E-2</c:v>
                </c:pt>
                <c:pt idx="1157">
                  <c:v>3.90921830206723E-2</c:v>
                </c:pt>
                <c:pt idx="1158">
                  <c:v>3.9092689762635358E-2</c:v>
                </c:pt>
                <c:pt idx="1159">
                  <c:v>3.9093159541844891E-2</c:v>
                </c:pt>
                <c:pt idx="1160">
                  <c:v>3.9093591642963776E-2</c:v>
                </c:pt>
                <c:pt idx="1161">
                  <c:v>3.9093985350657778E-2</c:v>
                </c:pt>
                <c:pt idx="1162">
                  <c:v>3.9094339949595769E-2</c:v>
                </c:pt>
                <c:pt idx="1163">
                  <c:v>3.9094654724449951E-2</c:v>
                </c:pt>
                <c:pt idx="1164">
                  <c:v>3.9094928959896524E-2</c:v>
                </c:pt>
                <c:pt idx="1165">
                  <c:v>3.9095161940614798E-2</c:v>
                </c:pt>
                <c:pt idx="1166">
                  <c:v>3.9095352951289408E-2</c:v>
                </c:pt>
                <c:pt idx="1167">
                  <c:v>3.9095501276608768E-2</c:v>
                </c:pt>
                <c:pt idx="1168">
                  <c:v>3.9095606201265953E-2</c:v>
                </c:pt>
                <c:pt idx="1169">
                  <c:v>3.9095667009959811E-2</c:v>
                </c:pt>
                <c:pt idx="1170">
                  <c:v>3.9095682987393632E-2</c:v>
                </c:pt>
                <c:pt idx="1171">
                  <c:v>3.9095653418277587E-2</c:v>
                </c:pt>
                <c:pt idx="1172">
                  <c:v>3.9095577587326957E-2</c:v>
                </c:pt>
                <c:pt idx="1173">
                  <c:v>3.9095454779263461E-2</c:v>
                </c:pt>
                <c:pt idx="1174">
                  <c:v>3.9095284278815923E-2</c:v>
                </c:pt>
                <c:pt idx="1175">
                  <c:v>3.9095065370719384E-2</c:v>
                </c:pt>
                <c:pt idx="1176">
                  <c:v>3.9094797339717102E-2</c:v>
                </c:pt>
                <c:pt idx="1177">
                  <c:v>3.909447947055944E-2</c:v>
                </c:pt>
                <c:pt idx="1178">
                  <c:v>3.9094111048004532E-2</c:v>
                </c:pt>
                <c:pt idx="1179">
                  <c:v>3.9093691356819393E-2</c:v>
                </c:pt>
                <c:pt idx="1180">
                  <c:v>3.9093219681779257E-2</c:v>
                </c:pt>
                <c:pt idx="1181">
                  <c:v>3.9092695307668457E-2</c:v>
                </c:pt>
                <c:pt idx="1182">
                  <c:v>3.9092117519281322E-2</c:v>
                </c:pt>
                <c:pt idx="1183">
                  <c:v>3.9091485601420839E-2</c:v>
                </c:pt>
                <c:pt idx="1184">
                  <c:v>3.9090798838901097E-2</c:v>
                </c:pt>
                <c:pt idx="1185">
                  <c:v>3.9090056516546179E-2</c:v>
                </c:pt>
                <c:pt idx="1186">
                  <c:v>3.9089257919191045E-2</c:v>
                </c:pt>
                <c:pt idx="1187">
                  <c:v>3.9088402331682204E-2</c:v>
                </c:pt>
                <c:pt idx="1188">
                  <c:v>3.908748903887771E-2</c:v>
                </c:pt>
                <c:pt idx="1189">
                  <c:v>3.9086517325647385E-2</c:v>
                </c:pt>
                <c:pt idx="1190">
                  <c:v>3.9085486476874154E-2</c:v>
                </c:pt>
                <c:pt idx="1191">
                  <c:v>3.9084395777452929E-2</c:v>
                </c:pt>
                <c:pt idx="1192">
                  <c:v>3.9083244632681868E-2</c:v>
                </c:pt>
                <c:pt idx="1193">
                  <c:v>3.9082032929429023E-2</c:v>
                </c:pt>
                <c:pt idx="1194">
                  <c:v>3.90807606749628E-2</c:v>
                </c:pt>
                <c:pt idx="1195">
                  <c:v>3.9079427876561601E-2</c:v>
                </c:pt>
                <c:pt idx="1196">
                  <c:v>3.9078034541515372E-2</c:v>
                </c:pt>
                <c:pt idx="1197">
                  <c:v>3.9076580677122941E-2</c:v>
                </c:pt>
                <c:pt idx="1198">
                  <c:v>3.907506629069557E-2</c:v>
                </c:pt>
                <c:pt idx="1199">
                  <c:v>3.9073491389553627E-2</c:v>
                </c:pt>
                <c:pt idx="1200">
                  <c:v>3.9071855981029469E-2</c:v>
                </c:pt>
                <c:pt idx="1201">
                  <c:v>3.9070160072464111E-2</c:v>
                </c:pt>
                <c:pt idx="1202">
                  <c:v>3.9068403671210783E-2</c:v>
                </c:pt>
                <c:pt idx="1203">
                  <c:v>3.906658678463204E-2</c:v>
                </c:pt>
                <c:pt idx="1204">
                  <c:v>3.9064709420101762E-2</c:v>
                </c:pt>
                <c:pt idx="1205">
                  <c:v>3.9062771585003597E-2</c:v>
                </c:pt>
                <c:pt idx="1206">
                  <c:v>3.906077328673252E-2</c:v>
                </c:pt>
                <c:pt idx="1207">
                  <c:v>3.9058714532693495E-2</c:v>
                </c:pt>
                <c:pt idx="1208">
                  <c:v>3.9056595330301924E-2</c:v>
                </c:pt>
                <c:pt idx="1209">
                  <c:v>3.9054415686984312E-2</c:v>
                </c:pt>
                <c:pt idx="1210">
                  <c:v>3.9052175610176487E-2</c:v>
                </c:pt>
                <c:pt idx="1211">
                  <c:v>3.9049875107326271E-2</c:v>
                </c:pt>
                <c:pt idx="1212">
                  <c:v>3.9047514185890808E-2</c:v>
                </c:pt>
                <c:pt idx="1213">
                  <c:v>3.9045092853337682E-2</c:v>
                </c:pt>
                <c:pt idx="1214">
                  <c:v>3.904261111714602E-2</c:v>
                </c:pt>
                <c:pt idx="1215">
                  <c:v>3.9040068984804499E-2</c:v>
                </c:pt>
                <c:pt idx="1216">
                  <c:v>3.9037466463812232E-2</c:v>
                </c:pt>
                <c:pt idx="1217">
                  <c:v>3.9034418218454991E-2</c:v>
                </c:pt>
                <c:pt idx="1218">
                  <c:v>3.9031686318513614E-2</c:v>
                </c:pt>
                <c:pt idx="1219">
                  <c:v>3.9028894053559471E-2</c:v>
                </c:pt>
                <c:pt idx="1220">
                  <c:v>3.9026041431134972E-2</c:v>
                </c:pt>
                <c:pt idx="1221">
                  <c:v>3.9023128458793632E-2</c:v>
                </c:pt>
                <c:pt idx="1222">
                  <c:v>3.9020155144098734E-2</c:v>
                </c:pt>
                <c:pt idx="1223">
                  <c:v>3.901712149462444E-2</c:v>
                </c:pt>
                <c:pt idx="1224">
                  <c:v>3.9014027517954908E-2</c:v>
                </c:pt>
                <c:pt idx="1225">
                  <c:v>3.9010873221685616E-2</c:v>
                </c:pt>
                <c:pt idx="1226">
                  <c:v>3.9007658613421148E-2</c:v>
                </c:pt>
                <c:pt idx="1227">
                  <c:v>3.9004383700777634E-2</c:v>
                </c:pt>
                <c:pt idx="1228">
                  <c:v>3.9001048491381418E-2</c:v>
                </c:pt>
                <c:pt idx="1229">
                  <c:v>3.899765299286817E-2</c:v>
                </c:pt>
                <c:pt idx="1230">
                  <c:v>3.8994197212885773E-2</c:v>
                </c:pt>
                <c:pt idx="1231">
                  <c:v>3.8990681159090768E-2</c:v>
                </c:pt>
                <c:pt idx="1232">
                  <c:v>3.8994144801564393E-2</c:v>
                </c:pt>
                <c:pt idx="1233">
                  <c:v>3.8983468260745502E-2</c:v>
                </c:pt>
                <c:pt idx="1234">
                  <c:v>3.8979771431561616E-2</c:v>
                </c:pt>
                <c:pt idx="1235">
                  <c:v>3.8976014359298983E-2</c:v>
                </c:pt>
                <c:pt idx="1236">
                  <c:v>3.8972197051666324E-2</c:v>
                </c:pt>
                <c:pt idx="1237">
                  <c:v>3.8968319516383465E-2</c:v>
                </c:pt>
                <c:pt idx="1238">
                  <c:v>3.8964381761180888E-2</c:v>
                </c:pt>
                <c:pt idx="1239">
                  <c:v>3.8960383793798181E-2</c:v>
                </c:pt>
                <c:pt idx="1240">
                  <c:v>3.8956325621986254E-2</c:v>
                </c:pt>
                <c:pt idx="1241">
                  <c:v>3.8952207253506455E-2</c:v>
                </c:pt>
                <c:pt idx="1242">
                  <c:v>3.8948028696130121E-2</c:v>
                </c:pt>
                <c:pt idx="1243">
                  <c:v>3.8943789957639252E-2</c:v>
                </c:pt>
                <c:pt idx="1244">
                  <c:v>3.893949100889027E-2</c:v>
                </c:pt>
                <c:pt idx="1245">
                  <c:v>3.8935131673009993E-2</c:v>
                </c:pt>
                <c:pt idx="1246">
                  <c:v>3.8930711736203438E-2</c:v>
                </c:pt>
                <c:pt idx="1247">
                  <c:v>3.892623098469028E-2</c:v>
                </c:pt>
                <c:pt idx="1248">
                  <c:v>3.8921689204703958E-2</c:v>
                </c:pt>
                <c:pt idx="1249">
                  <c:v>3.891708618249301E-2</c:v>
                </c:pt>
                <c:pt idx="1250">
                  <c:v>3.8912421704319744E-2</c:v>
                </c:pt>
                <c:pt idx="1251">
                  <c:v>3.8907695556462674E-2</c:v>
                </c:pt>
                <c:pt idx="1252">
                  <c:v>3.8902907525213193E-2</c:v>
                </c:pt>
                <c:pt idx="1253">
                  <c:v>3.8898057396879127E-2</c:v>
                </c:pt>
                <c:pt idx="1254">
                  <c:v>3.8893144957782955E-2</c:v>
                </c:pt>
                <c:pt idx="1255">
                  <c:v>3.8888169994262478E-2</c:v>
                </c:pt>
                <c:pt idx="1256">
                  <c:v>3.8883132292670819E-2</c:v>
                </c:pt>
                <c:pt idx="1257">
                  <c:v>3.8878031639377086E-2</c:v>
                </c:pt>
                <c:pt idx="1258">
                  <c:v>3.8872867820764823E-2</c:v>
                </c:pt>
                <c:pt idx="1259">
                  <c:v>3.8867640623234001E-2</c:v>
                </c:pt>
                <c:pt idx="1260">
                  <c:v>3.8862349833201248E-2</c:v>
                </c:pt>
                <c:pt idx="1261">
                  <c:v>3.8856995237097847E-2</c:v>
                </c:pt>
                <c:pt idx="1262">
                  <c:v>3.8851576621372619E-2</c:v>
                </c:pt>
                <c:pt idx="1263">
                  <c:v>3.8846093772489265E-2</c:v>
                </c:pt>
                <c:pt idx="1264">
                  <c:v>3.8840546476929028E-2</c:v>
                </c:pt>
                <c:pt idx="1265">
                  <c:v>3.8834934521188913E-2</c:v>
                </c:pt>
                <c:pt idx="1266">
                  <c:v>3.8829257691783248E-2</c:v>
                </c:pt>
                <c:pt idx="1267">
                  <c:v>3.8823515775242567E-2</c:v>
                </c:pt>
                <c:pt idx="1268">
                  <c:v>3.8817708558115172E-2</c:v>
                </c:pt>
                <c:pt idx="1269">
                  <c:v>3.8814138415174705E-2</c:v>
                </c:pt>
                <c:pt idx="1270">
                  <c:v>3.8808179496415386E-2</c:v>
                </c:pt>
                <c:pt idx="1271">
                  <c:v>3.8802154563696775E-2</c:v>
                </c:pt>
                <c:pt idx="1272">
                  <c:v>3.8796063404771909E-2</c:v>
                </c:pt>
                <c:pt idx="1273">
                  <c:v>3.8789905807411061E-2</c:v>
                </c:pt>
                <c:pt idx="1274">
                  <c:v>3.8779044054338463E-2</c:v>
                </c:pt>
                <c:pt idx="1275">
                  <c:v>3.8777390448556971E-2</c:v>
                </c:pt>
                <c:pt idx="1276">
                  <c:v>3.8771032262695244E-2</c:v>
                </c:pt>
                <c:pt idx="1277">
                  <c:v>3.8764606789661454E-2</c:v>
                </c:pt>
                <c:pt idx="1278">
                  <c:v>3.875354415783222E-2</c:v>
                </c:pt>
                <c:pt idx="1279">
                  <c:v>3.8751553133544059E-2</c:v>
                </c:pt>
                <c:pt idx="1280">
                  <c:v>3.874492452623949E-2</c:v>
                </c:pt>
                <c:pt idx="1281">
                  <c:v>3.8738227783321803E-2</c:v>
                </c:pt>
                <c:pt idx="1282">
                  <c:v>3.8732962122545352E-2</c:v>
                </c:pt>
                <c:pt idx="1283">
                  <c:v>3.8724629042412473E-2</c:v>
                </c:pt>
                <c:pt idx="1284">
                  <c:v>3.8712266377275817E-2</c:v>
                </c:pt>
                <c:pt idx="1285">
                  <c:v>3.8705261251794625E-2</c:v>
                </c:pt>
                <c:pt idx="1286">
                  <c:v>3.8698186821921471E-2</c:v>
                </c:pt>
                <c:pt idx="1287">
                  <c:v>3.8691042875135515E-2</c:v>
                </c:pt>
                <c:pt idx="1288">
                  <c:v>3.8683829198935406E-2</c:v>
                </c:pt>
                <c:pt idx="1289">
                  <c:v>3.8676545580840591E-2</c:v>
                </c:pt>
                <c:pt idx="1290">
                  <c:v>3.8669191808389139E-2</c:v>
                </c:pt>
                <c:pt idx="1291">
                  <c:v>3.8661767669141478E-2</c:v>
                </c:pt>
                <c:pt idx="1292">
                  <c:v>3.8654272950676853E-2</c:v>
                </c:pt>
                <c:pt idx="1293">
                  <c:v>3.8646707440595993E-2</c:v>
                </c:pt>
                <c:pt idx="1294">
                  <c:v>3.863907092651999E-2</c:v>
                </c:pt>
                <c:pt idx="1295">
                  <c:v>3.8631363204489691E-2</c:v>
                </c:pt>
                <c:pt idx="1296">
                  <c:v>3.8623584240019014E-2</c:v>
                </c:pt>
                <c:pt idx="1297">
                  <c:v>3.8615734160900882E-2</c:v>
                </c:pt>
                <c:pt idx="1298">
                  <c:v>3.8607813101886927E-2</c:v>
                </c:pt>
                <c:pt idx="1299">
                  <c:v>3.8599821197739179E-2</c:v>
                </c:pt>
                <c:pt idx="1300">
                  <c:v>3.8591758583230287E-2</c:v>
                </c:pt>
                <c:pt idx="1301">
                  <c:v>3.8583625393142661E-2</c:v>
                </c:pt>
                <c:pt idx="1302">
                  <c:v>3.8575421762269323E-2</c:v>
                </c:pt>
                <c:pt idx="1303">
                  <c:v>3.8567147825413713E-2</c:v>
                </c:pt>
                <c:pt idx="1304">
                  <c:v>3.855880371738879E-2</c:v>
                </c:pt>
                <c:pt idx="1305">
                  <c:v>3.8550389573018366E-2</c:v>
                </c:pt>
                <c:pt idx="1306">
                  <c:v>3.8541905527134664E-2</c:v>
                </c:pt>
                <c:pt idx="1307">
                  <c:v>3.8533351714581644E-2</c:v>
                </c:pt>
                <c:pt idx="1308">
                  <c:v>3.8524728270211681E-2</c:v>
                </c:pt>
                <c:pt idx="1309">
                  <c:v>3.8516035328886894E-2</c:v>
                </c:pt>
                <c:pt idx="1310">
                  <c:v>3.8507273025478926E-2</c:v>
                </c:pt>
                <c:pt idx="1311">
                  <c:v>3.8498441494869591E-2</c:v>
                </c:pt>
                <c:pt idx="1312">
                  <c:v>3.8489540871949147E-2</c:v>
                </c:pt>
                <c:pt idx="1313">
                  <c:v>3.8480571291618013E-2</c:v>
                </c:pt>
                <c:pt idx="1314">
                  <c:v>3.8471532888784812E-2</c:v>
                </c:pt>
                <c:pt idx="1315">
                  <c:v>3.8462425798368123E-2</c:v>
                </c:pt>
                <c:pt idx="1316">
                  <c:v>3.8453250155294952E-2</c:v>
                </c:pt>
                <c:pt idx="1317">
                  <c:v>3.8444006094501153E-2</c:v>
                </c:pt>
                <c:pt idx="1318">
                  <c:v>3.8434693750931885E-2</c:v>
                </c:pt>
                <c:pt idx="1319">
                  <c:v>3.8425313259541169E-2</c:v>
                </c:pt>
                <c:pt idx="1320">
                  <c:v>3.8415864755290977E-2</c:v>
                </c:pt>
                <c:pt idx="1321">
                  <c:v>3.8406348373151947E-2</c:v>
                </c:pt>
                <c:pt idx="1322">
                  <c:v>3.8396764248103996E-2</c:v>
                </c:pt>
                <c:pt idx="1323">
                  <c:v>3.8387112515134353E-2</c:v>
                </c:pt>
                <c:pt idx="1324">
                  <c:v>3.8377393309239331E-2</c:v>
                </c:pt>
                <c:pt idx="1325">
                  <c:v>3.8367606765423209E-2</c:v>
                </c:pt>
                <c:pt idx="1326">
                  <c:v>3.8357753018697802E-2</c:v>
                </c:pt>
                <c:pt idx="1327">
                  <c:v>3.8347832204084435E-2</c:v>
                </c:pt>
                <c:pt idx="1328">
                  <c:v>3.8337844456610648E-2</c:v>
                </c:pt>
                <c:pt idx="1329">
                  <c:v>3.8327789911312832E-2</c:v>
                </c:pt>
                <c:pt idx="1330">
                  <c:v>3.8316448913411572E-2</c:v>
                </c:pt>
                <c:pt idx="1331">
                  <c:v>3.8306266866480643E-2</c:v>
                </c:pt>
                <c:pt idx="1332">
                  <c:v>3.829601842751984E-2</c:v>
                </c:pt>
                <c:pt idx="1333">
                  <c:v>3.8285703731941068E-2</c:v>
                </c:pt>
                <c:pt idx="1334">
                  <c:v>3.8275322915162224E-2</c:v>
                </c:pt>
                <c:pt idx="1335">
                  <c:v>3.8264876112610535E-2</c:v>
                </c:pt>
                <c:pt idx="1336">
                  <c:v>3.8254363459718776E-2</c:v>
                </c:pt>
                <c:pt idx="1337">
                  <c:v>3.824378509192794E-2</c:v>
                </c:pt>
                <c:pt idx="1338">
                  <c:v>3.8233141144685234E-2</c:v>
                </c:pt>
                <c:pt idx="1339">
                  <c:v>3.822243175344564E-2</c:v>
                </c:pt>
                <c:pt idx="1340">
                  <c:v>3.8211657053670134E-2</c:v>
                </c:pt>
                <c:pt idx="1341">
                  <c:v>3.8200817180827462E-2</c:v>
                </c:pt>
                <c:pt idx="1342">
                  <c:v>3.8189912270392146E-2</c:v>
                </c:pt>
                <c:pt idx="1343">
                  <c:v>3.8178942457846032E-2</c:v>
                </c:pt>
                <c:pt idx="1344">
                  <c:v>3.816790787867741E-2</c:v>
                </c:pt>
                <c:pt idx="1345">
                  <c:v>3.8156808668380782E-2</c:v>
                </c:pt>
                <c:pt idx="1346">
                  <c:v>3.8145644962456871E-2</c:v>
                </c:pt>
                <c:pt idx="1347">
                  <c:v>3.8134416895539536E-2</c:v>
                </c:pt>
                <c:pt idx="1348">
                  <c:v>3.8123124498823602E-2</c:v>
                </c:pt>
                <c:pt idx="1349">
                  <c:v>3.8111767592871493E-2</c:v>
                </c:pt>
                <c:pt idx="1350">
                  <c:v>3.8100345971617378E-2</c:v>
                </c:pt>
                <c:pt idx="1351">
                  <c:v>3.8088859429016075E-2</c:v>
                </c:pt>
                <c:pt idx="1352">
                  <c:v>3.8077307759044388E-2</c:v>
                </c:pt>
                <c:pt idx="1353">
                  <c:v>3.8065690755699988E-2</c:v>
                </c:pt>
                <c:pt idx="1354">
                  <c:v>3.8054008213002755E-2</c:v>
                </c:pt>
                <c:pt idx="1355">
                  <c:v>3.8042259924994326E-2</c:v>
                </c:pt>
                <c:pt idx="1356">
                  <c:v>3.8030445685737435E-2</c:v>
                </c:pt>
                <c:pt idx="1357">
                  <c:v>3.8018565289318129E-2</c:v>
                </c:pt>
                <c:pt idx="1358">
                  <c:v>3.8006618529843328E-2</c:v>
                </c:pt>
                <c:pt idx="1359">
                  <c:v>3.7994605201443266E-2</c:v>
                </c:pt>
                <c:pt idx="1360">
                  <c:v>3.7982525098269271E-2</c:v>
                </c:pt>
                <c:pt idx="1361">
                  <c:v>3.7970378014496875E-2</c:v>
                </c:pt>
                <c:pt idx="1362">
                  <c:v>3.795816374432337E-2</c:v>
                </c:pt>
                <c:pt idx="1363">
                  <c:v>3.7945882081968918E-2</c:v>
                </c:pt>
                <c:pt idx="1364">
                  <c:v>3.7933532821676774E-2</c:v>
                </c:pt>
                <c:pt idx="1365">
                  <c:v>3.7921115757712842E-2</c:v>
                </c:pt>
                <c:pt idx="1366">
                  <c:v>3.7908630684367006E-2</c:v>
                </c:pt>
                <c:pt idx="1367">
                  <c:v>3.7896077395952243E-2</c:v>
                </c:pt>
                <c:pt idx="1368">
                  <c:v>3.7883455686804179E-2</c:v>
                </c:pt>
                <c:pt idx="1369">
                  <c:v>3.7870765351283531E-2</c:v>
                </c:pt>
                <c:pt idx="1370">
                  <c:v>3.7858006183773885E-2</c:v>
                </c:pt>
                <c:pt idx="1371">
                  <c:v>3.7845177978682587E-2</c:v>
                </c:pt>
                <c:pt idx="1372">
                  <c:v>3.7832280530441631E-2</c:v>
                </c:pt>
                <c:pt idx="1373">
                  <c:v>3.7817455538393663E-2</c:v>
                </c:pt>
                <c:pt idx="1374">
                  <c:v>3.7804409019867258E-2</c:v>
                </c:pt>
                <c:pt idx="1375">
                  <c:v>3.7791292612277427E-2</c:v>
                </c:pt>
                <c:pt idx="1376">
                  <c:v>3.7778106110156751E-2</c:v>
                </c:pt>
                <c:pt idx="1377">
                  <c:v>3.7764849308062454E-2</c:v>
                </c:pt>
                <c:pt idx="1378">
                  <c:v>3.775152200057752E-2</c:v>
                </c:pt>
                <c:pt idx="1379">
                  <c:v>3.7738123982308691E-2</c:v>
                </c:pt>
                <c:pt idx="1380">
                  <c:v>3.7724655047889355E-2</c:v>
                </c:pt>
                <c:pt idx="1381">
                  <c:v>3.771111499197688E-2</c:v>
                </c:pt>
                <c:pt idx="1382">
                  <c:v>3.7697503609254612E-2</c:v>
                </c:pt>
                <c:pt idx="1383">
                  <c:v>3.768382069443188E-2</c:v>
                </c:pt>
                <c:pt idx="1384">
                  <c:v>3.7670066042242878E-2</c:v>
                </c:pt>
                <c:pt idx="1385">
                  <c:v>3.7656239447448669E-2</c:v>
                </c:pt>
                <c:pt idx="1386">
                  <c:v>3.7642340704835631E-2</c:v>
                </c:pt>
                <c:pt idx="1387">
                  <c:v>3.7628369609216783E-2</c:v>
                </c:pt>
                <c:pt idx="1388">
                  <c:v>3.7614325955431127E-2</c:v>
                </c:pt>
                <c:pt idx="1389">
                  <c:v>3.7600209538344309E-2</c:v>
                </c:pt>
                <c:pt idx="1390">
                  <c:v>3.7586020152847732E-2</c:v>
                </c:pt>
                <c:pt idx="1391">
                  <c:v>3.7571757593861443E-2</c:v>
                </c:pt>
                <c:pt idx="1392">
                  <c:v>3.7557421656330581E-2</c:v>
                </c:pt>
                <c:pt idx="1393">
                  <c:v>3.7543012135227816E-2</c:v>
                </c:pt>
                <c:pt idx="1394">
                  <c:v>3.7528528825554019E-2</c:v>
                </c:pt>
                <c:pt idx="1395">
                  <c:v>3.7513971522335821E-2</c:v>
                </c:pt>
                <c:pt idx="1396">
                  <c:v>3.7499340020628047E-2</c:v>
                </c:pt>
                <c:pt idx="1397">
                  <c:v>3.7484634115513504E-2</c:v>
                </c:pt>
                <c:pt idx="1398">
                  <c:v>3.7469853602102532E-2</c:v>
                </c:pt>
                <c:pt idx="1399">
                  <c:v>3.7454998286267527E-2</c:v>
                </c:pt>
                <c:pt idx="1400">
                  <c:v>3.7440068909185165E-2</c:v>
                </c:pt>
                <c:pt idx="1401">
                  <c:v>3.7425067859782502E-2</c:v>
                </c:pt>
                <c:pt idx="1402">
                  <c:v>3.7409997694590968E-2</c:v>
                </c:pt>
                <c:pt idx="1403">
                  <c:v>3.7394860970008548E-2</c:v>
                </c:pt>
                <c:pt idx="1404">
                  <c:v>3.7379660242297108E-2</c:v>
                </c:pt>
                <c:pt idx="1405">
                  <c:v>3.7364398067580851E-2</c:v>
                </c:pt>
                <c:pt idx="1406">
                  <c:v>3.7349077001845199E-2</c:v>
                </c:pt>
                <c:pt idx="1407">
                  <c:v>3.73336996009348E-2</c:v>
                </c:pt>
                <c:pt idx="1408">
                  <c:v>3.7318268420552414E-2</c:v>
                </c:pt>
                <c:pt idx="1409">
                  <c:v>3.7302786016257361E-2</c:v>
                </c:pt>
                <c:pt idx="1410">
                  <c:v>3.7287254943465076E-2</c:v>
                </c:pt>
                <c:pt idx="1411">
                  <c:v>3.7271677757444444E-2</c:v>
                </c:pt>
                <c:pt idx="1412">
                  <c:v>3.7256057013317578E-2</c:v>
                </c:pt>
                <c:pt idx="1413">
                  <c:v>3.7240395266058712E-2</c:v>
                </c:pt>
                <c:pt idx="1414">
                  <c:v>3.7224695070492642E-2</c:v>
                </c:pt>
                <c:pt idx="1415">
                  <c:v>3.7208958981294282E-2</c:v>
                </c:pt>
                <c:pt idx="1416">
                  <c:v>3.7193189552987116E-2</c:v>
                </c:pt>
                <c:pt idx="1417">
                  <c:v>3.7177389339943634E-2</c:v>
                </c:pt>
                <c:pt idx="1418">
                  <c:v>3.7161560896383117E-2</c:v>
                </c:pt>
                <c:pt idx="1419">
                  <c:v>3.7145706776370968E-2</c:v>
                </c:pt>
                <c:pt idx="1420">
                  <c:v>3.7129829533819381E-2</c:v>
                </c:pt>
                <c:pt idx="1421">
                  <c:v>3.7113931722485782E-2</c:v>
                </c:pt>
                <c:pt idx="1422">
                  <c:v>3.7098015895971281E-2</c:v>
                </c:pt>
                <c:pt idx="1423">
                  <c:v>3.7082084607723331E-2</c:v>
                </c:pt>
                <c:pt idx="1424">
                  <c:v>3.7066140411031734E-2</c:v>
                </c:pt>
                <c:pt idx="1425">
                  <c:v>3.7050185859030194E-2</c:v>
                </c:pt>
                <c:pt idx="1426">
                  <c:v>3.7034223504696318E-2</c:v>
                </c:pt>
                <c:pt idx="1427">
                  <c:v>3.7018255900850061E-2</c:v>
                </c:pt>
                <c:pt idx="1428">
                  <c:v>3.700228560015395E-2</c:v>
                </c:pt>
                <c:pt idx="1429">
                  <c:v>3.6986315155115079E-2</c:v>
                </c:pt>
                <c:pt idx="1430">
                  <c:v>3.6970347118081115E-2</c:v>
                </c:pt>
                <c:pt idx="1431">
                  <c:v>3.6954384041244293E-2</c:v>
                </c:pt>
                <c:pt idx="1432">
                  <c:v>3.6938428476638752E-2</c:v>
                </c:pt>
                <c:pt idx="1433">
                  <c:v>3.6922482976141424E-2</c:v>
                </c:pt>
                <c:pt idx="1434">
                  <c:v>3.6906550091473589E-2</c:v>
                </c:pt>
                <c:pt idx="1435">
                  <c:v>3.6890632374199539E-2</c:v>
                </c:pt>
                <c:pt idx="1436">
                  <c:v>3.6874732375727026E-2</c:v>
                </c:pt>
                <c:pt idx="1437">
                  <c:v>3.6858852647308371E-2</c:v>
                </c:pt>
                <c:pt idx="1438">
                  <c:v>3.6842995740041351E-2</c:v>
                </c:pt>
                <c:pt idx="1439">
                  <c:v>3.6827164204867868E-2</c:v>
                </c:pt>
                <c:pt idx="1440">
                  <c:v>3.681136059257617E-2</c:v>
                </c:pt>
                <c:pt idx="1441">
                  <c:v>3.6795587453801515E-2</c:v>
                </c:pt>
                <c:pt idx="1442">
                  <c:v>3.6779847339025507E-2</c:v>
                </c:pt>
                <c:pt idx="1443">
                  <c:v>3.6764142798578758E-2</c:v>
                </c:pt>
                <c:pt idx="1444">
                  <c:v>3.6748476382640005E-2</c:v>
                </c:pt>
                <c:pt idx="1445">
                  <c:v>3.6732850641238102E-2</c:v>
                </c:pt>
                <c:pt idx="1446">
                  <c:v>3.6717268124252689E-2</c:v>
                </c:pt>
                <c:pt idx="1447">
                  <c:v>3.6701731381414859E-2</c:v>
                </c:pt>
                <c:pt idx="1448">
                  <c:v>3.6686242962308935E-2</c:v>
                </c:pt>
                <c:pt idx="1449">
                  <c:v>3.6670805416373353E-2</c:v>
                </c:pt>
                <c:pt idx="1450">
                  <c:v>3.6655421292901114E-2</c:v>
                </c:pt>
                <c:pt idx="1451">
                  <c:v>3.6640093139835628E-2</c:v>
                </c:pt>
                <c:pt idx="1452">
                  <c:v>3.662482289159219E-2</c:v>
                </c:pt>
                <c:pt idx="1453">
                  <c:v>3.6609610872977205E-2</c:v>
                </c:pt>
                <c:pt idx="1454">
                  <c:v>3.659445714798526E-2</c:v>
                </c:pt>
                <c:pt idx="1455">
                  <c:v>3.6579361780617381E-2</c:v>
                </c:pt>
                <c:pt idx="1456">
                  <c:v>3.6564324834880146E-2</c:v>
                </c:pt>
                <c:pt idx="1457">
                  <c:v>3.6549346374786351E-2</c:v>
                </c:pt>
                <c:pt idx="1458">
                  <c:v>3.6534426464354564E-2</c:v>
                </c:pt>
                <c:pt idx="1459">
                  <c:v>3.6519565167610235E-2</c:v>
                </c:pt>
                <c:pt idx="1460">
                  <c:v>3.6504762548583924E-2</c:v>
                </c:pt>
                <c:pt idx="1461">
                  <c:v>3.6490018671312852E-2</c:v>
                </c:pt>
                <c:pt idx="1462">
                  <c:v>3.6475333599840898E-2</c:v>
                </c:pt>
                <c:pt idx="1463">
                  <c:v>3.6460707398216829E-2</c:v>
                </c:pt>
                <c:pt idx="1464">
                  <c:v>3.6446140130497184E-2</c:v>
                </c:pt>
                <c:pt idx="1465">
                  <c:v>3.6431631860743607E-2</c:v>
                </c:pt>
                <c:pt idx="1466">
                  <c:v>3.6417182653025071E-2</c:v>
                </c:pt>
                <c:pt idx="1467">
                  <c:v>3.640279257141632E-2</c:v>
                </c:pt>
                <c:pt idx="1468">
                  <c:v>3.6388461679998096E-2</c:v>
                </c:pt>
                <c:pt idx="1469">
                  <c:v>3.6374190042859134E-2</c:v>
                </c:pt>
                <c:pt idx="1470">
                  <c:v>3.6359977724093273E-2</c:v>
                </c:pt>
                <c:pt idx="1471">
                  <c:v>3.6345824787800796E-2</c:v>
                </c:pt>
                <c:pt idx="1472">
                  <c:v>3.6331731298089975E-2</c:v>
                </c:pt>
                <c:pt idx="1473">
                  <c:v>3.6317697319073972E-2</c:v>
                </c:pt>
                <c:pt idx="1474">
                  <c:v>3.6303722914873715E-2</c:v>
                </c:pt>
                <c:pt idx="1475">
                  <c:v>3.6289808149616576E-2</c:v>
                </c:pt>
                <c:pt idx="1476">
                  <c:v>3.6275953087435919E-2</c:v>
                </c:pt>
                <c:pt idx="1477">
                  <c:v>3.6262157792473326E-2</c:v>
                </c:pt>
                <c:pt idx="1478">
                  <c:v>3.6248422328875485E-2</c:v>
                </c:pt>
                <c:pt idx="1479">
                  <c:v>3.6234746760797742E-2</c:v>
                </c:pt>
                <c:pt idx="1480">
                  <c:v>3.6221131152400332E-2</c:v>
                </c:pt>
                <c:pt idx="1481">
                  <c:v>3.6207575567851924E-2</c:v>
                </c:pt>
                <c:pt idx="1482">
                  <c:v>3.6194080071327406E-2</c:v>
                </c:pt>
                <c:pt idx="1483">
                  <c:v>3.6180644727008771E-2</c:v>
                </c:pt>
                <c:pt idx="1484">
                  <c:v>3.6167269599085339E-2</c:v>
                </c:pt>
                <c:pt idx="1485">
                  <c:v>3.6153954751753092E-2</c:v>
                </c:pt>
                <c:pt idx="1486">
                  <c:v>3.6141561465640029E-2</c:v>
                </c:pt>
                <c:pt idx="1487">
                  <c:v>3.6128370459752729E-2</c:v>
                </c:pt>
                <c:pt idx="1488">
                  <c:v>3.611523993617087E-2</c:v>
                </c:pt>
                <c:pt idx="1489">
                  <c:v>3.6102169958937856E-2</c:v>
                </c:pt>
                <c:pt idx="1490">
                  <c:v>3.608916059210393E-2</c:v>
                </c:pt>
                <c:pt idx="1491">
                  <c:v>3.6076211899727983E-2</c:v>
                </c:pt>
                <c:pt idx="1492">
                  <c:v>3.6066847060396486E-2</c:v>
                </c:pt>
                <c:pt idx="1493">
                  <c:v>3.6050496794617061E-2</c:v>
                </c:pt>
                <c:pt idx="1494">
                  <c:v>3.6037730510035511E-2</c:v>
                </c:pt>
                <c:pt idx="1495">
                  <c:v>3.6025025156218374E-2</c:v>
                </c:pt>
                <c:pt idx="1496">
                  <c:v>3.6012380797259755E-2</c:v>
                </c:pt>
                <c:pt idx="1497">
                  <c:v>3.599979749726348E-2</c:v>
                </c:pt>
                <c:pt idx="1498">
                  <c:v>3.5987275320339171E-2</c:v>
                </c:pt>
                <c:pt idx="1499">
                  <c:v>3.5974814330605273E-2</c:v>
                </c:pt>
                <c:pt idx="1500">
                  <c:v>3.596241459218711E-2</c:v>
                </c:pt>
                <c:pt idx="1501">
                  <c:v>3.5950076169218199E-2</c:v>
                </c:pt>
                <c:pt idx="1502">
                  <c:v>3.5937799125839817E-2</c:v>
                </c:pt>
                <c:pt idx="1503">
                  <c:v>3.5925583526200747E-2</c:v>
                </c:pt>
                <c:pt idx="1504">
                  <c:v>3.5913429412870443E-2</c:v>
                </c:pt>
                <c:pt idx="1505">
                  <c:v>3.590133674208125E-2</c:v>
                </c:pt>
                <c:pt idx="1506">
                  <c:v>3.5889305448491497E-2</c:v>
                </c:pt>
                <c:pt idx="1507">
                  <c:v>3.5877335466772999E-2</c:v>
                </c:pt>
                <c:pt idx="1508">
                  <c:v>3.5865426731611985E-2</c:v>
                </c:pt>
                <c:pt idx="1509">
                  <c:v>3.5853579177709059E-2</c:v>
                </c:pt>
                <c:pt idx="1510">
                  <c:v>3.5841792739776578E-2</c:v>
                </c:pt>
                <c:pt idx="1511">
                  <c:v>3.583006735254305E-2</c:v>
                </c:pt>
                <c:pt idx="1512">
                  <c:v>3.5818402950749173E-2</c:v>
                </c:pt>
                <c:pt idx="1513">
                  <c:v>3.5806799469150254E-2</c:v>
                </c:pt>
                <c:pt idx="1514">
                  <c:v>3.5795256842513778E-2</c:v>
                </c:pt>
                <c:pt idx="1515">
                  <c:v>3.5783775005622513E-2</c:v>
                </c:pt>
                <c:pt idx="1516">
                  <c:v>3.577235389327163E-2</c:v>
                </c:pt>
                <c:pt idx="1517">
                  <c:v>3.5760993440270013E-2</c:v>
                </c:pt>
                <c:pt idx="1518">
                  <c:v>3.5749693581440964E-2</c:v>
                </c:pt>
                <c:pt idx="1519">
                  <c:v>3.5738454251619284E-2</c:v>
                </c:pt>
                <c:pt idx="1520">
                  <c:v>3.5727275385655274E-2</c:v>
                </c:pt>
                <c:pt idx="1521">
                  <c:v>3.5716156918411207E-2</c:v>
                </c:pt>
                <c:pt idx="1522">
                  <c:v>3.570509878476328E-2</c:v>
                </c:pt>
                <c:pt idx="1523">
                  <c:v>3.5694100919600562E-2</c:v>
                </c:pt>
                <c:pt idx="1524">
                  <c:v>3.5683163257826278E-2</c:v>
                </c:pt>
                <c:pt idx="1525">
                  <c:v>3.5672285734355394E-2</c:v>
                </c:pt>
                <c:pt idx="1526">
                  <c:v>3.5661468284117266E-2</c:v>
                </c:pt>
                <c:pt idx="1527">
                  <c:v>3.565071084205388E-2</c:v>
                </c:pt>
                <c:pt idx="1528">
                  <c:v>3.5640013343120273E-2</c:v>
                </c:pt>
                <c:pt idx="1529">
                  <c:v>3.5629858802356008E-2</c:v>
                </c:pt>
                <c:pt idx="1530">
                  <c:v>3.5619295927926203E-2</c:v>
                </c:pt>
                <c:pt idx="1531">
                  <c:v>3.5608792795439562E-2</c:v>
                </c:pt>
                <c:pt idx="1532">
                  <c:v>3.5598349340228194E-2</c:v>
                </c:pt>
                <c:pt idx="1533">
                  <c:v>3.5587965497636549E-2</c:v>
                </c:pt>
                <c:pt idx="1534">
                  <c:v>3.5574596971597483E-2</c:v>
                </c:pt>
                <c:pt idx="1535">
                  <c:v>3.5567376391757194E-2</c:v>
                </c:pt>
                <c:pt idx="1536">
                  <c:v>3.555717099922312E-2</c:v>
                </c:pt>
                <c:pt idx="1537">
                  <c:v>3.554702496081695E-2</c:v>
                </c:pt>
                <c:pt idx="1538">
                  <c:v>3.5533855461567176E-2</c:v>
                </c:pt>
                <c:pt idx="1539">
                  <c:v>3.5523818287670483E-2</c:v>
                </c:pt>
                <c:pt idx="1540">
                  <c:v>3.5513840265096075E-2</c:v>
                </c:pt>
                <c:pt idx="1541">
                  <c:v>3.5503921328804422E-2</c:v>
                </c:pt>
                <c:pt idx="1542">
                  <c:v>3.5494061413769318E-2</c:v>
                </c:pt>
                <c:pt idx="1543">
                  <c:v>3.5488436005851109E-2</c:v>
                </c:pt>
                <c:pt idx="1544">
                  <c:v>3.5474518387424325E-2</c:v>
                </c:pt>
                <c:pt idx="1545">
                  <c:v>3.5464835146123752E-2</c:v>
                </c:pt>
                <c:pt idx="1546">
                  <c:v>3.5455210666098136E-2</c:v>
                </c:pt>
                <c:pt idx="1547">
                  <c:v>3.5445644882382998E-2</c:v>
                </c:pt>
                <c:pt idx="1548">
                  <c:v>3.5436137730026296E-2</c:v>
                </c:pt>
                <c:pt idx="1549">
                  <c:v>3.5426689144087975E-2</c:v>
                </c:pt>
                <c:pt idx="1550">
                  <c:v>3.5417299059641083E-2</c:v>
                </c:pt>
                <c:pt idx="1551">
                  <c:v>3.5407967411770214E-2</c:v>
                </c:pt>
                <c:pt idx="1552">
                  <c:v>3.5398694135571951E-2</c:v>
                </c:pt>
                <c:pt idx="1553">
                  <c:v>3.5389479166155535E-2</c:v>
                </c:pt>
                <c:pt idx="1554">
                  <c:v>3.5380322438641976E-2</c:v>
                </c:pt>
                <c:pt idx="1555">
                  <c:v>3.537122388816516E-2</c:v>
                </c:pt>
                <c:pt idx="1556">
                  <c:v>3.5362183464747954E-2</c:v>
                </c:pt>
                <c:pt idx="1557">
                  <c:v>3.5353201297715353E-2</c:v>
                </c:pt>
                <c:pt idx="1558">
                  <c:v>3.5344277646762734E-2</c:v>
                </c:pt>
                <c:pt idx="1559">
                  <c:v>3.5335412775090225E-2</c:v>
                </c:pt>
                <c:pt idx="1560">
                  <c:v>3.5326606945898176E-2</c:v>
                </c:pt>
                <c:pt idx="1561">
                  <c:v>3.5317860422388936E-2</c:v>
                </c:pt>
                <c:pt idx="1562">
                  <c:v>3.5309173467765742E-2</c:v>
                </c:pt>
                <c:pt idx="1563">
                  <c:v>3.530054634523272E-2</c:v>
                </c:pt>
                <c:pt idx="1564">
                  <c:v>3.5291979317996214E-2</c:v>
                </c:pt>
                <c:pt idx="1565">
                  <c:v>3.5283472649263681E-2</c:v>
                </c:pt>
                <c:pt idx="1566">
                  <c:v>3.5275026602244797E-2</c:v>
                </c:pt>
                <c:pt idx="1567">
                  <c:v>3.5266641440151236E-2</c:v>
                </c:pt>
                <c:pt idx="1568">
                  <c:v>3.525831742619645E-2</c:v>
                </c:pt>
                <c:pt idx="1569">
                  <c:v>3.5250054823596333E-2</c:v>
                </c:pt>
                <c:pt idx="1570">
                  <c:v>3.524185389556922E-2</c:v>
                </c:pt>
                <c:pt idx="1571">
                  <c:v>3.5233714905336111E-2</c:v>
                </c:pt>
                <c:pt idx="1572">
                  <c:v>3.5225638116120894E-2</c:v>
                </c:pt>
                <c:pt idx="1573">
                  <c:v>3.5217623791150121E-2</c:v>
                </c:pt>
                <c:pt idx="1574">
                  <c:v>3.5209672193653674E-2</c:v>
                </c:pt>
                <c:pt idx="1575">
                  <c:v>3.5201783586864543E-2</c:v>
                </c:pt>
                <c:pt idx="1576">
                  <c:v>3.519395823401883E-2</c:v>
                </c:pt>
                <c:pt idx="1577">
                  <c:v>3.518619639835685E-2</c:v>
                </c:pt>
                <c:pt idx="1578">
                  <c:v>3.5178498343122033E-2</c:v>
                </c:pt>
                <c:pt idx="1579">
                  <c:v>3.5170864331561802E-2</c:v>
                </c:pt>
                <c:pt idx="1580">
                  <c:v>3.5163294626928021E-2</c:v>
                </c:pt>
                <c:pt idx="1581">
                  <c:v>3.5151529936225279E-2</c:v>
                </c:pt>
                <c:pt idx="1582">
                  <c:v>3.5144126801097686E-2</c:v>
                </c:pt>
                <c:pt idx="1583">
                  <c:v>3.5136788913116002E-2</c:v>
                </c:pt>
                <c:pt idx="1584">
                  <c:v>3.5129516535552741E-2</c:v>
                </c:pt>
                <c:pt idx="1585">
                  <c:v>3.5122309931685303E-2</c:v>
                </c:pt>
                <c:pt idx="1586">
                  <c:v>3.5115169364795085E-2</c:v>
                </c:pt>
                <c:pt idx="1587">
                  <c:v>3.5108095098170589E-2</c:v>
                </c:pt>
                <c:pt idx="1588">
                  <c:v>3.5101087395104313E-2</c:v>
                </c:pt>
                <c:pt idx="1589">
                  <c:v>3.5094146518895419E-2</c:v>
                </c:pt>
                <c:pt idx="1590">
                  <c:v>3.5087272732847952E-2</c:v>
                </c:pt>
                <c:pt idx="1591">
                  <c:v>3.5080466300272617E-2</c:v>
                </c:pt>
                <c:pt idx="1592">
                  <c:v>3.5073727484486117E-2</c:v>
                </c:pt>
                <c:pt idx="1593">
                  <c:v>3.5067056548811371E-2</c:v>
                </c:pt>
                <c:pt idx="1594">
                  <c:v>3.506045375657818E-2</c:v>
                </c:pt>
                <c:pt idx="1595">
                  <c:v>3.5052991487067198E-2</c:v>
                </c:pt>
                <c:pt idx="1596">
                  <c:v>3.5046535603246332E-2</c:v>
                </c:pt>
                <c:pt idx="1597">
                  <c:v>3.5040148690517858E-2</c:v>
                </c:pt>
                <c:pt idx="1598">
                  <c:v>3.5033831012240002E-2</c:v>
                </c:pt>
                <c:pt idx="1599">
                  <c:v>3.5027582831778536E-2</c:v>
                </c:pt>
                <c:pt idx="1600">
                  <c:v>3.5021404412506341E-2</c:v>
                </c:pt>
                <c:pt idx="1601">
                  <c:v>3.5015296017804731E-2</c:v>
                </c:pt>
                <c:pt idx="1602">
                  <c:v>3.5009257911062353E-2</c:v>
                </c:pt>
                <c:pt idx="1603">
                  <c:v>3.5003290355676286E-2</c:v>
                </c:pt>
                <c:pt idx="1604">
                  <c:v>3.4997393615051831E-2</c:v>
                </c:pt>
                <c:pt idx="1605">
                  <c:v>3.4991567952602942E-2</c:v>
                </c:pt>
                <c:pt idx="1606">
                  <c:v>3.4985813631751794E-2</c:v>
                </c:pt>
                <c:pt idx="1607">
                  <c:v>3.4980130915797325E-2</c:v>
                </c:pt>
                <c:pt idx="1608">
                  <c:v>3.4974520002409637E-2</c:v>
                </c:pt>
                <c:pt idx="1609">
                  <c:v>3.4968980917308823E-2</c:v>
                </c:pt>
                <c:pt idx="1610">
                  <c:v>3.496351365839967E-2</c:v>
                </c:pt>
                <c:pt idx="1611">
                  <c:v>3.4958118223602064E-2</c:v>
                </c:pt>
                <c:pt idx="1612">
                  <c:v>3.4952794610850324E-2</c:v>
                </c:pt>
                <c:pt idx="1613">
                  <c:v>3.4947542818093646E-2</c:v>
                </c:pt>
                <c:pt idx="1614">
                  <c:v>3.4942362843296326E-2</c:v>
                </c:pt>
                <c:pt idx="1615">
                  <c:v>3.4937254684438868E-2</c:v>
                </c:pt>
                <c:pt idx="1616">
                  <c:v>3.4932218339514653E-2</c:v>
                </c:pt>
                <c:pt idx="1617">
                  <c:v>3.4927253806533498E-2</c:v>
                </c:pt>
                <c:pt idx="1618">
                  <c:v>3.4922361083519426E-2</c:v>
                </c:pt>
                <c:pt idx="1619">
                  <c:v>3.4917540168512229E-2</c:v>
                </c:pt>
                <c:pt idx="1620">
                  <c:v>3.4912791059565684E-2</c:v>
                </c:pt>
                <c:pt idx="1621">
                  <c:v>3.4908113754749559E-2</c:v>
                </c:pt>
                <c:pt idx="1622">
                  <c:v>3.4903508252147386E-2</c:v>
                </c:pt>
                <c:pt idx="1623">
                  <c:v>3.4898974549858686E-2</c:v>
                </c:pt>
                <c:pt idx="1624">
                  <c:v>3.4894512645997855E-2</c:v>
                </c:pt>
                <c:pt idx="1625">
                  <c:v>3.4890122538693502E-2</c:v>
                </c:pt>
                <c:pt idx="1626">
                  <c:v>3.4885804226089778E-2</c:v>
                </c:pt>
                <c:pt idx="1627">
                  <c:v>3.4881557706345712E-2</c:v>
                </c:pt>
                <c:pt idx="1628">
                  <c:v>3.4877382977635429E-2</c:v>
                </c:pt>
                <c:pt idx="1629">
                  <c:v>3.4873280038147714E-2</c:v>
                </c:pt>
                <c:pt idx="1630">
                  <c:v>3.4869248886086224E-2</c:v>
                </c:pt>
                <c:pt idx="1631">
                  <c:v>3.4865289519670162E-2</c:v>
                </c:pt>
                <c:pt idx="1632">
                  <c:v>3.4861401937132941E-2</c:v>
                </c:pt>
                <c:pt idx="1633">
                  <c:v>3.4857586136723295E-2</c:v>
                </c:pt>
                <c:pt idx="1634">
                  <c:v>3.485384211670528E-2</c:v>
                </c:pt>
                <c:pt idx="1635">
                  <c:v>3.4850169875357162E-2</c:v>
                </c:pt>
                <c:pt idx="1636">
                  <c:v>3.484656941097275E-2</c:v>
                </c:pt>
                <c:pt idx="1637">
                  <c:v>3.4843040721860508E-2</c:v>
                </c:pt>
                <c:pt idx="1638">
                  <c:v>3.4839583806343777E-2</c:v>
                </c:pt>
                <c:pt idx="1639">
                  <c:v>3.4836198662760998E-2</c:v>
                </c:pt>
                <c:pt idx="1640">
                  <c:v>3.4832885289465487E-2</c:v>
                </c:pt>
                <c:pt idx="1641">
                  <c:v>3.4829643684825884E-2</c:v>
                </c:pt>
                <c:pt idx="1642">
                  <c:v>3.4826473847225037E-2</c:v>
                </c:pt>
                <c:pt idx="1643">
                  <c:v>3.4823375775061338E-2</c:v>
                </c:pt>
                <c:pt idx="1644">
                  <c:v>3.4820349466747835E-2</c:v>
                </c:pt>
                <c:pt idx="1645">
                  <c:v>3.4817394920713118E-2</c:v>
                </c:pt>
                <c:pt idx="1646">
                  <c:v>3.4814512135399101E-2</c:v>
                </c:pt>
                <c:pt idx="1647">
                  <c:v>3.4811701109264792E-2</c:v>
                </c:pt>
                <c:pt idx="1648">
                  <c:v>3.4808961840782526E-2</c:v>
                </c:pt>
                <c:pt idx="1649">
                  <c:v>3.4806294328440401E-2</c:v>
                </c:pt>
                <c:pt idx="1650">
                  <c:v>3.4803698570740949E-2</c:v>
                </c:pt>
                <c:pt idx="1651">
                  <c:v>3.4801174566202242E-2</c:v>
                </c:pt>
                <c:pt idx="1652">
                  <c:v>3.4798722313356567E-2</c:v>
                </c:pt>
                <c:pt idx="1653">
                  <c:v>3.4796341810751752E-2</c:v>
                </c:pt>
                <c:pt idx="1654">
                  <c:v>3.4794033056950058E-2</c:v>
                </c:pt>
                <c:pt idx="1655">
                  <c:v>3.4791796050529289E-2</c:v>
                </c:pt>
                <c:pt idx="1656">
                  <c:v>3.4789630790081461E-2</c:v>
                </c:pt>
                <c:pt idx="1657">
                  <c:v>3.4787537274214131E-2</c:v>
                </c:pt>
                <c:pt idx="1658">
                  <c:v>3.4785515501549291E-2</c:v>
                </c:pt>
                <c:pt idx="1659">
                  <c:v>3.4783565461166788E-2</c:v>
                </c:pt>
                <c:pt idx="1660">
                  <c:v>3.4781686309663717E-2</c:v>
                </c:pt>
                <c:pt idx="1661">
                  <c:v>3.477987573713559E-2</c:v>
                </c:pt>
                <c:pt idx="1662">
                  <c:v>3.4778131284466163E-2</c:v>
                </c:pt>
                <c:pt idx="1663">
                  <c:v>3.47764504925685E-2</c:v>
                </c:pt>
                <c:pt idx="1664">
                  <c:v>3.4774830902383203E-2</c:v>
                </c:pt>
                <c:pt idx="1665">
                  <c:v>3.4773270054878402E-2</c:v>
                </c:pt>
                <c:pt idx="1666">
                  <c:v>3.4771765491046436E-2</c:v>
                </c:pt>
                <c:pt idx="1667">
                  <c:v>3.4770314751904285E-2</c:v>
                </c:pt>
                <c:pt idx="1668">
                  <c:v>3.4768915378490695E-2</c:v>
                </c:pt>
                <c:pt idx="1669">
                  <c:v>3.4767564911865501E-2</c:v>
                </c:pt>
                <c:pt idx="1670">
                  <c:v>3.4766260893109191E-2</c:v>
                </c:pt>
                <c:pt idx="1671">
                  <c:v>3.4765000863321127E-2</c:v>
                </c:pt>
                <c:pt idx="1672">
                  <c:v>3.4763782363617102E-2</c:v>
                </c:pt>
                <c:pt idx="1673">
                  <c:v>3.4762602935132003E-2</c:v>
                </c:pt>
                <c:pt idx="1674">
                  <c:v>3.4761460119014265E-2</c:v>
                </c:pt>
                <c:pt idx="1675">
                  <c:v>3.4760351456428973E-2</c:v>
                </c:pt>
                <c:pt idx="1676">
                  <c:v>3.4759274488554093E-2</c:v>
                </c:pt>
                <c:pt idx="1677">
                  <c:v>3.47582267565818E-2</c:v>
                </c:pt>
                <c:pt idx="1678">
                  <c:v>3.475720580171604E-2</c:v>
                </c:pt>
                <c:pt idx="1679">
                  <c:v>3.4756209165173635E-2</c:v>
                </c:pt>
                <c:pt idx="1680">
                  <c:v>3.4755234388181622E-2</c:v>
                </c:pt>
                <c:pt idx="1681">
                  <c:v>3.4754279011978584E-2</c:v>
                </c:pt>
                <c:pt idx="1682">
                  <c:v>3.4753340577812653E-2</c:v>
                </c:pt>
                <c:pt idx="1683">
                  <c:v>3.4752416626943061E-2</c:v>
                </c:pt>
                <c:pt idx="1684">
                  <c:v>3.4751504700637259E-2</c:v>
                </c:pt>
                <c:pt idx="1685">
                  <c:v>3.4750474069054293E-2</c:v>
                </c:pt>
                <c:pt idx="1686">
                  <c:v>3.4749579630309224E-2</c:v>
                </c:pt>
                <c:pt idx="1687">
                  <c:v>3.4748689488742768E-2</c:v>
                </c:pt>
                <c:pt idx="1688">
                  <c:v>3.4747801185659455E-2</c:v>
                </c:pt>
                <c:pt idx="1689">
                  <c:v>3.474691226237181E-2</c:v>
                </c:pt>
                <c:pt idx="1690">
                  <c:v>3.4746020260201682E-2</c:v>
                </c:pt>
                <c:pt idx="1691">
                  <c:v>3.4745122720478472E-2</c:v>
                </c:pt>
                <c:pt idx="1692">
                  <c:v>3.4744217184540904E-2</c:v>
                </c:pt>
                <c:pt idx="1693">
                  <c:v>3.474330119373592E-2</c:v>
                </c:pt>
                <c:pt idx="1694">
                  <c:v>3.4743924167988958E-2</c:v>
                </c:pt>
                <c:pt idx="1695">
                  <c:v>3.4742976652859657E-2</c:v>
                </c:pt>
                <c:pt idx="1696">
                  <c:v>3.4742011199727578E-2</c:v>
                </c:pt>
                <c:pt idx="1697">
                  <c:v>3.4741025356466414E-2</c:v>
                </c:pt>
                <c:pt idx="1698">
                  <c:v>3.4738478364498171E-2</c:v>
                </c:pt>
                <c:pt idx="1699">
                  <c:v>3.473898269110872E-2</c:v>
                </c:pt>
                <c:pt idx="1700">
                  <c:v>3.4737920964814054E-2</c:v>
                </c:pt>
                <c:pt idx="1701">
                  <c:v>3.4736829039997565E-2</c:v>
                </c:pt>
                <c:pt idx="1702">
                  <c:v>3.4735704464591399E-2</c:v>
                </c:pt>
                <c:pt idx="1703">
                  <c:v>3.4734544786541442E-2</c:v>
                </c:pt>
                <c:pt idx="1704">
                  <c:v>3.4733347553807532E-2</c:v>
                </c:pt>
                <c:pt idx="1705">
                  <c:v>3.4732110314366099E-2</c:v>
                </c:pt>
                <c:pt idx="1706">
                  <c:v>3.47308306162082E-2</c:v>
                </c:pt>
                <c:pt idx="1707">
                  <c:v>3.4729506007343494E-2</c:v>
                </c:pt>
                <c:pt idx="1708">
                  <c:v>3.4728134035798913E-2</c:v>
                </c:pt>
                <c:pt idx="1709">
                  <c:v>3.4726712249621303E-2</c:v>
                </c:pt>
                <c:pt idx="1710">
                  <c:v>3.4725238196877908E-2</c:v>
                </c:pt>
                <c:pt idx="1711">
                  <c:v>3.472370943393787E-2</c:v>
                </c:pt>
                <c:pt idx="1712">
                  <c:v>3.4722124238646124E-2</c:v>
                </c:pt>
                <c:pt idx="1713">
                  <c:v>3.4720482159945346E-2</c:v>
                </c:pt>
                <c:pt idx="1714">
                  <c:v>3.4718782876175698E-2</c:v>
                </c:pt>
                <c:pt idx="1715">
                  <c:v>3.4717026065687953E-2</c:v>
                </c:pt>
                <c:pt idx="1716">
                  <c:v>3.4715211406846407E-2</c:v>
                </c:pt>
                <c:pt idx="1717">
                  <c:v>3.471333857802554E-2</c:v>
                </c:pt>
                <c:pt idx="1718">
                  <c:v>3.471140725761334E-2</c:v>
                </c:pt>
                <c:pt idx="1719">
                  <c:v>3.470941712400908E-2</c:v>
                </c:pt>
                <c:pt idx="1720">
                  <c:v>3.4707367855624879E-2</c:v>
                </c:pt>
                <c:pt idx="1721">
                  <c:v>3.470525913088638E-2</c:v>
                </c:pt>
                <c:pt idx="1722">
                  <c:v>3.4703090628230494E-2</c:v>
                </c:pt>
                <c:pt idx="1723">
                  <c:v>3.4700862026108323E-2</c:v>
                </c:pt>
                <c:pt idx="1724">
                  <c:v>3.4698573002984026E-2</c:v>
                </c:pt>
                <c:pt idx="1725">
                  <c:v>3.4696223237334824E-2</c:v>
                </c:pt>
                <c:pt idx="1726">
                  <c:v>3.4693812407652125E-2</c:v>
                </c:pt>
                <c:pt idx="1727">
                  <c:v>3.4691340192440814E-2</c:v>
                </c:pt>
                <c:pt idx="1728">
                  <c:v>3.4688806270219988E-2</c:v>
                </c:pt>
                <c:pt idx="1729">
                  <c:v>3.4686210319522445E-2</c:v>
                </c:pt>
                <c:pt idx="1730">
                  <c:v>3.4683552018896044E-2</c:v>
                </c:pt>
                <c:pt idx="1731">
                  <c:v>3.4680831046901943E-2</c:v>
                </c:pt>
                <c:pt idx="1732">
                  <c:v>3.4678047082118336E-2</c:v>
                </c:pt>
                <c:pt idx="1733">
                  <c:v>3.467519980313627E-2</c:v>
                </c:pt>
                <c:pt idx="1734">
                  <c:v>3.4672288888562733E-2</c:v>
                </c:pt>
                <c:pt idx="1735">
                  <c:v>3.4669314017020211E-2</c:v>
                </c:pt>
                <c:pt idx="1736">
                  <c:v>3.4666274867146699E-2</c:v>
                </c:pt>
                <c:pt idx="1737">
                  <c:v>3.466317111759612E-2</c:v>
                </c:pt>
                <c:pt idx="1738">
                  <c:v>3.4660002447037694E-2</c:v>
                </c:pt>
                <c:pt idx="1739">
                  <c:v>3.4656768534157459E-2</c:v>
                </c:pt>
                <c:pt idx="1740">
                  <c:v>3.4653469057657399E-2</c:v>
                </c:pt>
                <c:pt idx="1741">
                  <c:v>3.4650103696256769E-2</c:v>
                </c:pt>
                <c:pt idx="1742">
                  <c:v>3.4646672128690111E-2</c:v>
                </c:pt>
                <c:pt idx="1743">
                  <c:v>3.4643174033710998E-2</c:v>
                </c:pt>
                <c:pt idx="1744">
                  <c:v>3.463960909008873E-2</c:v>
                </c:pt>
                <c:pt idx="1745">
                  <c:v>3.4635976976610333E-2</c:v>
                </c:pt>
                <c:pt idx="1746">
                  <c:v>3.4630962533199083E-2</c:v>
                </c:pt>
                <c:pt idx="1747">
                  <c:v>3.4627200581671902E-2</c:v>
                </c:pt>
                <c:pt idx="1748">
                  <c:v>3.4623370517123275E-2</c:v>
                </c:pt>
                <c:pt idx="1749">
                  <c:v>3.4619472017557218E-2</c:v>
                </c:pt>
                <c:pt idx="1750">
                  <c:v>3.4615504760995508E-2</c:v>
                </c:pt>
                <c:pt idx="1751">
                  <c:v>3.4611468425478575E-2</c:v>
                </c:pt>
                <c:pt idx="1752">
                  <c:v>3.4607362689065946E-2</c:v>
                </c:pt>
                <c:pt idx="1753">
                  <c:v>3.4603187229836019E-2</c:v>
                </c:pt>
                <c:pt idx="1754">
                  <c:v>3.4598941725886512E-2</c:v>
                </c:pt>
                <c:pt idx="1755">
                  <c:v>3.4594625855334682E-2</c:v>
                </c:pt>
                <c:pt idx="1756">
                  <c:v>3.4590239296317549E-2</c:v>
                </c:pt>
                <c:pt idx="1757">
                  <c:v>3.4585781726991671E-2</c:v>
                </c:pt>
                <c:pt idx="1758">
                  <c:v>3.4581252825534259E-2</c:v>
                </c:pt>
                <c:pt idx="1759">
                  <c:v>3.4576652270142283E-2</c:v>
                </c:pt>
                <c:pt idx="1760">
                  <c:v>3.4571979739034253E-2</c:v>
                </c:pt>
                <c:pt idx="1761">
                  <c:v>3.4567234910448219E-2</c:v>
                </c:pt>
                <c:pt idx="1762">
                  <c:v>3.4562417462644213E-2</c:v>
                </c:pt>
                <c:pt idx="1763">
                  <c:v>3.4557527073903138E-2</c:v>
                </c:pt>
                <c:pt idx="1764">
                  <c:v>3.4552563604796749E-2</c:v>
                </c:pt>
                <c:pt idx="1765">
                  <c:v>3.4547527644987586E-2</c:v>
                </c:pt>
                <c:pt idx="1766">
                  <c:v>3.4542419966409277E-2</c:v>
                </c:pt>
                <c:pt idx="1767">
                  <c:v>3.4537241340995228E-2</c:v>
                </c:pt>
                <c:pt idx="1768">
                  <c:v>3.4531992540678402E-2</c:v>
                </c:pt>
                <c:pt idx="1769">
                  <c:v>3.4526674337390206E-2</c:v>
                </c:pt>
                <c:pt idx="1770">
                  <c:v>3.4521287503060494E-2</c:v>
                </c:pt>
                <c:pt idx="1771">
                  <c:v>3.4515832809616454E-2</c:v>
                </c:pt>
                <c:pt idx="1772">
                  <c:v>3.4510311028983054E-2</c:v>
                </c:pt>
                <c:pt idx="1773">
                  <c:v>3.4504722933081489E-2</c:v>
                </c:pt>
                <c:pt idx="1774">
                  <c:v>3.4499069293828954E-2</c:v>
                </c:pt>
                <c:pt idx="1775">
                  <c:v>3.4493350883139318E-2</c:v>
                </c:pt>
                <c:pt idx="1776">
                  <c:v>3.4487568472920671E-2</c:v>
                </c:pt>
                <c:pt idx="1777">
                  <c:v>3.4481722835076223E-2</c:v>
                </c:pt>
                <c:pt idx="1778">
                  <c:v>3.4475814741503408E-2</c:v>
                </c:pt>
                <c:pt idx="1779">
                  <c:v>3.4469844964093443E-2</c:v>
                </c:pt>
                <c:pt idx="1780">
                  <c:v>3.4463814274731108E-2</c:v>
                </c:pt>
                <c:pt idx="1781">
                  <c:v>3.4457723445293853E-2</c:v>
                </c:pt>
                <c:pt idx="1782">
                  <c:v>3.4451573247651801E-2</c:v>
                </c:pt>
                <c:pt idx="1783">
                  <c:v>3.4445364453665972E-2</c:v>
                </c:pt>
                <c:pt idx="1784">
                  <c:v>3.4439097835190724E-2</c:v>
                </c:pt>
                <c:pt idx="1785">
                  <c:v>3.4432774164069979E-2</c:v>
                </c:pt>
                <c:pt idx="1786">
                  <c:v>3.4426394212139222E-2</c:v>
                </c:pt>
                <c:pt idx="1787">
                  <c:v>3.4419958751223723E-2</c:v>
                </c:pt>
                <c:pt idx="1788">
                  <c:v>3.441346855313876E-2</c:v>
                </c:pt>
                <c:pt idx="1789">
                  <c:v>3.4405985148863394E-2</c:v>
                </c:pt>
                <c:pt idx="1790">
                  <c:v>3.4399380255764278E-2</c:v>
                </c:pt>
                <c:pt idx="1791">
                  <c:v>3.4392723051130503E-2</c:v>
                </c:pt>
                <c:pt idx="1792">
                  <c:v>3.4386014306730495E-2</c:v>
                </c:pt>
                <c:pt idx="1793">
                  <c:v>3.4379254794321357E-2</c:v>
                </c:pt>
                <c:pt idx="1794">
                  <c:v>3.4372445285646869E-2</c:v>
                </c:pt>
                <c:pt idx="1795">
                  <c:v>3.4365586552438154E-2</c:v>
                </c:pt>
                <c:pt idx="1796">
                  <c:v>3.4358679366413236E-2</c:v>
                </c:pt>
                <c:pt idx="1797">
                  <c:v>3.4351724499275704E-2</c:v>
                </c:pt>
                <c:pt idx="1798">
                  <c:v>3.4344722722715826E-2</c:v>
                </c:pt>
                <c:pt idx="1799">
                  <c:v>3.4337674808409213E-2</c:v>
                </c:pt>
                <c:pt idx="1800">
                  <c:v>3.4330581528016602E-2</c:v>
                </c:pt>
                <c:pt idx="1801">
                  <c:v>3.4323443653183405E-2</c:v>
                </c:pt>
                <c:pt idx="1802">
                  <c:v>3.4316261955540384E-2</c:v>
                </c:pt>
                <c:pt idx="1803">
                  <c:v>3.4313246908461402E-2</c:v>
                </c:pt>
                <c:pt idx="1804">
                  <c:v>3.4301770178265967E-2</c:v>
                </c:pt>
                <c:pt idx="1805">
                  <c:v>3.4294461641814822E-2</c:v>
                </c:pt>
                <c:pt idx="1806">
                  <c:v>3.4287112368913686E-2</c:v>
                </c:pt>
                <c:pt idx="1807">
                  <c:v>3.4279723131111384E-2</c:v>
                </c:pt>
                <c:pt idx="1808">
                  <c:v>3.4272294699937866E-2</c:v>
                </c:pt>
                <c:pt idx="1809">
                  <c:v>3.4264827846906876E-2</c:v>
                </c:pt>
                <c:pt idx="1810">
                  <c:v>3.4257323343513946E-2</c:v>
                </c:pt>
                <c:pt idx="1811">
                  <c:v>3.4249781961235737E-2</c:v>
                </c:pt>
                <c:pt idx="1812">
                  <c:v>3.4242204471531368E-2</c:v>
                </c:pt>
                <c:pt idx="1813">
                  <c:v>3.423459164584064E-2</c:v>
                </c:pt>
                <c:pt idx="1814">
                  <c:v>3.4226944255584479E-2</c:v>
                </c:pt>
                <c:pt idx="1815">
                  <c:v>3.4219263072164274E-2</c:v>
                </c:pt>
                <c:pt idx="1816">
                  <c:v>3.4211548154351457E-2</c:v>
                </c:pt>
                <c:pt idx="1817">
                  <c:v>3.4203796710495338E-2</c:v>
                </c:pt>
                <c:pt idx="1818">
                  <c:v>3.4196005236432736E-2</c:v>
                </c:pt>
                <c:pt idx="1819">
                  <c:v>3.4188170228109938E-2</c:v>
                </c:pt>
                <c:pt idx="1820">
                  <c:v>3.4180288181585139E-2</c:v>
                </c:pt>
                <c:pt idx="1821">
                  <c:v>3.4172355593029335E-2</c:v>
                </c:pt>
                <c:pt idx="1822">
                  <c:v>3.4164368958728097E-2</c:v>
                </c:pt>
                <c:pt idx="1823">
                  <c:v>3.4156324775083347E-2</c:v>
                </c:pt>
                <c:pt idx="1824">
                  <c:v>3.4148219538615354E-2</c:v>
                </c:pt>
                <c:pt idx="1825">
                  <c:v>3.414004974596474E-2</c:v>
                </c:pt>
                <c:pt idx="1826">
                  <c:v>3.4131811893894692E-2</c:v>
                </c:pt>
                <c:pt idx="1827">
                  <c:v>3.41235024792923E-2</c:v>
                </c:pt>
                <c:pt idx="1828">
                  <c:v>3.4115117999172551E-2</c:v>
                </c:pt>
                <c:pt idx="1829">
                  <c:v>3.4106654950679882E-2</c:v>
                </c:pt>
                <c:pt idx="1830">
                  <c:v>3.4098109831089962E-2</c:v>
                </c:pt>
                <c:pt idx="1831">
                  <c:v>3.4089479137814571E-2</c:v>
                </c:pt>
                <c:pt idx="1832">
                  <c:v>3.4080759368402269E-2</c:v>
                </c:pt>
                <c:pt idx="1833">
                  <c:v>3.4071947020542392E-2</c:v>
                </c:pt>
                <c:pt idx="1834">
                  <c:v>3.406303859206794E-2</c:v>
                </c:pt>
                <c:pt idx="1835">
                  <c:v>3.4054030580959571E-2</c:v>
                </c:pt>
                <c:pt idx="1836">
                  <c:v>3.4044919485346936E-2</c:v>
                </c:pt>
                <c:pt idx="1837">
                  <c:v>3.4035701803514673E-2</c:v>
                </c:pt>
                <c:pt idx="1838">
                  <c:v>3.4026374033903073E-2</c:v>
                </c:pt>
                <c:pt idx="1839">
                  <c:v>3.4016932675114742E-2</c:v>
                </c:pt>
                <c:pt idx="1840">
                  <c:v>3.4007374225916154E-2</c:v>
                </c:pt>
                <c:pt idx="1841">
                  <c:v>3.3997881856895049E-2</c:v>
                </c:pt>
                <c:pt idx="1842">
                  <c:v>3.3988034303823862E-2</c:v>
                </c:pt>
                <c:pt idx="1843">
                  <c:v>3.3978058157807342E-2</c:v>
                </c:pt>
                <c:pt idx="1844">
                  <c:v>3.3967949936845078E-2</c:v>
                </c:pt>
                <c:pt idx="1845">
                  <c:v>3.3957706159124794E-2</c:v>
                </c:pt>
                <c:pt idx="1846">
                  <c:v>3.3945157286255738E-2</c:v>
                </c:pt>
                <c:pt idx="1847">
                  <c:v>3.3936798007119774E-2</c:v>
                </c:pt>
                <c:pt idx="1848">
                  <c:v>3.3926126670186151E-2</c:v>
                </c:pt>
                <c:pt idx="1849">
                  <c:v>3.3915305851205363E-2</c:v>
                </c:pt>
                <c:pt idx="1850">
                  <c:v>3.390234181784748E-2</c:v>
                </c:pt>
                <c:pt idx="1851">
                  <c:v>3.3893201844089713E-2</c:v>
                </c:pt>
                <c:pt idx="1852">
                  <c:v>3.3881911694993147E-2</c:v>
                </c:pt>
                <c:pt idx="1853">
                  <c:v>3.3870458141937038E-2</c:v>
                </c:pt>
                <c:pt idx="1854">
                  <c:v>3.3859436645952631E-2</c:v>
                </c:pt>
                <c:pt idx="1855">
                  <c:v>3.3839078566346048E-2</c:v>
                </c:pt>
                <c:pt idx="1856">
                  <c:v>3.382704488068744E-2</c:v>
                </c:pt>
                <c:pt idx="1857">
                  <c:v>3.3814832114861249E-2</c:v>
                </c:pt>
                <c:pt idx="1858">
                  <c:v>3.3802436771565025E-2</c:v>
                </c:pt>
                <c:pt idx="1859">
                  <c:v>3.3789855353760778E-2</c:v>
                </c:pt>
                <c:pt idx="1860">
                  <c:v>3.3777084364680077E-2</c:v>
                </c:pt>
                <c:pt idx="1861">
                  <c:v>3.3764120307829826E-2</c:v>
                </c:pt>
                <c:pt idx="1862">
                  <c:v>3.3750959687000925E-2</c:v>
                </c:pt>
                <c:pt idx="1863">
                  <c:v>3.3737599006272934E-2</c:v>
                </c:pt>
                <c:pt idx="1864">
                  <c:v>3.3724034770020284E-2</c:v>
                </c:pt>
                <c:pt idx="1865">
                  <c:v>3.3710263482921832E-2</c:v>
                </c:pt>
                <c:pt idx="1866">
                  <c:v>3.3696281649965076E-2</c:v>
                </c:pt>
                <c:pt idx="1867">
                  <c:v>3.3682085931621364E-2</c:v>
                </c:pt>
                <c:pt idx="1868">
                  <c:v>3.3667678845640925E-2</c:v>
                </c:pt>
                <c:pt idx="1869">
                  <c:v>3.365307152306074E-2</c:v>
                </c:pt>
                <c:pt idx="1870">
                  <c:v>3.3638275862562184E-2</c:v>
                </c:pt>
                <c:pt idx="1871">
                  <c:v>3.3623303762253531E-2</c:v>
                </c:pt>
                <c:pt idx="1872">
                  <c:v>3.3608167119648202E-2</c:v>
                </c:pt>
                <c:pt idx="1873">
                  <c:v>3.3592877831645884E-2</c:v>
                </c:pt>
                <c:pt idx="1874">
                  <c:v>3.3577447794514326E-2</c:v>
                </c:pt>
                <c:pt idx="1875">
                  <c:v>3.3561888903871573E-2</c:v>
                </c:pt>
                <c:pt idx="1876">
                  <c:v>3.3546213054671314E-2</c:v>
                </c:pt>
                <c:pt idx="1877">
                  <c:v>3.3530432141188671E-2</c:v>
                </c:pt>
                <c:pt idx="1878">
                  <c:v>3.3514558057007093E-2</c:v>
                </c:pt>
                <c:pt idx="1879">
                  <c:v>3.3498602695006818E-2</c:v>
                </c:pt>
                <c:pt idx="1880">
                  <c:v>3.3482577947355763E-2</c:v>
                </c:pt>
                <c:pt idx="1881">
                  <c:v>3.3466495705499533E-2</c:v>
                </c:pt>
                <c:pt idx="1882">
                  <c:v>3.3450367860155428E-2</c:v>
                </c:pt>
                <c:pt idx="1883">
                  <c:v>3.3434206301305114E-2</c:v>
                </c:pt>
                <c:pt idx="1884">
                  <c:v>3.3418022918191737E-2</c:v>
                </c:pt>
                <c:pt idx="1885">
                  <c:v>3.3401829599314814E-2</c:v>
                </c:pt>
                <c:pt idx="1886">
                  <c:v>3.3385638232430237E-2</c:v>
                </c:pt>
                <c:pt idx="1887">
                  <c:v>3.3369460704548493E-2</c:v>
                </c:pt>
                <c:pt idx="1888">
                  <c:v>3.335330890193644E-2</c:v>
                </c:pt>
                <c:pt idx="1889">
                  <c:v>3.3337194710118423E-2</c:v>
                </c:pt>
                <c:pt idx="1890">
                  <c:v>3.3321130013882705E-2</c:v>
                </c:pt>
                <c:pt idx="1891">
                  <c:v>3.3305126697281473E-2</c:v>
                </c:pt>
                <c:pt idx="1892">
                  <c:v>3.3289196643642827E-2</c:v>
                </c:pt>
                <c:pt idx="1893">
                  <c:v>3.3273351735574774E-2</c:v>
                </c:pt>
                <c:pt idx="1894">
                  <c:v>3.3257603854975226E-2</c:v>
                </c:pt>
                <c:pt idx="1895">
                  <c:v>3.324196488304354E-2</c:v>
                </c:pt>
                <c:pt idx="1896">
                  <c:v>3.3226446700290735E-2</c:v>
                </c:pt>
                <c:pt idx="1897">
                  <c:v>3.3211061186554147E-2</c:v>
                </c:pt>
                <c:pt idx="1898">
                  <c:v>3.3195820221011196E-2</c:v>
                </c:pt>
                <c:pt idx="1899">
                  <c:v>3.3180735682194928E-2</c:v>
                </c:pt>
                <c:pt idx="1900">
                  <c:v>3.316581944801289E-2</c:v>
                </c:pt>
                <c:pt idx="1901">
                  <c:v>3.3151083395764003E-2</c:v>
                </c:pt>
                <c:pt idx="1902">
                  <c:v>3.3137152973763136E-2</c:v>
                </c:pt>
                <c:pt idx="1903">
                  <c:v>3.3122836165287266E-2</c:v>
                </c:pt>
                <c:pt idx="1904">
                  <c:v>3.3108735701082394E-2</c:v>
                </c:pt>
                <c:pt idx="1905">
                  <c:v>3.3094863424777902E-2</c:v>
                </c:pt>
                <c:pt idx="1906">
                  <c:v>3.3081231179511797E-2</c:v>
                </c:pt>
                <c:pt idx="1907">
                  <c:v>3.3067850807957516E-2</c:v>
                </c:pt>
                <c:pt idx="1908">
                  <c:v>3.30547341523518E-2</c:v>
                </c:pt>
                <c:pt idx="1909">
                  <c:v>3.3041893054523083E-2</c:v>
                </c:pt>
                <c:pt idx="1910">
                  <c:v>3.3029339355925773E-2</c:v>
                </c:pt>
                <c:pt idx="1911">
                  <c:v>3.3017084897669059E-2</c:v>
                </c:pt>
                <c:pt idx="1912">
                  <c:v>3.30051415205539E-2</c:v>
                </c:pt>
                <c:pt idx="1913">
                  <c:v>3.2993521065104441E-2</c:v>
                </c:pt>
                <c:pt idx="1914">
                  <c:v>3.2982235371608347E-2</c:v>
                </c:pt>
                <c:pt idx="1915">
                  <c:v>3.297129628015176E-2</c:v>
                </c:pt>
                <c:pt idx="1916">
                  <c:v>3.296071563065963E-2</c:v>
                </c:pt>
                <c:pt idx="1917">
                  <c:v>3.2950505262936206E-2</c:v>
                </c:pt>
                <c:pt idx="1918">
                  <c:v>3.2940677016706478E-2</c:v>
                </c:pt>
                <c:pt idx="1919">
                  <c:v>3.2931242617057897E-2</c:v>
                </c:pt>
                <c:pt idx="1920">
                  <c:v>3.2922207268029288E-2</c:v>
                </c:pt>
                <c:pt idx="1921">
                  <c:v>3.2913564164688373E-2</c:v>
                </c:pt>
                <c:pt idx="1922">
                  <c:v>3.2905305001023455E-2</c:v>
                </c:pt>
                <c:pt idx="1923">
                  <c:v>3.2897421471724565E-2</c:v>
                </c:pt>
                <c:pt idx="1924">
                  <c:v>3.2889905272151583E-2</c:v>
                </c:pt>
                <c:pt idx="1925">
                  <c:v>3.2882748098307685E-2</c:v>
                </c:pt>
                <c:pt idx="1926">
                  <c:v>3.2875941646805636E-2</c:v>
                </c:pt>
                <c:pt idx="1927">
                  <c:v>3.2869477614842386E-2</c:v>
                </c:pt>
                <c:pt idx="1928">
                  <c:v>3.2863347700170006E-2</c:v>
                </c:pt>
                <c:pt idx="1929">
                  <c:v>3.2857543601068705E-2</c:v>
                </c:pt>
                <c:pt idx="1930">
                  <c:v>3.2852057016319589E-2</c:v>
                </c:pt>
                <c:pt idx="1931">
                  <c:v>3.2846879645180065E-2</c:v>
                </c:pt>
                <c:pt idx="1932">
                  <c:v>3.2842003187357513E-2</c:v>
                </c:pt>
                <c:pt idx="1933">
                  <c:v>3.2837419342984252E-2</c:v>
                </c:pt>
                <c:pt idx="1934">
                  <c:v>3.2833119812596054E-2</c:v>
                </c:pt>
                <c:pt idx="1935">
                  <c:v>3.2829096297105578E-2</c:v>
                </c:pt>
                <c:pt idx="1936">
                  <c:v>3.2825340497782671E-2</c:v>
                </c:pt>
                <c:pt idx="1937">
                  <c:v>3.2821844116230438E-2</c:v>
                </c:pt>
                <c:pt idx="1938">
                  <c:v>3.2818598854365319E-2</c:v>
                </c:pt>
                <c:pt idx="1939">
                  <c:v>3.2815596414396055E-2</c:v>
                </c:pt>
                <c:pt idx="1940">
                  <c:v>3.2812828498803091E-2</c:v>
                </c:pt>
                <c:pt idx="1941">
                  <c:v>3.2810286810321741E-2</c:v>
                </c:pt>
                <c:pt idx="1942">
                  <c:v>3.2807963051919839E-2</c:v>
                </c:pt>
                <c:pt idx="1943">
                  <c:v>3.2805848926783315E-2</c:v>
                </c:pt>
                <c:pt idx="1944">
                  <c:v>3.2803936138297872E-2</c:v>
                </c:pt>
                <c:pt idx="1945">
                  <c:v>3.2802216390031197E-2</c:v>
                </c:pt>
                <c:pt idx="1946">
                  <c:v>3.2800681385718407E-2</c:v>
                </c:pt>
                <c:pt idx="1947">
                  <c:v>3.279932282924674E-2</c:v>
                </c:pt>
                <c:pt idx="1948">
                  <c:v>3.2798132424640726E-2</c:v>
                </c:pt>
                <c:pt idx="1949">
                  <c:v>3.2797101876048673E-2</c:v>
                </c:pt>
                <c:pt idx="1950">
                  <c:v>3.2796222887728523E-2</c:v>
                </c:pt>
                <c:pt idx="1951">
                  <c:v>3.279548716403561E-2</c:v>
                </c:pt>
                <c:pt idx="1952">
                  <c:v>3.2794886409412562E-2</c:v>
                </c:pt>
                <c:pt idx="1953">
                  <c:v>3.2794412328375711E-2</c:v>
                </c:pt>
                <c:pt idx="1954">
                  <c:v>3.279257309243766E-2</c:v>
                </c:pt>
                <c:pt idx="1955">
                  <c:v>3.2792326577988584E-2</c:v>
                </c:pt>
                <c:pt idx="1956">
                  <c:v>3.2792182202368902E-2</c:v>
                </c:pt>
                <c:pt idx="1957">
                  <c:v>3.2792131648303746E-2</c:v>
                </c:pt>
                <c:pt idx="1958">
                  <c:v>3.2792166598547112E-2</c:v>
                </c:pt>
                <c:pt idx="1959">
                  <c:v>3.279227873587387E-2</c:v>
                </c:pt>
                <c:pt idx="1960">
                  <c:v>3.2792459743074875E-2</c:v>
                </c:pt>
                <c:pt idx="1961">
                  <c:v>3.2792701302948979E-2</c:v>
                </c:pt>
                <c:pt idx="1962">
                  <c:v>3.2792995098299693E-2</c:v>
                </c:pt>
                <c:pt idx="1963">
                  <c:v>3.2793332811929865E-2</c:v>
                </c:pt>
                <c:pt idx="1964">
                  <c:v>3.2793706126637456E-2</c:v>
                </c:pt>
                <c:pt idx="1965">
                  <c:v>3.2794106725213545E-2</c:v>
                </c:pt>
                <c:pt idx="1966">
                  <c:v>3.2794526290438109E-2</c:v>
                </c:pt>
                <c:pt idx="1967">
                  <c:v>3.2794956505078909E-2</c:v>
                </c:pt>
                <c:pt idx="1968">
                  <c:v>3.2795389051891055E-2</c:v>
                </c:pt>
                <c:pt idx="1969">
                  <c:v>3.2795815613616108E-2</c:v>
                </c:pt>
                <c:pt idx="1970">
                  <c:v>3.2796227872980754E-2</c:v>
                </c:pt>
                <c:pt idx="1971">
                  <c:v>3.2796617516741344E-2</c:v>
                </c:pt>
                <c:pt idx="1972">
                  <c:v>3.2796978284690859E-2</c:v>
                </c:pt>
                <c:pt idx="1973">
                  <c:v>3.2797309303849165E-2</c:v>
                </c:pt>
                <c:pt idx="1974">
                  <c:v>3.2797610574187619E-2</c:v>
                </c:pt>
                <c:pt idx="1975">
                  <c:v>3.2797882095680242E-2</c:v>
                </c:pt>
                <c:pt idx="1976">
                  <c:v>3.2798123868303719E-2</c:v>
                </c:pt>
                <c:pt idx="1977">
                  <c:v>3.279833589203629E-2</c:v>
                </c:pt>
                <c:pt idx="1978">
                  <c:v>3.2798518166860413E-2</c:v>
                </c:pt>
                <c:pt idx="1979">
                  <c:v>3.2798670692760545E-2</c:v>
                </c:pt>
                <c:pt idx="1980">
                  <c:v>3.279879346972292E-2</c:v>
                </c:pt>
                <c:pt idx="1981">
                  <c:v>3.2798886497737101E-2</c:v>
                </c:pt>
                <c:pt idx="1982">
                  <c:v>3.2798949776795316E-2</c:v>
                </c:pt>
                <c:pt idx="1983">
                  <c:v>3.2798983306891794E-2</c:v>
                </c:pt>
                <c:pt idx="1984">
                  <c:v>3.2798987088023646E-2</c:v>
                </c:pt>
                <c:pt idx="1985">
                  <c:v>3.2798961120190429E-2</c:v>
                </c:pt>
                <c:pt idx="1986">
                  <c:v>3.2798905403394807E-2</c:v>
                </c:pt>
                <c:pt idx="1987">
                  <c:v>3.2798819937641444E-2</c:v>
                </c:pt>
                <c:pt idx="1988">
                  <c:v>3.2798704722937888E-2</c:v>
                </c:pt>
                <c:pt idx="1989">
                  <c:v>3.2798559759293244E-2</c:v>
                </c:pt>
                <c:pt idx="1990">
                  <c:v>3.2798385046721279E-2</c:v>
                </c:pt>
                <c:pt idx="1991">
                  <c:v>3.2798180585236203E-2</c:v>
                </c:pt>
                <c:pt idx="1992">
                  <c:v>3.279794637485578E-2</c:v>
                </c:pt>
                <c:pt idx="1993">
                  <c:v>3.2797682415600882E-2</c:v>
                </c:pt>
                <c:pt idx="1994">
                  <c:v>3.2797388707493269E-2</c:v>
                </c:pt>
                <c:pt idx="1995">
                  <c:v>3.2797065250559143E-2</c:v>
                </c:pt>
                <c:pt idx="1996">
                  <c:v>3.2796712044826037E-2</c:v>
                </c:pt>
                <c:pt idx="1997">
                  <c:v>3.2796271954069978E-2</c:v>
                </c:pt>
                <c:pt idx="1998">
                  <c:v>3.2795855001017227E-2</c:v>
                </c:pt>
                <c:pt idx="1999">
                  <c:v>3.2795408299270523E-2</c:v>
                </c:pt>
                <c:pt idx="2000">
                  <c:v>3.2794931848867614E-2</c:v>
                </c:pt>
                <c:pt idx="2001">
                  <c:v>3.2794425649850689E-2</c:v>
                </c:pt>
                <c:pt idx="2002">
                  <c:v>3.2793889702262824E-2</c:v>
                </c:pt>
                <c:pt idx="2003">
                  <c:v>3.2793324006150426E-2</c:v>
                </c:pt>
                <c:pt idx="2004">
                  <c:v>3.2792728561562789E-2</c:v>
                </c:pt>
                <c:pt idx="2005">
                  <c:v>3.2792103368550984E-2</c:v>
                </c:pt>
                <c:pt idx="2006">
                  <c:v>3.279144842716919E-2</c:v>
                </c:pt>
                <c:pt idx="2007">
                  <c:v>3.2790763737474249E-2</c:v>
                </c:pt>
                <c:pt idx="2008">
                  <c:v>3.279004929952456E-2</c:v>
                </c:pt>
                <c:pt idx="2009">
                  <c:v>3.2789305113382516E-2</c:v>
                </c:pt>
                <c:pt idx="2010">
                  <c:v>3.278853117911229E-2</c:v>
                </c:pt>
                <c:pt idx="2011">
                  <c:v>3.2787727496780494E-2</c:v>
                </c:pt>
                <c:pt idx="2012">
                  <c:v>3.2786894066457073E-2</c:v>
                </c:pt>
                <c:pt idx="2013">
                  <c:v>3.2786030888213524E-2</c:v>
                </c:pt>
                <c:pt idx="2014">
                  <c:v>3.2785137962125122E-2</c:v>
                </c:pt>
                <c:pt idx="2015">
                  <c:v>3.2784215288268026E-2</c:v>
                </c:pt>
                <c:pt idx="2016">
                  <c:v>3.2783262866723062E-2</c:v>
                </c:pt>
                <c:pt idx="2017">
                  <c:v>3.278228069757172E-2</c:v>
                </c:pt>
                <c:pt idx="2018">
                  <c:v>3.278126878089882E-2</c:v>
                </c:pt>
                <c:pt idx="2019">
                  <c:v>3.2780227116792737E-2</c:v>
                </c:pt>
                <c:pt idx="2020">
                  <c:v>3.2779155705342511E-2</c:v>
                </c:pt>
                <c:pt idx="2021">
                  <c:v>3.2778054546640956E-2</c:v>
                </c:pt>
                <c:pt idx="2022">
                  <c:v>3.2776923640783773E-2</c:v>
                </c:pt>
                <c:pt idx="2023">
                  <c:v>3.2775762987867996E-2</c:v>
                </c:pt>
                <c:pt idx="2024">
                  <c:v>3.2774572587994211E-2</c:v>
                </c:pt>
                <c:pt idx="2025">
                  <c:v>3.2773352441265446E-2</c:v>
                </c:pt>
                <c:pt idx="2026">
                  <c:v>3.2772102547786508E-2</c:v>
                </c:pt>
                <c:pt idx="2027">
                  <c:v>3.2770822907666419E-2</c:v>
                </c:pt>
                <c:pt idx="2028">
                  <c:v>3.2769513521014648E-2</c:v>
                </c:pt>
                <c:pt idx="2029">
                  <c:v>3.2768174387945326E-2</c:v>
                </c:pt>
                <c:pt idx="2030">
                  <c:v>3.2766805508573471E-2</c:v>
                </c:pt>
                <c:pt idx="2031">
                  <c:v>3.2765406883017656E-2</c:v>
                </c:pt>
                <c:pt idx="2032">
                  <c:v>3.2763978511398895E-2</c:v>
                </c:pt>
                <c:pt idx="2033">
                  <c:v>3.2762520393839978E-2</c:v>
                </c:pt>
                <c:pt idx="2034">
                  <c:v>3.2761032530467693E-2</c:v>
                </c:pt>
                <c:pt idx="2035">
                  <c:v>3.2759514921409938E-2</c:v>
                </c:pt>
                <c:pt idx="2036">
                  <c:v>3.2757967566798607E-2</c:v>
                </c:pt>
                <c:pt idx="2037">
                  <c:v>3.2756390466766261E-2</c:v>
                </c:pt>
                <c:pt idx="2038">
                  <c:v>3.2754783621451011E-2</c:v>
                </c:pt>
                <c:pt idx="2039">
                  <c:v>3.2753147030989638E-2</c:v>
                </c:pt>
                <c:pt idx="2040">
                  <c:v>3.2751480695524471E-2</c:v>
                </c:pt>
                <c:pt idx="2041">
                  <c:v>3.274978461519984E-2</c:v>
                </c:pt>
                <c:pt idx="2042">
                  <c:v>3.2748058790162071E-2</c:v>
                </c:pt>
                <c:pt idx="2043">
                  <c:v>3.2746303220560158E-2</c:v>
                </c:pt>
                <c:pt idx="2044">
                  <c:v>3.2744517906545534E-2</c:v>
                </c:pt>
                <c:pt idx="2045">
                  <c:v>3.2742702848273186E-2</c:v>
                </c:pt>
                <c:pt idx="2046">
                  <c:v>3.2740858045899435E-2</c:v>
                </c:pt>
                <c:pt idx="2047">
                  <c:v>3.2738983499583707E-2</c:v>
                </c:pt>
                <c:pt idx="2048">
                  <c:v>3.2737079209488096E-2</c:v>
                </c:pt>
                <c:pt idx="2049">
                  <c:v>3.2735145175777358E-2</c:v>
                </c:pt>
                <c:pt idx="2050">
                  <c:v>3.2733181398618028E-2</c:v>
                </c:pt>
                <c:pt idx="2051">
                  <c:v>3.2731187878180412E-2</c:v>
                </c:pt>
                <c:pt idx="2052">
                  <c:v>3.2729164614636375E-2</c:v>
                </c:pt>
                <c:pt idx="2053">
                  <c:v>3.2727111608161108E-2</c:v>
                </c:pt>
                <c:pt idx="2054">
                  <c:v>3.272502885893136E-2</c:v>
                </c:pt>
                <c:pt idx="2055">
                  <c:v>3.2722916367127652E-2</c:v>
                </c:pt>
                <c:pt idx="2056">
                  <c:v>3.2720774132932728E-2</c:v>
                </c:pt>
                <c:pt idx="2057">
                  <c:v>3.2718602156531107E-2</c:v>
                </c:pt>
                <c:pt idx="2058">
                  <c:v>3.271640043811086E-2</c:v>
                </c:pt>
                <c:pt idx="2059">
                  <c:v>3.2714168977861613E-2</c:v>
                </c:pt>
                <c:pt idx="2060">
                  <c:v>3.2711907775976989E-2</c:v>
                </c:pt>
                <c:pt idx="2061">
                  <c:v>3.2709616832652388E-2</c:v>
                </c:pt>
                <c:pt idx="2062">
                  <c:v>3.2707296148084541E-2</c:v>
                </c:pt>
                <c:pt idx="2063">
                  <c:v>3.2704945722475509E-2</c:v>
                </c:pt>
                <c:pt idx="2064">
                  <c:v>3.2702565556027574E-2</c:v>
                </c:pt>
                <c:pt idx="2065">
                  <c:v>3.2700155648946572E-2</c:v>
                </c:pt>
                <c:pt idx="2066">
                  <c:v>3.2697716001440558E-2</c:v>
                </c:pt>
                <c:pt idx="2067">
                  <c:v>3.2695246613720919E-2</c:v>
                </c:pt>
                <c:pt idx="2068">
                  <c:v>3.2692747486000151E-2</c:v>
                </c:pt>
                <c:pt idx="2069">
                  <c:v>3.2690218618494749E-2</c:v>
                </c:pt>
                <c:pt idx="2070">
                  <c:v>3.2687660011423203E-2</c:v>
                </c:pt>
                <c:pt idx="2071">
                  <c:v>3.2685071665006671E-2</c:v>
                </c:pt>
                <c:pt idx="2072">
                  <c:v>3.2682453579468307E-2</c:v>
                </c:pt>
                <c:pt idx="2073">
                  <c:v>3.2679805755034597E-2</c:v>
                </c:pt>
                <c:pt idx="2074">
                  <c:v>3.2677128191934468E-2</c:v>
                </c:pt>
                <c:pt idx="2075">
                  <c:v>3.2674420890399736E-2</c:v>
                </c:pt>
                <c:pt idx="2076">
                  <c:v>3.2671683850663324E-2</c:v>
                </c:pt>
                <c:pt idx="2077">
                  <c:v>3.2668917072961934E-2</c:v>
                </c:pt>
                <c:pt idx="2078">
                  <c:v>3.2666120557535372E-2</c:v>
                </c:pt>
                <c:pt idx="2079">
                  <c:v>3.2663294304624779E-2</c:v>
                </c:pt>
                <c:pt idx="2080">
                  <c:v>3.2660438314474405E-2</c:v>
                </c:pt>
                <c:pt idx="2081">
                  <c:v>3.2657552587330496E-2</c:v>
                </c:pt>
                <c:pt idx="2082">
                  <c:v>3.265463712344352E-2</c:v>
                </c:pt>
                <c:pt idx="2083">
                  <c:v>3.2651691923064163E-2</c:v>
                </c:pt>
                <c:pt idx="2084">
                  <c:v>3.2648716986447779E-2</c:v>
                </c:pt>
                <c:pt idx="2085">
                  <c:v>3.264571231385105E-2</c:v>
                </c:pt>
                <c:pt idx="2086">
                  <c:v>3.264267790553399E-2</c:v>
                </c:pt>
                <c:pt idx="2087">
                  <c:v>3.2639613761758168E-2</c:v>
                </c:pt>
                <c:pt idx="2088">
                  <c:v>3.2636519882788706E-2</c:v>
                </c:pt>
                <c:pt idx="2089">
                  <c:v>3.2633396268892723E-2</c:v>
                </c:pt>
                <c:pt idx="2090">
                  <c:v>3.2630242920340446E-2</c:v>
                </c:pt>
                <c:pt idx="2091">
                  <c:v>3.2627059837404104E-2</c:v>
                </c:pt>
                <c:pt idx="2092">
                  <c:v>3.2623847020358809E-2</c:v>
                </c:pt>
                <c:pt idx="2093">
                  <c:v>3.2620604469482117E-2</c:v>
                </c:pt>
                <c:pt idx="2094">
                  <c:v>3.2617332185054027E-2</c:v>
                </c:pt>
                <c:pt idx="2095">
                  <c:v>3.26140301673572E-2</c:v>
                </c:pt>
                <c:pt idx="2096">
                  <c:v>3.2610698416677852E-2</c:v>
                </c:pt>
                <c:pt idx="2097">
                  <c:v>3.2607336933302866E-2</c:v>
                </c:pt>
                <c:pt idx="2098">
                  <c:v>3.2603945717522675E-2</c:v>
                </c:pt>
                <c:pt idx="2099">
                  <c:v>3.2600524769630601E-2</c:v>
                </c:pt>
                <c:pt idx="2100">
                  <c:v>3.2597074089922629E-2</c:v>
                </c:pt>
                <c:pt idx="2101">
                  <c:v>3.25930940500474E-2</c:v>
                </c:pt>
                <c:pt idx="2102">
                  <c:v>3.2589579660311507E-2</c:v>
                </c:pt>
                <c:pt idx="2103">
                  <c:v>3.2586035539704739E-2</c:v>
                </c:pt>
                <c:pt idx="2104">
                  <c:v>3.2582461688533959E-2</c:v>
                </c:pt>
                <c:pt idx="2105">
                  <c:v>3.2578858107107589E-2</c:v>
                </c:pt>
                <c:pt idx="2106">
                  <c:v>3.257522479573649E-2</c:v>
                </c:pt>
                <c:pt idx="2107">
                  <c:v>3.2571561754735079E-2</c:v>
                </c:pt>
                <c:pt idx="2108">
                  <c:v>3.2567868984420212E-2</c:v>
                </c:pt>
                <c:pt idx="2109">
                  <c:v>3.2564146485110301E-2</c:v>
                </c:pt>
                <c:pt idx="2110">
                  <c:v>3.2560394257126868E-2</c:v>
                </c:pt>
                <c:pt idx="2111">
                  <c:v>3.2560051922499458E-2</c:v>
                </c:pt>
                <c:pt idx="2112">
                  <c:v>3.2556232862666096E-2</c:v>
                </c:pt>
                <c:pt idx="2113">
                  <c:v>3.2552384067500474E-2</c:v>
                </c:pt>
                <c:pt idx="2114">
                  <c:v>3.2548505537339546E-2</c:v>
                </c:pt>
                <c:pt idx="2115">
                  <c:v>3.2545733622807944E-2</c:v>
                </c:pt>
                <c:pt idx="2116">
                  <c:v>3.2540659273382927E-2</c:v>
                </c:pt>
                <c:pt idx="2117">
                  <c:v>3.2536691540270626E-2</c:v>
                </c:pt>
                <c:pt idx="2118">
                  <c:v>3.253269407352935E-2</c:v>
                </c:pt>
                <c:pt idx="2119">
                  <c:v>3.2529793330708746E-2</c:v>
                </c:pt>
                <c:pt idx="2120">
                  <c:v>3.2524609940554644E-2</c:v>
                </c:pt>
                <c:pt idx="2121">
                  <c:v>3.2520523275025519E-2</c:v>
                </c:pt>
                <c:pt idx="2122">
                  <c:v>3.251752588800616E-2</c:v>
                </c:pt>
                <c:pt idx="2123">
                  <c:v>3.2508910135094382E-2</c:v>
                </c:pt>
                <c:pt idx="2124">
                  <c:v>3.2508084886549569E-2</c:v>
                </c:pt>
                <c:pt idx="2125">
                  <c:v>3.2503879294298675E-2</c:v>
                </c:pt>
                <c:pt idx="2126">
                  <c:v>3.2499643971277012E-2</c:v>
                </c:pt>
                <c:pt idx="2127">
                  <c:v>3.2495378917853042E-2</c:v>
                </c:pt>
                <c:pt idx="2128">
                  <c:v>3.249108413439851E-2</c:v>
                </c:pt>
                <c:pt idx="2129">
                  <c:v>3.2486759621287817E-2</c:v>
                </c:pt>
                <c:pt idx="2130">
                  <c:v>3.2482405378896913E-2</c:v>
                </c:pt>
                <c:pt idx="2131">
                  <c:v>3.2478021407605688E-2</c:v>
                </c:pt>
                <c:pt idx="2132">
                  <c:v>3.2473607707795601E-2</c:v>
                </c:pt>
                <c:pt idx="2133">
                  <c:v>3.2469164279851394E-2</c:v>
                </c:pt>
                <c:pt idx="2134">
                  <c:v>3.2464691124160241E-2</c:v>
                </c:pt>
                <c:pt idx="2135">
                  <c:v>3.2460188241111743E-2</c:v>
                </c:pt>
                <c:pt idx="2136">
                  <c:v>3.2452402679883807E-2</c:v>
                </c:pt>
                <c:pt idx="2137">
                  <c:v>3.245109329451229E-2</c:v>
                </c:pt>
                <c:pt idx="2138">
                  <c:v>3.2446501231754847E-2</c:v>
                </c:pt>
                <c:pt idx="2139">
                  <c:v>3.2441879443223763E-2</c:v>
                </c:pt>
                <c:pt idx="2140">
                  <c:v>3.2437227929322278E-2</c:v>
                </c:pt>
                <c:pt idx="2141">
                  <c:v>3.2432546690455637E-2</c:v>
                </c:pt>
                <c:pt idx="2142">
                  <c:v>3.2427835727030598E-2</c:v>
                </c:pt>
                <c:pt idx="2143">
                  <c:v>3.2423095039458782E-2</c:v>
                </c:pt>
                <c:pt idx="2144">
                  <c:v>3.2418324628152258E-2</c:v>
                </c:pt>
                <c:pt idx="2145">
                  <c:v>3.2410339902115171E-2</c:v>
                </c:pt>
                <c:pt idx="2146">
                  <c:v>3.240869463600092E-2</c:v>
                </c:pt>
                <c:pt idx="2147">
                  <c:v>3.2403835055994971E-2</c:v>
                </c:pt>
                <c:pt idx="2148">
                  <c:v>3.2398945753931402E-2</c:v>
                </c:pt>
                <c:pt idx="2149">
                  <c:v>3.239402673023746E-2</c:v>
                </c:pt>
                <c:pt idx="2150">
                  <c:v>3.238907798534061E-2</c:v>
                </c:pt>
                <c:pt idx="2151">
                  <c:v>3.2384099519672305E-2</c:v>
                </c:pt>
                <c:pt idx="2152">
                  <c:v>3.2379091333666628E-2</c:v>
                </c:pt>
                <c:pt idx="2153">
                  <c:v>3.2373331300825876E-2</c:v>
                </c:pt>
                <c:pt idx="2154">
                  <c:v>3.2367221441414899E-2</c:v>
                </c:pt>
                <c:pt idx="2155">
                  <c:v>3.2362122419110538E-2</c:v>
                </c:pt>
                <c:pt idx="2156">
                  <c:v>3.2356993680783201E-2</c:v>
                </c:pt>
                <c:pt idx="2157">
                  <c:v>3.235183522687874E-2</c:v>
                </c:pt>
                <c:pt idx="2158">
                  <c:v>3.2343562823667453E-2</c:v>
                </c:pt>
                <c:pt idx="2159">
                  <c:v>3.2341429174132984E-2</c:v>
                </c:pt>
                <c:pt idx="2160">
                  <c:v>3.2336181576194889E-2</c:v>
                </c:pt>
                <c:pt idx="2161">
                  <c:v>3.2330904264487433E-2</c:v>
                </c:pt>
                <c:pt idx="2162">
                  <c:v>3.2322543971479684E-2</c:v>
                </c:pt>
                <c:pt idx="2163">
                  <c:v>3.2320260501600882E-2</c:v>
                </c:pt>
                <c:pt idx="2164">
                  <c:v>3.2314894051345321E-2</c:v>
                </c:pt>
                <c:pt idx="2165">
                  <c:v>3.2309497889169439E-2</c:v>
                </c:pt>
                <c:pt idx="2166">
                  <c:v>3.2304072015541856E-2</c:v>
                </c:pt>
                <c:pt idx="2167">
                  <c:v>3.229347918042369E-2</c:v>
                </c:pt>
                <c:pt idx="2168">
                  <c:v>3.228798210951922E-2</c:v>
                </c:pt>
                <c:pt idx="2169">
                  <c:v>3.2282455333799476E-2</c:v>
                </c:pt>
                <c:pt idx="2170">
                  <c:v>3.2276898853742297E-2</c:v>
                </c:pt>
                <c:pt idx="2171">
                  <c:v>3.2271312669827745E-2</c:v>
                </c:pt>
                <c:pt idx="2172">
                  <c:v>3.2265696782538544E-2</c:v>
                </c:pt>
                <c:pt idx="2173">
                  <c:v>3.226005119235964E-2</c:v>
                </c:pt>
                <c:pt idx="2174">
                  <c:v>3.2254375899778198E-2</c:v>
                </c:pt>
                <c:pt idx="2175">
                  <c:v>3.2248670905284937E-2</c:v>
                </c:pt>
                <c:pt idx="2176">
                  <c:v>3.2242936209373019E-2</c:v>
                </c:pt>
                <c:pt idx="2177">
                  <c:v>3.223717181253738E-2</c:v>
                </c:pt>
                <c:pt idx="2178">
                  <c:v>3.2231377715275844E-2</c:v>
                </c:pt>
                <c:pt idx="2179">
                  <c:v>3.2225553923077799E-2</c:v>
                </c:pt>
                <c:pt idx="2180">
                  <c:v>3.2219700876067181E-2</c:v>
                </c:pt>
                <c:pt idx="2181">
                  <c:v>3.2213819780107844E-2</c:v>
                </c:pt>
                <c:pt idx="2182">
                  <c:v>3.2207911918983978E-2</c:v>
                </c:pt>
                <c:pt idx="2183">
                  <c:v>3.2201978576453794E-2</c:v>
                </c:pt>
                <c:pt idx="2184">
                  <c:v>3.2196021036246636E-2</c:v>
                </c:pt>
                <c:pt idx="2185">
                  <c:v>3.2190040582064761E-2</c:v>
                </c:pt>
                <c:pt idx="2186">
                  <c:v>3.2184038497582002E-2</c:v>
                </c:pt>
                <c:pt idx="2187">
                  <c:v>3.2178016066443549E-2</c:v>
                </c:pt>
                <c:pt idx="2188">
                  <c:v>3.2171974572266837E-2</c:v>
                </c:pt>
                <c:pt idx="2189">
                  <c:v>3.2165915298638437E-2</c:v>
                </c:pt>
                <c:pt idx="2190">
                  <c:v>3.2159839529118051E-2</c:v>
                </c:pt>
                <c:pt idx="2191">
                  <c:v>3.2153748547234517E-2</c:v>
                </c:pt>
                <c:pt idx="2192">
                  <c:v>3.2147643636487366E-2</c:v>
                </c:pt>
                <c:pt idx="2193">
                  <c:v>3.2141526080347038E-2</c:v>
                </c:pt>
                <c:pt idx="2194">
                  <c:v>3.2135397162252888E-2</c:v>
                </c:pt>
                <c:pt idx="2195">
                  <c:v>3.2129258165615404E-2</c:v>
                </c:pt>
                <c:pt idx="2196">
                  <c:v>3.2123110373813768E-2</c:v>
                </c:pt>
                <c:pt idx="2197">
                  <c:v>3.211695507019785E-2</c:v>
                </c:pt>
                <c:pt idx="2198">
                  <c:v>3.2110793538086213E-2</c:v>
                </c:pt>
                <c:pt idx="2199">
                  <c:v>3.2104627060767443E-2</c:v>
                </c:pt>
                <c:pt idx="2200">
                  <c:v>3.2098456921499485E-2</c:v>
                </c:pt>
                <c:pt idx="2201">
                  <c:v>3.2092284403509197E-2</c:v>
                </c:pt>
                <c:pt idx="2202">
                  <c:v>3.2086110789993683E-2</c:v>
                </c:pt>
                <c:pt idx="2203">
                  <c:v>3.207993736411785E-2</c:v>
                </c:pt>
                <c:pt idx="2204">
                  <c:v>3.2073765409018185E-2</c:v>
                </c:pt>
                <c:pt idx="2205">
                  <c:v>3.206759620779831E-2</c:v>
                </c:pt>
                <c:pt idx="2206">
                  <c:v>3.2061431043532318E-2</c:v>
                </c:pt>
                <c:pt idx="2207">
                  <c:v>3.2055271199263213E-2</c:v>
                </c:pt>
                <c:pt idx="2208">
                  <c:v>3.2049117958003803E-2</c:v>
                </c:pt>
                <c:pt idx="2209">
                  <c:v>3.2042972602735587E-2</c:v>
                </c:pt>
                <c:pt idx="2210">
                  <c:v>3.203683641641164E-2</c:v>
                </c:pt>
                <c:pt idx="2211">
                  <c:v>3.2030710681952179E-2</c:v>
                </c:pt>
                <c:pt idx="2212">
                  <c:v>3.2024596682248996E-2</c:v>
                </c:pt>
                <c:pt idx="2213">
                  <c:v>3.2018495700162797E-2</c:v>
                </c:pt>
                <c:pt idx="2214">
                  <c:v>3.2012409018525867E-2</c:v>
                </c:pt>
                <c:pt idx="2215">
                  <c:v>3.2006337920139183E-2</c:v>
                </c:pt>
                <c:pt idx="2216">
                  <c:v>3.2000283687775077E-2</c:v>
                </c:pt>
                <c:pt idx="2217">
                  <c:v>3.1994247604176129E-2</c:v>
                </c:pt>
                <c:pt idx="2218">
                  <c:v>3.1988230952056496E-2</c:v>
                </c:pt>
                <c:pt idx="2219">
                  <c:v>3.1982235014101024E-2</c:v>
                </c:pt>
                <c:pt idx="2220">
                  <c:v>3.1976261072965251E-2</c:v>
                </c:pt>
                <c:pt idx="2221">
                  <c:v>3.1970310411277181E-2</c:v>
                </c:pt>
                <c:pt idx="2222">
                  <c:v>3.1964384311637284E-2</c:v>
                </c:pt>
                <c:pt idx="2223">
                  <c:v>3.1958484056617165E-2</c:v>
                </c:pt>
                <c:pt idx="2224">
                  <c:v>3.1952610928761338E-2</c:v>
                </c:pt>
                <c:pt idx="2225">
                  <c:v>3.1946766210587008E-2</c:v>
                </c:pt>
                <c:pt idx="2226">
                  <c:v>3.194095118458562E-2</c:v>
                </c:pt>
                <c:pt idx="2227">
                  <c:v>3.1935167133220199E-2</c:v>
                </c:pt>
                <c:pt idx="2228">
                  <c:v>3.1929415338929346E-2</c:v>
                </c:pt>
                <c:pt idx="2229">
                  <c:v>3.1923697084126346E-2</c:v>
                </c:pt>
                <c:pt idx="2230">
                  <c:v>3.1918013651197397E-2</c:v>
                </c:pt>
                <c:pt idx="2231">
                  <c:v>3.1912366321881436E-2</c:v>
                </c:pt>
                <c:pt idx="2232">
                  <c:v>3.1906756061213626E-2</c:v>
                </c:pt>
                <c:pt idx="2233">
                  <c:v>3.1901183003239408E-2</c:v>
                </c:pt>
                <c:pt idx="2234">
                  <c:v>3.1895647147357264E-2</c:v>
                </c:pt>
                <c:pt idx="2235">
                  <c:v>3.1890148492968118E-2</c:v>
                </c:pt>
                <c:pt idx="2236">
                  <c:v>3.1884687039477777E-2</c:v>
                </c:pt>
                <c:pt idx="2237">
                  <c:v>3.1879262786296048E-2</c:v>
                </c:pt>
                <c:pt idx="2238">
                  <c:v>3.187387573283651E-2</c:v>
                </c:pt>
                <c:pt idx="2239">
                  <c:v>3.186852587851674E-2</c:v>
                </c:pt>
                <c:pt idx="2240">
                  <c:v>3.1863213222758091E-2</c:v>
                </c:pt>
                <c:pt idx="2241">
                  <c:v>3.1857937764987465E-2</c:v>
                </c:pt>
                <c:pt idx="2242">
                  <c:v>3.1852699504633097E-2</c:v>
                </c:pt>
                <c:pt idx="2243">
                  <c:v>3.1847498441130107E-2</c:v>
                </c:pt>
                <c:pt idx="2244">
                  <c:v>3.1842334573915609E-2</c:v>
                </c:pt>
                <c:pt idx="2245">
                  <c:v>3.1837207902430942E-2</c:v>
                </c:pt>
                <c:pt idx="2246">
                  <c:v>3.1832118426122769E-2</c:v>
                </c:pt>
                <c:pt idx="2247">
                  <c:v>3.1827066144441085E-2</c:v>
                </c:pt>
                <c:pt idx="2248">
                  <c:v>3.1822051056838774E-2</c:v>
                </c:pt>
                <c:pt idx="2249">
                  <c:v>3.1817073162774712E-2</c:v>
                </c:pt>
                <c:pt idx="2250">
                  <c:v>3.1812132461709997E-2</c:v>
                </c:pt>
                <c:pt idx="2251">
                  <c:v>3.1807228953111499E-2</c:v>
                </c:pt>
                <c:pt idx="2252">
                  <c:v>3.1802362636448755E-2</c:v>
                </c:pt>
                <c:pt idx="2253">
                  <c:v>3.1797533511195075E-2</c:v>
                </c:pt>
                <c:pt idx="2254">
                  <c:v>3.1792741576829764E-2</c:v>
                </c:pt>
                <c:pt idx="2255">
                  <c:v>3.1787986832833903E-2</c:v>
                </c:pt>
                <c:pt idx="2256">
                  <c:v>3.1783269278693904E-2</c:v>
                </c:pt>
                <c:pt idx="2257">
                  <c:v>3.1777923326193225E-2</c:v>
                </c:pt>
                <c:pt idx="2258">
                  <c:v>3.17732854628896E-2</c:v>
                </c:pt>
                <c:pt idx="2259">
                  <c:v>3.1768684787852663E-2</c:v>
                </c:pt>
                <c:pt idx="2260">
                  <c:v>3.1764121300585257E-2</c:v>
                </c:pt>
                <c:pt idx="2261">
                  <c:v>3.1759595000593999E-2</c:v>
                </c:pt>
                <c:pt idx="2262">
                  <c:v>3.1755105887389501E-2</c:v>
                </c:pt>
                <c:pt idx="2263">
                  <c:v>3.1750653960486819E-2</c:v>
                </c:pt>
                <c:pt idx="2264">
                  <c:v>3.1746239219405004E-2</c:v>
                </c:pt>
                <c:pt idx="2265">
                  <c:v>3.1741861663666437E-2</c:v>
                </c:pt>
                <c:pt idx="2266">
                  <c:v>3.1737521292797943E-2</c:v>
                </c:pt>
                <c:pt idx="2267">
                  <c:v>3.1733218106330563E-2</c:v>
                </c:pt>
                <c:pt idx="2268">
                  <c:v>3.1728952103799335E-2</c:v>
                </c:pt>
                <c:pt idx="2269">
                  <c:v>3.1724723284742851E-2</c:v>
                </c:pt>
                <c:pt idx="2270">
                  <c:v>3.1720531648704142E-2</c:v>
                </c:pt>
                <c:pt idx="2271">
                  <c:v>3.1716377195230017E-2</c:v>
                </c:pt>
                <c:pt idx="2272">
                  <c:v>3.1712259923871944E-2</c:v>
                </c:pt>
                <c:pt idx="2273">
                  <c:v>3.1708179834184502E-2</c:v>
                </c:pt>
                <c:pt idx="2274">
                  <c:v>3.1704136925726489E-2</c:v>
                </c:pt>
                <c:pt idx="2275">
                  <c:v>3.1700131198061365E-2</c:v>
                </c:pt>
                <c:pt idx="2276">
                  <c:v>3.1696162650755921E-2</c:v>
                </c:pt>
                <c:pt idx="2277">
                  <c:v>3.1692231283381167E-2</c:v>
                </c:pt>
                <c:pt idx="2278">
                  <c:v>3.1688337095512553E-2</c:v>
                </c:pt>
                <c:pt idx="2279">
                  <c:v>3.1684480086729083E-2</c:v>
                </c:pt>
                <c:pt idx="2280">
                  <c:v>3.1680660256613757E-2</c:v>
                </c:pt>
                <c:pt idx="2281">
                  <c:v>3.1676877604753129E-2</c:v>
                </c:pt>
                <c:pt idx="2282">
                  <c:v>3.1673132130739301E-2</c:v>
                </c:pt>
                <c:pt idx="2283">
                  <c:v>3.1669423834167265E-2</c:v>
                </c:pt>
                <c:pt idx="2284">
                  <c:v>3.1665752714636008E-2</c:v>
                </c:pt>
                <c:pt idx="2285">
                  <c:v>3.1662118771748737E-2</c:v>
                </c:pt>
                <c:pt idx="2286">
                  <c:v>3.1658522005112655E-2</c:v>
                </c:pt>
                <c:pt idx="2287">
                  <c:v>3.1654962414338961E-2</c:v>
                </c:pt>
                <c:pt idx="2288">
                  <c:v>3.1651439999043518E-2</c:v>
                </c:pt>
                <c:pt idx="2289">
                  <c:v>3.1647954758844854E-2</c:v>
                </c:pt>
                <c:pt idx="2290">
                  <c:v>3.1644506693366825E-2</c:v>
                </c:pt>
                <c:pt idx="2291">
                  <c:v>3.1641095802236174E-2</c:v>
                </c:pt>
                <c:pt idx="2292">
                  <c:v>3.1637722085085196E-2</c:v>
                </c:pt>
                <c:pt idx="2293">
                  <c:v>3.163438554154796E-2</c:v>
                </c:pt>
                <c:pt idx="2294">
                  <c:v>3.1631086171265199E-2</c:v>
                </c:pt>
                <c:pt idx="2295">
                  <c:v>3.1627823973879421E-2</c:v>
                </c:pt>
                <c:pt idx="2296">
                  <c:v>3.1624598949038241E-2</c:v>
                </c:pt>
                <c:pt idx="2297">
                  <c:v>3.1621411096393715E-2</c:v>
                </c:pt>
                <c:pt idx="2298">
                  <c:v>3.1618260415600341E-2</c:v>
                </c:pt>
                <c:pt idx="2299">
                  <c:v>3.1615146906317726E-2</c:v>
                </c:pt>
                <c:pt idx="2300">
                  <c:v>3.161207056821036E-2</c:v>
                </c:pt>
                <c:pt idx="2301">
                  <c:v>3.1609031400944732E-2</c:v>
                </c:pt>
                <c:pt idx="2302">
                  <c:v>3.1606029404192659E-2</c:v>
                </c:pt>
                <c:pt idx="2303">
                  <c:v>3.1603064577629958E-2</c:v>
                </c:pt>
                <c:pt idx="2304">
                  <c:v>3.1600136920935773E-2</c:v>
                </c:pt>
                <c:pt idx="2305">
                  <c:v>3.1597246433794357E-2</c:v>
                </c:pt>
                <c:pt idx="2306">
                  <c:v>3.1594393115892627E-2</c:v>
                </c:pt>
                <c:pt idx="2307">
                  <c:v>3.1591576966922386E-2</c:v>
                </c:pt>
                <c:pt idx="2308">
                  <c:v>3.1588797986579653E-2</c:v>
                </c:pt>
                <c:pt idx="2309">
                  <c:v>3.1586056174563115E-2</c:v>
                </c:pt>
                <c:pt idx="2310">
                  <c:v>3.1583351530577675E-2</c:v>
                </c:pt>
                <c:pt idx="2311">
                  <c:v>3.1580684054330233E-2</c:v>
                </c:pt>
                <c:pt idx="2312">
                  <c:v>3.1578053745532797E-2</c:v>
                </c:pt>
                <c:pt idx="2313">
                  <c:v>3.1575460603900929E-2</c:v>
                </c:pt>
                <c:pt idx="2314">
                  <c:v>3.157290462915463E-2</c:v>
                </c:pt>
                <c:pt idx="2315">
                  <c:v>3.1570385821017677E-2</c:v>
                </c:pt>
                <c:pt idx="2316">
                  <c:v>3.1567904179217177E-2</c:v>
                </c:pt>
                <c:pt idx="2317">
                  <c:v>3.1565459703485788E-2</c:v>
                </c:pt>
                <c:pt idx="2318">
                  <c:v>3.1564255547441536E-2</c:v>
                </c:pt>
                <c:pt idx="2319">
                  <c:v>3.1561887856115016E-2</c:v>
                </c:pt>
                <c:pt idx="2320">
                  <c:v>3.1559557333238869E-2</c:v>
                </c:pt>
                <c:pt idx="2321">
                  <c:v>3.1557263978559777E-2</c:v>
                </c:pt>
                <c:pt idx="2322">
                  <c:v>3.1555007791828842E-2</c:v>
                </c:pt>
                <c:pt idx="2323">
                  <c:v>3.1552788772802265E-2</c:v>
                </c:pt>
                <c:pt idx="2324">
                  <c:v>3.1550606921239115E-2</c:v>
                </c:pt>
                <c:pt idx="2325">
                  <c:v>3.1553346880751044E-2</c:v>
                </c:pt>
                <c:pt idx="2326">
                  <c:v>3.1546354719561777E-2</c:v>
                </c:pt>
                <c:pt idx="2327">
                  <c:v>3.1544284368987215E-2</c:v>
                </c:pt>
                <c:pt idx="2328">
                  <c:v>3.1542251184953796E-2</c:v>
                </c:pt>
                <c:pt idx="2329">
                  <c:v>3.1540255167242515E-2</c:v>
                </c:pt>
                <c:pt idx="2330">
                  <c:v>3.1538296315636143E-2</c:v>
                </c:pt>
                <c:pt idx="2331">
                  <c:v>3.1536374629923203E-2</c:v>
                </c:pt>
                <c:pt idx="2332">
                  <c:v>3.1534490109894883E-2</c:v>
                </c:pt>
                <c:pt idx="2333">
                  <c:v>3.1532642755346577E-2</c:v>
                </c:pt>
                <c:pt idx="2334">
                  <c:v>3.1530832566079206E-2</c:v>
                </c:pt>
                <c:pt idx="2335">
                  <c:v>3.1529059541896574E-2</c:v>
                </c:pt>
                <c:pt idx="2336">
                  <c:v>3.1527323682605156E-2</c:v>
                </c:pt>
                <c:pt idx="2337">
                  <c:v>3.1525624988018051E-2</c:v>
                </c:pt>
                <c:pt idx="2338">
                  <c:v>3.1523963457950804E-2</c:v>
                </c:pt>
                <c:pt idx="2339">
                  <c:v>3.1522339092223156E-2</c:v>
                </c:pt>
                <c:pt idx="2340">
                  <c:v>3.1520751890659296E-2</c:v>
                </c:pt>
                <c:pt idx="2341">
                  <c:v>3.1519201853086938E-2</c:v>
                </c:pt>
                <c:pt idx="2342">
                  <c:v>3.1517688979339341E-2</c:v>
                </c:pt>
                <c:pt idx="2343">
                  <c:v>3.1516213269250651E-2</c:v>
                </c:pt>
                <c:pt idx="2344">
                  <c:v>3.1514774722662092E-2</c:v>
                </c:pt>
                <c:pt idx="2345">
                  <c:v>3.1513373339417561E-2</c:v>
                </c:pt>
                <c:pt idx="2346">
                  <c:v>3.1512009119365803E-2</c:v>
                </c:pt>
                <c:pt idx="2347">
                  <c:v>3.1510682062357791E-2</c:v>
                </c:pt>
                <c:pt idx="2348">
                  <c:v>3.1509392168250265E-2</c:v>
                </c:pt>
                <c:pt idx="2349">
                  <c:v>3.1508139436903934E-2</c:v>
                </c:pt>
                <c:pt idx="2350">
                  <c:v>3.1506923868182615E-2</c:v>
                </c:pt>
                <c:pt idx="2351">
                  <c:v>3.1505745461953664E-2</c:v>
                </c:pt>
                <c:pt idx="2352">
                  <c:v>3.1504604218090863E-2</c:v>
                </c:pt>
                <c:pt idx="2353">
                  <c:v>3.1503500136470651E-2</c:v>
                </c:pt>
                <c:pt idx="2354">
                  <c:v>3.1502433216971902E-2</c:v>
                </c:pt>
                <c:pt idx="2355">
                  <c:v>3.1501403459479459E-2</c:v>
                </c:pt>
                <c:pt idx="2356">
                  <c:v>3.150041086388284E-2</c:v>
                </c:pt>
                <c:pt idx="2357">
                  <c:v>3.1499455430073313E-2</c:v>
                </c:pt>
                <c:pt idx="2358">
                  <c:v>3.1498537157947898E-2</c:v>
                </c:pt>
                <c:pt idx="2359">
                  <c:v>3.1497656047406522E-2</c:v>
                </c:pt>
                <c:pt idx="2360">
                  <c:v>3.1496812098354844E-2</c:v>
                </c:pt>
                <c:pt idx="2361">
                  <c:v>3.1496005310700306E-2</c:v>
                </c:pt>
                <c:pt idx="2362">
                  <c:v>3.1495235684355437E-2</c:v>
                </c:pt>
                <c:pt idx="2363">
                  <c:v>3.1494503219237635E-2</c:v>
                </c:pt>
                <c:pt idx="2364">
                  <c:v>3.1493807915267416E-2</c:v>
                </c:pt>
                <c:pt idx="2365">
                  <c:v>3.1493149772368827E-2</c:v>
                </c:pt>
                <c:pt idx="2366">
                  <c:v>3.1492528790470327E-2</c:v>
                </c:pt>
                <c:pt idx="2367">
                  <c:v>3.1491944969505727E-2</c:v>
                </c:pt>
                <c:pt idx="2368">
                  <c:v>3.1491398309411459E-2</c:v>
                </c:pt>
                <c:pt idx="2369">
                  <c:v>3.1490888810127293E-2</c:v>
                </c:pt>
                <c:pt idx="2370">
                  <c:v>3.1490416471599204E-2</c:v>
                </c:pt>
                <c:pt idx="2371">
                  <c:v>3.1488643778125436E-2</c:v>
                </c:pt>
                <c:pt idx="2372">
                  <c:v>3.1488243140667782E-2</c:v>
                </c:pt>
                <c:pt idx="2373">
                  <c:v>3.1487879660670348E-2</c:v>
                </c:pt>
                <c:pt idx="2374">
                  <c:v>3.1487553338092944E-2</c:v>
                </c:pt>
                <c:pt idx="2375">
                  <c:v>3.1487264172900709E-2</c:v>
                </c:pt>
                <c:pt idx="2376">
                  <c:v>3.1487012165062334E-2</c:v>
                </c:pt>
                <c:pt idx="2377">
                  <c:v>3.1486797314550286E-2</c:v>
                </c:pt>
                <c:pt idx="2378">
                  <c:v>3.1486619621341916E-2</c:v>
                </c:pt>
                <c:pt idx="2379">
                  <c:v>3.1486479085417685E-2</c:v>
                </c:pt>
                <c:pt idx="2380">
                  <c:v>3.1486375706762049E-2</c:v>
                </c:pt>
                <c:pt idx="2381">
                  <c:v>3.1486309485365016E-2</c:v>
                </c:pt>
                <c:pt idx="2382">
                  <c:v>3.1486280421218149E-2</c:v>
                </c:pt>
                <c:pt idx="2383">
                  <c:v>3.1486288514318561E-2</c:v>
                </c:pt>
                <c:pt idx="2384">
                  <c:v>3.1486333764667584E-2</c:v>
                </c:pt>
                <c:pt idx="2385">
                  <c:v>3.1486416172270104E-2</c:v>
                </c:pt>
                <c:pt idx="2386">
                  <c:v>3.148653573713478E-2</c:v>
                </c:pt>
                <c:pt idx="2387">
                  <c:v>3.1486692459274268E-2</c:v>
                </c:pt>
                <c:pt idx="2388">
                  <c:v>3.1486886338705666E-2</c:v>
                </c:pt>
                <c:pt idx="2389">
                  <c:v>3.1487117375450735E-2</c:v>
                </c:pt>
                <c:pt idx="2390">
                  <c:v>3.1487385569533233E-2</c:v>
                </c:pt>
                <c:pt idx="2391">
                  <c:v>3.1487690920982692E-2</c:v>
                </c:pt>
                <c:pt idx="2392">
                  <c:v>3.1488033429832196E-2</c:v>
                </c:pt>
                <c:pt idx="2393">
                  <c:v>3.1488413096118606E-2</c:v>
                </c:pt>
                <c:pt idx="2394">
                  <c:v>3.1488829919882999E-2</c:v>
                </c:pt>
                <c:pt idx="2395">
                  <c:v>3.1489283901170673E-2</c:v>
                </c:pt>
                <c:pt idx="2396">
                  <c:v>3.1489775040030255E-2</c:v>
                </c:pt>
                <c:pt idx="2397">
                  <c:v>3.1490303336514813E-2</c:v>
                </c:pt>
                <c:pt idx="2398">
                  <c:v>3.1490868790682081E-2</c:v>
                </c:pt>
                <c:pt idx="2399">
                  <c:v>3.149147140259223E-2</c:v>
                </c:pt>
                <c:pt idx="2400">
                  <c:v>3.149211117231121E-2</c:v>
                </c:pt>
                <c:pt idx="2401">
                  <c:v>3.1492788099907632E-2</c:v>
                </c:pt>
                <c:pt idx="2402">
                  <c:v>3.1493502185455435E-2</c:v>
                </c:pt>
                <c:pt idx="2403">
                  <c:v>3.1494253429030561E-2</c:v>
                </c:pt>
                <c:pt idx="2404">
                  <c:v>3.1495041830714943E-2</c:v>
                </c:pt>
                <c:pt idx="2405">
                  <c:v>3.1495867390593846E-2</c:v>
                </c:pt>
                <c:pt idx="2406">
                  <c:v>3.1496730108756088E-2</c:v>
                </c:pt>
                <c:pt idx="2407">
                  <c:v>3.1497629985295372E-2</c:v>
                </c:pt>
                <c:pt idx="2408">
                  <c:v>3.1498567020308732E-2</c:v>
                </c:pt>
                <c:pt idx="2409">
                  <c:v>3.1499541213897198E-2</c:v>
                </c:pt>
                <c:pt idx="2410">
                  <c:v>3.150055256616624E-2</c:v>
                </c:pt>
                <c:pt idx="2411">
                  <c:v>3.1501601077225549E-2</c:v>
                </c:pt>
                <c:pt idx="2412">
                  <c:v>3.1502686747187925E-2</c:v>
                </c:pt>
                <c:pt idx="2413">
                  <c:v>3.1507039703728472E-2</c:v>
                </c:pt>
                <c:pt idx="2414">
                  <c:v>3.1508215817173287E-2</c:v>
                </c:pt>
                <c:pt idx="2415">
                  <c:v>3.1509429096265924E-2</c:v>
                </c:pt>
                <c:pt idx="2416">
                  <c:v>3.1510679541138238E-2</c:v>
                </c:pt>
                <c:pt idx="2417">
                  <c:v>3.1511967151926244E-2</c:v>
                </c:pt>
                <c:pt idx="2418">
                  <c:v>3.1508897303568983E-2</c:v>
                </c:pt>
                <c:pt idx="2419">
                  <c:v>3.1514653871812938E-2</c:v>
                </c:pt>
                <c:pt idx="2420">
                  <c:v>3.1516052981203344E-2</c:v>
                </c:pt>
                <c:pt idx="2421">
                  <c:v>3.151748925709378E-2</c:v>
                </c:pt>
                <c:pt idx="2422">
                  <c:v>3.1514534779251167E-2</c:v>
                </c:pt>
                <c:pt idx="2423">
                  <c:v>3.1520473309001019E-2</c:v>
                </c:pt>
                <c:pt idx="2424">
                  <c:v>3.1522021085342231E-2</c:v>
                </c:pt>
                <c:pt idx="2425">
                  <c:v>3.1523606028832064E-2</c:v>
                </c:pt>
                <c:pt idx="2426">
                  <c:v>3.1526715968814636E-2</c:v>
                </c:pt>
                <c:pt idx="2427">
                  <c:v>3.1524868877249368E-2</c:v>
                </c:pt>
                <c:pt idx="2428">
                  <c:v>3.1526580961005468E-2</c:v>
                </c:pt>
                <c:pt idx="2429">
                  <c:v>3.1528330206364474E-2</c:v>
                </c:pt>
                <c:pt idx="2430">
                  <c:v>3.1530116613515347E-2</c:v>
                </c:pt>
                <c:pt idx="2431">
                  <c:v>3.1531940182651041E-2</c:v>
                </c:pt>
                <c:pt idx="2432">
                  <c:v>3.1533800913968957E-2</c:v>
                </c:pt>
                <c:pt idx="2433">
                  <c:v>3.1535698807669599E-2</c:v>
                </c:pt>
                <c:pt idx="2434">
                  <c:v>3.1537633863958359E-2</c:v>
                </c:pt>
                <c:pt idx="2435">
                  <c:v>3.1539606083045069E-2</c:v>
                </c:pt>
                <c:pt idx="2436">
                  <c:v>3.1541615465141781E-2</c:v>
                </c:pt>
                <c:pt idx="2437">
                  <c:v>3.15436620104661E-2</c:v>
                </c:pt>
                <c:pt idx="2438">
                  <c:v>3.1545745719239404E-2</c:v>
                </c:pt>
                <c:pt idx="2439">
                  <c:v>3.1547866589535456E-2</c:v>
                </c:pt>
                <c:pt idx="2440">
                  <c:v>3.1550024431991286E-2</c:v>
                </c:pt>
                <c:pt idx="2441">
                  <c:v>3.1552218727007642E-2</c:v>
                </c:pt>
                <c:pt idx="2442">
                  <c:v>3.1554448921368383E-2</c:v>
                </c:pt>
                <c:pt idx="2443">
                  <c:v>3.1556714461855595E-2</c:v>
                </c:pt>
                <c:pt idx="2444">
                  <c:v>3.1559014795252249E-2</c:v>
                </c:pt>
                <c:pt idx="2445">
                  <c:v>3.1561349368337765E-2</c:v>
                </c:pt>
                <c:pt idx="2446">
                  <c:v>3.1563717627891119E-2</c:v>
                </c:pt>
                <c:pt idx="2447">
                  <c:v>3.1566119020689953E-2</c:v>
                </c:pt>
                <c:pt idx="2448">
                  <c:v>3.1568552993508803E-2</c:v>
                </c:pt>
                <c:pt idx="2449">
                  <c:v>3.1571018993120425E-2</c:v>
                </c:pt>
                <c:pt idx="2450">
                  <c:v>3.1573516466296692E-2</c:v>
                </c:pt>
                <c:pt idx="2451">
                  <c:v>3.1576044859804586E-2</c:v>
                </c:pt>
                <c:pt idx="2452">
                  <c:v>3.157860362041065E-2</c:v>
                </c:pt>
                <c:pt idx="2453">
                  <c:v>3.1581192194877206E-2</c:v>
                </c:pt>
                <c:pt idx="2454">
                  <c:v>3.1583810029964798E-2</c:v>
                </c:pt>
                <c:pt idx="2455">
                  <c:v>3.1586456572429977E-2</c:v>
                </c:pt>
                <c:pt idx="2456">
                  <c:v>3.1589131269026183E-2</c:v>
                </c:pt>
                <c:pt idx="2457">
                  <c:v>3.1591833566504413E-2</c:v>
                </c:pt>
                <c:pt idx="2458">
                  <c:v>3.1594562911610558E-2</c:v>
                </c:pt>
                <c:pt idx="2459">
                  <c:v>3.15973187510874E-2</c:v>
                </c:pt>
                <c:pt idx="2460">
                  <c:v>3.1600100531675057E-2</c:v>
                </c:pt>
                <c:pt idx="2461">
                  <c:v>3.1602907700108096E-2</c:v>
                </c:pt>
                <c:pt idx="2462">
                  <c:v>3.1605739703117086E-2</c:v>
                </c:pt>
                <c:pt idx="2463">
                  <c:v>3.1608595987429489E-2</c:v>
                </c:pt>
                <c:pt idx="2464">
                  <c:v>3.1611475999766991E-2</c:v>
                </c:pt>
                <c:pt idx="2465">
                  <c:v>3.1614379186848396E-2</c:v>
                </c:pt>
                <c:pt idx="2466">
                  <c:v>3.1617304995386064E-2</c:v>
                </c:pt>
                <c:pt idx="2467">
                  <c:v>3.1620252872089027E-2</c:v>
                </c:pt>
                <c:pt idx="2468">
                  <c:v>3.1623222263659878E-2</c:v>
                </c:pt>
                <c:pt idx="2469">
                  <c:v>3.1626212616798766E-2</c:v>
                </c:pt>
                <c:pt idx="2470">
                  <c:v>3.1629223378197624E-2</c:v>
                </c:pt>
                <c:pt idx="2471">
                  <c:v>3.1632253994545279E-2</c:v>
                </c:pt>
                <c:pt idx="2472">
                  <c:v>3.1635303912524337E-2</c:v>
                </c:pt>
                <c:pt idx="2473">
                  <c:v>3.1638372578812746E-2</c:v>
                </c:pt>
                <c:pt idx="2474">
                  <c:v>3.1641459440082009E-2</c:v>
                </c:pt>
                <c:pt idx="2475">
                  <c:v>3.1644563942998305E-2</c:v>
                </c:pt>
                <c:pt idx="2476">
                  <c:v>3.1647685534222258E-2</c:v>
                </c:pt>
                <c:pt idx="2477">
                  <c:v>3.1650823660408944E-2</c:v>
                </c:pt>
                <c:pt idx="2478">
                  <c:v>3.1653977768206332E-2</c:v>
                </c:pt>
                <c:pt idx="2479">
                  <c:v>3.1657147304257505E-2</c:v>
                </c:pt>
                <c:pt idx="2480">
                  <c:v>3.166033171519933E-2</c:v>
                </c:pt>
                <c:pt idx="2481">
                  <c:v>3.1663530447662014E-2</c:v>
                </c:pt>
                <c:pt idx="2482">
                  <c:v>3.1666742948269988E-2</c:v>
                </c:pt>
                <c:pt idx="2483">
                  <c:v>3.1669968663640802E-2</c:v>
                </c:pt>
                <c:pt idx="2484">
                  <c:v>3.1673207040386675E-2</c:v>
                </c:pt>
                <c:pt idx="2485">
                  <c:v>3.167645752511139E-2</c:v>
                </c:pt>
                <c:pt idx="2486">
                  <c:v>3.1679719564414954E-2</c:v>
                </c:pt>
                <c:pt idx="2487">
                  <c:v>3.1682992604888049E-2</c:v>
                </c:pt>
                <c:pt idx="2488">
                  <c:v>3.168627609311625E-2</c:v>
                </c:pt>
                <c:pt idx="2489">
                  <c:v>3.1689569475678692E-2</c:v>
                </c:pt>
                <c:pt idx="2490">
                  <c:v>3.1692872199146294E-2</c:v>
                </c:pt>
                <c:pt idx="2491">
                  <c:v>3.1696183710353321E-2</c:v>
                </c:pt>
                <c:pt idx="2492">
                  <c:v>3.1699503592760081E-2</c:v>
                </c:pt>
                <c:pt idx="2493">
                  <c:v>3.1702831788350538E-2</c:v>
                </c:pt>
                <c:pt idx="2494">
                  <c:v>3.1706168297205961E-2</c:v>
                </c:pt>
                <c:pt idx="2495">
                  <c:v>3.1709513119406285E-2</c:v>
                </c:pt>
                <c:pt idx="2496">
                  <c:v>3.1712866255032779E-2</c:v>
                </c:pt>
                <c:pt idx="2497">
                  <c:v>3.1716227704166045E-2</c:v>
                </c:pt>
                <c:pt idx="2498">
                  <c:v>3.1719597466887794E-2</c:v>
                </c:pt>
                <c:pt idx="2499">
                  <c:v>3.1722975543278631E-2</c:v>
                </c:pt>
                <c:pt idx="2500">
                  <c:v>3.172636193342071E-2</c:v>
                </c:pt>
                <c:pt idx="2501">
                  <c:v>3.1729756637395745E-2</c:v>
                </c:pt>
                <c:pt idx="2502">
                  <c:v>3.1733159655285448E-2</c:v>
                </c:pt>
                <c:pt idx="2503">
                  <c:v>3.1736570987172419E-2</c:v>
                </c:pt>
                <c:pt idx="2504">
                  <c:v>3.1739990633138593E-2</c:v>
                </c:pt>
                <c:pt idx="2505">
                  <c:v>3.1743418593267236E-2</c:v>
                </c:pt>
                <c:pt idx="2506">
                  <c:v>3.1746854867640284E-2</c:v>
                </c:pt>
                <c:pt idx="2507">
                  <c:v>3.1750299456341446E-2</c:v>
                </c:pt>
                <c:pt idx="2508">
                  <c:v>3.1753752359453991E-2</c:v>
                </c:pt>
                <c:pt idx="2509">
                  <c:v>3.1757213577060295E-2</c:v>
                </c:pt>
                <c:pt idx="2510">
                  <c:v>3.1760683109244958E-2</c:v>
                </c:pt>
                <c:pt idx="2511">
                  <c:v>3.176416095609147E-2</c:v>
                </c:pt>
                <c:pt idx="2512">
                  <c:v>3.1767647117683762E-2</c:v>
                </c:pt>
                <c:pt idx="2513">
                  <c:v>3.1771141594106433E-2</c:v>
                </c:pt>
                <c:pt idx="2514">
                  <c:v>3.1774644385442974E-2</c:v>
                </c:pt>
                <c:pt idx="2515">
                  <c:v>3.1778155491779092E-2</c:v>
                </c:pt>
                <c:pt idx="2516">
                  <c:v>3.1781674913198943E-2</c:v>
                </c:pt>
                <c:pt idx="2517">
                  <c:v>3.1785202649787569E-2</c:v>
                </c:pt>
                <c:pt idx="2518">
                  <c:v>3.1788738701630015E-2</c:v>
                </c:pt>
                <c:pt idx="2519">
                  <c:v>3.1792283068812432E-2</c:v>
                </c:pt>
                <c:pt idx="2520">
                  <c:v>3.1795835751419865E-2</c:v>
                </c:pt>
                <c:pt idx="2521">
                  <c:v>3.1799396749538245E-2</c:v>
                </c:pt>
                <c:pt idx="2522">
                  <c:v>3.180296606325328E-2</c:v>
                </c:pt>
                <c:pt idx="2523">
                  <c:v>3.1806543692651568E-2</c:v>
                </c:pt>
                <c:pt idx="2524">
                  <c:v>3.1810129637819706E-2</c:v>
                </c:pt>
                <c:pt idx="2525">
                  <c:v>3.1813723898843849E-2</c:v>
                </c:pt>
                <c:pt idx="2526">
                  <c:v>3.181896163631661E-2</c:v>
                </c:pt>
                <c:pt idx="2527">
                  <c:v>3.182257343328207E-2</c:v>
                </c:pt>
                <c:pt idx="2528">
                  <c:v>3.1826193547119214E-2</c:v>
                </c:pt>
                <c:pt idx="2529">
                  <c:v>3.1829821977916173E-2</c:v>
                </c:pt>
                <c:pt idx="2530">
                  <c:v>3.1833458725760419E-2</c:v>
                </c:pt>
                <c:pt idx="2531">
                  <c:v>3.1837103790740513E-2</c:v>
                </c:pt>
                <c:pt idx="2532">
                  <c:v>3.1840757172944378E-2</c:v>
                </c:pt>
                <c:pt idx="2533">
                  <c:v>3.1844418872460582E-2</c:v>
                </c:pt>
                <c:pt idx="2534">
                  <c:v>3.1848088889378151E-2</c:v>
                </c:pt>
                <c:pt idx="2535">
                  <c:v>3.185176722378566E-2</c:v>
                </c:pt>
                <c:pt idx="2536">
                  <c:v>3.1855453875771898E-2</c:v>
                </c:pt>
                <c:pt idx="2537">
                  <c:v>3.1859148845426545E-2</c:v>
                </c:pt>
                <c:pt idx="2538">
                  <c:v>3.1862852132839521E-2</c:v>
                </c:pt>
                <c:pt idx="2539">
                  <c:v>3.1866563738099825E-2</c:v>
                </c:pt>
                <c:pt idx="2540">
                  <c:v>3.1870283661297592E-2</c:v>
                </c:pt>
                <c:pt idx="2541">
                  <c:v>3.1874011902522287E-2</c:v>
                </c:pt>
                <c:pt idx="2542">
                  <c:v>3.1877748461866022E-2</c:v>
                </c:pt>
                <c:pt idx="2543">
                  <c:v>3.1881493339417151E-2</c:v>
                </c:pt>
                <c:pt idx="2544">
                  <c:v>3.188524653526735E-2</c:v>
                </c:pt>
                <c:pt idx="2545">
                  <c:v>3.1889008049508297E-2</c:v>
                </c:pt>
                <c:pt idx="2546">
                  <c:v>3.1892777882229668E-2</c:v>
                </c:pt>
                <c:pt idx="2547">
                  <c:v>3.1896556033523808E-2</c:v>
                </c:pt>
                <c:pt idx="2548">
                  <c:v>3.1900342503481505E-2</c:v>
                </c:pt>
                <c:pt idx="2549">
                  <c:v>3.1904137292195094E-2</c:v>
                </c:pt>
                <c:pt idx="2550">
                  <c:v>3.1907940399756259E-2</c:v>
                </c:pt>
                <c:pt idx="2551">
                  <c:v>3.1911751826256676E-2</c:v>
                </c:pt>
                <c:pt idx="2552">
                  <c:v>3.1915571571789335E-2</c:v>
                </c:pt>
                <c:pt idx="2553">
                  <c:v>3.1919399636447035E-2</c:v>
                </c:pt>
                <c:pt idx="2554">
                  <c:v>3.192323602032144E-2</c:v>
                </c:pt>
                <c:pt idx="2555">
                  <c:v>3.192708072350578E-2</c:v>
                </c:pt>
                <c:pt idx="2556">
                  <c:v>3.1930933746093945E-2</c:v>
                </c:pt>
                <c:pt idx="2557">
                  <c:v>3.1934795088178494E-2</c:v>
                </c:pt>
                <c:pt idx="2558">
                  <c:v>3.1938664749853102E-2</c:v>
                </c:pt>
                <c:pt idx="2559">
                  <c:v>3.19425427312112E-2</c:v>
                </c:pt>
                <c:pt idx="2560">
                  <c:v>3.1946429032347803E-2</c:v>
                </c:pt>
                <c:pt idx="2561">
                  <c:v>3.1950323653356344E-2</c:v>
                </c:pt>
                <c:pt idx="2562">
                  <c:v>3.1954226594330504E-2</c:v>
                </c:pt>
                <c:pt idx="2563">
                  <c:v>3.1958137855365935E-2</c:v>
                </c:pt>
                <c:pt idx="2564">
                  <c:v>3.1962057436556966E-2</c:v>
                </c:pt>
                <c:pt idx="2565">
                  <c:v>3.1965985337998382E-2</c:v>
                </c:pt>
                <c:pt idx="2566">
                  <c:v>3.1969921559785397E-2</c:v>
                </c:pt>
                <c:pt idx="2567">
                  <c:v>3.1973866102013679E-2</c:v>
                </c:pt>
                <c:pt idx="2568">
                  <c:v>3.1977818964778207E-2</c:v>
                </c:pt>
                <c:pt idx="2569">
                  <c:v>3.1982346710758489E-2</c:v>
                </c:pt>
                <c:pt idx="2570">
                  <c:v>3.1986317403567062E-2</c:v>
                </c:pt>
                <c:pt idx="2571">
                  <c:v>3.1990296417213494E-2</c:v>
                </c:pt>
                <c:pt idx="2572">
                  <c:v>3.1994283751794993E-2</c:v>
                </c:pt>
                <c:pt idx="2573">
                  <c:v>3.1998279407407224E-2</c:v>
                </c:pt>
                <c:pt idx="2574">
                  <c:v>3.2002283384147165E-2</c:v>
                </c:pt>
                <c:pt idx="2575">
                  <c:v>3.2006295682112482E-2</c:v>
                </c:pt>
                <c:pt idx="2576">
                  <c:v>3.2010316301399722E-2</c:v>
                </c:pt>
                <c:pt idx="2577">
                  <c:v>3.2014345242106751E-2</c:v>
                </c:pt>
                <c:pt idx="2578">
                  <c:v>3.2016699196010023E-2</c:v>
                </c:pt>
                <c:pt idx="2579">
                  <c:v>3.2020743836164822E-2</c:v>
                </c:pt>
                <c:pt idx="2580">
                  <c:v>3.2024796797263555E-2</c:v>
                </c:pt>
                <c:pt idx="2581">
                  <c:v>3.2028858079403477E-2</c:v>
                </c:pt>
                <c:pt idx="2582">
                  <c:v>3.2032927682683621E-2</c:v>
                </c:pt>
                <c:pt idx="2583">
                  <c:v>3.2037005607201463E-2</c:v>
                </c:pt>
                <c:pt idx="2584">
                  <c:v>3.2041091853056258E-2</c:v>
                </c:pt>
                <c:pt idx="2585">
                  <c:v>3.2045186420345928E-2</c:v>
                </c:pt>
                <c:pt idx="2586">
                  <c:v>3.2049289309170392E-2</c:v>
                </c:pt>
                <c:pt idx="2587">
                  <c:v>3.2053400519627795E-2</c:v>
                </c:pt>
                <c:pt idx="2588">
                  <c:v>3.2057520051818056E-2</c:v>
                </c:pt>
                <c:pt idx="2589">
                  <c:v>3.2061647905840207E-2</c:v>
                </c:pt>
                <c:pt idx="2590">
                  <c:v>3.2065784081794613E-2</c:v>
                </c:pt>
                <c:pt idx="2591">
                  <c:v>3.2069928579780527E-2</c:v>
                </c:pt>
                <c:pt idx="2592">
                  <c:v>3.2074081399898313E-2</c:v>
                </c:pt>
                <c:pt idx="2593">
                  <c:v>3.2078242542248558E-2</c:v>
                </c:pt>
                <c:pt idx="2594">
                  <c:v>3.2082412006931627E-2</c:v>
                </c:pt>
                <c:pt idx="2595">
                  <c:v>3.2086589794048104E-2</c:v>
                </c:pt>
                <c:pt idx="2596">
                  <c:v>3.2090775903699242E-2</c:v>
                </c:pt>
                <c:pt idx="2597">
                  <c:v>3.2094970335985851E-2</c:v>
                </c:pt>
                <c:pt idx="2598">
                  <c:v>3.2099173091009403E-2</c:v>
                </c:pt>
                <c:pt idx="2599">
                  <c:v>3.2103384168871152E-2</c:v>
                </c:pt>
                <c:pt idx="2600">
                  <c:v>3.210760356967346E-2</c:v>
                </c:pt>
                <c:pt idx="2601">
                  <c:v>3.2111831293517801E-2</c:v>
                </c:pt>
                <c:pt idx="2602">
                  <c:v>3.2116067340506316E-2</c:v>
                </c:pt>
                <c:pt idx="2603">
                  <c:v>3.2120311710741589E-2</c:v>
                </c:pt>
                <c:pt idx="2604">
                  <c:v>3.2124564404325984E-2</c:v>
                </c:pt>
                <c:pt idx="2605">
                  <c:v>3.2128825421361862E-2</c:v>
                </c:pt>
                <c:pt idx="2606">
                  <c:v>3.2133094761952696E-2</c:v>
                </c:pt>
                <c:pt idx="2607">
                  <c:v>3.213737242620196E-2</c:v>
                </c:pt>
                <c:pt idx="2608">
                  <c:v>3.2141658414212015E-2</c:v>
                </c:pt>
                <c:pt idx="2609">
                  <c:v>3.2145952726087224E-2</c:v>
                </c:pt>
                <c:pt idx="2610">
                  <c:v>3.2150255361930613E-2</c:v>
                </c:pt>
                <c:pt idx="2611">
                  <c:v>3.2154566321846989E-2</c:v>
                </c:pt>
                <c:pt idx="2612">
                  <c:v>3.2158885605940046E-2</c:v>
                </c:pt>
                <c:pt idx="2613">
                  <c:v>3.2163213214313702E-2</c:v>
                </c:pt>
                <c:pt idx="2614">
                  <c:v>3.2167549147073426E-2</c:v>
                </c:pt>
                <c:pt idx="2615">
                  <c:v>3.2171893404323137E-2</c:v>
                </c:pt>
                <c:pt idx="2616">
                  <c:v>3.2176245986168528E-2</c:v>
                </c:pt>
                <c:pt idx="2617">
                  <c:v>3.2180606892714403E-2</c:v>
                </c:pt>
                <c:pt idx="2618">
                  <c:v>3.2184976124066234E-2</c:v>
                </c:pt>
                <c:pt idx="2619">
                  <c:v>3.2189353680328825E-2</c:v>
                </c:pt>
                <c:pt idx="2620">
                  <c:v>3.2193739561609203E-2</c:v>
                </c:pt>
                <c:pt idx="2621">
                  <c:v>3.2198133768012616E-2</c:v>
                </c:pt>
                <c:pt idx="2622">
                  <c:v>3.2202536299644979E-2</c:v>
                </c:pt>
                <c:pt idx="2623">
                  <c:v>3.2206947156612875E-2</c:v>
                </c:pt>
                <c:pt idx="2624">
                  <c:v>3.2211366339023551E-2</c:v>
                </c:pt>
                <c:pt idx="2625">
                  <c:v>3.2215793846983143E-2</c:v>
                </c:pt>
                <c:pt idx="2626">
                  <c:v>3.2220229680598456E-2</c:v>
                </c:pt>
                <c:pt idx="2627">
                  <c:v>3.2224673839976958E-2</c:v>
                </c:pt>
                <c:pt idx="2628">
                  <c:v>3.2229126325226343E-2</c:v>
                </c:pt>
                <c:pt idx="2629">
                  <c:v>3.223358713645319E-2</c:v>
                </c:pt>
                <c:pt idx="2630">
                  <c:v>3.2238056273766302E-2</c:v>
                </c:pt>
                <c:pt idx="2631">
                  <c:v>3.2242533737273149E-2</c:v>
                </c:pt>
                <c:pt idx="2632">
                  <c:v>3.2247019527082088E-2</c:v>
                </c:pt>
                <c:pt idx="2633">
                  <c:v>3.2251513643301255E-2</c:v>
                </c:pt>
                <c:pt idx="2634">
                  <c:v>3.2256016086039452E-2</c:v>
                </c:pt>
                <c:pt idx="2635">
                  <c:v>3.2260526855405702E-2</c:v>
                </c:pt>
                <c:pt idx="2636">
                  <c:v>3.2265045951508364E-2</c:v>
                </c:pt>
                <c:pt idx="2637">
                  <c:v>3.2269573374457128E-2</c:v>
                </c:pt>
                <c:pt idx="2638">
                  <c:v>3.2274109124361017E-2</c:v>
                </c:pt>
                <c:pt idx="2639">
                  <c:v>3.2278653201330165E-2</c:v>
                </c:pt>
                <c:pt idx="2640">
                  <c:v>3.2283205605474263E-2</c:v>
                </c:pt>
                <c:pt idx="2641">
                  <c:v>3.2287766336902335E-2</c:v>
                </c:pt>
                <c:pt idx="2642">
                  <c:v>3.2292335395725846E-2</c:v>
                </c:pt>
                <c:pt idx="2643">
                  <c:v>3.2296912782054266E-2</c:v>
                </c:pt>
                <c:pt idx="2644">
                  <c:v>3.2301498495998837E-2</c:v>
                </c:pt>
                <c:pt idx="2645">
                  <c:v>3.2306092537670139E-2</c:v>
                </c:pt>
                <c:pt idx="2646">
                  <c:v>3.2310694907178972E-2</c:v>
                </c:pt>
                <c:pt idx="2647">
                  <c:v>3.2315305604636801E-2</c:v>
                </c:pt>
                <c:pt idx="2648">
                  <c:v>3.2319924630154873E-2</c:v>
                </c:pt>
                <c:pt idx="2649">
                  <c:v>3.2324551983844874E-2</c:v>
                </c:pt>
                <c:pt idx="2650">
                  <c:v>3.2329187665818715E-2</c:v>
                </c:pt>
                <c:pt idx="2651">
                  <c:v>3.2333831676188085E-2</c:v>
                </c:pt>
                <c:pt idx="2652">
                  <c:v>3.2338484015065339E-2</c:v>
                </c:pt>
                <c:pt idx="2653">
                  <c:v>3.2343144682563274E-2</c:v>
                </c:pt>
                <c:pt idx="2654">
                  <c:v>3.234781367879358E-2</c:v>
                </c:pt>
                <c:pt idx="2655">
                  <c:v>3.2352491003870165E-2</c:v>
                </c:pt>
                <c:pt idx="2656">
                  <c:v>3.2357176657905606E-2</c:v>
                </c:pt>
                <c:pt idx="2657">
                  <c:v>3.2361870641012702E-2</c:v>
                </c:pt>
                <c:pt idx="2658">
                  <c:v>3.2366572953305361E-2</c:v>
                </c:pt>
                <c:pt idx="2659">
                  <c:v>3.2371283594897271E-2</c:v>
                </c:pt>
                <c:pt idx="2660">
                  <c:v>3.2376002565901896E-2</c:v>
                </c:pt>
                <c:pt idx="2661">
                  <c:v>3.2380729866433366E-2</c:v>
                </c:pt>
                <c:pt idx="2662">
                  <c:v>3.2385465496606036E-2</c:v>
                </c:pt>
                <c:pt idx="2663">
                  <c:v>3.2390209456534258E-2</c:v>
                </c:pt>
                <c:pt idx="2664">
                  <c:v>3.2394961746332607E-2</c:v>
                </c:pt>
                <c:pt idx="2665">
                  <c:v>3.239972236611588E-2</c:v>
                </c:pt>
                <c:pt idx="2666">
                  <c:v>3.2404491315999318E-2</c:v>
                </c:pt>
                <c:pt idx="2667">
                  <c:v>3.2409268596098162E-2</c:v>
                </c:pt>
                <c:pt idx="2668">
                  <c:v>3.2414054206527432E-2</c:v>
                </c:pt>
                <c:pt idx="2669">
                  <c:v>3.2418848147403256E-2</c:v>
                </c:pt>
                <c:pt idx="2670">
                  <c:v>3.2423650418841321E-2</c:v>
                </c:pt>
                <c:pt idx="2671">
                  <c:v>3.2428461020957533E-2</c:v>
                </c:pt>
                <c:pt idx="2672">
                  <c:v>3.2433279953868466E-2</c:v>
                </c:pt>
                <c:pt idx="2673">
                  <c:v>3.2438797506888495E-2</c:v>
                </c:pt>
                <c:pt idx="2674">
                  <c:v>3.2443634291893897E-2</c:v>
                </c:pt>
                <c:pt idx="2675">
                  <c:v>3.2448479408060615E-2</c:v>
                </c:pt>
                <c:pt idx="2676">
                  <c:v>3.2453332855505224E-2</c:v>
                </c:pt>
                <c:pt idx="2677">
                  <c:v>3.2458194634345849E-2</c:v>
                </c:pt>
                <c:pt idx="2678">
                  <c:v>3.2463064744699066E-2</c:v>
                </c:pt>
                <c:pt idx="2679">
                  <c:v>3.2467943186683001E-2</c:v>
                </c:pt>
                <c:pt idx="2680">
                  <c:v>3.2472829960415339E-2</c:v>
                </c:pt>
                <c:pt idx="2681">
                  <c:v>3.2477725066014651E-2</c:v>
                </c:pt>
                <c:pt idx="2682">
                  <c:v>3.2482628503598621E-2</c:v>
                </c:pt>
                <c:pt idx="2683">
                  <c:v>3.248754027328582E-2</c:v>
                </c:pt>
                <c:pt idx="2684">
                  <c:v>3.2492460375195265E-2</c:v>
                </c:pt>
                <c:pt idx="2685">
                  <c:v>3.2497388809445749E-2</c:v>
                </c:pt>
                <c:pt idx="2686">
                  <c:v>3.2500535899737629E-2</c:v>
                </c:pt>
                <c:pt idx="2687">
                  <c:v>3.250727067544612E-2</c:v>
                </c:pt>
                <c:pt idx="2688">
                  <c:v>3.2512224107434928E-2</c:v>
                </c:pt>
                <c:pt idx="2689">
                  <c:v>3.2517185872242393E-2</c:v>
                </c:pt>
                <c:pt idx="2690">
                  <c:v>3.2522155969988198E-2</c:v>
                </c:pt>
                <c:pt idx="2691">
                  <c:v>3.2527134400792468E-2</c:v>
                </c:pt>
                <c:pt idx="2692">
                  <c:v>3.2532121164775551E-2</c:v>
                </c:pt>
                <c:pt idx="2693">
                  <c:v>3.2537116262058241E-2</c:v>
                </c:pt>
                <c:pt idx="2694">
                  <c:v>3.2542119692761329E-2</c:v>
                </c:pt>
                <c:pt idx="2695">
                  <c:v>3.2547131457004941E-2</c:v>
                </c:pt>
                <c:pt idx="2696">
                  <c:v>3.2552151554910758E-2</c:v>
                </c:pt>
                <c:pt idx="2697">
                  <c:v>3.2557179986600238E-2</c:v>
                </c:pt>
                <c:pt idx="2698">
                  <c:v>3.2562216752194617E-2</c:v>
                </c:pt>
                <c:pt idx="2699">
                  <c:v>3.2567261851815354E-2</c:v>
                </c:pt>
                <c:pt idx="2700">
                  <c:v>3.2572315285585018E-2</c:v>
                </c:pt>
                <c:pt idx="2701">
                  <c:v>3.2577377053625289E-2</c:v>
                </c:pt>
                <c:pt idx="2702">
                  <c:v>3.2582447156058514E-2</c:v>
                </c:pt>
                <c:pt idx="2703">
                  <c:v>3.2587525593007483E-2</c:v>
                </c:pt>
                <c:pt idx="2704">
                  <c:v>3.2592612364594764E-2</c:v>
                </c:pt>
                <c:pt idx="2705">
                  <c:v>3.2597707470942927E-2</c:v>
                </c:pt>
                <c:pt idx="2706">
                  <c:v>3.2602810912175872E-2</c:v>
                </c:pt>
                <c:pt idx="2707">
                  <c:v>3.2607922688416169E-2</c:v>
                </c:pt>
                <c:pt idx="2708">
                  <c:v>3.2613042799787717E-2</c:v>
                </c:pt>
                <c:pt idx="2709">
                  <c:v>3.261817124641464E-2</c:v>
                </c:pt>
                <c:pt idx="2710">
                  <c:v>3.2623308028420173E-2</c:v>
                </c:pt>
                <c:pt idx="2711">
                  <c:v>3.2628453145928438E-2</c:v>
                </c:pt>
                <c:pt idx="2712">
                  <c:v>3.2633606599064446E-2</c:v>
                </c:pt>
                <c:pt idx="2713">
                  <c:v>3.2638768387952322E-2</c:v>
                </c:pt>
                <c:pt idx="2714">
                  <c:v>3.264393851271663E-2</c:v>
                </c:pt>
                <c:pt idx="2715">
                  <c:v>3.2649116973482828E-2</c:v>
                </c:pt>
                <c:pt idx="2716">
                  <c:v>3.2654303770375481E-2</c:v>
                </c:pt>
                <c:pt idx="2717">
                  <c:v>3.2659498903520712E-2</c:v>
                </c:pt>
                <c:pt idx="2718">
                  <c:v>3.2664702373043308E-2</c:v>
                </c:pt>
                <c:pt idx="2719">
                  <c:v>3.2669914179069393E-2</c:v>
                </c:pt>
                <c:pt idx="2720">
                  <c:v>3.2675134321724641E-2</c:v>
                </c:pt>
                <c:pt idx="2721">
                  <c:v>3.2680362801135843E-2</c:v>
                </c:pt>
                <c:pt idx="2722">
                  <c:v>3.2685599617428451E-2</c:v>
                </c:pt>
                <c:pt idx="2723">
                  <c:v>3.2690844770729921E-2</c:v>
                </c:pt>
                <c:pt idx="2724">
                  <c:v>3.2696098261166151E-2</c:v>
                </c:pt>
                <c:pt idx="2725">
                  <c:v>3.2705774164641974E-2</c:v>
                </c:pt>
                <c:pt idx="2726">
                  <c:v>3.2711047641761477E-2</c:v>
                </c:pt>
                <c:pt idx="2727">
                  <c:v>3.2716329458051696E-2</c:v>
                </c:pt>
                <c:pt idx="2728">
                  <c:v>3.2721619613642262E-2</c:v>
                </c:pt>
                <c:pt idx="2729">
                  <c:v>3.2726918108660817E-2</c:v>
                </c:pt>
                <c:pt idx="2730">
                  <c:v>3.2726716768372258E-2</c:v>
                </c:pt>
                <c:pt idx="2731">
                  <c:v>3.2737540117498867E-2</c:v>
                </c:pt>
                <c:pt idx="2732">
                  <c:v>3.2742863631576295E-2</c:v>
                </c:pt>
                <c:pt idx="2733">
                  <c:v>3.2748195485598243E-2</c:v>
                </c:pt>
                <c:pt idx="2734">
                  <c:v>3.274801471608052E-2</c:v>
                </c:pt>
                <c:pt idx="2735">
                  <c:v>3.2758884213994886E-2</c:v>
                </c:pt>
                <c:pt idx="2736">
                  <c:v>3.276424108862884E-2</c:v>
                </c:pt>
                <c:pt idx="2737">
                  <c:v>3.2769606303727154E-2</c:v>
                </c:pt>
                <c:pt idx="2738">
                  <c:v>3.2776208786783452E-2</c:v>
                </c:pt>
                <c:pt idx="2739">
                  <c:v>3.2781594377688968E-2</c:v>
                </c:pt>
                <c:pt idx="2740">
                  <c:v>3.2786988308702754E-2</c:v>
                </c:pt>
                <c:pt idx="2741">
                  <c:v>3.2792390579953909E-2</c:v>
                </c:pt>
                <c:pt idx="2742">
                  <c:v>3.2797801191573522E-2</c:v>
                </c:pt>
                <c:pt idx="2743">
                  <c:v>3.2803220143693794E-2</c:v>
                </c:pt>
                <c:pt idx="2744">
                  <c:v>3.2808647436445147E-2</c:v>
                </c:pt>
                <c:pt idx="2745">
                  <c:v>3.2814083069959345E-2</c:v>
                </c:pt>
                <c:pt idx="2746">
                  <c:v>3.2819527044368579E-2</c:v>
                </c:pt>
                <c:pt idx="2747">
                  <c:v>3.2824979359804607E-2</c:v>
                </c:pt>
                <c:pt idx="2748">
                  <c:v>3.2830440016398746E-2</c:v>
                </c:pt>
                <c:pt idx="2749">
                  <c:v>3.2835909014283411E-2</c:v>
                </c:pt>
                <c:pt idx="2750">
                  <c:v>3.2841386353593016E-2</c:v>
                </c:pt>
                <c:pt idx="2751">
                  <c:v>3.2846872034458206E-2</c:v>
                </c:pt>
                <c:pt idx="2752">
                  <c:v>3.285236605701318E-2</c:v>
                </c:pt>
                <c:pt idx="2753">
                  <c:v>3.2857868421390352E-2</c:v>
                </c:pt>
                <c:pt idx="2754">
                  <c:v>3.2863379127723691E-2</c:v>
                </c:pt>
                <c:pt idx="2755">
                  <c:v>3.2868898176146071E-2</c:v>
                </c:pt>
                <c:pt idx="2756">
                  <c:v>3.2874425566791446E-2</c:v>
                </c:pt>
                <c:pt idx="2757">
                  <c:v>3.2879961299794459E-2</c:v>
                </c:pt>
                <c:pt idx="2758">
                  <c:v>3.2885505375288629E-2</c:v>
                </c:pt>
                <c:pt idx="2759">
                  <c:v>3.2891057793408604E-2</c:v>
                </c:pt>
                <c:pt idx="2760">
                  <c:v>3.2896618554288569E-2</c:v>
                </c:pt>
                <c:pt idx="2761">
                  <c:v>3.2902187658063818E-2</c:v>
                </c:pt>
                <c:pt idx="2762">
                  <c:v>3.2907765104869216E-2</c:v>
                </c:pt>
                <c:pt idx="2763">
                  <c:v>3.2913350894839384E-2</c:v>
                </c:pt>
                <c:pt idx="2764">
                  <c:v>3.2918945028110297E-2</c:v>
                </c:pt>
                <c:pt idx="2765">
                  <c:v>3.2924547504817693E-2</c:v>
                </c:pt>
                <c:pt idx="2766">
                  <c:v>3.2930158325096874E-2</c:v>
                </c:pt>
                <c:pt idx="2767">
                  <c:v>3.2935777489083787E-2</c:v>
                </c:pt>
                <c:pt idx="2768">
                  <c:v>3.2941404996915079E-2</c:v>
                </c:pt>
                <c:pt idx="2769">
                  <c:v>3.2947040848727592E-2</c:v>
                </c:pt>
                <c:pt idx="2770">
                  <c:v>3.2952685044656392E-2</c:v>
                </c:pt>
                <c:pt idx="2771">
                  <c:v>3.295833758483923E-2</c:v>
                </c:pt>
                <c:pt idx="2772">
                  <c:v>3.2963998469413391E-2</c:v>
                </c:pt>
                <c:pt idx="2773">
                  <c:v>3.2969667698515719E-2</c:v>
                </c:pt>
                <c:pt idx="2774">
                  <c:v>3.2975345272283289E-2</c:v>
                </c:pt>
                <c:pt idx="2775">
                  <c:v>3.2981031190854063E-2</c:v>
                </c:pt>
                <c:pt idx="2776">
                  <c:v>3.2986725454366643E-2</c:v>
                </c:pt>
                <c:pt idx="2777">
                  <c:v>3.2992428062957678E-2</c:v>
                </c:pt>
                <c:pt idx="2778">
                  <c:v>3.2998139016766216E-2</c:v>
                </c:pt>
                <c:pt idx="2779">
                  <c:v>3.3003858315930654E-2</c:v>
                </c:pt>
                <c:pt idx="2780">
                  <c:v>3.3009585960589179E-2</c:v>
                </c:pt>
                <c:pt idx="2781">
                  <c:v>3.3015321950880853E-2</c:v>
                </c:pt>
                <c:pt idx="2782">
                  <c:v>3.3021066286944518E-2</c:v>
                </c:pt>
                <c:pt idx="2783">
                  <c:v>3.302681896892011E-2</c:v>
                </c:pt>
                <c:pt idx="2784">
                  <c:v>3.303257999694649E-2</c:v>
                </c:pt>
                <c:pt idx="2785">
                  <c:v>3.3038349371163366E-2</c:v>
                </c:pt>
                <c:pt idx="2786">
                  <c:v>3.3042229513091659E-2</c:v>
                </c:pt>
                <c:pt idx="2787">
                  <c:v>3.3048014468605391E-2</c:v>
                </c:pt>
                <c:pt idx="2788">
                  <c:v>3.3053807769886978E-2</c:v>
                </c:pt>
                <c:pt idx="2789">
                  <c:v>3.305960941707764E-2</c:v>
                </c:pt>
                <c:pt idx="2790">
                  <c:v>3.3065419410316155E-2</c:v>
                </c:pt>
                <c:pt idx="2791">
                  <c:v>3.3071237749743965E-2</c:v>
                </c:pt>
                <c:pt idx="2792">
                  <c:v>3.3077064435501402E-2</c:v>
                </c:pt>
                <c:pt idx="2793">
                  <c:v>3.3082899467729687E-2</c:v>
                </c:pt>
                <c:pt idx="2794">
                  <c:v>3.308874284656893E-2</c:v>
                </c:pt>
                <c:pt idx="2795">
                  <c:v>3.3094594572161684E-2</c:v>
                </c:pt>
                <c:pt idx="2796">
                  <c:v>3.3100454644648503E-2</c:v>
                </c:pt>
                <c:pt idx="2797">
                  <c:v>3.310632306417105E-2</c:v>
                </c:pt>
                <c:pt idx="2798">
                  <c:v>3.3112199830871658E-2</c:v>
                </c:pt>
                <c:pt idx="2799">
                  <c:v>3.311808494489199E-2</c:v>
                </c:pt>
                <c:pt idx="2800">
                  <c:v>3.3123978406374599E-2</c:v>
                </c:pt>
                <c:pt idx="2801">
                  <c:v>3.3129880215462038E-2</c:v>
                </c:pt>
                <c:pt idx="2802">
                  <c:v>3.3135790372296414E-2</c:v>
                </c:pt>
                <c:pt idx="2803">
                  <c:v>3.314170887702117E-2</c:v>
                </c:pt>
                <c:pt idx="2804">
                  <c:v>3.3147635729779301E-2</c:v>
                </c:pt>
                <c:pt idx="2805">
                  <c:v>3.3153570930713805E-2</c:v>
                </c:pt>
                <c:pt idx="2806">
                  <c:v>3.3159514479968788E-2</c:v>
                </c:pt>
                <c:pt idx="2807">
                  <c:v>3.3165466377686803E-2</c:v>
                </c:pt>
                <c:pt idx="2808">
                  <c:v>3.3171426624013289E-2</c:v>
                </c:pt>
                <c:pt idx="2809">
                  <c:v>3.3177395219090799E-2</c:v>
                </c:pt>
                <c:pt idx="2810">
                  <c:v>3.3183372163064329E-2</c:v>
                </c:pt>
                <c:pt idx="2811">
                  <c:v>3.3189357456078872E-2</c:v>
                </c:pt>
                <c:pt idx="2812">
                  <c:v>3.3195351098278092E-2</c:v>
                </c:pt>
                <c:pt idx="2813">
                  <c:v>3.320135308980765E-2</c:v>
                </c:pt>
                <c:pt idx="2814">
                  <c:v>3.3207363430812098E-2</c:v>
                </c:pt>
                <c:pt idx="2815">
                  <c:v>3.3213382121437318E-2</c:v>
                </c:pt>
                <c:pt idx="2816">
                  <c:v>3.321940916182875E-2</c:v>
                </c:pt>
                <c:pt idx="2817">
                  <c:v>3.3225444552131833E-2</c:v>
                </c:pt>
                <c:pt idx="2818">
                  <c:v>3.323148829249245E-2</c:v>
                </c:pt>
                <c:pt idx="2819">
                  <c:v>3.3237540383056707E-2</c:v>
                </c:pt>
                <c:pt idx="2820">
                  <c:v>3.3243600823970931E-2</c:v>
                </c:pt>
                <c:pt idx="2821">
                  <c:v>3.3249669615381894E-2</c:v>
                </c:pt>
                <c:pt idx="2822">
                  <c:v>3.3255746757436366E-2</c:v>
                </c:pt>
                <c:pt idx="2823">
                  <c:v>3.3261832250280898E-2</c:v>
                </c:pt>
                <c:pt idx="2824">
                  <c:v>3.3267926094062927E-2</c:v>
                </c:pt>
                <c:pt idx="2825">
                  <c:v>3.3274028288929669E-2</c:v>
                </c:pt>
                <c:pt idx="2826">
                  <c:v>3.3280138835028339E-2</c:v>
                </c:pt>
                <c:pt idx="2827">
                  <c:v>3.3286257732507263E-2</c:v>
                </c:pt>
                <c:pt idx="2828">
                  <c:v>3.32923849815141E-2</c:v>
                </c:pt>
                <c:pt idx="2829">
                  <c:v>3.329939777835822E-2</c:v>
                </c:pt>
                <c:pt idx="2830">
                  <c:v>3.3305542923995235E-2</c:v>
                </c:pt>
                <c:pt idx="2831">
                  <c:v>3.331169642162668E-2</c:v>
                </c:pt>
                <c:pt idx="2832">
                  <c:v>3.3317858271400436E-2</c:v>
                </c:pt>
                <c:pt idx="2833">
                  <c:v>3.3324028473466827E-2</c:v>
                </c:pt>
                <c:pt idx="2834">
                  <c:v>3.3330207027974179E-2</c:v>
                </c:pt>
                <c:pt idx="2835">
                  <c:v>3.3336393935071928E-2</c:v>
                </c:pt>
                <c:pt idx="2836">
                  <c:v>3.3342589194909511E-2</c:v>
                </c:pt>
                <c:pt idx="2837">
                  <c:v>3.3348792807637251E-2</c:v>
                </c:pt>
                <c:pt idx="2838">
                  <c:v>3.3355004773405028E-2</c:v>
                </c:pt>
                <c:pt idx="2839">
                  <c:v>3.3361225092362279E-2</c:v>
                </c:pt>
                <c:pt idx="2840">
                  <c:v>3.3367453764660659E-2</c:v>
                </c:pt>
                <c:pt idx="2841">
                  <c:v>3.3373690790449606E-2</c:v>
                </c:pt>
                <c:pt idx="2842">
                  <c:v>3.3379936169880775E-2</c:v>
                </c:pt>
                <c:pt idx="2843">
                  <c:v>3.3386189903104269E-2</c:v>
                </c:pt>
                <c:pt idx="2844">
                  <c:v>3.3392451990272187E-2</c:v>
                </c:pt>
                <c:pt idx="2845">
                  <c:v>3.3398722431535521E-2</c:v>
                </c:pt>
                <c:pt idx="2846">
                  <c:v>3.3405001227046149E-2</c:v>
                </c:pt>
                <c:pt idx="2847">
                  <c:v>3.3411288376955284E-2</c:v>
                </c:pt>
                <c:pt idx="2848">
                  <c:v>3.3417583881415691E-2</c:v>
                </c:pt>
                <c:pt idx="2849">
                  <c:v>3.3423887740579028E-2</c:v>
                </c:pt>
                <c:pt idx="2850">
                  <c:v>3.3430199954598283E-2</c:v>
                </c:pt>
                <c:pt idx="2851">
                  <c:v>3.3436520523625557E-2</c:v>
                </c:pt>
                <c:pt idx="2852">
                  <c:v>3.3442849447813394E-2</c:v>
                </c:pt>
                <c:pt idx="2853">
                  <c:v>3.3449186727315894E-2</c:v>
                </c:pt>
                <c:pt idx="2854">
                  <c:v>3.34555323622856E-2</c:v>
                </c:pt>
                <c:pt idx="2855">
                  <c:v>3.3461886352875947E-2</c:v>
                </c:pt>
                <c:pt idx="2856">
                  <c:v>3.3468248699240588E-2</c:v>
                </c:pt>
                <c:pt idx="2857">
                  <c:v>3.3474619401533401E-2</c:v>
                </c:pt>
                <c:pt idx="2858">
                  <c:v>3.3480998459908484E-2</c:v>
                </c:pt>
                <c:pt idx="2859">
                  <c:v>3.3487385874520159E-2</c:v>
                </c:pt>
                <c:pt idx="2860">
                  <c:v>3.3493781645522525E-2</c:v>
                </c:pt>
                <c:pt idx="2861">
                  <c:v>3.3500185773070568E-2</c:v>
                </c:pt>
                <c:pt idx="2862">
                  <c:v>3.3506598257319054E-2</c:v>
                </c:pt>
                <c:pt idx="2863">
                  <c:v>3.3513019098423413E-2</c:v>
                </c:pt>
                <c:pt idx="2864">
                  <c:v>3.3519448296538634E-2</c:v>
                </c:pt>
                <c:pt idx="2865">
                  <c:v>3.3525885851819037E-2</c:v>
                </c:pt>
                <c:pt idx="2866">
                  <c:v>3.3532331764422496E-2</c:v>
                </c:pt>
                <c:pt idx="2867">
                  <c:v>3.353878603450311E-2</c:v>
                </c:pt>
                <c:pt idx="2868">
                  <c:v>3.3545248662217642E-2</c:v>
                </c:pt>
                <c:pt idx="2869">
                  <c:v>3.3551719647722411E-2</c:v>
                </c:pt>
                <c:pt idx="2870">
                  <c:v>3.355819899117396E-2</c:v>
                </c:pt>
                <c:pt idx="2871">
                  <c:v>3.3564686692728385E-2</c:v>
                </c:pt>
                <c:pt idx="2872">
                  <c:v>3.3571182752543338E-2</c:v>
                </c:pt>
                <c:pt idx="2873">
                  <c:v>3.3577687170775139E-2</c:v>
                </c:pt>
                <c:pt idx="2874">
                  <c:v>3.3584199947581883E-2</c:v>
                </c:pt>
                <c:pt idx="2875">
                  <c:v>3.3590721083120556E-2</c:v>
                </c:pt>
                <c:pt idx="2876">
                  <c:v>3.3597250577548587E-2</c:v>
                </c:pt>
                <c:pt idx="2877">
                  <c:v>3.3603788431024517E-2</c:v>
                </c:pt>
                <c:pt idx="2878">
                  <c:v>3.3610334643705997E-2</c:v>
                </c:pt>
                <c:pt idx="2879">
                  <c:v>3.3616889215751566E-2</c:v>
                </c:pt>
                <c:pt idx="2880">
                  <c:v>3.3623452147319766E-2</c:v>
                </c:pt>
                <c:pt idx="2881">
                  <c:v>3.3630023438569134E-2</c:v>
                </c:pt>
                <c:pt idx="2882">
                  <c:v>3.3636603089658657E-2</c:v>
                </c:pt>
                <c:pt idx="2883">
                  <c:v>3.3643191100747316E-2</c:v>
                </c:pt>
                <c:pt idx="2884">
                  <c:v>3.3649787471994541E-2</c:v>
                </c:pt>
                <c:pt idx="2885">
                  <c:v>3.365639220355976E-2</c:v>
                </c:pt>
                <c:pt idx="2886">
                  <c:v>3.3663005295603288E-2</c:v>
                </c:pt>
                <c:pt idx="2887">
                  <c:v>3.3669626748283887E-2</c:v>
                </c:pt>
                <c:pt idx="2888">
                  <c:v>3.3676256561762319E-2</c:v>
                </c:pt>
                <c:pt idx="2889">
                  <c:v>3.3682894736199342E-2</c:v>
                </c:pt>
                <c:pt idx="2890">
                  <c:v>3.3689541271755497E-2</c:v>
                </c:pt>
                <c:pt idx="2891">
                  <c:v>3.3696196168590431E-2</c:v>
                </c:pt>
                <c:pt idx="2892">
                  <c:v>3.3702859426865794E-2</c:v>
                </c:pt>
                <c:pt idx="2893">
                  <c:v>3.3709531046742791E-2</c:v>
                </c:pt>
                <c:pt idx="2894">
                  <c:v>3.3716211028382848E-2</c:v>
                </c:pt>
                <c:pt idx="2895">
                  <c:v>3.3722899371947168E-2</c:v>
                </c:pt>
                <c:pt idx="2896">
                  <c:v>3.3729596077597845E-2</c:v>
                </c:pt>
                <c:pt idx="2897">
                  <c:v>3.3736301145496306E-2</c:v>
                </c:pt>
                <c:pt idx="2898">
                  <c:v>3.374301457580553E-2</c:v>
                </c:pt>
                <c:pt idx="2899">
                  <c:v>3.3749736368687167E-2</c:v>
                </c:pt>
                <c:pt idx="2900">
                  <c:v>3.3756466524303752E-2</c:v>
                </c:pt>
                <c:pt idx="2901">
                  <c:v>3.3763205042818711E-2</c:v>
                </c:pt>
                <c:pt idx="2902">
                  <c:v>3.3769951924394581E-2</c:v>
                </c:pt>
                <c:pt idx="2903">
                  <c:v>3.377670716919412E-2</c:v>
                </c:pt>
                <c:pt idx="2904">
                  <c:v>3.3783470777382085E-2</c:v>
                </c:pt>
                <c:pt idx="2905">
                  <c:v>3.3790242749120125E-2</c:v>
                </c:pt>
                <c:pt idx="2906">
                  <c:v>3.3797023084573441E-2</c:v>
                </c:pt>
                <c:pt idx="2907">
                  <c:v>3.380381178390568E-2</c:v>
                </c:pt>
                <c:pt idx="2908">
                  <c:v>3.3810608847280932E-2</c:v>
                </c:pt>
                <c:pt idx="2909">
                  <c:v>3.3817414274863289E-2</c:v>
                </c:pt>
                <c:pt idx="2910">
                  <c:v>3.3824228066817952E-2</c:v>
                </c:pt>
                <c:pt idx="2911">
                  <c:v>3.3831050223309456E-2</c:v>
                </c:pt>
                <c:pt idx="2912">
                  <c:v>3.383788074450278E-2</c:v>
                </c:pt>
                <c:pt idx="2913">
                  <c:v>3.3844719630562681E-2</c:v>
                </c:pt>
                <c:pt idx="2914">
                  <c:v>3.385156688165547E-2</c:v>
                </c:pt>
                <c:pt idx="2915">
                  <c:v>3.3858422497946128E-2</c:v>
                </c:pt>
                <c:pt idx="2916">
                  <c:v>3.3865286479600298E-2</c:v>
                </c:pt>
                <c:pt idx="2917">
                  <c:v>3.3872158826784737E-2</c:v>
                </c:pt>
                <c:pt idx="2918">
                  <c:v>3.3879039539664868E-2</c:v>
                </c:pt>
                <c:pt idx="2919">
                  <c:v>3.3885928618407668E-2</c:v>
                </c:pt>
                <c:pt idx="2920">
                  <c:v>3.3892826063179449E-2</c:v>
                </c:pt>
                <c:pt idx="2921">
                  <c:v>3.389973187414741E-2</c:v>
                </c:pt>
                <c:pt idx="2922">
                  <c:v>3.3906646051478528E-2</c:v>
                </c:pt>
                <c:pt idx="2923">
                  <c:v>3.3913568595339116E-2</c:v>
                </c:pt>
                <c:pt idx="2924">
                  <c:v>3.3920499505897705E-2</c:v>
                </c:pt>
                <c:pt idx="2925">
                  <c:v>3.3927438783321495E-2</c:v>
                </c:pt>
                <c:pt idx="2926">
                  <c:v>3.3934386427778573E-2</c:v>
                </c:pt>
                <c:pt idx="2927">
                  <c:v>3.3941342439436362E-2</c:v>
                </c:pt>
                <c:pt idx="2928">
                  <c:v>3.3948306818464058E-2</c:v>
                </c:pt>
                <c:pt idx="2929">
                  <c:v>3.3955279565029528E-2</c:v>
                </c:pt>
                <c:pt idx="2930">
                  <c:v>3.3962260679301082E-2</c:v>
                </c:pt>
                <c:pt idx="2931">
                  <c:v>3.3969250161448139E-2</c:v>
                </c:pt>
                <c:pt idx="2932">
                  <c:v>3.3976248011639676E-2</c:v>
                </c:pt>
                <c:pt idx="2933">
                  <c:v>3.3983254230045112E-2</c:v>
                </c:pt>
                <c:pt idx="2934">
                  <c:v>3.3990268816833424E-2</c:v>
                </c:pt>
                <c:pt idx="2935">
                  <c:v>3.399729177217492E-2</c:v>
                </c:pt>
                <c:pt idx="2936">
                  <c:v>3.4004323096238354E-2</c:v>
                </c:pt>
                <c:pt idx="2937">
                  <c:v>3.4011362789195365E-2</c:v>
                </c:pt>
                <c:pt idx="2938">
                  <c:v>3.4018410851214709E-2</c:v>
                </c:pt>
                <c:pt idx="2939">
                  <c:v>3.4025467282467803E-2</c:v>
                </c:pt>
                <c:pt idx="2940">
                  <c:v>3.4032532083125622E-2</c:v>
                </c:pt>
                <c:pt idx="2941">
                  <c:v>3.4039605253357808E-2</c:v>
                </c:pt>
                <c:pt idx="2942">
                  <c:v>3.4048768398616154E-2</c:v>
                </c:pt>
                <c:pt idx="2943">
                  <c:v>3.4055859556894504E-2</c:v>
                </c:pt>
                <c:pt idx="2944">
                  <c:v>3.406295908617548E-2</c:v>
                </c:pt>
                <c:pt idx="2945">
                  <c:v>3.4070066986631134E-2</c:v>
                </c:pt>
                <c:pt idx="2946">
                  <c:v>3.4077183258433751E-2</c:v>
                </c:pt>
                <c:pt idx="2947">
                  <c:v>3.4092661806755381E-2</c:v>
                </c:pt>
                <c:pt idx="2948">
                  <c:v>3.4091440916772089E-2</c:v>
                </c:pt>
                <c:pt idx="2949">
                  <c:v>3.4098582303653029E-2</c:v>
                </c:pt>
                <c:pt idx="2950">
                  <c:v>3.4105732062572919E-2</c:v>
                </c:pt>
                <c:pt idx="2951">
                  <c:v>3.4112890193705371E-2</c:v>
                </c:pt>
                <c:pt idx="2952">
                  <c:v>3.4120056697223775E-2</c:v>
                </c:pt>
                <c:pt idx="2953">
                  <c:v>3.4127231573301733E-2</c:v>
                </c:pt>
                <c:pt idx="2954">
                  <c:v>3.413441482211374E-2</c:v>
                </c:pt>
                <c:pt idx="2955">
                  <c:v>3.4141606443833621E-2</c:v>
                </c:pt>
                <c:pt idx="2956">
                  <c:v>3.4148806438635652E-2</c:v>
                </c:pt>
                <c:pt idx="2957">
                  <c:v>3.415601480669566E-2</c:v>
                </c:pt>
                <c:pt idx="2958">
                  <c:v>3.4163231548187241E-2</c:v>
                </c:pt>
                <c:pt idx="2959">
                  <c:v>3.4170456663285775E-2</c:v>
                </c:pt>
                <c:pt idx="2960">
                  <c:v>3.417769008013577E-2</c:v>
                </c:pt>
                <c:pt idx="2961">
                  <c:v>3.4184931438753556E-2</c:v>
                </c:pt>
                <c:pt idx="2962">
                  <c:v>3.4192180307113296E-2</c:v>
                </c:pt>
                <c:pt idx="2963">
                  <c:v>3.4199436253177645E-2</c:v>
                </c:pt>
                <c:pt idx="2964">
                  <c:v>3.4206698844895966E-2</c:v>
                </c:pt>
                <c:pt idx="2965">
                  <c:v>3.4213967650208094E-2</c:v>
                </c:pt>
                <c:pt idx="2966">
                  <c:v>3.4221242237039928E-2</c:v>
                </c:pt>
                <c:pt idx="2967">
                  <c:v>3.4228522173304063E-2</c:v>
                </c:pt>
                <c:pt idx="2968">
                  <c:v>3.4235807026904694E-2</c:v>
                </c:pt>
                <c:pt idx="2969">
                  <c:v>3.4243096365730738E-2</c:v>
                </c:pt>
                <c:pt idx="2970">
                  <c:v>3.4250389757660017E-2</c:v>
                </c:pt>
                <c:pt idx="2971">
                  <c:v>3.4257686770557766E-2</c:v>
                </c:pt>
                <c:pt idx="2972">
                  <c:v>3.4264986972278776E-2</c:v>
                </c:pt>
                <c:pt idx="2973">
                  <c:v>3.4272289930662593E-2</c:v>
                </c:pt>
                <c:pt idx="2974">
                  <c:v>3.4279595213539217E-2</c:v>
                </c:pt>
                <c:pt idx="2975">
                  <c:v>3.4286902388724928E-2</c:v>
                </c:pt>
                <c:pt idx="2976">
                  <c:v>3.4294211024024489E-2</c:v>
                </c:pt>
                <c:pt idx="2977">
                  <c:v>3.4301520687230705E-2</c:v>
                </c:pt>
                <c:pt idx="2978">
                  <c:v>3.4308830946122221E-2</c:v>
                </c:pt>
                <c:pt idx="2979">
                  <c:v>3.4316141368468139E-2</c:v>
                </c:pt>
                <c:pt idx="2980">
                  <c:v>3.4323451522023839E-2</c:v>
                </c:pt>
                <c:pt idx="2981">
                  <c:v>3.4330760974532096E-2</c:v>
                </c:pt>
                <c:pt idx="2982">
                  <c:v>3.4338069293723926E-2</c:v>
                </c:pt>
                <c:pt idx="2983">
                  <c:v>3.4345376047318618E-2</c:v>
                </c:pt>
                <c:pt idx="2984">
                  <c:v>3.4352680803022402E-2</c:v>
                </c:pt>
                <c:pt idx="2985">
                  <c:v>3.4365263776436117E-2</c:v>
                </c:pt>
                <c:pt idx="2986">
                  <c:v>3.4372562886709951E-2</c:v>
                </c:pt>
                <c:pt idx="2987">
                  <c:v>3.4379858580937221E-2</c:v>
                </c:pt>
                <c:pt idx="2988">
                  <c:v>3.4387150429041446E-2</c:v>
                </c:pt>
                <c:pt idx="2989">
                  <c:v>3.4394438000934009E-2</c:v>
                </c:pt>
                <c:pt idx="2990">
                  <c:v>3.4395364676887308E-2</c:v>
                </c:pt>
                <c:pt idx="2991">
                  <c:v>3.4408998595668504E-2</c:v>
                </c:pt>
                <c:pt idx="2992">
                  <c:v>3.4416270758272006E-2</c:v>
                </c:pt>
                <c:pt idx="2993">
                  <c:v>3.4423536924188286E-2</c:v>
                </c:pt>
                <c:pt idx="2994">
                  <c:v>3.4424441983557097E-2</c:v>
                </c:pt>
                <c:pt idx="2995">
                  <c:v>3.4431695406913931E-2</c:v>
                </c:pt>
                <c:pt idx="2996">
                  <c:v>3.443894160179628E-2</c:v>
                </c:pt>
                <c:pt idx="2997">
                  <c:v>3.4446180134608317E-2</c:v>
                </c:pt>
                <c:pt idx="2998">
                  <c:v>3.4461880339538085E-2</c:v>
                </c:pt>
                <c:pt idx="2999">
                  <c:v>3.4460632479576869E-2</c:v>
                </c:pt>
                <c:pt idx="3000">
                  <c:v>3.4467845424481114E-2</c:v>
                </c:pt>
                <c:pt idx="3001">
                  <c:v>3.4475048972811839E-2</c:v>
                </c:pt>
                <c:pt idx="3002">
                  <c:v>3.4482242690911935E-2</c:v>
                </c:pt>
                <c:pt idx="3003">
                  <c:v>3.4489426145115853E-2</c:v>
                </c:pt>
                <c:pt idx="3004">
                  <c:v>3.4496598901743392E-2</c:v>
                </c:pt>
                <c:pt idx="3005">
                  <c:v>3.4503760527103911E-2</c:v>
                </c:pt>
                <c:pt idx="3006">
                  <c:v>3.4510910587495003E-2</c:v>
                </c:pt>
                <c:pt idx="3007">
                  <c:v>3.4518048649202715E-2</c:v>
                </c:pt>
                <c:pt idx="3008">
                  <c:v>3.4525174278501325E-2</c:v>
                </c:pt>
                <c:pt idx="3009">
                  <c:v>3.4532287041654008E-2</c:v>
                </c:pt>
                <c:pt idx="3010">
                  <c:v>3.4539386504911729E-2</c:v>
                </c:pt>
                <c:pt idx="3011">
                  <c:v>3.4546472234514569E-2</c:v>
                </c:pt>
                <c:pt idx="3012">
                  <c:v>3.4553543842189116E-2</c:v>
                </c:pt>
                <c:pt idx="3013">
                  <c:v>3.4560601220430032E-2</c:v>
                </c:pt>
                <c:pt idx="3014">
                  <c:v>3.4567644368735495E-2</c:v>
                </c:pt>
                <c:pt idx="3015">
                  <c:v>3.4574673286813518E-2</c:v>
                </c:pt>
                <c:pt idx="3016">
                  <c:v>3.4581687974373887E-2</c:v>
                </c:pt>
                <c:pt idx="3017">
                  <c:v>3.4588688431126613E-2</c:v>
                </c:pt>
                <c:pt idx="3018">
                  <c:v>3.4595674656781705E-2</c:v>
                </c:pt>
                <c:pt idx="3019">
                  <c:v>3.4602646651050728E-2</c:v>
                </c:pt>
                <c:pt idx="3020">
                  <c:v>3.4609604413644801E-2</c:v>
                </c:pt>
                <c:pt idx="3021">
                  <c:v>3.4616547944276599E-2</c:v>
                </c:pt>
                <c:pt idx="3022">
                  <c:v>3.4623477242658796E-2</c:v>
                </c:pt>
                <c:pt idx="3023">
                  <c:v>3.4630392308504954E-2</c:v>
                </c:pt>
                <c:pt idx="3024">
                  <c:v>3.4637293141528858E-2</c:v>
                </c:pt>
                <c:pt idx="3025">
                  <c:v>3.464417974144518E-2</c:v>
                </c:pt>
                <c:pt idx="3026">
                  <c:v>3.4651052107969038E-2</c:v>
                </c:pt>
                <c:pt idx="3027">
                  <c:v>3.4657910240816436E-2</c:v>
                </c:pt>
                <c:pt idx="3028">
                  <c:v>3.466475413970338E-2</c:v>
                </c:pt>
                <c:pt idx="3029">
                  <c:v>3.4671583804346762E-2</c:v>
                </c:pt>
                <c:pt idx="3030">
                  <c:v>3.4678399234464585E-2</c:v>
                </c:pt>
                <c:pt idx="3031">
                  <c:v>3.4685200429774632E-2</c:v>
                </c:pt>
                <c:pt idx="3032">
                  <c:v>3.4691987389995793E-2</c:v>
                </c:pt>
                <c:pt idx="3033">
                  <c:v>3.4698760114847405E-2</c:v>
                </c:pt>
                <c:pt idx="3034">
                  <c:v>3.4705518604049024E-2</c:v>
                </c:pt>
                <c:pt idx="3035">
                  <c:v>3.4712262857321097E-2</c:v>
                </c:pt>
                <c:pt idx="3036">
                  <c:v>3.4718992874385179E-2</c:v>
                </c:pt>
                <c:pt idx="3037">
                  <c:v>3.4729539851864999E-2</c:v>
                </c:pt>
                <c:pt idx="3038">
                  <c:v>3.473623326025943E-2</c:v>
                </c:pt>
                <c:pt idx="3039">
                  <c:v>3.4742912431453998E-2</c:v>
                </c:pt>
                <c:pt idx="3040">
                  <c:v>3.4749577365172923E-2</c:v>
                </c:pt>
                <c:pt idx="3041">
                  <c:v>3.475622806113976E-2</c:v>
                </c:pt>
                <c:pt idx="3042">
                  <c:v>3.4762864519080061E-2</c:v>
                </c:pt>
                <c:pt idx="3043">
                  <c:v>3.4769486738718935E-2</c:v>
                </c:pt>
                <c:pt idx="3044">
                  <c:v>3.4776094719782824E-2</c:v>
                </c:pt>
                <c:pt idx="3045">
                  <c:v>3.478268846199839E-2</c:v>
                </c:pt>
                <c:pt idx="3046">
                  <c:v>3.4789267965092519E-2</c:v>
                </c:pt>
                <c:pt idx="3047">
                  <c:v>3.4795833228792983E-2</c:v>
                </c:pt>
                <c:pt idx="3048">
                  <c:v>3.4802384252829333E-2</c:v>
                </c:pt>
                <c:pt idx="3049">
                  <c:v>3.4808921036929341E-2</c:v>
                </c:pt>
                <c:pt idx="3050">
                  <c:v>3.4816374210326018E-2</c:v>
                </c:pt>
                <c:pt idx="3051">
                  <c:v>3.4822880479368212E-2</c:v>
                </c:pt>
                <c:pt idx="3052">
                  <c:v>3.4829372507626521E-2</c:v>
                </c:pt>
                <c:pt idx="3053">
                  <c:v>3.4835850294832493E-2</c:v>
                </c:pt>
                <c:pt idx="3054">
                  <c:v>3.4842313840718564E-2</c:v>
                </c:pt>
                <c:pt idx="3055">
                  <c:v>3.4848763145016948E-2</c:v>
                </c:pt>
                <c:pt idx="3056">
                  <c:v>3.4855198207460747E-2</c:v>
                </c:pt>
                <c:pt idx="3057">
                  <c:v>3.4861619027784618E-2</c:v>
                </c:pt>
                <c:pt idx="3058">
                  <c:v>3.486802560572233E-2</c:v>
                </c:pt>
                <c:pt idx="3059">
                  <c:v>3.4874417941008762E-2</c:v>
                </c:pt>
                <c:pt idx="3060">
                  <c:v>3.488079603337968E-2</c:v>
                </c:pt>
                <c:pt idx="3061">
                  <c:v>3.4887159882571295E-2</c:v>
                </c:pt>
                <c:pt idx="3062">
                  <c:v>3.4893509488320928E-2</c:v>
                </c:pt>
                <c:pt idx="3063">
                  <c:v>3.489984485036457E-2</c:v>
                </c:pt>
                <c:pt idx="3064">
                  <c:v>3.4906165968441094E-2</c:v>
                </c:pt>
                <c:pt idx="3065">
                  <c:v>3.4912472842289155E-2</c:v>
                </c:pt>
                <c:pt idx="3066">
                  <c:v>3.4918765471647184E-2</c:v>
                </c:pt>
                <c:pt idx="3067">
                  <c:v>3.4925043856255389E-2</c:v>
                </c:pt>
                <c:pt idx="3068">
                  <c:v>3.4931307995854199E-2</c:v>
                </c:pt>
                <c:pt idx="3069">
                  <c:v>3.4937557890184046E-2</c:v>
                </c:pt>
                <c:pt idx="3070">
                  <c:v>3.4943793538986689E-2</c:v>
                </c:pt>
                <c:pt idx="3071">
                  <c:v>3.4950014942003893E-2</c:v>
                </c:pt>
                <c:pt idx="3072">
                  <c:v>3.4956222098978307E-2</c:v>
                </c:pt>
                <c:pt idx="3073">
                  <c:v>3.4962415009653913E-2</c:v>
                </c:pt>
                <c:pt idx="3074">
                  <c:v>3.4968593673773363E-2</c:v>
                </c:pt>
                <c:pt idx="3075">
                  <c:v>3.4974758091081748E-2</c:v>
                </c:pt>
                <c:pt idx="3076">
                  <c:v>3.498090826132394E-2</c:v>
                </c:pt>
                <c:pt idx="3077">
                  <c:v>3.4987044184245697E-2</c:v>
                </c:pt>
                <c:pt idx="3078">
                  <c:v>3.4993165859593001E-2</c:v>
                </c:pt>
                <c:pt idx="3079">
                  <c:v>3.499927328711272E-2</c:v>
                </c:pt>
                <c:pt idx="3080">
                  <c:v>3.5005366466551724E-2</c:v>
                </c:pt>
                <c:pt idx="3081">
                  <c:v>3.501144539765888E-2</c:v>
                </c:pt>
                <c:pt idx="3082">
                  <c:v>3.5017510080181724E-2</c:v>
                </c:pt>
                <c:pt idx="3083">
                  <c:v>3.5023560513869789E-2</c:v>
                </c:pt>
                <c:pt idx="3084">
                  <c:v>3.5029596698473053E-2</c:v>
                </c:pt>
                <c:pt idx="3085">
                  <c:v>3.5035618633741272E-2</c:v>
                </c:pt>
                <c:pt idx="3086">
                  <c:v>3.5041626319425756E-2</c:v>
                </c:pt>
                <c:pt idx="3087">
                  <c:v>3.5047619755277815E-2</c:v>
                </c:pt>
                <c:pt idx="3088">
                  <c:v>3.5053598941049424E-2</c:v>
                </c:pt>
                <c:pt idx="3089">
                  <c:v>3.5059563876493449E-2</c:v>
                </c:pt>
                <c:pt idx="3090">
                  <c:v>3.5065514561362754E-2</c:v>
                </c:pt>
                <c:pt idx="3091">
                  <c:v>3.5071450995411535E-2</c:v>
                </c:pt>
                <c:pt idx="3092">
                  <c:v>3.5077373178394211E-2</c:v>
                </c:pt>
                <c:pt idx="3093">
                  <c:v>3.5083281110065201E-2</c:v>
                </c:pt>
                <c:pt idx="3094">
                  <c:v>3.5089174790180699E-2</c:v>
                </c:pt>
                <c:pt idx="3095">
                  <c:v>3.5095054218496902E-2</c:v>
                </c:pt>
                <c:pt idx="3096">
                  <c:v>3.5100919394770003E-2</c:v>
                </c:pt>
                <c:pt idx="3097">
                  <c:v>3.5106770318757974E-2</c:v>
                </c:pt>
                <c:pt idx="3098">
                  <c:v>3.5112606990218342E-2</c:v>
                </c:pt>
                <c:pt idx="3099">
                  <c:v>3.5118429408909746E-2</c:v>
                </c:pt>
                <c:pt idx="3100">
                  <c:v>3.5124237574591488E-2</c:v>
                </c:pt>
                <c:pt idx="3101">
                  <c:v>3.5130031487023095E-2</c:v>
                </c:pt>
                <c:pt idx="3102">
                  <c:v>3.5135811145964979E-2</c:v>
                </c:pt>
                <c:pt idx="3103">
                  <c:v>3.5141576551177778E-2</c:v>
                </c:pt>
                <c:pt idx="3104">
                  <c:v>3.5147327702423237E-2</c:v>
                </c:pt>
                <c:pt idx="3105">
                  <c:v>3.5153064599463102E-2</c:v>
                </c:pt>
                <c:pt idx="3106">
                  <c:v>3.5158787242060674E-2</c:v>
                </c:pt>
                <c:pt idx="3107">
                  <c:v>3.5164495629978365E-2</c:v>
                </c:pt>
                <c:pt idx="3108">
                  <c:v>3.5170189762980364E-2</c:v>
                </c:pt>
                <c:pt idx="3109">
                  <c:v>3.5175869640831303E-2</c:v>
                </c:pt>
                <c:pt idx="3110">
                  <c:v>3.518153526329626E-2</c:v>
                </c:pt>
                <c:pt idx="3111">
                  <c:v>3.5187186630140088E-2</c:v>
                </c:pt>
                <c:pt idx="3112">
                  <c:v>3.5192823741129642E-2</c:v>
                </c:pt>
                <c:pt idx="3113">
                  <c:v>3.5198446596031774E-2</c:v>
                </c:pt>
                <c:pt idx="3114">
                  <c:v>3.5204055194613115E-2</c:v>
                </c:pt>
                <c:pt idx="3115">
                  <c:v>3.5209649536642296E-2</c:v>
                </c:pt>
                <c:pt idx="3116">
                  <c:v>3.5215229621887945E-2</c:v>
                </c:pt>
                <c:pt idx="3117">
                  <c:v>3.5220795450118025E-2</c:v>
                </c:pt>
                <c:pt idx="3118">
                  <c:v>3.5226347021104054E-2</c:v>
                </c:pt>
                <c:pt idx="3119">
                  <c:v>3.5231884334615104E-2</c:v>
                </c:pt>
                <c:pt idx="3120">
                  <c:v>3.523740739042247E-2</c:v>
                </c:pt>
                <c:pt idx="3121">
                  <c:v>3.5242916188297446E-2</c:v>
                </c:pt>
                <c:pt idx="3122">
                  <c:v>3.5248410728011992E-2</c:v>
                </c:pt>
                <c:pt idx="3123">
                  <c:v>3.5253891009339178E-2</c:v>
                </c:pt>
                <c:pt idx="3124">
                  <c:v>3.5259357032051852E-2</c:v>
                </c:pt>
                <c:pt idx="3125">
                  <c:v>3.5264808795924196E-2</c:v>
                </c:pt>
                <c:pt idx="3126">
                  <c:v>3.5270246300730834E-2</c:v>
                </c:pt>
                <c:pt idx="3127">
                  <c:v>3.5275669546246613E-2</c:v>
                </c:pt>
                <c:pt idx="3128">
                  <c:v>3.5281078532246601E-2</c:v>
                </c:pt>
                <c:pt idx="3129">
                  <c:v>3.5286473258507423E-2</c:v>
                </c:pt>
                <c:pt idx="3130">
                  <c:v>3.52918537248057E-2</c:v>
                </c:pt>
                <c:pt idx="3131">
                  <c:v>3.5297219930918722E-2</c:v>
                </c:pt>
                <c:pt idx="3132">
                  <c:v>3.5302571876625333E-2</c:v>
                </c:pt>
                <c:pt idx="3133">
                  <c:v>3.5307909561703266E-2</c:v>
                </c:pt>
                <c:pt idx="3134">
                  <c:v>3.5313232985931808E-2</c:v>
                </c:pt>
                <c:pt idx="3135">
                  <c:v>3.5318542149090693E-2</c:v>
                </c:pt>
                <c:pt idx="3136">
                  <c:v>3.5323837050960316E-2</c:v>
                </c:pt>
                <c:pt idx="3137">
                  <c:v>3.5329117691321521E-2</c:v>
                </c:pt>
                <c:pt idx="3138">
                  <c:v>3.5334384069955593E-2</c:v>
                </c:pt>
                <c:pt idx="3139">
                  <c:v>3.5339636186645151E-2</c:v>
                </c:pt>
                <c:pt idx="3140">
                  <c:v>3.5344874041172591E-2</c:v>
                </c:pt>
                <c:pt idx="3141">
                  <c:v>3.5350842696482587E-2</c:v>
                </c:pt>
                <c:pt idx="3142">
                  <c:v>3.5356049988504834E-2</c:v>
                </c:pt>
                <c:pt idx="3143">
                  <c:v>3.536124301768595E-2</c:v>
                </c:pt>
                <c:pt idx="3144">
                  <c:v>3.5366421783810997E-2</c:v>
                </c:pt>
                <c:pt idx="3145">
                  <c:v>3.537158628666548E-2</c:v>
                </c:pt>
                <c:pt idx="3146">
                  <c:v>3.5376736526036012E-2</c:v>
                </c:pt>
                <c:pt idx="3147">
                  <c:v>3.5381872501709211E-2</c:v>
                </c:pt>
                <c:pt idx="3148">
                  <c:v>3.53869942134728E-2</c:v>
                </c:pt>
                <c:pt idx="3149">
                  <c:v>3.5392101661114284E-2</c:v>
                </c:pt>
                <c:pt idx="3150">
                  <c:v>3.5399245787595734E-2</c:v>
                </c:pt>
                <c:pt idx="3151">
                  <c:v>3.5404324171407577E-2</c:v>
                </c:pt>
                <c:pt idx="3152">
                  <c:v>3.5409388289158773E-2</c:v>
                </c:pt>
                <c:pt idx="3153">
                  <c:v>3.5414438140639194E-2</c:v>
                </c:pt>
                <c:pt idx="3154">
                  <c:v>3.5419473725639354E-2</c:v>
                </c:pt>
                <c:pt idx="3155">
                  <c:v>3.5424495043950871E-2</c:v>
                </c:pt>
                <c:pt idx="3156">
                  <c:v>3.5429502095365169E-2</c:v>
                </c:pt>
                <c:pt idx="3157">
                  <c:v>3.5442684339470676E-2</c:v>
                </c:pt>
                <c:pt idx="3158">
                  <c:v>3.5439473396669897E-2</c:v>
                </c:pt>
                <c:pt idx="3159">
                  <c:v>3.5444437646147804E-2</c:v>
                </c:pt>
                <c:pt idx="3160">
                  <c:v>3.5449387627900515E-2</c:v>
                </c:pt>
                <c:pt idx="3161">
                  <c:v>3.5454323341722334E-2</c:v>
                </c:pt>
                <c:pt idx="3162">
                  <c:v>3.545924478740952E-2</c:v>
                </c:pt>
                <c:pt idx="3163">
                  <c:v>3.5464151964757475E-2</c:v>
                </c:pt>
                <c:pt idx="3164">
                  <c:v>3.5469044873562477E-2</c:v>
                </c:pt>
                <c:pt idx="3165">
                  <c:v>3.547392351362124E-2</c:v>
                </c:pt>
                <c:pt idx="3166">
                  <c:v>3.5478787884731598E-2</c:v>
                </c:pt>
                <c:pt idx="3167">
                  <c:v>3.5483637986692254E-2</c:v>
                </c:pt>
                <c:pt idx="3168">
                  <c:v>3.5488473819301265E-2</c:v>
                </c:pt>
                <c:pt idx="3169">
                  <c:v>3.5493295382358007E-2</c:v>
                </c:pt>
                <c:pt idx="3170">
                  <c:v>3.5498102675662523E-2</c:v>
                </c:pt>
                <c:pt idx="3171">
                  <c:v>3.550289569901529E-2</c:v>
                </c:pt>
                <c:pt idx="3172">
                  <c:v>3.5507674452217017E-2</c:v>
                </c:pt>
                <c:pt idx="3173">
                  <c:v>3.551243893507041E-2</c:v>
                </c:pt>
                <c:pt idx="3174">
                  <c:v>3.5517189147377275E-2</c:v>
                </c:pt>
                <c:pt idx="3175">
                  <c:v>3.5521925088940753E-2</c:v>
                </c:pt>
                <c:pt idx="3176">
                  <c:v>3.5526646759563102E-2</c:v>
                </c:pt>
                <c:pt idx="3177">
                  <c:v>3.5531354159050121E-2</c:v>
                </c:pt>
                <c:pt idx="3178">
                  <c:v>3.5536047287205177E-2</c:v>
                </c:pt>
                <c:pt idx="3179">
                  <c:v>3.5540726143833842E-2</c:v>
                </c:pt>
                <c:pt idx="3180">
                  <c:v>3.5545390728742576E-2</c:v>
                </c:pt>
                <c:pt idx="3181">
                  <c:v>3.555004104173741E-2</c:v>
                </c:pt>
                <c:pt idx="3182">
                  <c:v>3.555467708262524E-2</c:v>
                </c:pt>
                <c:pt idx="3183">
                  <c:v>3.5559298851213644E-2</c:v>
                </c:pt>
                <c:pt idx="3184">
                  <c:v>3.5563906347310853E-2</c:v>
                </c:pt>
                <c:pt idx="3185">
                  <c:v>3.5568499570726435E-2</c:v>
                </c:pt>
                <c:pt idx="3186">
                  <c:v>3.5573078521268613E-2</c:v>
                </c:pt>
                <c:pt idx="3187">
                  <c:v>3.5577643198747851E-2</c:v>
                </c:pt>
                <c:pt idx="3188">
                  <c:v>3.5582193602975029E-2</c:v>
                </c:pt>
                <c:pt idx="3189">
                  <c:v>3.5586729733760827E-2</c:v>
                </c:pt>
                <c:pt idx="3190">
                  <c:v>3.5591251590917458E-2</c:v>
                </c:pt>
                <c:pt idx="3191">
                  <c:v>3.5595759174257148E-2</c:v>
                </c:pt>
                <c:pt idx="3192">
                  <c:v>3.5600252483592776E-2</c:v>
                </c:pt>
                <c:pt idx="3193">
                  <c:v>3.5604731518737678E-2</c:v>
                </c:pt>
                <c:pt idx="3194">
                  <c:v>3.560919627950606E-2</c:v>
                </c:pt>
                <c:pt idx="3195">
                  <c:v>3.5613646765713242E-2</c:v>
                </c:pt>
                <c:pt idx="3196">
                  <c:v>3.5618082977173893E-2</c:v>
                </c:pt>
                <c:pt idx="3197">
                  <c:v>3.5622504913703987E-2</c:v>
                </c:pt>
                <c:pt idx="3198">
                  <c:v>3.5626912575119726E-2</c:v>
                </c:pt>
                <c:pt idx="3199">
                  <c:v>3.5631305961239548E-2</c:v>
                </c:pt>
                <c:pt idx="3200">
                  <c:v>3.5635685071879419E-2</c:v>
                </c:pt>
                <c:pt idx="3201">
                  <c:v>3.5640049906858443E-2</c:v>
                </c:pt>
                <c:pt idx="3202">
                  <c:v>3.5642379084614761E-2</c:v>
                </c:pt>
                <c:pt idx="3203">
                  <c:v>3.5646715971317633E-2</c:v>
                </c:pt>
                <c:pt idx="3204">
                  <c:v>3.5651038583150996E-2</c:v>
                </c:pt>
                <c:pt idx="3205">
                  <c:v>3.5655346919935882E-2</c:v>
                </c:pt>
                <c:pt idx="3206">
                  <c:v>3.5659640981494212E-2</c:v>
                </c:pt>
                <c:pt idx="3207">
                  <c:v>3.5663920767648127E-2</c:v>
                </c:pt>
                <c:pt idx="3208">
                  <c:v>3.5668186278220437E-2</c:v>
                </c:pt>
                <c:pt idx="3209">
                  <c:v>3.5672437513034838E-2</c:v>
                </c:pt>
                <c:pt idx="3210">
                  <c:v>3.5676674471914582E-2</c:v>
                </c:pt>
                <c:pt idx="3211">
                  <c:v>3.5680897154685587E-2</c:v>
                </c:pt>
                <c:pt idx="3212">
                  <c:v>3.5685105561172437E-2</c:v>
                </c:pt>
                <c:pt idx="3213">
                  <c:v>3.5689299691200826E-2</c:v>
                </c:pt>
                <c:pt idx="3214">
                  <c:v>3.5693479544596896E-2</c:v>
                </c:pt>
                <c:pt idx="3215">
                  <c:v>3.5697645121188781E-2</c:v>
                </c:pt>
                <c:pt idx="3216">
                  <c:v>3.5701796420803067E-2</c:v>
                </c:pt>
                <c:pt idx="3217">
                  <c:v>3.5705933443268334E-2</c:v>
                </c:pt>
                <c:pt idx="3218">
                  <c:v>3.5710056188413164E-2</c:v>
                </c:pt>
                <c:pt idx="3219">
                  <c:v>3.5714164656067249E-2</c:v>
                </c:pt>
                <c:pt idx="3220">
                  <c:v>3.5718258846060058E-2</c:v>
                </c:pt>
                <c:pt idx="3221">
                  <c:v>3.5722338758222838E-2</c:v>
                </c:pt>
                <c:pt idx="3222">
                  <c:v>3.5726404392385724E-2</c:v>
                </c:pt>
                <c:pt idx="3223">
                  <c:v>3.573045574838174E-2</c:v>
                </c:pt>
                <c:pt idx="3224">
                  <c:v>3.573449282604213E-2</c:v>
                </c:pt>
                <c:pt idx="3225">
                  <c:v>3.5738515625200362E-2</c:v>
                </c:pt>
                <c:pt idx="3226">
                  <c:v>3.574252414568968E-2</c:v>
                </c:pt>
                <c:pt idx="3227">
                  <c:v>3.5746518387344217E-2</c:v>
                </c:pt>
                <c:pt idx="3228">
                  <c:v>3.5750498349998994E-2</c:v>
                </c:pt>
                <c:pt idx="3229">
                  <c:v>3.5754464033488809E-2</c:v>
                </c:pt>
                <c:pt idx="3230">
                  <c:v>3.5758415437650015E-2</c:v>
                </c:pt>
                <c:pt idx="3231">
                  <c:v>3.57623525623183E-2</c:v>
                </c:pt>
                <c:pt idx="3232">
                  <c:v>3.5766275407331349E-2</c:v>
                </c:pt>
                <c:pt idx="3233">
                  <c:v>3.5770183972526848E-2</c:v>
                </c:pt>
                <c:pt idx="3234">
                  <c:v>3.5774078257742925E-2</c:v>
                </c:pt>
                <c:pt idx="3235">
                  <c:v>3.5777958262817933E-2</c:v>
                </c:pt>
                <c:pt idx="3236">
                  <c:v>3.5781823987591777E-2</c:v>
                </c:pt>
                <c:pt idx="3237">
                  <c:v>3.5785675431904584E-2</c:v>
                </c:pt>
                <c:pt idx="3238">
                  <c:v>3.5789512595596706E-2</c:v>
                </c:pt>
                <c:pt idx="3239">
                  <c:v>3.579333547850938E-2</c:v>
                </c:pt>
                <c:pt idx="3240">
                  <c:v>3.5797144080483845E-2</c:v>
                </c:pt>
                <c:pt idx="3241">
                  <c:v>3.5800938401363114E-2</c:v>
                </c:pt>
                <c:pt idx="3242">
                  <c:v>3.580471844098998E-2</c:v>
                </c:pt>
                <c:pt idx="3243">
                  <c:v>3.5808484199207902E-2</c:v>
                </c:pt>
                <c:pt idx="3244">
                  <c:v>3.5812235675861226E-2</c:v>
                </c:pt>
                <c:pt idx="3245">
                  <c:v>3.5816505589921332E-2</c:v>
                </c:pt>
                <c:pt idx="3246">
                  <c:v>3.5820226462699889E-2</c:v>
                </c:pt>
                <c:pt idx="3247">
                  <c:v>3.5823933053427348E-2</c:v>
                </c:pt>
                <c:pt idx="3248">
                  <c:v>3.5827625361950721E-2</c:v>
                </c:pt>
                <c:pt idx="3249">
                  <c:v>3.5831303388117242E-2</c:v>
                </c:pt>
                <c:pt idx="3250">
                  <c:v>3.583496713177392E-2</c:v>
                </c:pt>
                <c:pt idx="3251">
                  <c:v>3.5838616592770434E-2</c:v>
                </c:pt>
                <c:pt idx="3252">
                  <c:v>3.5842251770954459E-2</c:v>
                </c:pt>
                <c:pt idx="3253">
                  <c:v>3.5845872666176559E-2</c:v>
                </c:pt>
                <c:pt idx="3254">
                  <c:v>3.5849479278286633E-2</c:v>
                </c:pt>
                <c:pt idx="3255">
                  <c:v>3.5853071607134357E-2</c:v>
                </c:pt>
                <c:pt idx="3256">
                  <c:v>3.5856649652572292E-2</c:v>
                </c:pt>
                <c:pt idx="3257">
                  <c:v>3.5860213414452113E-2</c:v>
                </c:pt>
                <c:pt idx="3258">
                  <c:v>3.5861777536558191E-2</c:v>
                </c:pt>
                <c:pt idx="3259">
                  <c:v>3.5867298086946775E-2</c:v>
                </c:pt>
                <c:pt idx="3260">
                  <c:v>3.5870818997268739E-2</c:v>
                </c:pt>
                <c:pt idx="3261">
                  <c:v>3.5874325623445946E-2</c:v>
                </c:pt>
                <c:pt idx="3262">
                  <c:v>3.5877817965333181E-2</c:v>
                </c:pt>
                <c:pt idx="3263">
                  <c:v>3.5881296022785669E-2</c:v>
                </c:pt>
                <c:pt idx="3264">
                  <c:v>3.5884759795659749E-2</c:v>
                </c:pt>
                <c:pt idx="3265">
                  <c:v>3.58882092838122E-2</c:v>
                </c:pt>
                <c:pt idx="3266">
                  <c:v>3.5891644487100027E-2</c:v>
                </c:pt>
                <c:pt idx="3267">
                  <c:v>3.5895065405380899E-2</c:v>
                </c:pt>
                <c:pt idx="3268">
                  <c:v>3.5898472038513152E-2</c:v>
                </c:pt>
                <c:pt idx="3269">
                  <c:v>3.5901864386356008E-2</c:v>
                </c:pt>
                <c:pt idx="3270">
                  <c:v>3.5905242448769137E-2</c:v>
                </c:pt>
                <c:pt idx="3271">
                  <c:v>3.5908606225612871E-2</c:v>
                </c:pt>
                <c:pt idx="3272">
                  <c:v>3.5911955716747324E-2</c:v>
                </c:pt>
                <c:pt idx="3273">
                  <c:v>3.5915290922034604E-2</c:v>
                </c:pt>
                <c:pt idx="3274">
                  <c:v>3.5918611841335935E-2</c:v>
                </c:pt>
                <c:pt idx="3275">
                  <c:v>3.5921918474514092E-2</c:v>
                </c:pt>
                <c:pt idx="3276">
                  <c:v>3.592521082143274E-2</c:v>
                </c:pt>
                <c:pt idx="3277">
                  <c:v>3.5928488881954879E-2</c:v>
                </c:pt>
                <c:pt idx="3278">
                  <c:v>3.5931752655945282E-2</c:v>
                </c:pt>
                <c:pt idx="3279">
                  <c:v>3.5935002143268502E-2</c:v>
                </c:pt>
                <c:pt idx="3280">
                  <c:v>3.5938237343790647E-2</c:v>
                </c:pt>
                <c:pt idx="3281">
                  <c:v>3.5941458257376935E-2</c:v>
                </c:pt>
                <c:pt idx="3282">
                  <c:v>3.5944664883894362E-2</c:v>
                </c:pt>
                <c:pt idx="3283">
                  <c:v>3.5947857223210811E-2</c:v>
                </c:pt>
                <c:pt idx="3284">
                  <c:v>3.5951035275193277E-2</c:v>
                </c:pt>
                <c:pt idx="3285">
                  <c:v>3.5954199039710755E-2</c:v>
                </c:pt>
                <c:pt idx="3286">
                  <c:v>3.5957348516631793E-2</c:v>
                </c:pt>
                <c:pt idx="3287">
                  <c:v>3.5960483705826718E-2</c:v>
                </c:pt>
                <c:pt idx="3288">
                  <c:v>3.5963604607164967E-2</c:v>
                </c:pt>
                <c:pt idx="3289">
                  <c:v>3.5966711220518421E-2</c:v>
                </c:pt>
                <c:pt idx="3290">
                  <c:v>3.5969803545757184E-2</c:v>
                </c:pt>
                <c:pt idx="3291">
                  <c:v>3.5972881582754024E-2</c:v>
                </c:pt>
                <c:pt idx="3292">
                  <c:v>3.5975945331381487E-2</c:v>
                </c:pt>
                <c:pt idx="3293">
                  <c:v>3.5978994791512564E-2</c:v>
                </c:pt>
                <c:pt idx="3294">
                  <c:v>3.5982029963020912E-2</c:v>
                </c:pt>
                <c:pt idx="3295">
                  <c:v>3.5985050845781519E-2</c:v>
                </c:pt>
                <c:pt idx="3296">
                  <c:v>3.5988057439668708E-2</c:v>
                </c:pt>
                <c:pt idx="3297">
                  <c:v>3.5995391747138034E-2</c:v>
                </c:pt>
                <c:pt idx="3298">
                  <c:v>3.5998366256503135E-2</c:v>
                </c:pt>
                <c:pt idx="3299">
                  <c:v>3.6001326473866967E-2</c:v>
                </c:pt>
                <c:pt idx="3300">
                  <c:v>3.6004272399104975E-2</c:v>
                </c:pt>
                <c:pt idx="3301">
                  <c:v>3.6007204032095709E-2</c:v>
                </c:pt>
                <c:pt idx="3302">
                  <c:v>3.6004258939249266E-2</c:v>
                </c:pt>
                <c:pt idx="3303">
                  <c:v>3.6013024420844197E-2</c:v>
                </c:pt>
                <c:pt idx="3304">
                  <c:v>3.6015913176361242E-2</c:v>
                </c:pt>
                <c:pt idx="3305">
                  <c:v>3.6018787639144956E-2</c:v>
                </c:pt>
                <c:pt idx="3306">
                  <c:v>3.6015794272052711E-2</c:v>
                </c:pt>
                <c:pt idx="3307">
                  <c:v>3.6024493686037572E-2</c:v>
                </c:pt>
                <c:pt idx="3308">
                  <c:v>3.6027325269908858E-2</c:v>
                </c:pt>
                <c:pt idx="3309">
                  <c:v>3.6030142560572236E-2</c:v>
                </c:pt>
                <c:pt idx="3310">
                  <c:v>3.6030645273581241E-2</c:v>
                </c:pt>
                <c:pt idx="3311">
                  <c:v>3.6033427312068378E-2</c:v>
                </c:pt>
                <c:pt idx="3312">
                  <c:v>3.6036195059679699E-2</c:v>
                </c:pt>
                <c:pt idx="3313">
                  <c:v>3.6038948516301073E-2</c:v>
                </c:pt>
                <c:pt idx="3314">
                  <c:v>3.6041687681817702E-2</c:v>
                </c:pt>
                <c:pt idx="3315">
                  <c:v>3.6044412556116789E-2</c:v>
                </c:pt>
                <c:pt idx="3316">
                  <c:v>3.6047123139085535E-2</c:v>
                </c:pt>
                <c:pt idx="3317">
                  <c:v>3.6049819430611363E-2</c:v>
                </c:pt>
                <c:pt idx="3318">
                  <c:v>3.6052501430583028E-2</c:v>
                </c:pt>
                <c:pt idx="3319">
                  <c:v>3.6055169138888843E-2</c:v>
                </c:pt>
                <c:pt idx="3320">
                  <c:v>3.6057822555418895E-2</c:v>
                </c:pt>
                <c:pt idx="3321">
                  <c:v>3.6060461680063938E-2</c:v>
                </c:pt>
                <c:pt idx="3322">
                  <c:v>3.6063086512713838E-2</c:v>
                </c:pt>
                <c:pt idx="3323">
                  <c:v>3.6065697053259793E-2</c:v>
                </c:pt>
                <c:pt idx="3324">
                  <c:v>3.6068293301594556E-2</c:v>
                </c:pt>
                <c:pt idx="3325">
                  <c:v>3.6070875257609991E-2</c:v>
                </c:pt>
                <c:pt idx="3326">
                  <c:v>3.6073442921199295E-2</c:v>
                </c:pt>
                <c:pt idx="3327">
                  <c:v>3.6075996292256773E-2</c:v>
                </c:pt>
                <c:pt idx="3328">
                  <c:v>3.6078535370676068E-2</c:v>
                </c:pt>
                <c:pt idx="3329">
                  <c:v>3.6081060156352374E-2</c:v>
                </c:pt>
                <c:pt idx="3330">
                  <c:v>3.6083570649181107E-2</c:v>
                </c:pt>
                <c:pt idx="3331">
                  <c:v>3.6086066849057907E-2</c:v>
                </c:pt>
                <c:pt idx="3332">
                  <c:v>3.608854875588019E-2</c:v>
                </c:pt>
                <c:pt idx="3333">
                  <c:v>3.6091016369544926E-2</c:v>
                </c:pt>
                <c:pt idx="3334">
                  <c:v>3.6093469689949531E-2</c:v>
                </c:pt>
                <c:pt idx="3335">
                  <c:v>3.6095908716993197E-2</c:v>
                </c:pt>
                <c:pt idx="3336">
                  <c:v>3.6098333450574449E-2</c:v>
                </c:pt>
                <c:pt idx="3337">
                  <c:v>3.6100743890592923E-2</c:v>
                </c:pt>
                <c:pt idx="3338">
                  <c:v>3.61031400369487E-2</c:v>
                </c:pt>
                <c:pt idx="3339">
                  <c:v>3.6105521889543191E-2</c:v>
                </c:pt>
                <c:pt idx="3340">
                  <c:v>3.6107889448277142E-2</c:v>
                </c:pt>
                <c:pt idx="3341">
                  <c:v>3.6110242713053298E-2</c:v>
                </c:pt>
                <c:pt idx="3342">
                  <c:v>3.6112581683773515E-2</c:v>
                </c:pt>
                <c:pt idx="3343">
                  <c:v>3.6114906360341203E-2</c:v>
                </c:pt>
                <c:pt idx="3344">
                  <c:v>3.6117216742660219E-2</c:v>
                </c:pt>
                <c:pt idx="3345">
                  <c:v>3.6119512830634415E-2</c:v>
                </c:pt>
                <c:pt idx="3346">
                  <c:v>3.6121794624169423E-2</c:v>
                </c:pt>
                <c:pt idx="3347">
                  <c:v>3.6124062123170653E-2</c:v>
                </c:pt>
                <c:pt idx="3348">
                  <c:v>3.6126315327544178E-2</c:v>
                </c:pt>
                <c:pt idx="3349">
                  <c:v>3.6128554237196298E-2</c:v>
                </c:pt>
                <c:pt idx="3350">
                  <c:v>3.6130778852034862E-2</c:v>
                </c:pt>
                <c:pt idx="3351">
                  <c:v>3.61329891719675E-2</c:v>
                </c:pt>
                <c:pt idx="3352">
                  <c:v>3.613518519690273E-2</c:v>
                </c:pt>
                <c:pt idx="3353">
                  <c:v>3.6137366926749959E-2</c:v>
                </c:pt>
                <c:pt idx="3354">
                  <c:v>3.6139534361418368E-2</c:v>
                </c:pt>
                <c:pt idx="3355">
                  <c:v>3.6141687500818698E-2</c:v>
                </c:pt>
                <c:pt idx="3356">
                  <c:v>3.6143826344861019E-2</c:v>
                </c:pt>
                <c:pt idx="3357">
                  <c:v>3.6145950893457846E-2</c:v>
                </c:pt>
                <c:pt idx="3358">
                  <c:v>3.6149971303643121E-2</c:v>
                </c:pt>
                <c:pt idx="3359">
                  <c:v>3.6152066443776047E-2</c:v>
                </c:pt>
                <c:pt idx="3360">
                  <c:v>3.6154147286814702E-2</c:v>
                </c:pt>
                <c:pt idx="3361">
                  <c:v>3.6156213832673603E-2</c:v>
                </c:pt>
                <c:pt idx="3362">
                  <c:v>3.6158266081267057E-2</c:v>
                </c:pt>
                <c:pt idx="3363">
                  <c:v>3.6160304032509812E-2</c:v>
                </c:pt>
                <c:pt idx="3364">
                  <c:v>3.6162327686316609E-2</c:v>
                </c:pt>
                <c:pt idx="3365">
                  <c:v>3.6164337042603745E-2</c:v>
                </c:pt>
                <c:pt idx="3366">
                  <c:v>3.6166332101288626E-2</c:v>
                </c:pt>
                <c:pt idx="3367">
                  <c:v>3.6168312862287333E-2</c:v>
                </c:pt>
                <c:pt idx="3368">
                  <c:v>3.6170279325517925E-2</c:v>
                </c:pt>
                <c:pt idx="3369">
                  <c:v>3.6172231490898911E-2</c:v>
                </c:pt>
                <c:pt idx="3370">
                  <c:v>3.6174169358349474E-2</c:v>
                </c:pt>
                <c:pt idx="3371">
                  <c:v>3.6176092927788346E-2</c:v>
                </c:pt>
                <c:pt idx="3372">
                  <c:v>3.6178002199136465E-2</c:v>
                </c:pt>
                <c:pt idx="3373">
                  <c:v>3.6179897172314568E-2</c:v>
                </c:pt>
                <c:pt idx="3374">
                  <c:v>3.6181777847244259E-2</c:v>
                </c:pt>
                <c:pt idx="3375">
                  <c:v>3.6183644223846484E-2</c:v>
                </c:pt>
                <c:pt idx="3376">
                  <c:v>3.6185496302043742E-2</c:v>
                </c:pt>
                <c:pt idx="3377">
                  <c:v>3.6187334081760524E-2</c:v>
                </c:pt>
                <c:pt idx="3378">
                  <c:v>3.6189157562919544E-2</c:v>
                </c:pt>
                <c:pt idx="3379">
                  <c:v>3.619096674544485E-2</c:v>
                </c:pt>
                <c:pt idx="3380">
                  <c:v>3.6192761629261598E-2</c:v>
                </c:pt>
                <c:pt idx="3381">
                  <c:v>3.6194542214296042E-2</c:v>
                </c:pt>
                <c:pt idx="3382">
                  <c:v>3.6196308500473354E-2</c:v>
                </c:pt>
                <c:pt idx="3383">
                  <c:v>3.6198060487720216E-2</c:v>
                </c:pt>
                <c:pt idx="3384">
                  <c:v>3.6199798175964457E-2</c:v>
                </c:pt>
                <c:pt idx="3385">
                  <c:v>3.62015215651341E-2</c:v>
                </c:pt>
                <c:pt idx="3386">
                  <c:v>3.620323065515673E-2</c:v>
                </c:pt>
                <c:pt idx="3387">
                  <c:v>3.6204925445961503E-2</c:v>
                </c:pt>
                <c:pt idx="3388">
                  <c:v>3.6206605937478431E-2</c:v>
                </c:pt>
                <c:pt idx="3389">
                  <c:v>3.6208272129637988E-2</c:v>
                </c:pt>
                <c:pt idx="3390">
                  <c:v>3.6209924022370422E-2</c:v>
                </c:pt>
                <c:pt idx="3391">
                  <c:v>3.6211561615607304E-2</c:v>
                </c:pt>
                <c:pt idx="3392">
                  <c:v>3.6213184909281756E-2</c:v>
                </c:pt>
                <c:pt idx="3393">
                  <c:v>3.6214793903324487E-2</c:v>
                </c:pt>
                <c:pt idx="3394">
                  <c:v>3.6216388597669708E-2</c:v>
                </c:pt>
                <c:pt idx="3395">
                  <c:v>3.6217968992251888E-2</c:v>
                </c:pt>
                <c:pt idx="3396">
                  <c:v>3.62195350870037E-2</c:v>
                </c:pt>
                <c:pt idx="3397">
                  <c:v>3.6221086881862041E-2</c:v>
                </c:pt>
                <c:pt idx="3398">
                  <c:v>3.6222624376760701E-2</c:v>
                </c:pt>
                <c:pt idx="3399">
                  <c:v>3.6224147571637451E-2</c:v>
                </c:pt>
                <c:pt idx="3400">
                  <c:v>3.622565646642785E-2</c:v>
                </c:pt>
                <c:pt idx="3401">
                  <c:v>3.6227151061069468E-2</c:v>
                </c:pt>
                <c:pt idx="3402">
                  <c:v>3.6228631355500952E-2</c:v>
                </c:pt>
                <c:pt idx="3403">
                  <c:v>3.6230097349660519E-2</c:v>
                </c:pt>
                <c:pt idx="3404">
                  <c:v>3.623154904348707E-2</c:v>
                </c:pt>
                <c:pt idx="3405">
                  <c:v>3.6232986436920134E-2</c:v>
                </c:pt>
                <c:pt idx="3406">
                  <c:v>3.6234409529900591E-2</c:v>
                </c:pt>
                <c:pt idx="3407">
                  <c:v>3.6235818322369322E-2</c:v>
                </c:pt>
                <c:pt idx="3408">
                  <c:v>3.6237212814267207E-2</c:v>
                </c:pt>
                <c:pt idx="3409">
                  <c:v>3.6238593005536883E-2</c:v>
                </c:pt>
                <c:pt idx="3410">
                  <c:v>3.6238093080213529E-2</c:v>
                </c:pt>
                <c:pt idx="3411">
                  <c:v>3.6239445559640204E-2</c:v>
                </c:pt>
                <c:pt idx="3412">
                  <c:v>3.6240783739662108E-2</c:v>
                </c:pt>
                <c:pt idx="3413">
                  <c:v>3.6242107620223951E-2</c:v>
                </c:pt>
                <c:pt idx="3414">
                  <c:v>3.6243417201270889E-2</c:v>
                </c:pt>
                <c:pt idx="3415">
                  <c:v>3.6244712482748742E-2</c:v>
                </c:pt>
                <c:pt idx="3416">
                  <c:v>3.6245993464603554E-2</c:v>
                </c:pt>
                <c:pt idx="3417">
                  <c:v>3.6247260146783367E-2</c:v>
                </c:pt>
                <c:pt idx="3418">
                  <c:v>3.6248512529234889E-2</c:v>
                </c:pt>
                <c:pt idx="3419">
                  <c:v>3.624975061190594E-2</c:v>
                </c:pt>
                <c:pt idx="3420">
                  <c:v>3.6250974394746116E-2</c:v>
                </c:pt>
                <c:pt idx="3421">
                  <c:v>3.6252183877704125E-2</c:v>
                </c:pt>
                <c:pt idx="3422">
                  <c:v>3.6253379060729785E-2</c:v>
                </c:pt>
                <c:pt idx="3423">
                  <c:v>3.6254559943774467E-2</c:v>
                </c:pt>
                <c:pt idx="3424">
                  <c:v>3.6255726526788656E-2</c:v>
                </c:pt>
                <c:pt idx="3425">
                  <c:v>3.6256878809724169E-2</c:v>
                </c:pt>
                <c:pt idx="3426">
                  <c:v>3.6258016792533043E-2</c:v>
                </c:pt>
                <c:pt idx="3427">
                  <c:v>3.625914047516865E-2</c:v>
                </c:pt>
                <c:pt idx="3428">
                  <c:v>3.6260249857584137E-2</c:v>
                </c:pt>
                <c:pt idx="3429">
                  <c:v>3.6261344939733986E-2</c:v>
                </c:pt>
                <c:pt idx="3430">
                  <c:v>3.6262425721571789E-2</c:v>
                </c:pt>
                <c:pt idx="3431">
                  <c:v>3.6263492203053804E-2</c:v>
                </c:pt>
                <c:pt idx="3432">
                  <c:v>3.6264544384135844E-2</c:v>
                </c:pt>
                <c:pt idx="3433">
                  <c:v>3.6265582264773943E-2</c:v>
                </c:pt>
                <c:pt idx="3434">
                  <c:v>3.6266605844925692E-2</c:v>
                </c:pt>
                <c:pt idx="3435">
                  <c:v>3.6267615124547792E-2</c:v>
                </c:pt>
                <c:pt idx="3436">
                  <c:v>3.6268610103598942E-2</c:v>
                </c:pt>
                <c:pt idx="3437">
                  <c:v>3.6269590782038508E-2</c:v>
                </c:pt>
                <c:pt idx="3438">
                  <c:v>3.627055715982519E-2</c:v>
                </c:pt>
                <c:pt idx="3439">
                  <c:v>3.6271509236918797E-2</c:v>
                </c:pt>
                <c:pt idx="3440">
                  <c:v>3.6272447013280473E-2</c:v>
                </c:pt>
                <c:pt idx="3441">
                  <c:v>3.6273370488871359E-2</c:v>
                </c:pt>
                <c:pt idx="3442">
                  <c:v>3.627427966365282E-2</c:v>
                </c:pt>
                <c:pt idx="3443">
                  <c:v>3.6275174537587551E-2</c:v>
                </c:pt>
                <c:pt idx="3444">
                  <c:v>3.627605511063825E-2</c:v>
                </c:pt>
                <c:pt idx="3445">
                  <c:v>3.6276921382768723E-2</c:v>
                </c:pt>
                <c:pt idx="3446">
                  <c:v>3.6277773353943443E-2</c:v>
                </c:pt>
                <c:pt idx="3447">
                  <c:v>3.6278611024125773E-2</c:v>
                </c:pt>
                <c:pt idx="3448">
                  <c:v>3.6279434393282628E-2</c:v>
                </c:pt>
                <c:pt idx="3449">
                  <c:v>3.6280243461378925E-2</c:v>
                </c:pt>
                <c:pt idx="3450">
                  <c:v>3.6281038228381579E-2</c:v>
                </c:pt>
                <c:pt idx="3451">
                  <c:v>3.6281818694257728E-2</c:v>
                </c:pt>
                <c:pt idx="3452">
                  <c:v>3.6282584858974731E-2</c:v>
                </c:pt>
                <c:pt idx="3453">
                  <c:v>3.628344296413033E-2</c:v>
                </c:pt>
                <c:pt idx="3454">
                  <c:v>3.6284178483400265E-2</c:v>
                </c:pt>
                <c:pt idx="3455">
                  <c:v>3.6284899701414242E-2</c:v>
                </c:pt>
                <c:pt idx="3456">
                  <c:v>3.6285606618141175E-2</c:v>
                </c:pt>
                <c:pt idx="3457">
                  <c:v>3.6286299233552421E-2</c:v>
                </c:pt>
                <c:pt idx="3458">
                  <c:v>3.6286977547619337E-2</c:v>
                </c:pt>
                <c:pt idx="3459">
                  <c:v>3.6287641560313499E-2</c:v>
                </c:pt>
                <c:pt idx="3460">
                  <c:v>3.628829127160782E-2</c:v>
                </c:pt>
                <c:pt idx="3461">
                  <c:v>3.6288926681475209E-2</c:v>
                </c:pt>
                <c:pt idx="3462">
                  <c:v>3.6289547789889021E-2</c:v>
                </c:pt>
                <c:pt idx="3463">
                  <c:v>3.6290154596824165E-2</c:v>
                </c:pt>
                <c:pt idx="3464">
                  <c:v>3.6290747102255105E-2</c:v>
                </c:pt>
                <c:pt idx="3465">
                  <c:v>3.6291325306157196E-2</c:v>
                </c:pt>
                <c:pt idx="3466">
                  <c:v>3.6291889208507122E-2</c:v>
                </c:pt>
                <c:pt idx="3467">
                  <c:v>3.6292438809280902E-2</c:v>
                </c:pt>
                <c:pt idx="3468">
                  <c:v>3.6292974108456333E-2</c:v>
                </c:pt>
                <c:pt idx="3469">
                  <c:v>3.6293495106010543E-2</c:v>
                </c:pt>
                <c:pt idx="3470">
                  <c:v>3.629400180192266E-2</c:v>
                </c:pt>
                <c:pt idx="3471">
                  <c:v>3.6294494196171145E-2</c:v>
                </c:pt>
                <c:pt idx="3472">
                  <c:v>3.6294972288736016E-2</c:v>
                </c:pt>
                <c:pt idx="3473">
                  <c:v>3.6295436079597065E-2</c:v>
                </c:pt>
                <c:pt idx="3474">
                  <c:v>3.6295885568735864E-2</c:v>
                </c:pt>
                <c:pt idx="3475">
                  <c:v>3.6296320756133094E-2</c:v>
                </c:pt>
                <c:pt idx="3476">
                  <c:v>3.6296741641770547E-2</c:v>
                </c:pt>
                <c:pt idx="3477">
                  <c:v>3.6297148225631126E-2</c:v>
                </c:pt>
                <c:pt idx="3478">
                  <c:v>3.62975405076984E-2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00128"/>
        <c:axId val="484002048"/>
      </c:lineChart>
      <c:dateAx>
        <c:axId val="484000128"/>
        <c:scaling>
          <c:orientation val="minMax"/>
          <c:max val="4254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840020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84002048"/>
        <c:scaling>
          <c:orientation val="minMax"/>
          <c:max val="0.03"/>
          <c:min val="0.01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4000128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41817</c:v>
                </c:pt>
                <c:pt idx="1">
                  <c:v>41820</c:v>
                </c:pt>
                <c:pt idx="2">
                  <c:v>41821</c:v>
                </c:pt>
                <c:pt idx="3">
                  <c:v>41822</c:v>
                </c:pt>
                <c:pt idx="4">
                  <c:v>41823</c:v>
                </c:pt>
                <c:pt idx="5">
                  <c:v>41824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41834</c:v>
                </c:pt>
                <c:pt idx="12">
                  <c:v>41835</c:v>
                </c:pt>
                <c:pt idx="13">
                  <c:v>41836</c:v>
                </c:pt>
                <c:pt idx="14">
                  <c:v>41837</c:v>
                </c:pt>
                <c:pt idx="15">
                  <c:v>41838</c:v>
                </c:pt>
                <c:pt idx="16">
                  <c:v>41841</c:v>
                </c:pt>
                <c:pt idx="17">
                  <c:v>41842</c:v>
                </c:pt>
                <c:pt idx="18">
                  <c:v>41843</c:v>
                </c:pt>
                <c:pt idx="19">
                  <c:v>41844</c:v>
                </c:pt>
                <c:pt idx="20">
                  <c:v>41845</c:v>
                </c:pt>
                <c:pt idx="21">
                  <c:v>41848</c:v>
                </c:pt>
                <c:pt idx="22">
                  <c:v>41849</c:v>
                </c:pt>
                <c:pt idx="23">
                  <c:v>41850</c:v>
                </c:pt>
                <c:pt idx="24">
                  <c:v>41851</c:v>
                </c:pt>
                <c:pt idx="25">
                  <c:v>41852</c:v>
                </c:pt>
                <c:pt idx="26">
                  <c:v>41855</c:v>
                </c:pt>
                <c:pt idx="27">
                  <c:v>41856</c:v>
                </c:pt>
                <c:pt idx="28">
                  <c:v>41857</c:v>
                </c:pt>
                <c:pt idx="29">
                  <c:v>41858</c:v>
                </c:pt>
                <c:pt idx="30">
                  <c:v>41859</c:v>
                </c:pt>
                <c:pt idx="31">
                  <c:v>41862</c:v>
                </c:pt>
                <c:pt idx="32">
                  <c:v>41863</c:v>
                </c:pt>
                <c:pt idx="33">
                  <c:v>41864</c:v>
                </c:pt>
                <c:pt idx="34">
                  <c:v>41865</c:v>
                </c:pt>
                <c:pt idx="35">
                  <c:v>41866</c:v>
                </c:pt>
                <c:pt idx="36">
                  <c:v>41869</c:v>
                </c:pt>
                <c:pt idx="37">
                  <c:v>41870</c:v>
                </c:pt>
                <c:pt idx="38">
                  <c:v>41871</c:v>
                </c:pt>
                <c:pt idx="39">
                  <c:v>41872</c:v>
                </c:pt>
                <c:pt idx="40">
                  <c:v>41873</c:v>
                </c:pt>
                <c:pt idx="41">
                  <c:v>41877</c:v>
                </c:pt>
                <c:pt idx="42">
                  <c:v>41878</c:v>
                </c:pt>
                <c:pt idx="43">
                  <c:v>41879</c:v>
                </c:pt>
                <c:pt idx="44">
                  <c:v>41880</c:v>
                </c:pt>
                <c:pt idx="45">
                  <c:v>41883</c:v>
                </c:pt>
                <c:pt idx="46">
                  <c:v>41884</c:v>
                </c:pt>
                <c:pt idx="47">
                  <c:v>41885</c:v>
                </c:pt>
                <c:pt idx="48">
                  <c:v>41886</c:v>
                </c:pt>
                <c:pt idx="49">
                  <c:v>41887</c:v>
                </c:pt>
                <c:pt idx="50">
                  <c:v>41890</c:v>
                </c:pt>
                <c:pt idx="51">
                  <c:v>41891</c:v>
                </c:pt>
                <c:pt idx="52">
                  <c:v>41892</c:v>
                </c:pt>
                <c:pt idx="53">
                  <c:v>41893</c:v>
                </c:pt>
                <c:pt idx="54">
                  <c:v>41894</c:v>
                </c:pt>
                <c:pt idx="55">
                  <c:v>41897</c:v>
                </c:pt>
                <c:pt idx="56">
                  <c:v>41898</c:v>
                </c:pt>
                <c:pt idx="57">
                  <c:v>41899</c:v>
                </c:pt>
                <c:pt idx="58">
                  <c:v>41900</c:v>
                </c:pt>
                <c:pt idx="59">
                  <c:v>41901</c:v>
                </c:pt>
                <c:pt idx="60">
                  <c:v>41904</c:v>
                </c:pt>
                <c:pt idx="61">
                  <c:v>41905</c:v>
                </c:pt>
                <c:pt idx="62">
                  <c:v>41906</c:v>
                </c:pt>
                <c:pt idx="63">
                  <c:v>41907</c:v>
                </c:pt>
                <c:pt idx="64">
                  <c:v>41908</c:v>
                </c:pt>
                <c:pt idx="65">
                  <c:v>41911</c:v>
                </c:pt>
                <c:pt idx="66">
                  <c:v>41912</c:v>
                </c:pt>
                <c:pt idx="67">
                  <c:v>41913</c:v>
                </c:pt>
                <c:pt idx="68">
                  <c:v>41914</c:v>
                </c:pt>
                <c:pt idx="69">
                  <c:v>41915</c:v>
                </c:pt>
                <c:pt idx="70">
                  <c:v>41918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42030</c:v>
                </c:pt>
                <c:pt idx="148">
                  <c:v>42031</c:v>
                </c:pt>
                <c:pt idx="149">
                  <c:v>42032</c:v>
                </c:pt>
                <c:pt idx="150">
                  <c:v>42033</c:v>
                </c:pt>
                <c:pt idx="151">
                  <c:v>42034</c:v>
                </c:pt>
                <c:pt idx="152">
                  <c:v>42037</c:v>
                </c:pt>
                <c:pt idx="153">
                  <c:v>42038</c:v>
                </c:pt>
                <c:pt idx="154">
                  <c:v>42039</c:v>
                </c:pt>
                <c:pt idx="155">
                  <c:v>42040</c:v>
                </c:pt>
                <c:pt idx="156">
                  <c:v>42041</c:v>
                </c:pt>
                <c:pt idx="157">
                  <c:v>42044</c:v>
                </c:pt>
                <c:pt idx="158">
                  <c:v>42045</c:v>
                </c:pt>
                <c:pt idx="159">
                  <c:v>42046</c:v>
                </c:pt>
                <c:pt idx="160">
                  <c:v>42047</c:v>
                </c:pt>
                <c:pt idx="161">
                  <c:v>42048</c:v>
                </c:pt>
                <c:pt idx="162">
                  <c:v>42051</c:v>
                </c:pt>
                <c:pt idx="163">
                  <c:v>42052</c:v>
                </c:pt>
                <c:pt idx="164">
                  <c:v>42053</c:v>
                </c:pt>
                <c:pt idx="165">
                  <c:v>42054</c:v>
                </c:pt>
                <c:pt idx="166">
                  <c:v>42055</c:v>
                </c:pt>
                <c:pt idx="167">
                  <c:v>42058</c:v>
                </c:pt>
                <c:pt idx="168">
                  <c:v>42059</c:v>
                </c:pt>
                <c:pt idx="169">
                  <c:v>42060</c:v>
                </c:pt>
                <c:pt idx="170">
                  <c:v>42061</c:v>
                </c:pt>
                <c:pt idx="171">
                  <c:v>42062</c:v>
                </c:pt>
                <c:pt idx="172">
                  <c:v>42065</c:v>
                </c:pt>
                <c:pt idx="173">
                  <c:v>42066</c:v>
                </c:pt>
                <c:pt idx="174">
                  <c:v>42067</c:v>
                </c:pt>
                <c:pt idx="175">
                  <c:v>42068</c:v>
                </c:pt>
                <c:pt idx="176">
                  <c:v>42069</c:v>
                </c:pt>
                <c:pt idx="177">
                  <c:v>42072</c:v>
                </c:pt>
                <c:pt idx="178">
                  <c:v>42073</c:v>
                </c:pt>
                <c:pt idx="179">
                  <c:v>42074</c:v>
                </c:pt>
                <c:pt idx="180">
                  <c:v>42075</c:v>
                </c:pt>
                <c:pt idx="181">
                  <c:v>42076</c:v>
                </c:pt>
                <c:pt idx="182">
                  <c:v>42079</c:v>
                </c:pt>
                <c:pt idx="183">
                  <c:v>42080</c:v>
                </c:pt>
                <c:pt idx="184">
                  <c:v>42081</c:v>
                </c:pt>
                <c:pt idx="185">
                  <c:v>42082</c:v>
                </c:pt>
                <c:pt idx="186">
                  <c:v>42083</c:v>
                </c:pt>
                <c:pt idx="187">
                  <c:v>42086</c:v>
                </c:pt>
                <c:pt idx="188">
                  <c:v>42087</c:v>
                </c:pt>
                <c:pt idx="189">
                  <c:v>42088</c:v>
                </c:pt>
                <c:pt idx="190">
                  <c:v>42089</c:v>
                </c:pt>
                <c:pt idx="191">
                  <c:v>42090</c:v>
                </c:pt>
                <c:pt idx="192">
                  <c:v>42093</c:v>
                </c:pt>
                <c:pt idx="193">
                  <c:v>42094</c:v>
                </c:pt>
                <c:pt idx="194">
                  <c:v>42095</c:v>
                </c:pt>
                <c:pt idx="195">
                  <c:v>42096</c:v>
                </c:pt>
                <c:pt idx="196">
                  <c:v>42101</c:v>
                </c:pt>
                <c:pt idx="197">
                  <c:v>42102</c:v>
                </c:pt>
                <c:pt idx="198">
                  <c:v>42103</c:v>
                </c:pt>
                <c:pt idx="199">
                  <c:v>42104</c:v>
                </c:pt>
                <c:pt idx="200">
                  <c:v>42107</c:v>
                </c:pt>
                <c:pt idx="201">
                  <c:v>42108</c:v>
                </c:pt>
                <c:pt idx="202">
                  <c:v>42109</c:v>
                </c:pt>
                <c:pt idx="203">
                  <c:v>42110</c:v>
                </c:pt>
                <c:pt idx="204">
                  <c:v>42111</c:v>
                </c:pt>
                <c:pt idx="205">
                  <c:v>42114</c:v>
                </c:pt>
                <c:pt idx="206">
                  <c:v>42115</c:v>
                </c:pt>
                <c:pt idx="207">
                  <c:v>42116</c:v>
                </c:pt>
                <c:pt idx="208">
                  <c:v>42117</c:v>
                </c:pt>
                <c:pt idx="209">
                  <c:v>42118</c:v>
                </c:pt>
                <c:pt idx="210">
                  <c:v>42121</c:v>
                </c:pt>
                <c:pt idx="211">
                  <c:v>42122</c:v>
                </c:pt>
                <c:pt idx="212">
                  <c:v>42123</c:v>
                </c:pt>
                <c:pt idx="213">
                  <c:v>42124</c:v>
                </c:pt>
                <c:pt idx="214">
                  <c:v>42125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42150</c:v>
                </c:pt>
                <c:pt idx="230">
                  <c:v>42151</c:v>
                </c:pt>
                <c:pt idx="231">
                  <c:v>42152</c:v>
                </c:pt>
                <c:pt idx="232">
                  <c:v>42153</c:v>
                </c:pt>
                <c:pt idx="233">
                  <c:v>42156</c:v>
                </c:pt>
                <c:pt idx="234">
                  <c:v>42157</c:v>
                </c:pt>
                <c:pt idx="235">
                  <c:v>42158</c:v>
                </c:pt>
                <c:pt idx="236">
                  <c:v>42159</c:v>
                </c:pt>
                <c:pt idx="237">
                  <c:v>42160</c:v>
                </c:pt>
                <c:pt idx="238">
                  <c:v>42163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42186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42219</c:v>
                </c:pt>
                <c:pt idx="279">
                  <c:v>42220</c:v>
                </c:pt>
                <c:pt idx="280">
                  <c:v>42221</c:v>
                </c:pt>
                <c:pt idx="281">
                  <c:v>42222</c:v>
                </c:pt>
                <c:pt idx="282">
                  <c:v>42223</c:v>
                </c:pt>
                <c:pt idx="283">
                  <c:v>42226</c:v>
                </c:pt>
                <c:pt idx="284">
                  <c:v>42227</c:v>
                </c:pt>
                <c:pt idx="285">
                  <c:v>42228</c:v>
                </c:pt>
                <c:pt idx="286">
                  <c:v>42229</c:v>
                </c:pt>
                <c:pt idx="287">
                  <c:v>42230</c:v>
                </c:pt>
                <c:pt idx="288">
                  <c:v>42233</c:v>
                </c:pt>
                <c:pt idx="289">
                  <c:v>42234</c:v>
                </c:pt>
                <c:pt idx="290">
                  <c:v>42235</c:v>
                </c:pt>
                <c:pt idx="291">
                  <c:v>42236</c:v>
                </c:pt>
                <c:pt idx="292">
                  <c:v>42237</c:v>
                </c:pt>
                <c:pt idx="293">
                  <c:v>42240</c:v>
                </c:pt>
                <c:pt idx="294">
                  <c:v>42241</c:v>
                </c:pt>
                <c:pt idx="295">
                  <c:v>42242</c:v>
                </c:pt>
                <c:pt idx="296">
                  <c:v>42243</c:v>
                </c:pt>
                <c:pt idx="297">
                  <c:v>42244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42278</c:v>
                </c:pt>
                <c:pt idx="321">
                  <c:v>42279</c:v>
                </c:pt>
                <c:pt idx="322">
                  <c:v>42282</c:v>
                </c:pt>
                <c:pt idx="323">
                  <c:v>42283</c:v>
                </c:pt>
                <c:pt idx="324">
                  <c:v>42284</c:v>
                </c:pt>
                <c:pt idx="325">
                  <c:v>42285</c:v>
                </c:pt>
                <c:pt idx="326">
                  <c:v>42286</c:v>
                </c:pt>
                <c:pt idx="327">
                  <c:v>42289</c:v>
                </c:pt>
                <c:pt idx="328">
                  <c:v>42290</c:v>
                </c:pt>
                <c:pt idx="329">
                  <c:v>42291</c:v>
                </c:pt>
                <c:pt idx="330">
                  <c:v>42292</c:v>
                </c:pt>
                <c:pt idx="331">
                  <c:v>42293</c:v>
                </c:pt>
                <c:pt idx="332">
                  <c:v>42296</c:v>
                </c:pt>
                <c:pt idx="333">
                  <c:v>42297</c:v>
                </c:pt>
                <c:pt idx="334">
                  <c:v>42298</c:v>
                </c:pt>
                <c:pt idx="335">
                  <c:v>42299</c:v>
                </c:pt>
                <c:pt idx="336">
                  <c:v>42300</c:v>
                </c:pt>
                <c:pt idx="337">
                  <c:v>42303</c:v>
                </c:pt>
                <c:pt idx="338">
                  <c:v>42304</c:v>
                </c:pt>
                <c:pt idx="339">
                  <c:v>42305</c:v>
                </c:pt>
                <c:pt idx="340">
                  <c:v>42306</c:v>
                </c:pt>
                <c:pt idx="341">
                  <c:v>42307</c:v>
                </c:pt>
                <c:pt idx="342">
                  <c:v>42310</c:v>
                </c:pt>
                <c:pt idx="343">
                  <c:v>42311</c:v>
                </c:pt>
                <c:pt idx="344">
                  <c:v>42312</c:v>
                </c:pt>
                <c:pt idx="345">
                  <c:v>42313</c:v>
                </c:pt>
                <c:pt idx="346">
                  <c:v>42314</c:v>
                </c:pt>
                <c:pt idx="347">
                  <c:v>42317</c:v>
                </c:pt>
                <c:pt idx="348">
                  <c:v>42318</c:v>
                </c:pt>
                <c:pt idx="349">
                  <c:v>42319</c:v>
                </c:pt>
                <c:pt idx="350">
                  <c:v>42320</c:v>
                </c:pt>
                <c:pt idx="351">
                  <c:v>42321</c:v>
                </c:pt>
                <c:pt idx="352">
                  <c:v>42324</c:v>
                </c:pt>
                <c:pt idx="353">
                  <c:v>42325</c:v>
                </c:pt>
                <c:pt idx="354">
                  <c:v>42326</c:v>
                </c:pt>
                <c:pt idx="355">
                  <c:v>42327</c:v>
                </c:pt>
                <c:pt idx="356">
                  <c:v>42328</c:v>
                </c:pt>
                <c:pt idx="357">
                  <c:v>42331</c:v>
                </c:pt>
                <c:pt idx="358">
                  <c:v>42332</c:v>
                </c:pt>
                <c:pt idx="359">
                  <c:v>42333</c:v>
                </c:pt>
                <c:pt idx="360">
                  <c:v>42334</c:v>
                </c:pt>
                <c:pt idx="361">
                  <c:v>42335</c:v>
                </c:pt>
                <c:pt idx="362">
                  <c:v>42338</c:v>
                </c:pt>
                <c:pt idx="363">
                  <c:v>42339</c:v>
                </c:pt>
                <c:pt idx="364">
                  <c:v>42340</c:v>
                </c:pt>
                <c:pt idx="365">
                  <c:v>42341</c:v>
                </c:pt>
                <c:pt idx="366">
                  <c:v>42342</c:v>
                </c:pt>
                <c:pt idx="367">
                  <c:v>42345</c:v>
                </c:pt>
                <c:pt idx="368">
                  <c:v>42346</c:v>
                </c:pt>
                <c:pt idx="369">
                  <c:v>42347</c:v>
                </c:pt>
                <c:pt idx="370">
                  <c:v>42348</c:v>
                </c:pt>
                <c:pt idx="371">
                  <c:v>42349</c:v>
                </c:pt>
                <c:pt idx="372">
                  <c:v>42352</c:v>
                </c:pt>
                <c:pt idx="373">
                  <c:v>42353</c:v>
                </c:pt>
                <c:pt idx="374">
                  <c:v>42354</c:v>
                </c:pt>
                <c:pt idx="375">
                  <c:v>42355</c:v>
                </c:pt>
                <c:pt idx="376">
                  <c:v>42356</c:v>
                </c:pt>
                <c:pt idx="377">
                  <c:v>42359</c:v>
                </c:pt>
                <c:pt idx="378">
                  <c:v>42360</c:v>
                </c:pt>
                <c:pt idx="379">
                  <c:v>42361</c:v>
                </c:pt>
                <c:pt idx="380">
                  <c:v>42362</c:v>
                </c:pt>
                <c:pt idx="381">
                  <c:v>42367</c:v>
                </c:pt>
                <c:pt idx="382">
                  <c:v>42368</c:v>
                </c:pt>
                <c:pt idx="383">
                  <c:v>42369</c:v>
                </c:pt>
                <c:pt idx="384">
                  <c:v>42373</c:v>
                </c:pt>
                <c:pt idx="385">
                  <c:v>42374</c:v>
                </c:pt>
                <c:pt idx="386">
                  <c:v>42375</c:v>
                </c:pt>
                <c:pt idx="387">
                  <c:v>42376</c:v>
                </c:pt>
                <c:pt idx="388">
                  <c:v>42377</c:v>
                </c:pt>
                <c:pt idx="389">
                  <c:v>42380</c:v>
                </c:pt>
                <c:pt idx="390">
                  <c:v>42381</c:v>
                </c:pt>
                <c:pt idx="391">
                  <c:v>42382</c:v>
                </c:pt>
                <c:pt idx="392">
                  <c:v>42383</c:v>
                </c:pt>
                <c:pt idx="393">
                  <c:v>42384</c:v>
                </c:pt>
                <c:pt idx="394">
                  <c:v>42387</c:v>
                </c:pt>
                <c:pt idx="395">
                  <c:v>42388</c:v>
                </c:pt>
                <c:pt idx="396">
                  <c:v>42389</c:v>
                </c:pt>
                <c:pt idx="397">
                  <c:v>42390</c:v>
                </c:pt>
                <c:pt idx="398">
                  <c:v>42391</c:v>
                </c:pt>
                <c:pt idx="399">
                  <c:v>42394</c:v>
                </c:pt>
                <c:pt idx="400">
                  <c:v>42395</c:v>
                </c:pt>
                <c:pt idx="401">
                  <c:v>42396</c:v>
                </c:pt>
                <c:pt idx="402">
                  <c:v>42397</c:v>
                </c:pt>
                <c:pt idx="403">
                  <c:v>42398</c:v>
                </c:pt>
                <c:pt idx="404">
                  <c:v>42401</c:v>
                </c:pt>
                <c:pt idx="405">
                  <c:v>42402</c:v>
                </c:pt>
                <c:pt idx="406">
                  <c:v>42403</c:v>
                </c:pt>
                <c:pt idx="407">
                  <c:v>42404</c:v>
                </c:pt>
                <c:pt idx="408">
                  <c:v>42405</c:v>
                </c:pt>
                <c:pt idx="409">
                  <c:v>42408</c:v>
                </c:pt>
                <c:pt idx="410">
                  <c:v>42409</c:v>
                </c:pt>
                <c:pt idx="411">
                  <c:v>42410</c:v>
                </c:pt>
                <c:pt idx="412">
                  <c:v>42411</c:v>
                </c:pt>
                <c:pt idx="413">
                  <c:v>42412</c:v>
                </c:pt>
                <c:pt idx="414">
                  <c:v>42415</c:v>
                </c:pt>
                <c:pt idx="415">
                  <c:v>42416</c:v>
                </c:pt>
                <c:pt idx="416">
                  <c:v>42417</c:v>
                </c:pt>
                <c:pt idx="417">
                  <c:v>42418</c:v>
                </c:pt>
                <c:pt idx="418">
                  <c:v>42419</c:v>
                </c:pt>
                <c:pt idx="419">
                  <c:v>42422</c:v>
                </c:pt>
                <c:pt idx="420">
                  <c:v>42423</c:v>
                </c:pt>
                <c:pt idx="421">
                  <c:v>42424</c:v>
                </c:pt>
                <c:pt idx="422">
                  <c:v>42425</c:v>
                </c:pt>
                <c:pt idx="423">
                  <c:v>42426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42436</c:v>
                </c:pt>
                <c:pt idx="430">
                  <c:v>42437</c:v>
                </c:pt>
                <c:pt idx="431">
                  <c:v>42438</c:v>
                </c:pt>
                <c:pt idx="432">
                  <c:v>42439</c:v>
                </c:pt>
                <c:pt idx="433">
                  <c:v>42440</c:v>
                </c:pt>
                <c:pt idx="434">
                  <c:v>42443</c:v>
                </c:pt>
                <c:pt idx="435">
                  <c:v>42444</c:v>
                </c:pt>
                <c:pt idx="436">
                  <c:v>42445</c:v>
                </c:pt>
                <c:pt idx="437">
                  <c:v>42446</c:v>
                </c:pt>
                <c:pt idx="438">
                  <c:v>42447</c:v>
                </c:pt>
                <c:pt idx="439">
                  <c:v>42450</c:v>
                </c:pt>
                <c:pt idx="440">
                  <c:v>42451</c:v>
                </c:pt>
                <c:pt idx="441">
                  <c:v>42452</c:v>
                </c:pt>
                <c:pt idx="442">
                  <c:v>42453</c:v>
                </c:pt>
                <c:pt idx="443">
                  <c:v>42458</c:v>
                </c:pt>
                <c:pt idx="444">
                  <c:v>42459</c:v>
                </c:pt>
                <c:pt idx="445">
                  <c:v>42460</c:v>
                </c:pt>
                <c:pt idx="446">
                  <c:v>42461</c:v>
                </c:pt>
                <c:pt idx="447">
                  <c:v>42464</c:v>
                </c:pt>
                <c:pt idx="448">
                  <c:v>42465</c:v>
                </c:pt>
                <c:pt idx="449">
                  <c:v>42466</c:v>
                </c:pt>
                <c:pt idx="450">
                  <c:v>42467</c:v>
                </c:pt>
                <c:pt idx="451">
                  <c:v>42468</c:v>
                </c:pt>
                <c:pt idx="452">
                  <c:v>42471</c:v>
                </c:pt>
                <c:pt idx="453">
                  <c:v>42472</c:v>
                </c:pt>
                <c:pt idx="454">
                  <c:v>42473</c:v>
                </c:pt>
                <c:pt idx="455">
                  <c:v>42474</c:v>
                </c:pt>
                <c:pt idx="456">
                  <c:v>42475</c:v>
                </c:pt>
                <c:pt idx="457">
                  <c:v>42478</c:v>
                </c:pt>
                <c:pt idx="458">
                  <c:v>42479</c:v>
                </c:pt>
                <c:pt idx="459">
                  <c:v>42480</c:v>
                </c:pt>
                <c:pt idx="460">
                  <c:v>42481</c:v>
                </c:pt>
                <c:pt idx="461">
                  <c:v>42482</c:v>
                </c:pt>
                <c:pt idx="462">
                  <c:v>42485</c:v>
                </c:pt>
                <c:pt idx="463">
                  <c:v>42486</c:v>
                </c:pt>
                <c:pt idx="464">
                  <c:v>42487</c:v>
                </c:pt>
                <c:pt idx="465">
                  <c:v>42488</c:v>
                </c:pt>
                <c:pt idx="466">
                  <c:v>42489</c:v>
                </c:pt>
                <c:pt idx="467">
                  <c:v>42493</c:v>
                </c:pt>
                <c:pt idx="468">
                  <c:v>42494</c:v>
                </c:pt>
                <c:pt idx="469">
                  <c:v>42495</c:v>
                </c:pt>
                <c:pt idx="470">
                  <c:v>42496</c:v>
                </c:pt>
                <c:pt idx="471">
                  <c:v>42499</c:v>
                </c:pt>
                <c:pt idx="472">
                  <c:v>42500</c:v>
                </c:pt>
                <c:pt idx="473">
                  <c:v>42501</c:v>
                </c:pt>
                <c:pt idx="474">
                  <c:v>42502</c:v>
                </c:pt>
                <c:pt idx="475">
                  <c:v>42503</c:v>
                </c:pt>
                <c:pt idx="476">
                  <c:v>42506</c:v>
                </c:pt>
                <c:pt idx="477">
                  <c:v>42507</c:v>
                </c:pt>
                <c:pt idx="478">
                  <c:v>42508</c:v>
                </c:pt>
                <c:pt idx="479">
                  <c:v>42509</c:v>
                </c:pt>
                <c:pt idx="480">
                  <c:v>42510</c:v>
                </c:pt>
                <c:pt idx="481">
                  <c:v>42513</c:v>
                </c:pt>
                <c:pt idx="482">
                  <c:v>42514</c:v>
                </c:pt>
                <c:pt idx="483">
                  <c:v>42515</c:v>
                </c:pt>
                <c:pt idx="484">
                  <c:v>42516</c:v>
                </c:pt>
                <c:pt idx="485">
                  <c:v>42517</c:v>
                </c:pt>
                <c:pt idx="486">
                  <c:v>42521</c:v>
                </c:pt>
                <c:pt idx="487">
                  <c:v>42522</c:v>
                </c:pt>
                <c:pt idx="488">
                  <c:v>42523</c:v>
                </c:pt>
                <c:pt idx="489">
                  <c:v>42524</c:v>
                </c:pt>
                <c:pt idx="490">
                  <c:v>42527</c:v>
                </c:pt>
                <c:pt idx="491">
                  <c:v>42528</c:v>
                </c:pt>
                <c:pt idx="492">
                  <c:v>42529</c:v>
                </c:pt>
                <c:pt idx="493">
                  <c:v>42530</c:v>
                </c:pt>
                <c:pt idx="494">
                  <c:v>42531</c:v>
                </c:pt>
                <c:pt idx="495">
                  <c:v>42534</c:v>
                </c:pt>
                <c:pt idx="496">
                  <c:v>42535</c:v>
                </c:pt>
                <c:pt idx="497">
                  <c:v>42536</c:v>
                </c:pt>
                <c:pt idx="498">
                  <c:v>42537</c:v>
                </c:pt>
                <c:pt idx="499">
                  <c:v>42538</c:v>
                </c:pt>
                <c:pt idx="500">
                  <c:v>42541</c:v>
                </c:pt>
                <c:pt idx="501">
                  <c:v>42542</c:v>
                </c:pt>
                <c:pt idx="502">
                  <c:v>42543</c:v>
                </c:pt>
                <c:pt idx="503">
                  <c:v>42544</c:v>
                </c:pt>
                <c:pt idx="504">
                  <c:v>42545</c:v>
                </c:pt>
                <c:pt idx="505">
                  <c:v>42548</c:v>
                </c:pt>
                <c:pt idx="506">
                  <c:v>42549</c:v>
                </c:pt>
                <c:pt idx="507">
                  <c:v>42550</c:v>
                </c:pt>
                <c:pt idx="508">
                  <c:v>42551</c:v>
                </c:pt>
                <c:pt idx="509">
                  <c:v>42552</c:v>
                </c:pt>
                <c:pt idx="510">
                  <c:v>42555</c:v>
                </c:pt>
                <c:pt idx="511">
                  <c:v>42556</c:v>
                </c:pt>
                <c:pt idx="512">
                  <c:v>42557</c:v>
                </c:pt>
                <c:pt idx="513">
                  <c:v>42558</c:v>
                </c:pt>
                <c:pt idx="514">
                  <c:v>42559</c:v>
                </c:pt>
                <c:pt idx="515">
                  <c:v>42562</c:v>
                </c:pt>
                <c:pt idx="516">
                  <c:v>42563</c:v>
                </c:pt>
                <c:pt idx="517">
                  <c:v>42564</c:v>
                </c:pt>
                <c:pt idx="518">
                  <c:v>42571</c:v>
                </c:pt>
                <c:pt idx="519">
                  <c:v>42578</c:v>
                </c:pt>
                <c:pt idx="520">
                  <c:v>42585</c:v>
                </c:pt>
                <c:pt idx="521">
                  <c:v>42592</c:v>
                </c:pt>
                <c:pt idx="522">
                  <c:v>42599</c:v>
                </c:pt>
                <c:pt idx="523">
                  <c:v>42606</c:v>
                </c:pt>
                <c:pt idx="524">
                  <c:v>42613</c:v>
                </c:pt>
                <c:pt idx="525">
                  <c:v>42620</c:v>
                </c:pt>
                <c:pt idx="526">
                  <c:v>42627</c:v>
                </c:pt>
                <c:pt idx="527">
                  <c:v>42634</c:v>
                </c:pt>
                <c:pt idx="528">
                  <c:v>42641</c:v>
                </c:pt>
                <c:pt idx="529">
                  <c:v>42648</c:v>
                </c:pt>
                <c:pt idx="530">
                  <c:v>42655</c:v>
                </c:pt>
                <c:pt idx="531">
                  <c:v>42662</c:v>
                </c:pt>
                <c:pt idx="532">
                  <c:v>42669</c:v>
                </c:pt>
                <c:pt idx="533">
                  <c:v>42676</c:v>
                </c:pt>
                <c:pt idx="534">
                  <c:v>42683</c:v>
                </c:pt>
                <c:pt idx="535">
                  <c:v>42690</c:v>
                </c:pt>
                <c:pt idx="536">
                  <c:v>42697</c:v>
                </c:pt>
                <c:pt idx="537">
                  <c:v>42704</c:v>
                </c:pt>
                <c:pt idx="538">
                  <c:v>42711</c:v>
                </c:pt>
                <c:pt idx="539">
                  <c:v>42718</c:v>
                </c:pt>
                <c:pt idx="540">
                  <c:v>42725</c:v>
                </c:pt>
                <c:pt idx="541">
                  <c:v>42732</c:v>
                </c:pt>
                <c:pt idx="542">
                  <c:v>42739</c:v>
                </c:pt>
                <c:pt idx="543">
                  <c:v>42746</c:v>
                </c:pt>
                <c:pt idx="544">
                  <c:v>42753</c:v>
                </c:pt>
                <c:pt idx="545">
                  <c:v>42760</c:v>
                </c:pt>
                <c:pt idx="546">
                  <c:v>42767</c:v>
                </c:pt>
                <c:pt idx="547">
                  <c:v>42774</c:v>
                </c:pt>
                <c:pt idx="548">
                  <c:v>42781</c:v>
                </c:pt>
                <c:pt idx="549">
                  <c:v>42788</c:v>
                </c:pt>
                <c:pt idx="550">
                  <c:v>42795</c:v>
                </c:pt>
                <c:pt idx="551">
                  <c:v>42802</c:v>
                </c:pt>
                <c:pt idx="552">
                  <c:v>42809</c:v>
                </c:pt>
                <c:pt idx="553">
                  <c:v>42816</c:v>
                </c:pt>
                <c:pt idx="554">
                  <c:v>42823</c:v>
                </c:pt>
                <c:pt idx="555">
                  <c:v>42830</c:v>
                </c:pt>
                <c:pt idx="556">
                  <c:v>42837</c:v>
                </c:pt>
                <c:pt idx="557">
                  <c:v>42844</c:v>
                </c:pt>
                <c:pt idx="558">
                  <c:v>42851</c:v>
                </c:pt>
                <c:pt idx="559">
                  <c:v>42858</c:v>
                </c:pt>
                <c:pt idx="560">
                  <c:v>42865</c:v>
                </c:pt>
                <c:pt idx="561">
                  <c:v>42872</c:v>
                </c:pt>
                <c:pt idx="562">
                  <c:v>42879</c:v>
                </c:pt>
                <c:pt idx="563">
                  <c:v>42886</c:v>
                </c:pt>
                <c:pt idx="564">
                  <c:v>42893</c:v>
                </c:pt>
                <c:pt idx="565">
                  <c:v>42900</c:v>
                </c:pt>
                <c:pt idx="566">
                  <c:v>42907</c:v>
                </c:pt>
                <c:pt idx="567">
                  <c:v>42914</c:v>
                </c:pt>
                <c:pt idx="568">
                  <c:v>42921</c:v>
                </c:pt>
                <c:pt idx="569">
                  <c:v>42928</c:v>
                </c:pt>
                <c:pt idx="570">
                  <c:v>42935</c:v>
                </c:pt>
                <c:pt idx="571">
                  <c:v>42942</c:v>
                </c:pt>
                <c:pt idx="572">
                  <c:v>42949</c:v>
                </c:pt>
                <c:pt idx="573">
                  <c:v>42956</c:v>
                </c:pt>
                <c:pt idx="574">
                  <c:v>42963</c:v>
                </c:pt>
                <c:pt idx="575">
                  <c:v>42970</c:v>
                </c:pt>
                <c:pt idx="576">
                  <c:v>42977</c:v>
                </c:pt>
                <c:pt idx="577">
                  <c:v>42984</c:v>
                </c:pt>
                <c:pt idx="578">
                  <c:v>42991</c:v>
                </c:pt>
                <c:pt idx="579">
                  <c:v>42998</c:v>
                </c:pt>
                <c:pt idx="580">
                  <c:v>43005</c:v>
                </c:pt>
                <c:pt idx="581">
                  <c:v>43012</c:v>
                </c:pt>
                <c:pt idx="582">
                  <c:v>43019</c:v>
                </c:pt>
                <c:pt idx="583">
                  <c:v>43026</c:v>
                </c:pt>
                <c:pt idx="584">
                  <c:v>43033</c:v>
                </c:pt>
                <c:pt idx="585">
                  <c:v>43040</c:v>
                </c:pt>
                <c:pt idx="586">
                  <c:v>43047</c:v>
                </c:pt>
                <c:pt idx="587">
                  <c:v>43054</c:v>
                </c:pt>
                <c:pt idx="588">
                  <c:v>43061</c:v>
                </c:pt>
                <c:pt idx="589">
                  <c:v>43068</c:v>
                </c:pt>
                <c:pt idx="590">
                  <c:v>43075</c:v>
                </c:pt>
                <c:pt idx="591">
                  <c:v>43082</c:v>
                </c:pt>
                <c:pt idx="592">
                  <c:v>43089</c:v>
                </c:pt>
                <c:pt idx="593">
                  <c:v>43096</c:v>
                </c:pt>
                <c:pt idx="594">
                  <c:v>43103</c:v>
                </c:pt>
                <c:pt idx="595">
                  <c:v>43110</c:v>
                </c:pt>
                <c:pt idx="596">
                  <c:v>43117</c:v>
                </c:pt>
                <c:pt idx="597">
                  <c:v>43124</c:v>
                </c:pt>
                <c:pt idx="598">
                  <c:v>43131</c:v>
                </c:pt>
                <c:pt idx="599">
                  <c:v>43138</c:v>
                </c:pt>
                <c:pt idx="600">
                  <c:v>43145</c:v>
                </c:pt>
                <c:pt idx="601">
                  <c:v>43152</c:v>
                </c:pt>
                <c:pt idx="602">
                  <c:v>43159</c:v>
                </c:pt>
                <c:pt idx="603">
                  <c:v>43166</c:v>
                </c:pt>
                <c:pt idx="604">
                  <c:v>43173</c:v>
                </c:pt>
                <c:pt idx="605">
                  <c:v>43180</c:v>
                </c:pt>
                <c:pt idx="606">
                  <c:v>43187</c:v>
                </c:pt>
                <c:pt idx="607">
                  <c:v>43194</c:v>
                </c:pt>
                <c:pt idx="608">
                  <c:v>43201</c:v>
                </c:pt>
                <c:pt idx="609">
                  <c:v>43208</c:v>
                </c:pt>
                <c:pt idx="610">
                  <c:v>43215</c:v>
                </c:pt>
                <c:pt idx="611">
                  <c:v>43222</c:v>
                </c:pt>
                <c:pt idx="612">
                  <c:v>43229</c:v>
                </c:pt>
                <c:pt idx="613">
                  <c:v>43236</c:v>
                </c:pt>
                <c:pt idx="614">
                  <c:v>43243</c:v>
                </c:pt>
                <c:pt idx="615">
                  <c:v>43250</c:v>
                </c:pt>
                <c:pt idx="616">
                  <c:v>43257</c:v>
                </c:pt>
                <c:pt idx="617">
                  <c:v>43264</c:v>
                </c:pt>
                <c:pt idx="618">
                  <c:v>43271</c:v>
                </c:pt>
                <c:pt idx="619">
                  <c:v>43278</c:v>
                </c:pt>
                <c:pt idx="620">
                  <c:v>43285</c:v>
                </c:pt>
                <c:pt idx="621">
                  <c:v>43292</c:v>
                </c:pt>
                <c:pt idx="622">
                  <c:v>43299</c:v>
                </c:pt>
                <c:pt idx="623">
                  <c:v>43306</c:v>
                </c:pt>
                <c:pt idx="624">
                  <c:v>43313</c:v>
                </c:pt>
                <c:pt idx="625">
                  <c:v>43320</c:v>
                </c:pt>
                <c:pt idx="626">
                  <c:v>43327</c:v>
                </c:pt>
                <c:pt idx="627">
                  <c:v>43334</c:v>
                </c:pt>
                <c:pt idx="628">
                  <c:v>43341</c:v>
                </c:pt>
                <c:pt idx="629">
                  <c:v>43348</c:v>
                </c:pt>
                <c:pt idx="630">
                  <c:v>43355</c:v>
                </c:pt>
                <c:pt idx="631">
                  <c:v>43362</c:v>
                </c:pt>
                <c:pt idx="632">
                  <c:v>43369</c:v>
                </c:pt>
                <c:pt idx="633">
                  <c:v>43376</c:v>
                </c:pt>
                <c:pt idx="634">
                  <c:v>43383</c:v>
                </c:pt>
                <c:pt idx="635">
                  <c:v>43390</c:v>
                </c:pt>
                <c:pt idx="636">
                  <c:v>43397</c:v>
                </c:pt>
                <c:pt idx="637">
                  <c:v>43404</c:v>
                </c:pt>
                <c:pt idx="638">
                  <c:v>43411</c:v>
                </c:pt>
                <c:pt idx="639">
                  <c:v>43418</c:v>
                </c:pt>
                <c:pt idx="640">
                  <c:v>43425</c:v>
                </c:pt>
                <c:pt idx="641">
                  <c:v>43432</c:v>
                </c:pt>
                <c:pt idx="642">
                  <c:v>43439</c:v>
                </c:pt>
                <c:pt idx="643">
                  <c:v>43446</c:v>
                </c:pt>
                <c:pt idx="644">
                  <c:v>43453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43580</c:v>
                </c:pt>
                <c:pt idx="663">
                  <c:v>43587</c:v>
                </c:pt>
                <c:pt idx="664">
                  <c:v>43594</c:v>
                </c:pt>
                <c:pt idx="665">
                  <c:v>43601</c:v>
                </c:pt>
                <c:pt idx="666">
                  <c:v>43608</c:v>
                </c:pt>
                <c:pt idx="667">
                  <c:v>43615</c:v>
                </c:pt>
                <c:pt idx="668">
                  <c:v>43622</c:v>
                </c:pt>
                <c:pt idx="669">
                  <c:v>43629</c:v>
                </c:pt>
                <c:pt idx="670">
                  <c:v>43636</c:v>
                </c:pt>
                <c:pt idx="671">
                  <c:v>43643</c:v>
                </c:pt>
                <c:pt idx="672">
                  <c:v>43650</c:v>
                </c:pt>
                <c:pt idx="673">
                  <c:v>43657</c:v>
                </c:pt>
                <c:pt idx="674">
                  <c:v>43664</c:v>
                </c:pt>
                <c:pt idx="675">
                  <c:v>43671</c:v>
                </c:pt>
                <c:pt idx="676">
                  <c:v>43678</c:v>
                </c:pt>
                <c:pt idx="677">
                  <c:v>43685</c:v>
                </c:pt>
                <c:pt idx="678">
                  <c:v>43692</c:v>
                </c:pt>
                <c:pt idx="679">
                  <c:v>43699</c:v>
                </c:pt>
                <c:pt idx="680">
                  <c:v>43706</c:v>
                </c:pt>
                <c:pt idx="681">
                  <c:v>43713</c:v>
                </c:pt>
                <c:pt idx="682">
                  <c:v>43720</c:v>
                </c:pt>
                <c:pt idx="683">
                  <c:v>43727</c:v>
                </c:pt>
                <c:pt idx="684">
                  <c:v>43734</c:v>
                </c:pt>
                <c:pt idx="685">
                  <c:v>43741</c:v>
                </c:pt>
                <c:pt idx="686">
                  <c:v>43748</c:v>
                </c:pt>
                <c:pt idx="687">
                  <c:v>43755</c:v>
                </c:pt>
                <c:pt idx="688">
                  <c:v>43762</c:v>
                </c:pt>
                <c:pt idx="689">
                  <c:v>43769</c:v>
                </c:pt>
                <c:pt idx="690">
                  <c:v>43776</c:v>
                </c:pt>
                <c:pt idx="691">
                  <c:v>43783</c:v>
                </c:pt>
                <c:pt idx="692">
                  <c:v>43790</c:v>
                </c:pt>
                <c:pt idx="693">
                  <c:v>43797</c:v>
                </c:pt>
                <c:pt idx="694">
                  <c:v>43804</c:v>
                </c:pt>
                <c:pt idx="695">
                  <c:v>43811</c:v>
                </c:pt>
                <c:pt idx="696">
                  <c:v>43818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44222</c:v>
                </c:pt>
                <c:pt idx="754">
                  <c:v>44229</c:v>
                </c:pt>
                <c:pt idx="755">
                  <c:v>44236</c:v>
                </c:pt>
                <c:pt idx="756">
                  <c:v>44243</c:v>
                </c:pt>
                <c:pt idx="757">
                  <c:v>44250</c:v>
                </c:pt>
                <c:pt idx="758">
                  <c:v>44257</c:v>
                </c:pt>
                <c:pt idx="759">
                  <c:v>44264</c:v>
                </c:pt>
                <c:pt idx="760">
                  <c:v>44271</c:v>
                </c:pt>
                <c:pt idx="761">
                  <c:v>44278</c:v>
                </c:pt>
                <c:pt idx="762">
                  <c:v>44285</c:v>
                </c:pt>
                <c:pt idx="763">
                  <c:v>44292</c:v>
                </c:pt>
                <c:pt idx="764">
                  <c:v>44299</c:v>
                </c:pt>
                <c:pt idx="765">
                  <c:v>44306</c:v>
                </c:pt>
                <c:pt idx="766">
                  <c:v>44313</c:v>
                </c:pt>
                <c:pt idx="767">
                  <c:v>44320</c:v>
                </c:pt>
                <c:pt idx="768">
                  <c:v>44327</c:v>
                </c:pt>
                <c:pt idx="769">
                  <c:v>44334</c:v>
                </c:pt>
                <c:pt idx="770">
                  <c:v>44341</c:v>
                </c:pt>
                <c:pt idx="771">
                  <c:v>44348</c:v>
                </c:pt>
                <c:pt idx="772">
                  <c:v>44355</c:v>
                </c:pt>
                <c:pt idx="773">
                  <c:v>44362</c:v>
                </c:pt>
                <c:pt idx="774">
                  <c:v>44369</c:v>
                </c:pt>
                <c:pt idx="775">
                  <c:v>44376</c:v>
                </c:pt>
                <c:pt idx="776">
                  <c:v>44383</c:v>
                </c:pt>
                <c:pt idx="777">
                  <c:v>44390</c:v>
                </c:pt>
                <c:pt idx="778">
                  <c:v>44397</c:v>
                </c:pt>
                <c:pt idx="779">
                  <c:v>44404</c:v>
                </c:pt>
                <c:pt idx="780">
                  <c:v>44411</c:v>
                </c:pt>
                <c:pt idx="781">
                  <c:v>44418</c:v>
                </c:pt>
                <c:pt idx="782">
                  <c:v>44425</c:v>
                </c:pt>
                <c:pt idx="783">
                  <c:v>44432</c:v>
                </c:pt>
                <c:pt idx="784">
                  <c:v>44439</c:v>
                </c:pt>
                <c:pt idx="785">
                  <c:v>44446</c:v>
                </c:pt>
                <c:pt idx="786">
                  <c:v>44453</c:v>
                </c:pt>
                <c:pt idx="787">
                  <c:v>44460</c:v>
                </c:pt>
                <c:pt idx="788">
                  <c:v>44467</c:v>
                </c:pt>
                <c:pt idx="789">
                  <c:v>44474</c:v>
                </c:pt>
                <c:pt idx="790">
                  <c:v>44481</c:v>
                </c:pt>
                <c:pt idx="791">
                  <c:v>44488</c:v>
                </c:pt>
                <c:pt idx="792">
                  <c:v>44495</c:v>
                </c:pt>
                <c:pt idx="793">
                  <c:v>44502</c:v>
                </c:pt>
                <c:pt idx="794">
                  <c:v>44509</c:v>
                </c:pt>
                <c:pt idx="795">
                  <c:v>44516</c:v>
                </c:pt>
                <c:pt idx="796">
                  <c:v>44523</c:v>
                </c:pt>
                <c:pt idx="797">
                  <c:v>44530</c:v>
                </c:pt>
                <c:pt idx="798">
                  <c:v>44537</c:v>
                </c:pt>
                <c:pt idx="799">
                  <c:v>44544</c:v>
                </c:pt>
                <c:pt idx="800">
                  <c:v>44551</c:v>
                </c:pt>
                <c:pt idx="801">
                  <c:v>44559</c:v>
                </c:pt>
                <c:pt idx="802">
                  <c:v>44566</c:v>
                </c:pt>
                <c:pt idx="803">
                  <c:v>44573</c:v>
                </c:pt>
                <c:pt idx="804">
                  <c:v>44580</c:v>
                </c:pt>
                <c:pt idx="805">
                  <c:v>44587</c:v>
                </c:pt>
                <c:pt idx="806">
                  <c:v>44594</c:v>
                </c:pt>
                <c:pt idx="807">
                  <c:v>44601</c:v>
                </c:pt>
                <c:pt idx="808">
                  <c:v>44608</c:v>
                </c:pt>
                <c:pt idx="809">
                  <c:v>44615</c:v>
                </c:pt>
                <c:pt idx="810">
                  <c:v>44622</c:v>
                </c:pt>
                <c:pt idx="811">
                  <c:v>44629</c:v>
                </c:pt>
                <c:pt idx="812">
                  <c:v>44636</c:v>
                </c:pt>
                <c:pt idx="813">
                  <c:v>44643</c:v>
                </c:pt>
                <c:pt idx="814">
                  <c:v>44650</c:v>
                </c:pt>
                <c:pt idx="815">
                  <c:v>44657</c:v>
                </c:pt>
                <c:pt idx="816">
                  <c:v>44664</c:v>
                </c:pt>
                <c:pt idx="817">
                  <c:v>44671</c:v>
                </c:pt>
                <c:pt idx="818">
                  <c:v>44678</c:v>
                </c:pt>
                <c:pt idx="819">
                  <c:v>44685</c:v>
                </c:pt>
                <c:pt idx="820">
                  <c:v>44692</c:v>
                </c:pt>
                <c:pt idx="821">
                  <c:v>44699</c:v>
                </c:pt>
                <c:pt idx="822">
                  <c:v>44706</c:v>
                </c:pt>
                <c:pt idx="823">
                  <c:v>44713</c:v>
                </c:pt>
                <c:pt idx="824">
                  <c:v>44720</c:v>
                </c:pt>
                <c:pt idx="825">
                  <c:v>44727</c:v>
                </c:pt>
                <c:pt idx="826">
                  <c:v>44734</c:v>
                </c:pt>
                <c:pt idx="827">
                  <c:v>44741</c:v>
                </c:pt>
                <c:pt idx="828">
                  <c:v>44748</c:v>
                </c:pt>
                <c:pt idx="829">
                  <c:v>44755</c:v>
                </c:pt>
                <c:pt idx="830">
                  <c:v>44762</c:v>
                </c:pt>
                <c:pt idx="831">
                  <c:v>44769</c:v>
                </c:pt>
                <c:pt idx="832">
                  <c:v>44776</c:v>
                </c:pt>
                <c:pt idx="833">
                  <c:v>44783</c:v>
                </c:pt>
                <c:pt idx="834">
                  <c:v>44790</c:v>
                </c:pt>
                <c:pt idx="835">
                  <c:v>44797</c:v>
                </c:pt>
                <c:pt idx="836">
                  <c:v>44804</c:v>
                </c:pt>
                <c:pt idx="837">
                  <c:v>44811</c:v>
                </c:pt>
                <c:pt idx="838">
                  <c:v>44818</c:v>
                </c:pt>
                <c:pt idx="839">
                  <c:v>44825</c:v>
                </c:pt>
                <c:pt idx="840">
                  <c:v>44832</c:v>
                </c:pt>
                <c:pt idx="841">
                  <c:v>44839</c:v>
                </c:pt>
                <c:pt idx="842">
                  <c:v>44846</c:v>
                </c:pt>
                <c:pt idx="843">
                  <c:v>44853</c:v>
                </c:pt>
                <c:pt idx="844">
                  <c:v>44860</c:v>
                </c:pt>
                <c:pt idx="845">
                  <c:v>44867</c:v>
                </c:pt>
                <c:pt idx="846">
                  <c:v>44874</c:v>
                </c:pt>
                <c:pt idx="847">
                  <c:v>44881</c:v>
                </c:pt>
                <c:pt idx="848">
                  <c:v>44888</c:v>
                </c:pt>
                <c:pt idx="849">
                  <c:v>44895</c:v>
                </c:pt>
                <c:pt idx="850">
                  <c:v>44902</c:v>
                </c:pt>
                <c:pt idx="851">
                  <c:v>44909</c:v>
                </c:pt>
                <c:pt idx="852">
                  <c:v>44916</c:v>
                </c:pt>
                <c:pt idx="853">
                  <c:v>44923</c:v>
                </c:pt>
                <c:pt idx="854">
                  <c:v>44930</c:v>
                </c:pt>
                <c:pt idx="855">
                  <c:v>44937</c:v>
                </c:pt>
                <c:pt idx="856">
                  <c:v>44944</c:v>
                </c:pt>
                <c:pt idx="857">
                  <c:v>44951</c:v>
                </c:pt>
                <c:pt idx="858">
                  <c:v>44958</c:v>
                </c:pt>
                <c:pt idx="859">
                  <c:v>44965</c:v>
                </c:pt>
                <c:pt idx="860">
                  <c:v>44972</c:v>
                </c:pt>
                <c:pt idx="861">
                  <c:v>44979</c:v>
                </c:pt>
                <c:pt idx="862">
                  <c:v>44986</c:v>
                </c:pt>
                <c:pt idx="863">
                  <c:v>44993</c:v>
                </c:pt>
                <c:pt idx="864">
                  <c:v>45000</c:v>
                </c:pt>
                <c:pt idx="865">
                  <c:v>45007</c:v>
                </c:pt>
                <c:pt idx="866">
                  <c:v>45014</c:v>
                </c:pt>
                <c:pt idx="867">
                  <c:v>45021</c:v>
                </c:pt>
                <c:pt idx="868">
                  <c:v>45028</c:v>
                </c:pt>
                <c:pt idx="869">
                  <c:v>45035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46413</c:v>
                </c:pt>
                <c:pt idx="1066">
                  <c:v>46420</c:v>
                </c:pt>
                <c:pt idx="1067">
                  <c:v>46427</c:v>
                </c:pt>
                <c:pt idx="1068">
                  <c:v>46434</c:v>
                </c:pt>
                <c:pt idx="1069">
                  <c:v>46441</c:v>
                </c:pt>
                <c:pt idx="1070">
                  <c:v>46448</c:v>
                </c:pt>
                <c:pt idx="1071">
                  <c:v>46455</c:v>
                </c:pt>
                <c:pt idx="1072">
                  <c:v>46462</c:v>
                </c:pt>
                <c:pt idx="1073">
                  <c:v>46469</c:v>
                </c:pt>
                <c:pt idx="1074">
                  <c:v>46476</c:v>
                </c:pt>
                <c:pt idx="1075">
                  <c:v>46483</c:v>
                </c:pt>
                <c:pt idx="1076">
                  <c:v>46490</c:v>
                </c:pt>
                <c:pt idx="1077">
                  <c:v>46497</c:v>
                </c:pt>
                <c:pt idx="1078">
                  <c:v>46504</c:v>
                </c:pt>
                <c:pt idx="1079">
                  <c:v>46511</c:v>
                </c:pt>
                <c:pt idx="1080">
                  <c:v>46518</c:v>
                </c:pt>
                <c:pt idx="1081">
                  <c:v>46525</c:v>
                </c:pt>
                <c:pt idx="1082">
                  <c:v>46532</c:v>
                </c:pt>
                <c:pt idx="1083">
                  <c:v>46539</c:v>
                </c:pt>
                <c:pt idx="1084">
                  <c:v>46546</c:v>
                </c:pt>
                <c:pt idx="1085">
                  <c:v>46553</c:v>
                </c:pt>
                <c:pt idx="1086">
                  <c:v>46560</c:v>
                </c:pt>
                <c:pt idx="1087">
                  <c:v>46567</c:v>
                </c:pt>
                <c:pt idx="1088">
                  <c:v>46574</c:v>
                </c:pt>
                <c:pt idx="1089">
                  <c:v>46581</c:v>
                </c:pt>
                <c:pt idx="1090">
                  <c:v>46588</c:v>
                </c:pt>
                <c:pt idx="1091">
                  <c:v>46595</c:v>
                </c:pt>
                <c:pt idx="1092">
                  <c:v>46602</c:v>
                </c:pt>
                <c:pt idx="1093">
                  <c:v>46609</c:v>
                </c:pt>
                <c:pt idx="1094">
                  <c:v>46616</c:v>
                </c:pt>
                <c:pt idx="1095">
                  <c:v>46623</c:v>
                </c:pt>
                <c:pt idx="1096">
                  <c:v>46630</c:v>
                </c:pt>
                <c:pt idx="1097">
                  <c:v>46637</c:v>
                </c:pt>
                <c:pt idx="1098">
                  <c:v>46644</c:v>
                </c:pt>
                <c:pt idx="1099">
                  <c:v>46651</c:v>
                </c:pt>
                <c:pt idx="1100">
                  <c:v>46658</c:v>
                </c:pt>
                <c:pt idx="1101">
                  <c:v>46665</c:v>
                </c:pt>
                <c:pt idx="1102">
                  <c:v>46672</c:v>
                </c:pt>
                <c:pt idx="1103">
                  <c:v>46679</c:v>
                </c:pt>
                <c:pt idx="1104">
                  <c:v>46686</c:v>
                </c:pt>
                <c:pt idx="1105">
                  <c:v>46693</c:v>
                </c:pt>
                <c:pt idx="1106">
                  <c:v>46700</c:v>
                </c:pt>
                <c:pt idx="1107">
                  <c:v>46707</c:v>
                </c:pt>
                <c:pt idx="1108">
                  <c:v>46714</c:v>
                </c:pt>
                <c:pt idx="1109">
                  <c:v>46721</c:v>
                </c:pt>
                <c:pt idx="1110">
                  <c:v>46728</c:v>
                </c:pt>
                <c:pt idx="1111">
                  <c:v>46735</c:v>
                </c:pt>
                <c:pt idx="1112">
                  <c:v>46742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46778</c:v>
                </c:pt>
                <c:pt idx="1118">
                  <c:v>46785</c:v>
                </c:pt>
                <c:pt idx="1119">
                  <c:v>46792</c:v>
                </c:pt>
                <c:pt idx="1120">
                  <c:v>46799</c:v>
                </c:pt>
                <c:pt idx="1121">
                  <c:v>46806</c:v>
                </c:pt>
                <c:pt idx="1122">
                  <c:v>46813</c:v>
                </c:pt>
                <c:pt idx="1123">
                  <c:v>46820</c:v>
                </c:pt>
                <c:pt idx="1124">
                  <c:v>46827</c:v>
                </c:pt>
                <c:pt idx="1125">
                  <c:v>46834</c:v>
                </c:pt>
                <c:pt idx="1126">
                  <c:v>46841</c:v>
                </c:pt>
                <c:pt idx="1127">
                  <c:v>46848</c:v>
                </c:pt>
                <c:pt idx="1128">
                  <c:v>46855</c:v>
                </c:pt>
                <c:pt idx="1129">
                  <c:v>46862</c:v>
                </c:pt>
                <c:pt idx="1130">
                  <c:v>46869</c:v>
                </c:pt>
                <c:pt idx="1131">
                  <c:v>46876</c:v>
                </c:pt>
                <c:pt idx="1132">
                  <c:v>46883</c:v>
                </c:pt>
                <c:pt idx="1133">
                  <c:v>46890</c:v>
                </c:pt>
                <c:pt idx="1134">
                  <c:v>46897</c:v>
                </c:pt>
                <c:pt idx="1135">
                  <c:v>46904</c:v>
                </c:pt>
                <c:pt idx="1136">
                  <c:v>46911</c:v>
                </c:pt>
                <c:pt idx="1137">
                  <c:v>46918</c:v>
                </c:pt>
                <c:pt idx="1138">
                  <c:v>46925</c:v>
                </c:pt>
                <c:pt idx="1139">
                  <c:v>46932</c:v>
                </c:pt>
                <c:pt idx="1140">
                  <c:v>46939</c:v>
                </c:pt>
                <c:pt idx="1141">
                  <c:v>46946</c:v>
                </c:pt>
                <c:pt idx="1142">
                  <c:v>46953</c:v>
                </c:pt>
                <c:pt idx="1143">
                  <c:v>46960</c:v>
                </c:pt>
                <c:pt idx="1144">
                  <c:v>46967</c:v>
                </c:pt>
                <c:pt idx="1145">
                  <c:v>46974</c:v>
                </c:pt>
                <c:pt idx="1146">
                  <c:v>46981</c:v>
                </c:pt>
                <c:pt idx="1147">
                  <c:v>46988</c:v>
                </c:pt>
                <c:pt idx="1148">
                  <c:v>46995</c:v>
                </c:pt>
                <c:pt idx="1149">
                  <c:v>47002</c:v>
                </c:pt>
                <c:pt idx="1150">
                  <c:v>47009</c:v>
                </c:pt>
                <c:pt idx="1151">
                  <c:v>47016</c:v>
                </c:pt>
                <c:pt idx="1152">
                  <c:v>47023</c:v>
                </c:pt>
                <c:pt idx="1153">
                  <c:v>47030</c:v>
                </c:pt>
                <c:pt idx="1154">
                  <c:v>47037</c:v>
                </c:pt>
                <c:pt idx="1155">
                  <c:v>47044</c:v>
                </c:pt>
                <c:pt idx="1156">
                  <c:v>47051</c:v>
                </c:pt>
                <c:pt idx="1157">
                  <c:v>47058</c:v>
                </c:pt>
                <c:pt idx="1158">
                  <c:v>47065</c:v>
                </c:pt>
                <c:pt idx="1159">
                  <c:v>47072</c:v>
                </c:pt>
                <c:pt idx="1160">
                  <c:v>47079</c:v>
                </c:pt>
                <c:pt idx="1161">
                  <c:v>47086</c:v>
                </c:pt>
                <c:pt idx="1162">
                  <c:v>47093</c:v>
                </c:pt>
                <c:pt idx="1163">
                  <c:v>47100</c:v>
                </c:pt>
                <c:pt idx="1164">
                  <c:v>47107</c:v>
                </c:pt>
                <c:pt idx="1165">
                  <c:v>47114</c:v>
                </c:pt>
                <c:pt idx="1166">
                  <c:v>47121</c:v>
                </c:pt>
                <c:pt idx="1167">
                  <c:v>47128</c:v>
                </c:pt>
                <c:pt idx="1168">
                  <c:v>47135</c:v>
                </c:pt>
                <c:pt idx="1169">
                  <c:v>47142</c:v>
                </c:pt>
                <c:pt idx="1170">
                  <c:v>47149</c:v>
                </c:pt>
                <c:pt idx="1171">
                  <c:v>47156</c:v>
                </c:pt>
                <c:pt idx="1172">
                  <c:v>47163</c:v>
                </c:pt>
                <c:pt idx="1173">
                  <c:v>47170</c:v>
                </c:pt>
                <c:pt idx="1174">
                  <c:v>47177</c:v>
                </c:pt>
                <c:pt idx="1175">
                  <c:v>47184</c:v>
                </c:pt>
                <c:pt idx="1176">
                  <c:v>47191</c:v>
                </c:pt>
                <c:pt idx="1177">
                  <c:v>47198</c:v>
                </c:pt>
                <c:pt idx="1178">
                  <c:v>47205</c:v>
                </c:pt>
                <c:pt idx="1179">
                  <c:v>47212</c:v>
                </c:pt>
                <c:pt idx="1180">
                  <c:v>47219</c:v>
                </c:pt>
                <c:pt idx="1181">
                  <c:v>47226</c:v>
                </c:pt>
                <c:pt idx="1182">
                  <c:v>47233</c:v>
                </c:pt>
                <c:pt idx="1183">
                  <c:v>47240</c:v>
                </c:pt>
                <c:pt idx="1184">
                  <c:v>47247</c:v>
                </c:pt>
                <c:pt idx="1185">
                  <c:v>47254</c:v>
                </c:pt>
                <c:pt idx="1186">
                  <c:v>47261</c:v>
                </c:pt>
                <c:pt idx="1187">
                  <c:v>47268</c:v>
                </c:pt>
                <c:pt idx="1188">
                  <c:v>47275</c:v>
                </c:pt>
                <c:pt idx="1189">
                  <c:v>47282</c:v>
                </c:pt>
                <c:pt idx="1190">
                  <c:v>47289</c:v>
                </c:pt>
                <c:pt idx="1191">
                  <c:v>47296</c:v>
                </c:pt>
                <c:pt idx="1192">
                  <c:v>47303</c:v>
                </c:pt>
                <c:pt idx="1193">
                  <c:v>47310</c:v>
                </c:pt>
                <c:pt idx="1194">
                  <c:v>47317</c:v>
                </c:pt>
                <c:pt idx="1195">
                  <c:v>47324</c:v>
                </c:pt>
                <c:pt idx="1196">
                  <c:v>47331</c:v>
                </c:pt>
                <c:pt idx="1197">
                  <c:v>47338</c:v>
                </c:pt>
                <c:pt idx="1198">
                  <c:v>47345</c:v>
                </c:pt>
                <c:pt idx="1199">
                  <c:v>47352</c:v>
                </c:pt>
                <c:pt idx="1200">
                  <c:v>47359</c:v>
                </c:pt>
                <c:pt idx="1201">
                  <c:v>47366</c:v>
                </c:pt>
                <c:pt idx="1202">
                  <c:v>47373</c:v>
                </c:pt>
                <c:pt idx="1203">
                  <c:v>47380</c:v>
                </c:pt>
                <c:pt idx="1204">
                  <c:v>47387</c:v>
                </c:pt>
                <c:pt idx="1205">
                  <c:v>47394</c:v>
                </c:pt>
                <c:pt idx="1206">
                  <c:v>47401</c:v>
                </c:pt>
                <c:pt idx="1207">
                  <c:v>47408</c:v>
                </c:pt>
                <c:pt idx="1208">
                  <c:v>47415</c:v>
                </c:pt>
                <c:pt idx="1209">
                  <c:v>47422</c:v>
                </c:pt>
                <c:pt idx="1210">
                  <c:v>47429</c:v>
                </c:pt>
                <c:pt idx="1211">
                  <c:v>47436</c:v>
                </c:pt>
                <c:pt idx="1212">
                  <c:v>47443</c:v>
                </c:pt>
                <c:pt idx="1213">
                  <c:v>47450</c:v>
                </c:pt>
                <c:pt idx="1214">
                  <c:v>47457</c:v>
                </c:pt>
                <c:pt idx="1215">
                  <c:v>47464</c:v>
                </c:pt>
                <c:pt idx="1216">
                  <c:v>47471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47598</c:v>
                </c:pt>
                <c:pt idx="1235">
                  <c:v>47605</c:v>
                </c:pt>
                <c:pt idx="1236">
                  <c:v>47612</c:v>
                </c:pt>
                <c:pt idx="1237">
                  <c:v>47619</c:v>
                </c:pt>
                <c:pt idx="1238">
                  <c:v>47626</c:v>
                </c:pt>
                <c:pt idx="1239">
                  <c:v>47633</c:v>
                </c:pt>
                <c:pt idx="1240">
                  <c:v>47640</c:v>
                </c:pt>
                <c:pt idx="1241">
                  <c:v>47647</c:v>
                </c:pt>
                <c:pt idx="1242">
                  <c:v>47654</c:v>
                </c:pt>
                <c:pt idx="1243">
                  <c:v>47661</c:v>
                </c:pt>
                <c:pt idx="1244">
                  <c:v>47668</c:v>
                </c:pt>
                <c:pt idx="1245">
                  <c:v>47675</c:v>
                </c:pt>
                <c:pt idx="1246">
                  <c:v>47682</c:v>
                </c:pt>
                <c:pt idx="1247">
                  <c:v>47689</c:v>
                </c:pt>
                <c:pt idx="1248">
                  <c:v>47696</c:v>
                </c:pt>
                <c:pt idx="1249">
                  <c:v>47703</c:v>
                </c:pt>
                <c:pt idx="1250">
                  <c:v>47710</c:v>
                </c:pt>
                <c:pt idx="1251">
                  <c:v>47717</c:v>
                </c:pt>
                <c:pt idx="1252">
                  <c:v>47724</c:v>
                </c:pt>
                <c:pt idx="1253">
                  <c:v>47731</c:v>
                </c:pt>
                <c:pt idx="1254">
                  <c:v>47738</c:v>
                </c:pt>
                <c:pt idx="1255">
                  <c:v>47745</c:v>
                </c:pt>
                <c:pt idx="1256">
                  <c:v>47752</c:v>
                </c:pt>
                <c:pt idx="1257">
                  <c:v>47759</c:v>
                </c:pt>
                <c:pt idx="1258">
                  <c:v>47766</c:v>
                </c:pt>
                <c:pt idx="1259">
                  <c:v>47773</c:v>
                </c:pt>
                <c:pt idx="1260">
                  <c:v>47780</c:v>
                </c:pt>
                <c:pt idx="1261">
                  <c:v>47787</c:v>
                </c:pt>
                <c:pt idx="1262">
                  <c:v>47794</c:v>
                </c:pt>
                <c:pt idx="1263">
                  <c:v>47801</c:v>
                </c:pt>
                <c:pt idx="1264">
                  <c:v>47808</c:v>
                </c:pt>
                <c:pt idx="1265">
                  <c:v>47815</c:v>
                </c:pt>
                <c:pt idx="1266">
                  <c:v>47822</c:v>
                </c:pt>
                <c:pt idx="1267">
                  <c:v>47829</c:v>
                </c:pt>
                <c:pt idx="1268">
                  <c:v>47836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48605</c:v>
                </c:pt>
                <c:pt idx="1378">
                  <c:v>48612</c:v>
                </c:pt>
                <c:pt idx="1379">
                  <c:v>48619</c:v>
                </c:pt>
                <c:pt idx="1380">
                  <c:v>48626</c:v>
                </c:pt>
                <c:pt idx="1381">
                  <c:v>48633</c:v>
                </c:pt>
                <c:pt idx="1382">
                  <c:v>48640</c:v>
                </c:pt>
                <c:pt idx="1383">
                  <c:v>48647</c:v>
                </c:pt>
                <c:pt idx="1384">
                  <c:v>48654</c:v>
                </c:pt>
                <c:pt idx="1385">
                  <c:v>48661</c:v>
                </c:pt>
                <c:pt idx="1386">
                  <c:v>48668</c:v>
                </c:pt>
                <c:pt idx="1387">
                  <c:v>48675</c:v>
                </c:pt>
                <c:pt idx="1388">
                  <c:v>48682</c:v>
                </c:pt>
                <c:pt idx="1389">
                  <c:v>48689</c:v>
                </c:pt>
                <c:pt idx="1390">
                  <c:v>48696</c:v>
                </c:pt>
                <c:pt idx="1391">
                  <c:v>48703</c:v>
                </c:pt>
                <c:pt idx="1392">
                  <c:v>48710</c:v>
                </c:pt>
                <c:pt idx="1393">
                  <c:v>48717</c:v>
                </c:pt>
                <c:pt idx="1394">
                  <c:v>48724</c:v>
                </c:pt>
                <c:pt idx="1395">
                  <c:v>48731</c:v>
                </c:pt>
                <c:pt idx="1396">
                  <c:v>48738</c:v>
                </c:pt>
                <c:pt idx="1397">
                  <c:v>48745</c:v>
                </c:pt>
                <c:pt idx="1398">
                  <c:v>48752</c:v>
                </c:pt>
                <c:pt idx="1399">
                  <c:v>48759</c:v>
                </c:pt>
                <c:pt idx="1400">
                  <c:v>48766</c:v>
                </c:pt>
                <c:pt idx="1401">
                  <c:v>48773</c:v>
                </c:pt>
                <c:pt idx="1402">
                  <c:v>48780</c:v>
                </c:pt>
                <c:pt idx="1403">
                  <c:v>48787</c:v>
                </c:pt>
                <c:pt idx="1404">
                  <c:v>48794</c:v>
                </c:pt>
                <c:pt idx="1405">
                  <c:v>48801</c:v>
                </c:pt>
                <c:pt idx="1406">
                  <c:v>48808</c:v>
                </c:pt>
                <c:pt idx="1407">
                  <c:v>48815</c:v>
                </c:pt>
                <c:pt idx="1408">
                  <c:v>48822</c:v>
                </c:pt>
                <c:pt idx="1409">
                  <c:v>48829</c:v>
                </c:pt>
                <c:pt idx="1410">
                  <c:v>48836</c:v>
                </c:pt>
                <c:pt idx="1411">
                  <c:v>48843</c:v>
                </c:pt>
                <c:pt idx="1412">
                  <c:v>48850</c:v>
                </c:pt>
                <c:pt idx="1413">
                  <c:v>48857</c:v>
                </c:pt>
                <c:pt idx="1414">
                  <c:v>48864</c:v>
                </c:pt>
                <c:pt idx="1415">
                  <c:v>48871</c:v>
                </c:pt>
                <c:pt idx="1416">
                  <c:v>48878</c:v>
                </c:pt>
                <c:pt idx="1417">
                  <c:v>48885</c:v>
                </c:pt>
                <c:pt idx="1418">
                  <c:v>48892</c:v>
                </c:pt>
                <c:pt idx="1419">
                  <c:v>48899</c:v>
                </c:pt>
                <c:pt idx="1420">
                  <c:v>48906</c:v>
                </c:pt>
                <c:pt idx="1421">
                  <c:v>48913</c:v>
                </c:pt>
                <c:pt idx="1422">
                  <c:v>48920</c:v>
                </c:pt>
                <c:pt idx="1423">
                  <c:v>48927</c:v>
                </c:pt>
                <c:pt idx="1424">
                  <c:v>48934</c:v>
                </c:pt>
                <c:pt idx="1425">
                  <c:v>48941</c:v>
                </c:pt>
                <c:pt idx="1426">
                  <c:v>48948</c:v>
                </c:pt>
                <c:pt idx="1427">
                  <c:v>48955</c:v>
                </c:pt>
                <c:pt idx="1428">
                  <c:v>48962</c:v>
                </c:pt>
                <c:pt idx="1429">
                  <c:v>48969</c:v>
                </c:pt>
                <c:pt idx="1430">
                  <c:v>48976</c:v>
                </c:pt>
                <c:pt idx="1431">
                  <c:v>48983</c:v>
                </c:pt>
                <c:pt idx="1432">
                  <c:v>48990</c:v>
                </c:pt>
                <c:pt idx="1433">
                  <c:v>48997</c:v>
                </c:pt>
                <c:pt idx="1434">
                  <c:v>49004</c:v>
                </c:pt>
                <c:pt idx="1435">
                  <c:v>49011</c:v>
                </c:pt>
                <c:pt idx="1436">
                  <c:v>49018</c:v>
                </c:pt>
                <c:pt idx="1437">
                  <c:v>49025</c:v>
                </c:pt>
                <c:pt idx="1438">
                  <c:v>49032</c:v>
                </c:pt>
                <c:pt idx="1439">
                  <c:v>49039</c:v>
                </c:pt>
                <c:pt idx="1440">
                  <c:v>49046</c:v>
                </c:pt>
                <c:pt idx="1441">
                  <c:v>49053</c:v>
                </c:pt>
                <c:pt idx="1442">
                  <c:v>49060</c:v>
                </c:pt>
                <c:pt idx="1443">
                  <c:v>49067</c:v>
                </c:pt>
                <c:pt idx="1444">
                  <c:v>49074</c:v>
                </c:pt>
                <c:pt idx="1445">
                  <c:v>49081</c:v>
                </c:pt>
                <c:pt idx="1446">
                  <c:v>49088</c:v>
                </c:pt>
                <c:pt idx="1447">
                  <c:v>49095</c:v>
                </c:pt>
                <c:pt idx="1448">
                  <c:v>49102</c:v>
                </c:pt>
                <c:pt idx="1449">
                  <c:v>49109</c:v>
                </c:pt>
                <c:pt idx="1450">
                  <c:v>49116</c:v>
                </c:pt>
                <c:pt idx="1451">
                  <c:v>49123</c:v>
                </c:pt>
                <c:pt idx="1452">
                  <c:v>49130</c:v>
                </c:pt>
                <c:pt idx="1453">
                  <c:v>49137</c:v>
                </c:pt>
                <c:pt idx="1454">
                  <c:v>49144</c:v>
                </c:pt>
                <c:pt idx="1455">
                  <c:v>49151</c:v>
                </c:pt>
                <c:pt idx="1456">
                  <c:v>49158</c:v>
                </c:pt>
                <c:pt idx="1457">
                  <c:v>49165</c:v>
                </c:pt>
                <c:pt idx="1458">
                  <c:v>49172</c:v>
                </c:pt>
                <c:pt idx="1459">
                  <c:v>49179</c:v>
                </c:pt>
                <c:pt idx="1460">
                  <c:v>49186</c:v>
                </c:pt>
                <c:pt idx="1461">
                  <c:v>49193</c:v>
                </c:pt>
                <c:pt idx="1462">
                  <c:v>49200</c:v>
                </c:pt>
                <c:pt idx="1463">
                  <c:v>49207</c:v>
                </c:pt>
                <c:pt idx="1464">
                  <c:v>49214</c:v>
                </c:pt>
                <c:pt idx="1465">
                  <c:v>49221</c:v>
                </c:pt>
                <c:pt idx="1466">
                  <c:v>49228</c:v>
                </c:pt>
                <c:pt idx="1467">
                  <c:v>49235</c:v>
                </c:pt>
                <c:pt idx="1468">
                  <c:v>49242</c:v>
                </c:pt>
                <c:pt idx="1469">
                  <c:v>49249</c:v>
                </c:pt>
                <c:pt idx="1470">
                  <c:v>49256</c:v>
                </c:pt>
                <c:pt idx="1471">
                  <c:v>49263</c:v>
                </c:pt>
                <c:pt idx="1472">
                  <c:v>49270</c:v>
                </c:pt>
                <c:pt idx="1473">
                  <c:v>49277</c:v>
                </c:pt>
                <c:pt idx="1474">
                  <c:v>49284</c:v>
                </c:pt>
                <c:pt idx="1475">
                  <c:v>49291</c:v>
                </c:pt>
                <c:pt idx="1476">
                  <c:v>49298</c:v>
                </c:pt>
                <c:pt idx="1477">
                  <c:v>49305</c:v>
                </c:pt>
                <c:pt idx="1478">
                  <c:v>49312</c:v>
                </c:pt>
                <c:pt idx="1479">
                  <c:v>49319</c:v>
                </c:pt>
                <c:pt idx="1480">
                  <c:v>49326</c:v>
                </c:pt>
                <c:pt idx="1481">
                  <c:v>49333</c:v>
                </c:pt>
                <c:pt idx="1482">
                  <c:v>49340</c:v>
                </c:pt>
                <c:pt idx="1483">
                  <c:v>49347</c:v>
                </c:pt>
                <c:pt idx="1484">
                  <c:v>49354</c:v>
                </c:pt>
                <c:pt idx="1485">
                  <c:v>49361</c:v>
                </c:pt>
                <c:pt idx="1486">
                  <c:v>49368</c:v>
                </c:pt>
                <c:pt idx="1487">
                  <c:v>49375</c:v>
                </c:pt>
                <c:pt idx="1488">
                  <c:v>49382</c:v>
                </c:pt>
                <c:pt idx="1489">
                  <c:v>49389</c:v>
                </c:pt>
                <c:pt idx="1490">
                  <c:v>49396</c:v>
                </c:pt>
                <c:pt idx="1491">
                  <c:v>49403</c:v>
                </c:pt>
                <c:pt idx="1492">
                  <c:v>49410</c:v>
                </c:pt>
                <c:pt idx="1493">
                  <c:v>49417</c:v>
                </c:pt>
                <c:pt idx="1494">
                  <c:v>49424</c:v>
                </c:pt>
                <c:pt idx="1495">
                  <c:v>49431</c:v>
                </c:pt>
                <c:pt idx="1496">
                  <c:v>49438</c:v>
                </c:pt>
                <c:pt idx="1497">
                  <c:v>49445</c:v>
                </c:pt>
                <c:pt idx="1498">
                  <c:v>49452</c:v>
                </c:pt>
                <c:pt idx="1499">
                  <c:v>49459</c:v>
                </c:pt>
                <c:pt idx="1500">
                  <c:v>49466</c:v>
                </c:pt>
                <c:pt idx="1501">
                  <c:v>49473</c:v>
                </c:pt>
                <c:pt idx="1502">
                  <c:v>49480</c:v>
                </c:pt>
                <c:pt idx="1503">
                  <c:v>49487</c:v>
                </c:pt>
                <c:pt idx="1504">
                  <c:v>49494</c:v>
                </c:pt>
                <c:pt idx="1505">
                  <c:v>49501</c:v>
                </c:pt>
                <c:pt idx="1506">
                  <c:v>49508</c:v>
                </c:pt>
                <c:pt idx="1507">
                  <c:v>49515</c:v>
                </c:pt>
                <c:pt idx="1508">
                  <c:v>49522</c:v>
                </c:pt>
                <c:pt idx="1509">
                  <c:v>49529</c:v>
                </c:pt>
                <c:pt idx="1510">
                  <c:v>49536</c:v>
                </c:pt>
                <c:pt idx="1511">
                  <c:v>49543</c:v>
                </c:pt>
                <c:pt idx="1512">
                  <c:v>49550</c:v>
                </c:pt>
                <c:pt idx="1513">
                  <c:v>49557</c:v>
                </c:pt>
                <c:pt idx="1514">
                  <c:v>49564</c:v>
                </c:pt>
                <c:pt idx="1515">
                  <c:v>49571</c:v>
                </c:pt>
                <c:pt idx="1516">
                  <c:v>49578</c:v>
                </c:pt>
                <c:pt idx="1517">
                  <c:v>49585</c:v>
                </c:pt>
                <c:pt idx="1518">
                  <c:v>49592</c:v>
                </c:pt>
                <c:pt idx="1519">
                  <c:v>49599</c:v>
                </c:pt>
                <c:pt idx="1520">
                  <c:v>49606</c:v>
                </c:pt>
                <c:pt idx="1521">
                  <c:v>49613</c:v>
                </c:pt>
                <c:pt idx="1522">
                  <c:v>49620</c:v>
                </c:pt>
                <c:pt idx="1523">
                  <c:v>49627</c:v>
                </c:pt>
                <c:pt idx="1524">
                  <c:v>49634</c:v>
                </c:pt>
                <c:pt idx="1525">
                  <c:v>49641</c:v>
                </c:pt>
                <c:pt idx="1526">
                  <c:v>49648</c:v>
                </c:pt>
                <c:pt idx="1527">
                  <c:v>49655</c:v>
                </c:pt>
                <c:pt idx="1528">
                  <c:v>49662</c:v>
                </c:pt>
                <c:pt idx="1529">
                  <c:v>49670</c:v>
                </c:pt>
                <c:pt idx="1530">
                  <c:v>49677</c:v>
                </c:pt>
                <c:pt idx="1531">
                  <c:v>49684</c:v>
                </c:pt>
                <c:pt idx="1532">
                  <c:v>49691</c:v>
                </c:pt>
                <c:pt idx="1533">
                  <c:v>49698</c:v>
                </c:pt>
                <c:pt idx="1534">
                  <c:v>49705</c:v>
                </c:pt>
                <c:pt idx="1535">
                  <c:v>49712</c:v>
                </c:pt>
                <c:pt idx="1536">
                  <c:v>49719</c:v>
                </c:pt>
                <c:pt idx="1537">
                  <c:v>49726</c:v>
                </c:pt>
                <c:pt idx="1538">
                  <c:v>49733</c:v>
                </c:pt>
                <c:pt idx="1539">
                  <c:v>49740</c:v>
                </c:pt>
                <c:pt idx="1540">
                  <c:v>49747</c:v>
                </c:pt>
                <c:pt idx="1541">
                  <c:v>49754</c:v>
                </c:pt>
                <c:pt idx="1542">
                  <c:v>49761</c:v>
                </c:pt>
                <c:pt idx="1543">
                  <c:v>49768</c:v>
                </c:pt>
                <c:pt idx="1544">
                  <c:v>49775</c:v>
                </c:pt>
                <c:pt idx="1545">
                  <c:v>49782</c:v>
                </c:pt>
                <c:pt idx="1546">
                  <c:v>49789</c:v>
                </c:pt>
                <c:pt idx="1547">
                  <c:v>49796</c:v>
                </c:pt>
                <c:pt idx="1548">
                  <c:v>49803</c:v>
                </c:pt>
                <c:pt idx="1549">
                  <c:v>49810</c:v>
                </c:pt>
                <c:pt idx="1550">
                  <c:v>49817</c:v>
                </c:pt>
                <c:pt idx="1551">
                  <c:v>49824</c:v>
                </c:pt>
                <c:pt idx="1552">
                  <c:v>49831</c:v>
                </c:pt>
                <c:pt idx="1553">
                  <c:v>49838</c:v>
                </c:pt>
                <c:pt idx="1554">
                  <c:v>49845</c:v>
                </c:pt>
                <c:pt idx="1555">
                  <c:v>49852</c:v>
                </c:pt>
                <c:pt idx="1556">
                  <c:v>49859</c:v>
                </c:pt>
                <c:pt idx="1557">
                  <c:v>49866</c:v>
                </c:pt>
                <c:pt idx="1558">
                  <c:v>49873</c:v>
                </c:pt>
                <c:pt idx="1559">
                  <c:v>49880</c:v>
                </c:pt>
                <c:pt idx="1560">
                  <c:v>49887</c:v>
                </c:pt>
                <c:pt idx="1561">
                  <c:v>49894</c:v>
                </c:pt>
                <c:pt idx="1562">
                  <c:v>49901</c:v>
                </c:pt>
                <c:pt idx="1563">
                  <c:v>49908</c:v>
                </c:pt>
                <c:pt idx="1564">
                  <c:v>49915</c:v>
                </c:pt>
                <c:pt idx="1565">
                  <c:v>49922</c:v>
                </c:pt>
                <c:pt idx="1566">
                  <c:v>49929</c:v>
                </c:pt>
                <c:pt idx="1567">
                  <c:v>49936</c:v>
                </c:pt>
                <c:pt idx="1568">
                  <c:v>49943</c:v>
                </c:pt>
                <c:pt idx="1569">
                  <c:v>49950</c:v>
                </c:pt>
                <c:pt idx="1570">
                  <c:v>49957</c:v>
                </c:pt>
                <c:pt idx="1571">
                  <c:v>49964</c:v>
                </c:pt>
                <c:pt idx="1572">
                  <c:v>49971</c:v>
                </c:pt>
                <c:pt idx="1573">
                  <c:v>49978</c:v>
                </c:pt>
                <c:pt idx="1574">
                  <c:v>49985</c:v>
                </c:pt>
                <c:pt idx="1575">
                  <c:v>49992</c:v>
                </c:pt>
                <c:pt idx="1576">
                  <c:v>49999</c:v>
                </c:pt>
                <c:pt idx="1577">
                  <c:v>50006</c:v>
                </c:pt>
                <c:pt idx="1578">
                  <c:v>50013</c:v>
                </c:pt>
                <c:pt idx="1579">
                  <c:v>50020</c:v>
                </c:pt>
                <c:pt idx="1580">
                  <c:v>50027</c:v>
                </c:pt>
                <c:pt idx="1581">
                  <c:v>50038</c:v>
                </c:pt>
                <c:pt idx="1582">
                  <c:v>50045</c:v>
                </c:pt>
                <c:pt idx="1583">
                  <c:v>50052</c:v>
                </c:pt>
                <c:pt idx="1584">
                  <c:v>50059</c:v>
                </c:pt>
                <c:pt idx="1585">
                  <c:v>50066</c:v>
                </c:pt>
                <c:pt idx="1586">
                  <c:v>50073</c:v>
                </c:pt>
                <c:pt idx="1587">
                  <c:v>50080</c:v>
                </c:pt>
                <c:pt idx="1588">
                  <c:v>50087</c:v>
                </c:pt>
                <c:pt idx="1589">
                  <c:v>50094</c:v>
                </c:pt>
                <c:pt idx="1590">
                  <c:v>50101</c:v>
                </c:pt>
                <c:pt idx="1591">
                  <c:v>50108</c:v>
                </c:pt>
                <c:pt idx="1592">
                  <c:v>50115</c:v>
                </c:pt>
                <c:pt idx="1593">
                  <c:v>50122</c:v>
                </c:pt>
                <c:pt idx="1594">
                  <c:v>50129</c:v>
                </c:pt>
                <c:pt idx="1595">
                  <c:v>50137</c:v>
                </c:pt>
                <c:pt idx="1596">
                  <c:v>50144</c:v>
                </c:pt>
                <c:pt idx="1597">
                  <c:v>50151</c:v>
                </c:pt>
                <c:pt idx="1598">
                  <c:v>50158</c:v>
                </c:pt>
                <c:pt idx="1599">
                  <c:v>50165</c:v>
                </c:pt>
                <c:pt idx="1600">
                  <c:v>50172</c:v>
                </c:pt>
                <c:pt idx="1601">
                  <c:v>50179</c:v>
                </c:pt>
                <c:pt idx="1602">
                  <c:v>50186</c:v>
                </c:pt>
                <c:pt idx="1603">
                  <c:v>50193</c:v>
                </c:pt>
                <c:pt idx="1604">
                  <c:v>50200</c:v>
                </c:pt>
                <c:pt idx="1605">
                  <c:v>50207</c:v>
                </c:pt>
                <c:pt idx="1606">
                  <c:v>50214</c:v>
                </c:pt>
                <c:pt idx="1607">
                  <c:v>50221</c:v>
                </c:pt>
                <c:pt idx="1608">
                  <c:v>50228</c:v>
                </c:pt>
                <c:pt idx="1609">
                  <c:v>50235</c:v>
                </c:pt>
                <c:pt idx="1610">
                  <c:v>50242</c:v>
                </c:pt>
                <c:pt idx="1611">
                  <c:v>50249</c:v>
                </c:pt>
                <c:pt idx="1612">
                  <c:v>50256</c:v>
                </c:pt>
                <c:pt idx="1613">
                  <c:v>50263</c:v>
                </c:pt>
                <c:pt idx="1614">
                  <c:v>50270</c:v>
                </c:pt>
                <c:pt idx="1615">
                  <c:v>50277</c:v>
                </c:pt>
                <c:pt idx="1616">
                  <c:v>50284</c:v>
                </c:pt>
                <c:pt idx="1617">
                  <c:v>50291</c:v>
                </c:pt>
                <c:pt idx="1618">
                  <c:v>50298</c:v>
                </c:pt>
                <c:pt idx="1619">
                  <c:v>50305</c:v>
                </c:pt>
                <c:pt idx="1620">
                  <c:v>50312</c:v>
                </c:pt>
                <c:pt idx="1621">
                  <c:v>50319</c:v>
                </c:pt>
                <c:pt idx="1622">
                  <c:v>50326</c:v>
                </c:pt>
                <c:pt idx="1623">
                  <c:v>50333</c:v>
                </c:pt>
                <c:pt idx="1624">
                  <c:v>50340</c:v>
                </c:pt>
                <c:pt idx="1625">
                  <c:v>50347</c:v>
                </c:pt>
                <c:pt idx="1626">
                  <c:v>50354</c:v>
                </c:pt>
                <c:pt idx="1627">
                  <c:v>50361</c:v>
                </c:pt>
                <c:pt idx="1628">
                  <c:v>50368</c:v>
                </c:pt>
                <c:pt idx="1629">
                  <c:v>50375</c:v>
                </c:pt>
                <c:pt idx="1630">
                  <c:v>50382</c:v>
                </c:pt>
                <c:pt idx="1631">
                  <c:v>50389</c:v>
                </c:pt>
                <c:pt idx="1632">
                  <c:v>50396</c:v>
                </c:pt>
                <c:pt idx="1633">
                  <c:v>50403</c:v>
                </c:pt>
                <c:pt idx="1634">
                  <c:v>50410</c:v>
                </c:pt>
                <c:pt idx="1635">
                  <c:v>50417</c:v>
                </c:pt>
                <c:pt idx="1636">
                  <c:v>50424</c:v>
                </c:pt>
                <c:pt idx="1637">
                  <c:v>50431</c:v>
                </c:pt>
                <c:pt idx="1638">
                  <c:v>50438</c:v>
                </c:pt>
                <c:pt idx="1639">
                  <c:v>50445</c:v>
                </c:pt>
                <c:pt idx="1640">
                  <c:v>50452</c:v>
                </c:pt>
                <c:pt idx="1641">
                  <c:v>50459</c:v>
                </c:pt>
                <c:pt idx="1642">
                  <c:v>50466</c:v>
                </c:pt>
                <c:pt idx="1643">
                  <c:v>50473</c:v>
                </c:pt>
                <c:pt idx="1644">
                  <c:v>50480</c:v>
                </c:pt>
                <c:pt idx="1645">
                  <c:v>50487</c:v>
                </c:pt>
                <c:pt idx="1646">
                  <c:v>50494</c:v>
                </c:pt>
                <c:pt idx="1647">
                  <c:v>50501</c:v>
                </c:pt>
                <c:pt idx="1648">
                  <c:v>50508</c:v>
                </c:pt>
                <c:pt idx="1649">
                  <c:v>50515</c:v>
                </c:pt>
                <c:pt idx="1650">
                  <c:v>50522</c:v>
                </c:pt>
                <c:pt idx="1651">
                  <c:v>50529</c:v>
                </c:pt>
                <c:pt idx="1652">
                  <c:v>50536</c:v>
                </c:pt>
                <c:pt idx="1653">
                  <c:v>50543</c:v>
                </c:pt>
                <c:pt idx="1654">
                  <c:v>50550</c:v>
                </c:pt>
                <c:pt idx="1655">
                  <c:v>50557</c:v>
                </c:pt>
                <c:pt idx="1656">
                  <c:v>50564</c:v>
                </c:pt>
                <c:pt idx="1657">
                  <c:v>50571</c:v>
                </c:pt>
                <c:pt idx="1658">
                  <c:v>50578</c:v>
                </c:pt>
                <c:pt idx="1659">
                  <c:v>50585</c:v>
                </c:pt>
                <c:pt idx="1660">
                  <c:v>50592</c:v>
                </c:pt>
                <c:pt idx="1661">
                  <c:v>50599</c:v>
                </c:pt>
                <c:pt idx="1662">
                  <c:v>50606</c:v>
                </c:pt>
                <c:pt idx="1663">
                  <c:v>50613</c:v>
                </c:pt>
                <c:pt idx="1664">
                  <c:v>50620</c:v>
                </c:pt>
                <c:pt idx="1665">
                  <c:v>50627</c:v>
                </c:pt>
                <c:pt idx="1666">
                  <c:v>50634</c:v>
                </c:pt>
                <c:pt idx="1667">
                  <c:v>50641</c:v>
                </c:pt>
                <c:pt idx="1668">
                  <c:v>50648</c:v>
                </c:pt>
                <c:pt idx="1669">
                  <c:v>50655</c:v>
                </c:pt>
                <c:pt idx="1670">
                  <c:v>50662</c:v>
                </c:pt>
                <c:pt idx="1671">
                  <c:v>50669</c:v>
                </c:pt>
                <c:pt idx="1672">
                  <c:v>50676</c:v>
                </c:pt>
                <c:pt idx="1673">
                  <c:v>50683</c:v>
                </c:pt>
                <c:pt idx="1674">
                  <c:v>50690</c:v>
                </c:pt>
                <c:pt idx="1675">
                  <c:v>50697</c:v>
                </c:pt>
                <c:pt idx="1676">
                  <c:v>50704</c:v>
                </c:pt>
                <c:pt idx="1677">
                  <c:v>50711</c:v>
                </c:pt>
                <c:pt idx="1678">
                  <c:v>50718</c:v>
                </c:pt>
                <c:pt idx="1679">
                  <c:v>50725</c:v>
                </c:pt>
                <c:pt idx="1680">
                  <c:v>50732</c:v>
                </c:pt>
                <c:pt idx="1681">
                  <c:v>50739</c:v>
                </c:pt>
                <c:pt idx="1682">
                  <c:v>50746</c:v>
                </c:pt>
                <c:pt idx="1683">
                  <c:v>50753</c:v>
                </c:pt>
                <c:pt idx="1684">
                  <c:v>50760</c:v>
                </c:pt>
                <c:pt idx="1685">
                  <c:v>50768</c:v>
                </c:pt>
                <c:pt idx="1686">
                  <c:v>50775</c:v>
                </c:pt>
                <c:pt idx="1687">
                  <c:v>50782</c:v>
                </c:pt>
                <c:pt idx="1688">
                  <c:v>50789</c:v>
                </c:pt>
                <c:pt idx="1689">
                  <c:v>50796</c:v>
                </c:pt>
                <c:pt idx="1690">
                  <c:v>50803</c:v>
                </c:pt>
                <c:pt idx="1691">
                  <c:v>50810</c:v>
                </c:pt>
                <c:pt idx="1692">
                  <c:v>50817</c:v>
                </c:pt>
                <c:pt idx="1693">
                  <c:v>50824</c:v>
                </c:pt>
                <c:pt idx="1694">
                  <c:v>50831</c:v>
                </c:pt>
                <c:pt idx="1695">
                  <c:v>50838</c:v>
                </c:pt>
                <c:pt idx="1696">
                  <c:v>50845</c:v>
                </c:pt>
                <c:pt idx="1697">
                  <c:v>50852</c:v>
                </c:pt>
                <c:pt idx="1698">
                  <c:v>50859</c:v>
                </c:pt>
                <c:pt idx="1699">
                  <c:v>50866</c:v>
                </c:pt>
                <c:pt idx="1700">
                  <c:v>50873</c:v>
                </c:pt>
                <c:pt idx="1701">
                  <c:v>50880</c:v>
                </c:pt>
                <c:pt idx="1702">
                  <c:v>50887</c:v>
                </c:pt>
                <c:pt idx="1703">
                  <c:v>50894</c:v>
                </c:pt>
                <c:pt idx="1704">
                  <c:v>50901</c:v>
                </c:pt>
                <c:pt idx="1705">
                  <c:v>50908</c:v>
                </c:pt>
                <c:pt idx="1706">
                  <c:v>50915</c:v>
                </c:pt>
                <c:pt idx="1707">
                  <c:v>50922</c:v>
                </c:pt>
                <c:pt idx="1708">
                  <c:v>50929</c:v>
                </c:pt>
                <c:pt idx="1709">
                  <c:v>50936</c:v>
                </c:pt>
                <c:pt idx="1710">
                  <c:v>50943</c:v>
                </c:pt>
                <c:pt idx="1711">
                  <c:v>50950</c:v>
                </c:pt>
                <c:pt idx="1712">
                  <c:v>50957</c:v>
                </c:pt>
                <c:pt idx="1713">
                  <c:v>50964</c:v>
                </c:pt>
                <c:pt idx="1714">
                  <c:v>50971</c:v>
                </c:pt>
                <c:pt idx="1715">
                  <c:v>50978</c:v>
                </c:pt>
                <c:pt idx="1716">
                  <c:v>50985</c:v>
                </c:pt>
                <c:pt idx="1717">
                  <c:v>50992</c:v>
                </c:pt>
                <c:pt idx="1718">
                  <c:v>50999</c:v>
                </c:pt>
                <c:pt idx="1719">
                  <c:v>51006</c:v>
                </c:pt>
                <c:pt idx="1720">
                  <c:v>51013</c:v>
                </c:pt>
                <c:pt idx="1721">
                  <c:v>51020</c:v>
                </c:pt>
                <c:pt idx="1722">
                  <c:v>51027</c:v>
                </c:pt>
                <c:pt idx="1723">
                  <c:v>51034</c:v>
                </c:pt>
                <c:pt idx="1724">
                  <c:v>51041</c:v>
                </c:pt>
                <c:pt idx="1725">
                  <c:v>51048</c:v>
                </c:pt>
                <c:pt idx="1726">
                  <c:v>51055</c:v>
                </c:pt>
                <c:pt idx="1727">
                  <c:v>51062</c:v>
                </c:pt>
                <c:pt idx="1728">
                  <c:v>51069</c:v>
                </c:pt>
                <c:pt idx="1729">
                  <c:v>51076</c:v>
                </c:pt>
                <c:pt idx="1730">
                  <c:v>51083</c:v>
                </c:pt>
                <c:pt idx="1731">
                  <c:v>51090</c:v>
                </c:pt>
                <c:pt idx="1732">
                  <c:v>51097</c:v>
                </c:pt>
                <c:pt idx="1733">
                  <c:v>51104</c:v>
                </c:pt>
                <c:pt idx="1734">
                  <c:v>51111</c:v>
                </c:pt>
                <c:pt idx="1735">
                  <c:v>51118</c:v>
                </c:pt>
                <c:pt idx="1736">
                  <c:v>51125</c:v>
                </c:pt>
                <c:pt idx="1737">
                  <c:v>51132</c:v>
                </c:pt>
                <c:pt idx="1738">
                  <c:v>51139</c:v>
                </c:pt>
                <c:pt idx="1739">
                  <c:v>51146</c:v>
                </c:pt>
                <c:pt idx="1740">
                  <c:v>51153</c:v>
                </c:pt>
                <c:pt idx="1741">
                  <c:v>51160</c:v>
                </c:pt>
                <c:pt idx="1742">
                  <c:v>51167</c:v>
                </c:pt>
                <c:pt idx="1743">
                  <c:v>51174</c:v>
                </c:pt>
                <c:pt idx="1744">
                  <c:v>51181</c:v>
                </c:pt>
                <c:pt idx="1745">
                  <c:v>51188</c:v>
                </c:pt>
                <c:pt idx="1746">
                  <c:v>51195</c:v>
                </c:pt>
                <c:pt idx="1747">
                  <c:v>51202</c:v>
                </c:pt>
                <c:pt idx="1748">
                  <c:v>51209</c:v>
                </c:pt>
                <c:pt idx="1749">
                  <c:v>51216</c:v>
                </c:pt>
                <c:pt idx="1750">
                  <c:v>51223</c:v>
                </c:pt>
                <c:pt idx="1751">
                  <c:v>51230</c:v>
                </c:pt>
                <c:pt idx="1752">
                  <c:v>51237</c:v>
                </c:pt>
                <c:pt idx="1753">
                  <c:v>51244</c:v>
                </c:pt>
                <c:pt idx="1754">
                  <c:v>51251</c:v>
                </c:pt>
                <c:pt idx="1755">
                  <c:v>51258</c:v>
                </c:pt>
                <c:pt idx="1756">
                  <c:v>51265</c:v>
                </c:pt>
                <c:pt idx="1757">
                  <c:v>51272</c:v>
                </c:pt>
                <c:pt idx="1758">
                  <c:v>51279</c:v>
                </c:pt>
                <c:pt idx="1759">
                  <c:v>51286</c:v>
                </c:pt>
                <c:pt idx="1760">
                  <c:v>51293</c:v>
                </c:pt>
                <c:pt idx="1761">
                  <c:v>51300</c:v>
                </c:pt>
                <c:pt idx="1762">
                  <c:v>51307</c:v>
                </c:pt>
                <c:pt idx="1763">
                  <c:v>51314</c:v>
                </c:pt>
                <c:pt idx="1764">
                  <c:v>51321</c:v>
                </c:pt>
                <c:pt idx="1765">
                  <c:v>51328</c:v>
                </c:pt>
                <c:pt idx="1766">
                  <c:v>51335</c:v>
                </c:pt>
                <c:pt idx="1767">
                  <c:v>51342</c:v>
                </c:pt>
                <c:pt idx="1768">
                  <c:v>51349</c:v>
                </c:pt>
                <c:pt idx="1769">
                  <c:v>51356</c:v>
                </c:pt>
                <c:pt idx="1770">
                  <c:v>51363</c:v>
                </c:pt>
                <c:pt idx="1771">
                  <c:v>51370</c:v>
                </c:pt>
                <c:pt idx="1772">
                  <c:v>51377</c:v>
                </c:pt>
                <c:pt idx="1773">
                  <c:v>51384</c:v>
                </c:pt>
                <c:pt idx="1774">
                  <c:v>51391</c:v>
                </c:pt>
                <c:pt idx="1775">
                  <c:v>51398</c:v>
                </c:pt>
                <c:pt idx="1776">
                  <c:v>51405</c:v>
                </c:pt>
                <c:pt idx="1777">
                  <c:v>51412</c:v>
                </c:pt>
                <c:pt idx="1778">
                  <c:v>51419</c:v>
                </c:pt>
                <c:pt idx="1779">
                  <c:v>51426</c:v>
                </c:pt>
                <c:pt idx="1780">
                  <c:v>51433</c:v>
                </c:pt>
                <c:pt idx="1781">
                  <c:v>51440</c:v>
                </c:pt>
                <c:pt idx="1782">
                  <c:v>51447</c:v>
                </c:pt>
                <c:pt idx="1783">
                  <c:v>51454</c:v>
                </c:pt>
                <c:pt idx="1784">
                  <c:v>51461</c:v>
                </c:pt>
                <c:pt idx="1785">
                  <c:v>51468</c:v>
                </c:pt>
                <c:pt idx="1786">
                  <c:v>51475</c:v>
                </c:pt>
                <c:pt idx="1787">
                  <c:v>51482</c:v>
                </c:pt>
                <c:pt idx="1788">
                  <c:v>51489</c:v>
                </c:pt>
                <c:pt idx="1789">
                  <c:v>51497</c:v>
                </c:pt>
                <c:pt idx="1790">
                  <c:v>51504</c:v>
                </c:pt>
                <c:pt idx="1791">
                  <c:v>51511</c:v>
                </c:pt>
                <c:pt idx="1792">
                  <c:v>51518</c:v>
                </c:pt>
                <c:pt idx="1793">
                  <c:v>51525</c:v>
                </c:pt>
                <c:pt idx="1794">
                  <c:v>51532</c:v>
                </c:pt>
                <c:pt idx="1795">
                  <c:v>51539</c:v>
                </c:pt>
                <c:pt idx="1796">
                  <c:v>51546</c:v>
                </c:pt>
                <c:pt idx="1797">
                  <c:v>51553</c:v>
                </c:pt>
                <c:pt idx="1798">
                  <c:v>51560</c:v>
                </c:pt>
                <c:pt idx="1799">
                  <c:v>51567</c:v>
                </c:pt>
                <c:pt idx="1800">
                  <c:v>51574</c:v>
                </c:pt>
                <c:pt idx="1801">
                  <c:v>51581</c:v>
                </c:pt>
                <c:pt idx="1802">
                  <c:v>51588</c:v>
                </c:pt>
                <c:pt idx="1803">
                  <c:v>51595</c:v>
                </c:pt>
                <c:pt idx="1804">
                  <c:v>51602</c:v>
                </c:pt>
                <c:pt idx="1805">
                  <c:v>51609</c:v>
                </c:pt>
                <c:pt idx="1806">
                  <c:v>51616</c:v>
                </c:pt>
                <c:pt idx="1807">
                  <c:v>51623</c:v>
                </c:pt>
                <c:pt idx="1808">
                  <c:v>51630</c:v>
                </c:pt>
                <c:pt idx="1809">
                  <c:v>51637</c:v>
                </c:pt>
                <c:pt idx="1810">
                  <c:v>51644</c:v>
                </c:pt>
                <c:pt idx="1811">
                  <c:v>51651</c:v>
                </c:pt>
                <c:pt idx="1812">
                  <c:v>51658</c:v>
                </c:pt>
                <c:pt idx="1813">
                  <c:v>51665</c:v>
                </c:pt>
                <c:pt idx="1814">
                  <c:v>51672</c:v>
                </c:pt>
                <c:pt idx="1815">
                  <c:v>51679</c:v>
                </c:pt>
                <c:pt idx="1816">
                  <c:v>51686</c:v>
                </c:pt>
                <c:pt idx="1817">
                  <c:v>51693</c:v>
                </c:pt>
                <c:pt idx="1818">
                  <c:v>51700</c:v>
                </c:pt>
                <c:pt idx="1819">
                  <c:v>51707</c:v>
                </c:pt>
                <c:pt idx="1820">
                  <c:v>51714</c:v>
                </c:pt>
                <c:pt idx="1821">
                  <c:v>51721</c:v>
                </c:pt>
                <c:pt idx="1822">
                  <c:v>51728</c:v>
                </c:pt>
                <c:pt idx="1823">
                  <c:v>51735</c:v>
                </c:pt>
                <c:pt idx="1824">
                  <c:v>51742</c:v>
                </c:pt>
                <c:pt idx="1825">
                  <c:v>51749</c:v>
                </c:pt>
                <c:pt idx="1826">
                  <c:v>51756</c:v>
                </c:pt>
                <c:pt idx="1827">
                  <c:v>51763</c:v>
                </c:pt>
                <c:pt idx="1828">
                  <c:v>51770</c:v>
                </c:pt>
                <c:pt idx="1829">
                  <c:v>51777</c:v>
                </c:pt>
                <c:pt idx="1830">
                  <c:v>51784</c:v>
                </c:pt>
                <c:pt idx="1831">
                  <c:v>51791</c:v>
                </c:pt>
                <c:pt idx="1832">
                  <c:v>51798</c:v>
                </c:pt>
                <c:pt idx="1833">
                  <c:v>51805</c:v>
                </c:pt>
                <c:pt idx="1834">
                  <c:v>51812</c:v>
                </c:pt>
                <c:pt idx="1835">
                  <c:v>51819</c:v>
                </c:pt>
                <c:pt idx="1836">
                  <c:v>51826</c:v>
                </c:pt>
                <c:pt idx="1837">
                  <c:v>51833</c:v>
                </c:pt>
                <c:pt idx="1838">
                  <c:v>51840</c:v>
                </c:pt>
                <c:pt idx="1839">
                  <c:v>51847</c:v>
                </c:pt>
                <c:pt idx="1840">
                  <c:v>51854</c:v>
                </c:pt>
                <c:pt idx="1841">
                  <c:v>51862</c:v>
                </c:pt>
                <c:pt idx="1842">
                  <c:v>51869</c:v>
                </c:pt>
                <c:pt idx="1843">
                  <c:v>51876</c:v>
                </c:pt>
                <c:pt idx="1844">
                  <c:v>51883</c:v>
                </c:pt>
                <c:pt idx="1845">
                  <c:v>51890</c:v>
                </c:pt>
                <c:pt idx="1846">
                  <c:v>51897</c:v>
                </c:pt>
                <c:pt idx="1847">
                  <c:v>51904</c:v>
                </c:pt>
                <c:pt idx="1848">
                  <c:v>51911</c:v>
                </c:pt>
                <c:pt idx="1849">
                  <c:v>51918</c:v>
                </c:pt>
                <c:pt idx="1850">
                  <c:v>51925</c:v>
                </c:pt>
                <c:pt idx="1851">
                  <c:v>51932</c:v>
                </c:pt>
                <c:pt idx="1852">
                  <c:v>51939</c:v>
                </c:pt>
                <c:pt idx="1853">
                  <c:v>51946</c:v>
                </c:pt>
                <c:pt idx="1854">
                  <c:v>51953</c:v>
                </c:pt>
                <c:pt idx="1855">
                  <c:v>51964</c:v>
                </c:pt>
                <c:pt idx="1856">
                  <c:v>51971</c:v>
                </c:pt>
                <c:pt idx="1857">
                  <c:v>51978</c:v>
                </c:pt>
                <c:pt idx="1858">
                  <c:v>51985</c:v>
                </c:pt>
                <c:pt idx="1859">
                  <c:v>51992</c:v>
                </c:pt>
                <c:pt idx="1860">
                  <c:v>51999</c:v>
                </c:pt>
                <c:pt idx="1861">
                  <c:v>52006</c:v>
                </c:pt>
                <c:pt idx="1862">
                  <c:v>52013</c:v>
                </c:pt>
                <c:pt idx="1863">
                  <c:v>52020</c:v>
                </c:pt>
                <c:pt idx="1864">
                  <c:v>52027</c:v>
                </c:pt>
                <c:pt idx="1865">
                  <c:v>52034</c:v>
                </c:pt>
                <c:pt idx="1866">
                  <c:v>52041</c:v>
                </c:pt>
                <c:pt idx="1867">
                  <c:v>52048</c:v>
                </c:pt>
                <c:pt idx="1868">
                  <c:v>52055</c:v>
                </c:pt>
                <c:pt idx="1869">
                  <c:v>52062</c:v>
                </c:pt>
                <c:pt idx="1870">
                  <c:v>52069</c:v>
                </c:pt>
                <c:pt idx="1871">
                  <c:v>52076</c:v>
                </c:pt>
                <c:pt idx="1872">
                  <c:v>52083</c:v>
                </c:pt>
                <c:pt idx="1873">
                  <c:v>52090</c:v>
                </c:pt>
                <c:pt idx="1874">
                  <c:v>52097</c:v>
                </c:pt>
                <c:pt idx="1875">
                  <c:v>52104</c:v>
                </c:pt>
                <c:pt idx="1876">
                  <c:v>52111</c:v>
                </c:pt>
                <c:pt idx="1877">
                  <c:v>52118</c:v>
                </c:pt>
                <c:pt idx="1878">
                  <c:v>52125</c:v>
                </c:pt>
                <c:pt idx="1879">
                  <c:v>52132</c:v>
                </c:pt>
                <c:pt idx="1880">
                  <c:v>52139</c:v>
                </c:pt>
                <c:pt idx="1881">
                  <c:v>52146</c:v>
                </c:pt>
                <c:pt idx="1882">
                  <c:v>52153</c:v>
                </c:pt>
                <c:pt idx="1883">
                  <c:v>52160</c:v>
                </c:pt>
                <c:pt idx="1884">
                  <c:v>52167</c:v>
                </c:pt>
                <c:pt idx="1885">
                  <c:v>52174</c:v>
                </c:pt>
                <c:pt idx="1886">
                  <c:v>52181</c:v>
                </c:pt>
                <c:pt idx="1887">
                  <c:v>52188</c:v>
                </c:pt>
                <c:pt idx="1888">
                  <c:v>52195</c:v>
                </c:pt>
                <c:pt idx="1889">
                  <c:v>52202</c:v>
                </c:pt>
                <c:pt idx="1890">
                  <c:v>52209</c:v>
                </c:pt>
                <c:pt idx="1891">
                  <c:v>52216</c:v>
                </c:pt>
                <c:pt idx="1892">
                  <c:v>52223</c:v>
                </c:pt>
                <c:pt idx="1893">
                  <c:v>52230</c:v>
                </c:pt>
                <c:pt idx="1894">
                  <c:v>52237</c:v>
                </c:pt>
                <c:pt idx="1895">
                  <c:v>52244</c:v>
                </c:pt>
                <c:pt idx="1896">
                  <c:v>52251</c:v>
                </c:pt>
                <c:pt idx="1897">
                  <c:v>52258</c:v>
                </c:pt>
                <c:pt idx="1898">
                  <c:v>52265</c:v>
                </c:pt>
                <c:pt idx="1899">
                  <c:v>52272</c:v>
                </c:pt>
                <c:pt idx="1900">
                  <c:v>52279</c:v>
                </c:pt>
                <c:pt idx="1901">
                  <c:v>52286</c:v>
                </c:pt>
                <c:pt idx="1902">
                  <c:v>52293</c:v>
                </c:pt>
                <c:pt idx="1903">
                  <c:v>52300</c:v>
                </c:pt>
                <c:pt idx="1904">
                  <c:v>52307</c:v>
                </c:pt>
                <c:pt idx="1905">
                  <c:v>52314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52959</c:v>
                </c:pt>
                <c:pt idx="1998">
                  <c:v>52966</c:v>
                </c:pt>
                <c:pt idx="1999">
                  <c:v>52973</c:v>
                </c:pt>
                <c:pt idx="2000">
                  <c:v>52980</c:v>
                </c:pt>
                <c:pt idx="2001">
                  <c:v>52987</c:v>
                </c:pt>
                <c:pt idx="2002">
                  <c:v>52994</c:v>
                </c:pt>
                <c:pt idx="2003">
                  <c:v>53001</c:v>
                </c:pt>
                <c:pt idx="2004">
                  <c:v>53008</c:v>
                </c:pt>
                <c:pt idx="2005">
                  <c:v>53015</c:v>
                </c:pt>
                <c:pt idx="2006">
                  <c:v>53022</c:v>
                </c:pt>
                <c:pt idx="2007">
                  <c:v>53029</c:v>
                </c:pt>
                <c:pt idx="2008">
                  <c:v>53036</c:v>
                </c:pt>
                <c:pt idx="2009">
                  <c:v>53043</c:v>
                </c:pt>
                <c:pt idx="2010">
                  <c:v>53050</c:v>
                </c:pt>
                <c:pt idx="2011">
                  <c:v>53057</c:v>
                </c:pt>
                <c:pt idx="2012">
                  <c:v>53064</c:v>
                </c:pt>
                <c:pt idx="2013">
                  <c:v>53071</c:v>
                </c:pt>
                <c:pt idx="2014">
                  <c:v>53078</c:v>
                </c:pt>
                <c:pt idx="2015">
                  <c:v>53085</c:v>
                </c:pt>
                <c:pt idx="2016">
                  <c:v>53092</c:v>
                </c:pt>
                <c:pt idx="2017">
                  <c:v>53099</c:v>
                </c:pt>
                <c:pt idx="2018">
                  <c:v>53106</c:v>
                </c:pt>
                <c:pt idx="2019">
                  <c:v>53113</c:v>
                </c:pt>
                <c:pt idx="2020">
                  <c:v>53120</c:v>
                </c:pt>
                <c:pt idx="2021">
                  <c:v>53127</c:v>
                </c:pt>
                <c:pt idx="2022">
                  <c:v>53134</c:v>
                </c:pt>
                <c:pt idx="2023">
                  <c:v>53141</c:v>
                </c:pt>
                <c:pt idx="2024">
                  <c:v>53148</c:v>
                </c:pt>
                <c:pt idx="2025">
                  <c:v>53155</c:v>
                </c:pt>
                <c:pt idx="2026">
                  <c:v>53162</c:v>
                </c:pt>
                <c:pt idx="2027">
                  <c:v>53169</c:v>
                </c:pt>
                <c:pt idx="2028">
                  <c:v>53176</c:v>
                </c:pt>
                <c:pt idx="2029">
                  <c:v>53183</c:v>
                </c:pt>
                <c:pt idx="2030">
                  <c:v>53190</c:v>
                </c:pt>
                <c:pt idx="2031">
                  <c:v>53197</c:v>
                </c:pt>
                <c:pt idx="2032">
                  <c:v>53204</c:v>
                </c:pt>
                <c:pt idx="2033">
                  <c:v>53211</c:v>
                </c:pt>
                <c:pt idx="2034">
                  <c:v>53218</c:v>
                </c:pt>
                <c:pt idx="2035">
                  <c:v>53225</c:v>
                </c:pt>
                <c:pt idx="2036">
                  <c:v>53232</c:v>
                </c:pt>
                <c:pt idx="2037">
                  <c:v>53239</c:v>
                </c:pt>
                <c:pt idx="2038">
                  <c:v>53246</c:v>
                </c:pt>
                <c:pt idx="2039">
                  <c:v>53253</c:v>
                </c:pt>
                <c:pt idx="2040">
                  <c:v>53260</c:v>
                </c:pt>
                <c:pt idx="2041">
                  <c:v>53267</c:v>
                </c:pt>
                <c:pt idx="2042">
                  <c:v>53274</c:v>
                </c:pt>
                <c:pt idx="2043">
                  <c:v>53281</c:v>
                </c:pt>
                <c:pt idx="2044">
                  <c:v>53288</c:v>
                </c:pt>
                <c:pt idx="2045">
                  <c:v>53295</c:v>
                </c:pt>
                <c:pt idx="2046">
                  <c:v>53302</c:v>
                </c:pt>
                <c:pt idx="2047">
                  <c:v>53309</c:v>
                </c:pt>
                <c:pt idx="2048">
                  <c:v>53316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54786</c:v>
                </c:pt>
                <c:pt idx="2258">
                  <c:v>54793</c:v>
                </c:pt>
                <c:pt idx="2259">
                  <c:v>54800</c:v>
                </c:pt>
                <c:pt idx="2260">
                  <c:v>54807</c:v>
                </c:pt>
                <c:pt idx="2261">
                  <c:v>54814</c:v>
                </c:pt>
                <c:pt idx="2262">
                  <c:v>54821</c:v>
                </c:pt>
                <c:pt idx="2263">
                  <c:v>54828</c:v>
                </c:pt>
                <c:pt idx="2264">
                  <c:v>54835</c:v>
                </c:pt>
                <c:pt idx="2265">
                  <c:v>54842</c:v>
                </c:pt>
                <c:pt idx="2266">
                  <c:v>54849</c:v>
                </c:pt>
                <c:pt idx="2267">
                  <c:v>54856</c:v>
                </c:pt>
                <c:pt idx="2268">
                  <c:v>54863</c:v>
                </c:pt>
                <c:pt idx="2269">
                  <c:v>54870</c:v>
                </c:pt>
                <c:pt idx="2270">
                  <c:v>54877</c:v>
                </c:pt>
                <c:pt idx="2271">
                  <c:v>54884</c:v>
                </c:pt>
                <c:pt idx="2272">
                  <c:v>54891</c:v>
                </c:pt>
                <c:pt idx="2273">
                  <c:v>54898</c:v>
                </c:pt>
                <c:pt idx="2274">
                  <c:v>54905</c:v>
                </c:pt>
                <c:pt idx="2275">
                  <c:v>54912</c:v>
                </c:pt>
                <c:pt idx="2276">
                  <c:v>54919</c:v>
                </c:pt>
                <c:pt idx="2277">
                  <c:v>54926</c:v>
                </c:pt>
                <c:pt idx="2278">
                  <c:v>54933</c:v>
                </c:pt>
                <c:pt idx="2279">
                  <c:v>54940</c:v>
                </c:pt>
                <c:pt idx="2280">
                  <c:v>54947</c:v>
                </c:pt>
                <c:pt idx="2281">
                  <c:v>54954</c:v>
                </c:pt>
                <c:pt idx="2282">
                  <c:v>54961</c:v>
                </c:pt>
                <c:pt idx="2283">
                  <c:v>54968</c:v>
                </c:pt>
                <c:pt idx="2284">
                  <c:v>54975</c:v>
                </c:pt>
                <c:pt idx="2285">
                  <c:v>54982</c:v>
                </c:pt>
                <c:pt idx="2286">
                  <c:v>54989</c:v>
                </c:pt>
                <c:pt idx="2287">
                  <c:v>54996</c:v>
                </c:pt>
                <c:pt idx="2288">
                  <c:v>55003</c:v>
                </c:pt>
                <c:pt idx="2289">
                  <c:v>55010</c:v>
                </c:pt>
                <c:pt idx="2290">
                  <c:v>55017</c:v>
                </c:pt>
                <c:pt idx="2291">
                  <c:v>55024</c:v>
                </c:pt>
                <c:pt idx="2292">
                  <c:v>55031</c:v>
                </c:pt>
                <c:pt idx="2293">
                  <c:v>55038</c:v>
                </c:pt>
                <c:pt idx="2294">
                  <c:v>55045</c:v>
                </c:pt>
                <c:pt idx="2295">
                  <c:v>55052</c:v>
                </c:pt>
                <c:pt idx="2296">
                  <c:v>55059</c:v>
                </c:pt>
                <c:pt idx="2297">
                  <c:v>55066</c:v>
                </c:pt>
                <c:pt idx="2298">
                  <c:v>55073</c:v>
                </c:pt>
                <c:pt idx="2299">
                  <c:v>55080</c:v>
                </c:pt>
                <c:pt idx="2300">
                  <c:v>55087</c:v>
                </c:pt>
                <c:pt idx="2301">
                  <c:v>55094</c:v>
                </c:pt>
                <c:pt idx="2302">
                  <c:v>55101</c:v>
                </c:pt>
                <c:pt idx="2303">
                  <c:v>55108</c:v>
                </c:pt>
                <c:pt idx="2304">
                  <c:v>55115</c:v>
                </c:pt>
                <c:pt idx="2305">
                  <c:v>55122</c:v>
                </c:pt>
                <c:pt idx="2306">
                  <c:v>55129</c:v>
                </c:pt>
                <c:pt idx="2307">
                  <c:v>55136</c:v>
                </c:pt>
                <c:pt idx="2308">
                  <c:v>55143</c:v>
                </c:pt>
                <c:pt idx="2309">
                  <c:v>55150</c:v>
                </c:pt>
                <c:pt idx="2310">
                  <c:v>55157</c:v>
                </c:pt>
                <c:pt idx="2311">
                  <c:v>55164</c:v>
                </c:pt>
                <c:pt idx="2312">
                  <c:v>55171</c:v>
                </c:pt>
                <c:pt idx="2313">
                  <c:v>55178</c:v>
                </c:pt>
                <c:pt idx="2314">
                  <c:v>55185</c:v>
                </c:pt>
                <c:pt idx="2315">
                  <c:v>55192</c:v>
                </c:pt>
                <c:pt idx="2316">
                  <c:v>55199</c:v>
                </c:pt>
                <c:pt idx="2317">
                  <c:v>55206</c:v>
                </c:pt>
                <c:pt idx="2318">
                  <c:v>55213</c:v>
                </c:pt>
                <c:pt idx="2319">
                  <c:v>55220</c:v>
                </c:pt>
                <c:pt idx="2320">
                  <c:v>55227</c:v>
                </c:pt>
                <c:pt idx="2321">
                  <c:v>55234</c:v>
                </c:pt>
                <c:pt idx="2322">
                  <c:v>55241</c:v>
                </c:pt>
                <c:pt idx="2323">
                  <c:v>55248</c:v>
                </c:pt>
                <c:pt idx="2324">
                  <c:v>55255</c:v>
                </c:pt>
                <c:pt idx="2325">
                  <c:v>55262</c:v>
                </c:pt>
                <c:pt idx="2326">
                  <c:v>55269</c:v>
                </c:pt>
                <c:pt idx="2327">
                  <c:v>55276</c:v>
                </c:pt>
                <c:pt idx="2328">
                  <c:v>55283</c:v>
                </c:pt>
                <c:pt idx="2329">
                  <c:v>55290</c:v>
                </c:pt>
                <c:pt idx="2330">
                  <c:v>55297</c:v>
                </c:pt>
                <c:pt idx="2331">
                  <c:v>55304</c:v>
                </c:pt>
                <c:pt idx="2332">
                  <c:v>55311</c:v>
                </c:pt>
                <c:pt idx="2333">
                  <c:v>55318</c:v>
                </c:pt>
                <c:pt idx="2334">
                  <c:v>55325</c:v>
                </c:pt>
                <c:pt idx="2335">
                  <c:v>55332</c:v>
                </c:pt>
                <c:pt idx="2336">
                  <c:v>55339</c:v>
                </c:pt>
                <c:pt idx="2337">
                  <c:v>55346</c:v>
                </c:pt>
                <c:pt idx="2338">
                  <c:v>55353</c:v>
                </c:pt>
                <c:pt idx="2339">
                  <c:v>55360</c:v>
                </c:pt>
                <c:pt idx="2340">
                  <c:v>55367</c:v>
                </c:pt>
                <c:pt idx="2341">
                  <c:v>55374</c:v>
                </c:pt>
                <c:pt idx="2342">
                  <c:v>55381</c:v>
                </c:pt>
                <c:pt idx="2343">
                  <c:v>55388</c:v>
                </c:pt>
                <c:pt idx="2344">
                  <c:v>55395</c:v>
                </c:pt>
                <c:pt idx="2345">
                  <c:v>55402</c:v>
                </c:pt>
                <c:pt idx="2346">
                  <c:v>55409</c:v>
                </c:pt>
                <c:pt idx="2347">
                  <c:v>55416</c:v>
                </c:pt>
                <c:pt idx="2348">
                  <c:v>55423</c:v>
                </c:pt>
                <c:pt idx="2349">
                  <c:v>55430</c:v>
                </c:pt>
                <c:pt idx="2350">
                  <c:v>55437</c:v>
                </c:pt>
                <c:pt idx="2351">
                  <c:v>55444</c:v>
                </c:pt>
                <c:pt idx="2352">
                  <c:v>55451</c:v>
                </c:pt>
                <c:pt idx="2353">
                  <c:v>55458</c:v>
                </c:pt>
                <c:pt idx="2354">
                  <c:v>55465</c:v>
                </c:pt>
                <c:pt idx="2355">
                  <c:v>55472</c:v>
                </c:pt>
                <c:pt idx="2356">
                  <c:v>55479</c:v>
                </c:pt>
                <c:pt idx="2357">
                  <c:v>55486</c:v>
                </c:pt>
                <c:pt idx="2358">
                  <c:v>55493</c:v>
                </c:pt>
                <c:pt idx="2359">
                  <c:v>55500</c:v>
                </c:pt>
                <c:pt idx="2360">
                  <c:v>55507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55640</c:v>
                </c:pt>
                <c:pt idx="2380">
                  <c:v>55647</c:v>
                </c:pt>
                <c:pt idx="2381">
                  <c:v>55654</c:v>
                </c:pt>
                <c:pt idx="2382">
                  <c:v>55661</c:v>
                </c:pt>
                <c:pt idx="2383">
                  <c:v>55668</c:v>
                </c:pt>
                <c:pt idx="2384">
                  <c:v>55675</c:v>
                </c:pt>
                <c:pt idx="2385">
                  <c:v>55682</c:v>
                </c:pt>
                <c:pt idx="2386">
                  <c:v>55689</c:v>
                </c:pt>
                <c:pt idx="2387">
                  <c:v>55696</c:v>
                </c:pt>
                <c:pt idx="2388">
                  <c:v>55703</c:v>
                </c:pt>
                <c:pt idx="2389">
                  <c:v>55710</c:v>
                </c:pt>
                <c:pt idx="2390">
                  <c:v>55717</c:v>
                </c:pt>
                <c:pt idx="2391">
                  <c:v>55724</c:v>
                </c:pt>
                <c:pt idx="2392">
                  <c:v>55731</c:v>
                </c:pt>
                <c:pt idx="2393">
                  <c:v>55738</c:v>
                </c:pt>
                <c:pt idx="2394">
                  <c:v>55745</c:v>
                </c:pt>
                <c:pt idx="2395">
                  <c:v>55752</c:v>
                </c:pt>
                <c:pt idx="2396">
                  <c:v>55759</c:v>
                </c:pt>
                <c:pt idx="2397">
                  <c:v>55766</c:v>
                </c:pt>
                <c:pt idx="2398">
                  <c:v>55773</c:v>
                </c:pt>
                <c:pt idx="2399">
                  <c:v>55780</c:v>
                </c:pt>
                <c:pt idx="2400">
                  <c:v>55787</c:v>
                </c:pt>
                <c:pt idx="2401">
                  <c:v>55794</c:v>
                </c:pt>
                <c:pt idx="2402">
                  <c:v>55801</c:v>
                </c:pt>
                <c:pt idx="2403">
                  <c:v>55808</c:v>
                </c:pt>
                <c:pt idx="2404">
                  <c:v>55815</c:v>
                </c:pt>
                <c:pt idx="2405">
                  <c:v>55822</c:v>
                </c:pt>
                <c:pt idx="2406">
                  <c:v>55829</c:v>
                </c:pt>
                <c:pt idx="2407">
                  <c:v>55836</c:v>
                </c:pt>
                <c:pt idx="2408">
                  <c:v>55843</c:v>
                </c:pt>
                <c:pt idx="2409">
                  <c:v>55850</c:v>
                </c:pt>
                <c:pt idx="2410">
                  <c:v>55857</c:v>
                </c:pt>
                <c:pt idx="2411">
                  <c:v>55864</c:v>
                </c:pt>
                <c:pt idx="2412">
                  <c:v>55871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56066</c:v>
                </c:pt>
                <c:pt idx="2440">
                  <c:v>56073</c:v>
                </c:pt>
                <c:pt idx="2441">
                  <c:v>56080</c:v>
                </c:pt>
                <c:pt idx="2442">
                  <c:v>56087</c:v>
                </c:pt>
                <c:pt idx="2443">
                  <c:v>56094</c:v>
                </c:pt>
                <c:pt idx="2444">
                  <c:v>56101</c:v>
                </c:pt>
                <c:pt idx="2445">
                  <c:v>56108</c:v>
                </c:pt>
                <c:pt idx="2446">
                  <c:v>56115</c:v>
                </c:pt>
                <c:pt idx="2447">
                  <c:v>56122</c:v>
                </c:pt>
                <c:pt idx="2448">
                  <c:v>56129</c:v>
                </c:pt>
                <c:pt idx="2449">
                  <c:v>56136</c:v>
                </c:pt>
                <c:pt idx="2450">
                  <c:v>56143</c:v>
                </c:pt>
                <c:pt idx="2451">
                  <c:v>56150</c:v>
                </c:pt>
                <c:pt idx="2452">
                  <c:v>56157</c:v>
                </c:pt>
                <c:pt idx="2453">
                  <c:v>56164</c:v>
                </c:pt>
                <c:pt idx="2454">
                  <c:v>56171</c:v>
                </c:pt>
                <c:pt idx="2455">
                  <c:v>56178</c:v>
                </c:pt>
                <c:pt idx="2456">
                  <c:v>56185</c:v>
                </c:pt>
                <c:pt idx="2457">
                  <c:v>56192</c:v>
                </c:pt>
                <c:pt idx="2458">
                  <c:v>56199</c:v>
                </c:pt>
                <c:pt idx="2459">
                  <c:v>56206</c:v>
                </c:pt>
                <c:pt idx="2460">
                  <c:v>56213</c:v>
                </c:pt>
                <c:pt idx="2461">
                  <c:v>56220</c:v>
                </c:pt>
                <c:pt idx="2462">
                  <c:v>56227</c:v>
                </c:pt>
                <c:pt idx="2463">
                  <c:v>56234</c:v>
                </c:pt>
                <c:pt idx="2464">
                  <c:v>56241</c:v>
                </c:pt>
                <c:pt idx="2465">
                  <c:v>56248</c:v>
                </c:pt>
                <c:pt idx="2466">
                  <c:v>56255</c:v>
                </c:pt>
                <c:pt idx="2467">
                  <c:v>56262</c:v>
                </c:pt>
                <c:pt idx="2468">
                  <c:v>56269</c:v>
                </c:pt>
                <c:pt idx="2469">
                  <c:v>56276</c:v>
                </c:pt>
                <c:pt idx="2470">
                  <c:v>56283</c:v>
                </c:pt>
                <c:pt idx="2471">
                  <c:v>56290</c:v>
                </c:pt>
                <c:pt idx="2472">
                  <c:v>56297</c:v>
                </c:pt>
                <c:pt idx="2473">
                  <c:v>56304</c:v>
                </c:pt>
                <c:pt idx="2474">
                  <c:v>56311</c:v>
                </c:pt>
                <c:pt idx="2475">
                  <c:v>56318</c:v>
                </c:pt>
                <c:pt idx="2476">
                  <c:v>56325</c:v>
                </c:pt>
                <c:pt idx="2477">
                  <c:v>56332</c:v>
                </c:pt>
                <c:pt idx="2478">
                  <c:v>56339</c:v>
                </c:pt>
                <c:pt idx="2479">
                  <c:v>56346</c:v>
                </c:pt>
                <c:pt idx="2480">
                  <c:v>56353</c:v>
                </c:pt>
                <c:pt idx="2481">
                  <c:v>56360</c:v>
                </c:pt>
                <c:pt idx="2482">
                  <c:v>56367</c:v>
                </c:pt>
                <c:pt idx="2483">
                  <c:v>56374</c:v>
                </c:pt>
                <c:pt idx="2484">
                  <c:v>56381</c:v>
                </c:pt>
                <c:pt idx="2485">
                  <c:v>56388</c:v>
                </c:pt>
                <c:pt idx="2486">
                  <c:v>56395</c:v>
                </c:pt>
                <c:pt idx="2487">
                  <c:v>56402</c:v>
                </c:pt>
                <c:pt idx="2488">
                  <c:v>56409</c:v>
                </c:pt>
                <c:pt idx="2489">
                  <c:v>56416</c:v>
                </c:pt>
                <c:pt idx="2490">
                  <c:v>56423</c:v>
                </c:pt>
                <c:pt idx="2491">
                  <c:v>56430</c:v>
                </c:pt>
                <c:pt idx="2492">
                  <c:v>56437</c:v>
                </c:pt>
                <c:pt idx="2493">
                  <c:v>56444</c:v>
                </c:pt>
                <c:pt idx="2494">
                  <c:v>56451</c:v>
                </c:pt>
                <c:pt idx="2495">
                  <c:v>56458</c:v>
                </c:pt>
                <c:pt idx="2496">
                  <c:v>56465</c:v>
                </c:pt>
                <c:pt idx="2497">
                  <c:v>56472</c:v>
                </c:pt>
                <c:pt idx="2498">
                  <c:v>56479</c:v>
                </c:pt>
                <c:pt idx="2499">
                  <c:v>56486</c:v>
                </c:pt>
                <c:pt idx="2500">
                  <c:v>56493</c:v>
                </c:pt>
                <c:pt idx="2501">
                  <c:v>56500</c:v>
                </c:pt>
                <c:pt idx="2502">
                  <c:v>56507</c:v>
                </c:pt>
                <c:pt idx="2503">
                  <c:v>56514</c:v>
                </c:pt>
                <c:pt idx="2504">
                  <c:v>56521</c:v>
                </c:pt>
                <c:pt idx="2505">
                  <c:v>56528</c:v>
                </c:pt>
                <c:pt idx="2506">
                  <c:v>56535</c:v>
                </c:pt>
                <c:pt idx="2507">
                  <c:v>56542</c:v>
                </c:pt>
                <c:pt idx="2508">
                  <c:v>56549</c:v>
                </c:pt>
                <c:pt idx="2509">
                  <c:v>56556</c:v>
                </c:pt>
                <c:pt idx="2510">
                  <c:v>56563</c:v>
                </c:pt>
                <c:pt idx="2511">
                  <c:v>56570</c:v>
                </c:pt>
                <c:pt idx="2512">
                  <c:v>56577</c:v>
                </c:pt>
                <c:pt idx="2513">
                  <c:v>56584</c:v>
                </c:pt>
                <c:pt idx="2514">
                  <c:v>56591</c:v>
                </c:pt>
                <c:pt idx="2515">
                  <c:v>56598</c:v>
                </c:pt>
                <c:pt idx="2516">
                  <c:v>56605</c:v>
                </c:pt>
                <c:pt idx="2517">
                  <c:v>56612</c:v>
                </c:pt>
                <c:pt idx="2518">
                  <c:v>56619</c:v>
                </c:pt>
                <c:pt idx="2519">
                  <c:v>56626</c:v>
                </c:pt>
                <c:pt idx="2520">
                  <c:v>56633</c:v>
                </c:pt>
                <c:pt idx="2521">
                  <c:v>56640</c:v>
                </c:pt>
                <c:pt idx="2522">
                  <c:v>56647</c:v>
                </c:pt>
                <c:pt idx="2523">
                  <c:v>56654</c:v>
                </c:pt>
                <c:pt idx="2524">
                  <c:v>56661</c:v>
                </c:pt>
                <c:pt idx="2525">
                  <c:v>56668</c:v>
                </c:pt>
                <c:pt idx="2526">
                  <c:v>56675</c:v>
                </c:pt>
                <c:pt idx="2527">
                  <c:v>56682</c:v>
                </c:pt>
                <c:pt idx="2528">
                  <c:v>56689</c:v>
                </c:pt>
                <c:pt idx="2529">
                  <c:v>56696</c:v>
                </c:pt>
                <c:pt idx="2530">
                  <c:v>56703</c:v>
                </c:pt>
                <c:pt idx="2531">
                  <c:v>56710</c:v>
                </c:pt>
                <c:pt idx="2532">
                  <c:v>56717</c:v>
                </c:pt>
                <c:pt idx="2533">
                  <c:v>56724</c:v>
                </c:pt>
                <c:pt idx="2534">
                  <c:v>56731</c:v>
                </c:pt>
                <c:pt idx="2535">
                  <c:v>56738</c:v>
                </c:pt>
                <c:pt idx="2536">
                  <c:v>56745</c:v>
                </c:pt>
                <c:pt idx="2537">
                  <c:v>56752</c:v>
                </c:pt>
                <c:pt idx="2538">
                  <c:v>56759</c:v>
                </c:pt>
                <c:pt idx="2539">
                  <c:v>56766</c:v>
                </c:pt>
                <c:pt idx="2540">
                  <c:v>56773</c:v>
                </c:pt>
                <c:pt idx="2541">
                  <c:v>56780</c:v>
                </c:pt>
                <c:pt idx="2542">
                  <c:v>56787</c:v>
                </c:pt>
                <c:pt idx="2543">
                  <c:v>56794</c:v>
                </c:pt>
                <c:pt idx="2544">
                  <c:v>56801</c:v>
                </c:pt>
                <c:pt idx="2545">
                  <c:v>56808</c:v>
                </c:pt>
                <c:pt idx="2546">
                  <c:v>56815</c:v>
                </c:pt>
                <c:pt idx="2547">
                  <c:v>56822</c:v>
                </c:pt>
                <c:pt idx="2548">
                  <c:v>56829</c:v>
                </c:pt>
                <c:pt idx="2549">
                  <c:v>56836</c:v>
                </c:pt>
                <c:pt idx="2550">
                  <c:v>56843</c:v>
                </c:pt>
                <c:pt idx="2551">
                  <c:v>56850</c:v>
                </c:pt>
                <c:pt idx="2552">
                  <c:v>56857</c:v>
                </c:pt>
                <c:pt idx="2553">
                  <c:v>56864</c:v>
                </c:pt>
                <c:pt idx="2554">
                  <c:v>56871</c:v>
                </c:pt>
                <c:pt idx="2555">
                  <c:v>56878</c:v>
                </c:pt>
                <c:pt idx="2556">
                  <c:v>56885</c:v>
                </c:pt>
                <c:pt idx="2557">
                  <c:v>56892</c:v>
                </c:pt>
                <c:pt idx="2558">
                  <c:v>56899</c:v>
                </c:pt>
                <c:pt idx="2559">
                  <c:v>56906</c:v>
                </c:pt>
                <c:pt idx="2560">
                  <c:v>56913</c:v>
                </c:pt>
                <c:pt idx="2561">
                  <c:v>56920</c:v>
                </c:pt>
                <c:pt idx="2562">
                  <c:v>56927</c:v>
                </c:pt>
                <c:pt idx="2563">
                  <c:v>56934</c:v>
                </c:pt>
                <c:pt idx="2564">
                  <c:v>56941</c:v>
                </c:pt>
                <c:pt idx="2565">
                  <c:v>56948</c:v>
                </c:pt>
                <c:pt idx="2566">
                  <c:v>56955</c:v>
                </c:pt>
                <c:pt idx="2567">
                  <c:v>56962</c:v>
                </c:pt>
                <c:pt idx="2568">
                  <c:v>56969</c:v>
                </c:pt>
                <c:pt idx="2569">
                  <c:v>56977</c:v>
                </c:pt>
                <c:pt idx="2570">
                  <c:v>56984</c:v>
                </c:pt>
                <c:pt idx="2571">
                  <c:v>56991</c:v>
                </c:pt>
                <c:pt idx="2572">
                  <c:v>56998</c:v>
                </c:pt>
                <c:pt idx="2573">
                  <c:v>57005</c:v>
                </c:pt>
                <c:pt idx="2574">
                  <c:v>57012</c:v>
                </c:pt>
                <c:pt idx="2575">
                  <c:v>57019</c:v>
                </c:pt>
                <c:pt idx="2576">
                  <c:v>57026</c:v>
                </c:pt>
                <c:pt idx="2577">
                  <c:v>57033</c:v>
                </c:pt>
                <c:pt idx="2578">
                  <c:v>57040</c:v>
                </c:pt>
                <c:pt idx="2579">
                  <c:v>57047</c:v>
                </c:pt>
                <c:pt idx="2580">
                  <c:v>57054</c:v>
                </c:pt>
                <c:pt idx="2581">
                  <c:v>57061</c:v>
                </c:pt>
                <c:pt idx="2582">
                  <c:v>57068</c:v>
                </c:pt>
                <c:pt idx="2583">
                  <c:v>57075</c:v>
                </c:pt>
                <c:pt idx="2584">
                  <c:v>57082</c:v>
                </c:pt>
                <c:pt idx="2585">
                  <c:v>57089</c:v>
                </c:pt>
                <c:pt idx="2586">
                  <c:v>57096</c:v>
                </c:pt>
                <c:pt idx="2587">
                  <c:v>57103</c:v>
                </c:pt>
                <c:pt idx="2588">
                  <c:v>57110</c:v>
                </c:pt>
                <c:pt idx="2589">
                  <c:v>57117</c:v>
                </c:pt>
                <c:pt idx="2590">
                  <c:v>57124</c:v>
                </c:pt>
                <c:pt idx="2591">
                  <c:v>57131</c:v>
                </c:pt>
                <c:pt idx="2592">
                  <c:v>57138</c:v>
                </c:pt>
                <c:pt idx="2593">
                  <c:v>57145</c:v>
                </c:pt>
                <c:pt idx="2594">
                  <c:v>57152</c:v>
                </c:pt>
                <c:pt idx="2595">
                  <c:v>57159</c:v>
                </c:pt>
                <c:pt idx="2596">
                  <c:v>57166</c:v>
                </c:pt>
                <c:pt idx="2597">
                  <c:v>57173</c:v>
                </c:pt>
                <c:pt idx="2598">
                  <c:v>57180</c:v>
                </c:pt>
                <c:pt idx="2599">
                  <c:v>57187</c:v>
                </c:pt>
                <c:pt idx="2600">
                  <c:v>57194</c:v>
                </c:pt>
                <c:pt idx="2601">
                  <c:v>57201</c:v>
                </c:pt>
                <c:pt idx="2602">
                  <c:v>57208</c:v>
                </c:pt>
                <c:pt idx="2603">
                  <c:v>57215</c:v>
                </c:pt>
                <c:pt idx="2604">
                  <c:v>57222</c:v>
                </c:pt>
                <c:pt idx="2605">
                  <c:v>57229</c:v>
                </c:pt>
                <c:pt idx="2606">
                  <c:v>57236</c:v>
                </c:pt>
                <c:pt idx="2607">
                  <c:v>57243</c:v>
                </c:pt>
                <c:pt idx="2608">
                  <c:v>57250</c:v>
                </c:pt>
                <c:pt idx="2609">
                  <c:v>57257</c:v>
                </c:pt>
                <c:pt idx="2610">
                  <c:v>57264</c:v>
                </c:pt>
                <c:pt idx="2611">
                  <c:v>57271</c:v>
                </c:pt>
                <c:pt idx="2612">
                  <c:v>57278</c:v>
                </c:pt>
                <c:pt idx="2613">
                  <c:v>57285</c:v>
                </c:pt>
                <c:pt idx="2614">
                  <c:v>57292</c:v>
                </c:pt>
                <c:pt idx="2615">
                  <c:v>57299</c:v>
                </c:pt>
                <c:pt idx="2616">
                  <c:v>57306</c:v>
                </c:pt>
                <c:pt idx="2617">
                  <c:v>57313</c:v>
                </c:pt>
                <c:pt idx="2618">
                  <c:v>57320</c:v>
                </c:pt>
                <c:pt idx="2619">
                  <c:v>57327</c:v>
                </c:pt>
                <c:pt idx="2620">
                  <c:v>57334</c:v>
                </c:pt>
                <c:pt idx="2621">
                  <c:v>57341</c:v>
                </c:pt>
                <c:pt idx="2622">
                  <c:v>57348</c:v>
                </c:pt>
                <c:pt idx="2623">
                  <c:v>57355</c:v>
                </c:pt>
                <c:pt idx="2624">
                  <c:v>57362</c:v>
                </c:pt>
                <c:pt idx="2625">
                  <c:v>57369</c:v>
                </c:pt>
                <c:pt idx="2626">
                  <c:v>57376</c:v>
                </c:pt>
                <c:pt idx="2627">
                  <c:v>57383</c:v>
                </c:pt>
                <c:pt idx="2628">
                  <c:v>57390</c:v>
                </c:pt>
                <c:pt idx="2629">
                  <c:v>57397</c:v>
                </c:pt>
                <c:pt idx="2630">
                  <c:v>57404</c:v>
                </c:pt>
                <c:pt idx="2631">
                  <c:v>57411</c:v>
                </c:pt>
                <c:pt idx="2632">
                  <c:v>57418</c:v>
                </c:pt>
                <c:pt idx="2633">
                  <c:v>57425</c:v>
                </c:pt>
                <c:pt idx="2634">
                  <c:v>57432</c:v>
                </c:pt>
                <c:pt idx="2635">
                  <c:v>57439</c:v>
                </c:pt>
                <c:pt idx="2636">
                  <c:v>57446</c:v>
                </c:pt>
                <c:pt idx="2637">
                  <c:v>57453</c:v>
                </c:pt>
                <c:pt idx="2638">
                  <c:v>57460</c:v>
                </c:pt>
                <c:pt idx="2639">
                  <c:v>57467</c:v>
                </c:pt>
                <c:pt idx="2640">
                  <c:v>57474</c:v>
                </c:pt>
                <c:pt idx="2641">
                  <c:v>57481</c:v>
                </c:pt>
                <c:pt idx="2642">
                  <c:v>57488</c:v>
                </c:pt>
                <c:pt idx="2643">
                  <c:v>57495</c:v>
                </c:pt>
                <c:pt idx="2644">
                  <c:v>57502</c:v>
                </c:pt>
                <c:pt idx="2645">
                  <c:v>57509</c:v>
                </c:pt>
                <c:pt idx="2646">
                  <c:v>57516</c:v>
                </c:pt>
                <c:pt idx="2647">
                  <c:v>57523</c:v>
                </c:pt>
                <c:pt idx="2648">
                  <c:v>57530</c:v>
                </c:pt>
                <c:pt idx="2649">
                  <c:v>57537</c:v>
                </c:pt>
                <c:pt idx="2650">
                  <c:v>57544</c:v>
                </c:pt>
                <c:pt idx="2651">
                  <c:v>57551</c:v>
                </c:pt>
                <c:pt idx="2652">
                  <c:v>57558</c:v>
                </c:pt>
                <c:pt idx="2653">
                  <c:v>57565</c:v>
                </c:pt>
                <c:pt idx="2654">
                  <c:v>57572</c:v>
                </c:pt>
                <c:pt idx="2655">
                  <c:v>57579</c:v>
                </c:pt>
                <c:pt idx="2656">
                  <c:v>57586</c:v>
                </c:pt>
                <c:pt idx="2657">
                  <c:v>57593</c:v>
                </c:pt>
                <c:pt idx="2658">
                  <c:v>57600</c:v>
                </c:pt>
                <c:pt idx="2659">
                  <c:v>57607</c:v>
                </c:pt>
                <c:pt idx="2660">
                  <c:v>57614</c:v>
                </c:pt>
                <c:pt idx="2661">
                  <c:v>57621</c:v>
                </c:pt>
                <c:pt idx="2662">
                  <c:v>57628</c:v>
                </c:pt>
                <c:pt idx="2663">
                  <c:v>57635</c:v>
                </c:pt>
                <c:pt idx="2664">
                  <c:v>57642</c:v>
                </c:pt>
                <c:pt idx="2665">
                  <c:v>57649</c:v>
                </c:pt>
                <c:pt idx="2666">
                  <c:v>57656</c:v>
                </c:pt>
                <c:pt idx="2667">
                  <c:v>57663</c:v>
                </c:pt>
                <c:pt idx="2668">
                  <c:v>57670</c:v>
                </c:pt>
                <c:pt idx="2669">
                  <c:v>57677</c:v>
                </c:pt>
                <c:pt idx="2670">
                  <c:v>57684</c:v>
                </c:pt>
                <c:pt idx="2671">
                  <c:v>57691</c:v>
                </c:pt>
                <c:pt idx="2672">
                  <c:v>57698</c:v>
                </c:pt>
                <c:pt idx="2673">
                  <c:v>57706</c:v>
                </c:pt>
                <c:pt idx="2674">
                  <c:v>57713</c:v>
                </c:pt>
                <c:pt idx="2675">
                  <c:v>57720</c:v>
                </c:pt>
                <c:pt idx="2676">
                  <c:v>57727</c:v>
                </c:pt>
                <c:pt idx="2677">
                  <c:v>57734</c:v>
                </c:pt>
                <c:pt idx="2678">
                  <c:v>57741</c:v>
                </c:pt>
                <c:pt idx="2679">
                  <c:v>57748</c:v>
                </c:pt>
                <c:pt idx="2680">
                  <c:v>57755</c:v>
                </c:pt>
                <c:pt idx="2681">
                  <c:v>57762</c:v>
                </c:pt>
                <c:pt idx="2682">
                  <c:v>57769</c:v>
                </c:pt>
                <c:pt idx="2683">
                  <c:v>57776</c:v>
                </c:pt>
                <c:pt idx="2684">
                  <c:v>57783</c:v>
                </c:pt>
                <c:pt idx="2685">
                  <c:v>57790</c:v>
                </c:pt>
                <c:pt idx="2686">
                  <c:v>57797</c:v>
                </c:pt>
                <c:pt idx="2687">
                  <c:v>57804</c:v>
                </c:pt>
                <c:pt idx="2688">
                  <c:v>57811</c:v>
                </c:pt>
                <c:pt idx="2689">
                  <c:v>57818</c:v>
                </c:pt>
                <c:pt idx="2690">
                  <c:v>57825</c:v>
                </c:pt>
                <c:pt idx="2691">
                  <c:v>57832</c:v>
                </c:pt>
                <c:pt idx="2692">
                  <c:v>57839</c:v>
                </c:pt>
                <c:pt idx="2693">
                  <c:v>57846</c:v>
                </c:pt>
                <c:pt idx="2694">
                  <c:v>57853</c:v>
                </c:pt>
                <c:pt idx="2695">
                  <c:v>57860</c:v>
                </c:pt>
                <c:pt idx="2696">
                  <c:v>57867</c:v>
                </c:pt>
                <c:pt idx="2697">
                  <c:v>57874</c:v>
                </c:pt>
                <c:pt idx="2698">
                  <c:v>57881</c:v>
                </c:pt>
                <c:pt idx="2699">
                  <c:v>57888</c:v>
                </c:pt>
                <c:pt idx="2700">
                  <c:v>57895</c:v>
                </c:pt>
                <c:pt idx="2701">
                  <c:v>57902</c:v>
                </c:pt>
                <c:pt idx="2702">
                  <c:v>57909</c:v>
                </c:pt>
                <c:pt idx="2703">
                  <c:v>57916</c:v>
                </c:pt>
                <c:pt idx="2704">
                  <c:v>57923</c:v>
                </c:pt>
                <c:pt idx="2705">
                  <c:v>57930</c:v>
                </c:pt>
                <c:pt idx="2706">
                  <c:v>57937</c:v>
                </c:pt>
                <c:pt idx="2707">
                  <c:v>57944</c:v>
                </c:pt>
                <c:pt idx="2708">
                  <c:v>57951</c:v>
                </c:pt>
                <c:pt idx="2709">
                  <c:v>57958</c:v>
                </c:pt>
                <c:pt idx="2710">
                  <c:v>57965</c:v>
                </c:pt>
                <c:pt idx="2711">
                  <c:v>57972</c:v>
                </c:pt>
                <c:pt idx="2712">
                  <c:v>57979</c:v>
                </c:pt>
                <c:pt idx="2713">
                  <c:v>57986</c:v>
                </c:pt>
                <c:pt idx="2714">
                  <c:v>57993</c:v>
                </c:pt>
                <c:pt idx="2715">
                  <c:v>58000</c:v>
                </c:pt>
                <c:pt idx="2716">
                  <c:v>58007</c:v>
                </c:pt>
                <c:pt idx="2717">
                  <c:v>58014</c:v>
                </c:pt>
                <c:pt idx="2718">
                  <c:v>58021</c:v>
                </c:pt>
                <c:pt idx="2719">
                  <c:v>58028</c:v>
                </c:pt>
                <c:pt idx="2720">
                  <c:v>58035</c:v>
                </c:pt>
                <c:pt idx="2721">
                  <c:v>58042</c:v>
                </c:pt>
                <c:pt idx="2722">
                  <c:v>58049</c:v>
                </c:pt>
                <c:pt idx="2723">
                  <c:v>58056</c:v>
                </c:pt>
                <c:pt idx="2724">
                  <c:v>58063</c:v>
                </c:pt>
                <c:pt idx="2725">
                  <c:v>58071</c:v>
                </c:pt>
                <c:pt idx="2726">
                  <c:v>58078</c:v>
                </c:pt>
                <c:pt idx="2727">
                  <c:v>58085</c:v>
                </c:pt>
                <c:pt idx="2728">
                  <c:v>58092</c:v>
                </c:pt>
                <c:pt idx="2729">
                  <c:v>58099</c:v>
                </c:pt>
                <c:pt idx="2730">
                  <c:v>58106</c:v>
                </c:pt>
                <c:pt idx="2731">
                  <c:v>58113</c:v>
                </c:pt>
                <c:pt idx="2732">
                  <c:v>58120</c:v>
                </c:pt>
                <c:pt idx="2733">
                  <c:v>58127</c:v>
                </c:pt>
                <c:pt idx="2734">
                  <c:v>58134</c:v>
                </c:pt>
                <c:pt idx="2735">
                  <c:v>58141</c:v>
                </c:pt>
                <c:pt idx="2736">
                  <c:v>58148</c:v>
                </c:pt>
                <c:pt idx="2737">
                  <c:v>58155</c:v>
                </c:pt>
                <c:pt idx="2738">
                  <c:v>58166</c:v>
                </c:pt>
                <c:pt idx="2739">
                  <c:v>58173</c:v>
                </c:pt>
                <c:pt idx="2740">
                  <c:v>58180</c:v>
                </c:pt>
                <c:pt idx="2741">
                  <c:v>58187</c:v>
                </c:pt>
                <c:pt idx="2742">
                  <c:v>58194</c:v>
                </c:pt>
                <c:pt idx="2743">
                  <c:v>58201</c:v>
                </c:pt>
                <c:pt idx="2744">
                  <c:v>58208</c:v>
                </c:pt>
                <c:pt idx="2745">
                  <c:v>58215</c:v>
                </c:pt>
                <c:pt idx="2746">
                  <c:v>58222</c:v>
                </c:pt>
                <c:pt idx="2747">
                  <c:v>58229</c:v>
                </c:pt>
                <c:pt idx="2748">
                  <c:v>58236</c:v>
                </c:pt>
                <c:pt idx="2749">
                  <c:v>58243</c:v>
                </c:pt>
                <c:pt idx="2750">
                  <c:v>58250</c:v>
                </c:pt>
                <c:pt idx="2751">
                  <c:v>58257</c:v>
                </c:pt>
                <c:pt idx="2752">
                  <c:v>58264</c:v>
                </c:pt>
                <c:pt idx="2753">
                  <c:v>58271</c:v>
                </c:pt>
                <c:pt idx="2754">
                  <c:v>58278</c:v>
                </c:pt>
                <c:pt idx="2755">
                  <c:v>58285</c:v>
                </c:pt>
                <c:pt idx="2756">
                  <c:v>58292</c:v>
                </c:pt>
                <c:pt idx="2757">
                  <c:v>58299</c:v>
                </c:pt>
                <c:pt idx="2758">
                  <c:v>58306</c:v>
                </c:pt>
                <c:pt idx="2759">
                  <c:v>58313</c:v>
                </c:pt>
                <c:pt idx="2760">
                  <c:v>58320</c:v>
                </c:pt>
                <c:pt idx="2761">
                  <c:v>58327</c:v>
                </c:pt>
                <c:pt idx="2762">
                  <c:v>58334</c:v>
                </c:pt>
                <c:pt idx="2763">
                  <c:v>58341</c:v>
                </c:pt>
                <c:pt idx="2764">
                  <c:v>58348</c:v>
                </c:pt>
                <c:pt idx="2765">
                  <c:v>58355</c:v>
                </c:pt>
                <c:pt idx="2766">
                  <c:v>58362</c:v>
                </c:pt>
                <c:pt idx="2767">
                  <c:v>58369</c:v>
                </c:pt>
                <c:pt idx="2768">
                  <c:v>58376</c:v>
                </c:pt>
                <c:pt idx="2769">
                  <c:v>58383</c:v>
                </c:pt>
                <c:pt idx="2770">
                  <c:v>58390</c:v>
                </c:pt>
                <c:pt idx="2771">
                  <c:v>58397</c:v>
                </c:pt>
                <c:pt idx="2772">
                  <c:v>58404</c:v>
                </c:pt>
                <c:pt idx="2773">
                  <c:v>58411</c:v>
                </c:pt>
                <c:pt idx="2774">
                  <c:v>58418</c:v>
                </c:pt>
                <c:pt idx="2775">
                  <c:v>58425</c:v>
                </c:pt>
                <c:pt idx="2776">
                  <c:v>58432</c:v>
                </c:pt>
                <c:pt idx="2777">
                  <c:v>58439</c:v>
                </c:pt>
                <c:pt idx="2778">
                  <c:v>58446</c:v>
                </c:pt>
                <c:pt idx="2779">
                  <c:v>58453</c:v>
                </c:pt>
                <c:pt idx="2780">
                  <c:v>58460</c:v>
                </c:pt>
                <c:pt idx="2781">
                  <c:v>58467</c:v>
                </c:pt>
                <c:pt idx="2782">
                  <c:v>58474</c:v>
                </c:pt>
                <c:pt idx="2783">
                  <c:v>58481</c:v>
                </c:pt>
                <c:pt idx="2784">
                  <c:v>58488</c:v>
                </c:pt>
                <c:pt idx="2785">
                  <c:v>58495</c:v>
                </c:pt>
                <c:pt idx="2786">
                  <c:v>58502</c:v>
                </c:pt>
                <c:pt idx="2787">
                  <c:v>58509</c:v>
                </c:pt>
                <c:pt idx="2788">
                  <c:v>58516</c:v>
                </c:pt>
                <c:pt idx="2789">
                  <c:v>58523</c:v>
                </c:pt>
                <c:pt idx="2790">
                  <c:v>58530</c:v>
                </c:pt>
                <c:pt idx="2791">
                  <c:v>58537</c:v>
                </c:pt>
                <c:pt idx="2792">
                  <c:v>58544</c:v>
                </c:pt>
                <c:pt idx="2793">
                  <c:v>58551</c:v>
                </c:pt>
                <c:pt idx="2794">
                  <c:v>58558</c:v>
                </c:pt>
                <c:pt idx="2795">
                  <c:v>58565</c:v>
                </c:pt>
                <c:pt idx="2796">
                  <c:v>58572</c:v>
                </c:pt>
                <c:pt idx="2797">
                  <c:v>58579</c:v>
                </c:pt>
                <c:pt idx="2798">
                  <c:v>58586</c:v>
                </c:pt>
                <c:pt idx="2799">
                  <c:v>58593</c:v>
                </c:pt>
                <c:pt idx="2800">
                  <c:v>58600</c:v>
                </c:pt>
                <c:pt idx="2801">
                  <c:v>58607</c:v>
                </c:pt>
                <c:pt idx="2802">
                  <c:v>58614</c:v>
                </c:pt>
                <c:pt idx="2803">
                  <c:v>58621</c:v>
                </c:pt>
                <c:pt idx="2804">
                  <c:v>58628</c:v>
                </c:pt>
                <c:pt idx="2805">
                  <c:v>58635</c:v>
                </c:pt>
                <c:pt idx="2806">
                  <c:v>58642</c:v>
                </c:pt>
                <c:pt idx="2807">
                  <c:v>58649</c:v>
                </c:pt>
                <c:pt idx="2808">
                  <c:v>58656</c:v>
                </c:pt>
                <c:pt idx="2809">
                  <c:v>58663</c:v>
                </c:pt>
                <c:pt idx="2810">
                  <c:v>58670</c:v>
                </c:pt>
                <c:pt idx="2811">
                  <c:v>58677</c:v>
                </c:pt>
                <c:pt idx="2812">
                  <c:v>58684</c:v>
                </c:pt>
                <c:pt idx="2813">
                  <c:v>58691</c:v>
                </c:pt>
                <c:pt idx="2814">
                  <c:v>58698</c:v>
                </c:pt>
                <c:pt idx="2815">
                  <c:v>58705</c:v>
                </c:pt>
                <c:pt idx="2816">
                  <c:v>58712</c:v>
                </c:pt>
                <c:pt idx="2817">
                  <c:v>58719</c:v>
                </c:pt>
                <c:pt idx="2818">
                  <c:v>58726</c:v>
                </c:pt>
                <c:pt idx="2819">
                  <c:v>58733</c:v>
                </c:pt>
                <c:pt idx="2820">
                  <c:v>58740</c:v>
                </c:pt>
                <c:pt idx="2821">
                  <c:v>58747</c:v>
                </c:pt>
                <c:pt idx="2822">
                  <c:v>58754</c:v>
                </c:pt>
                <c:pt idx="2823">
                  <c:v>58761</c:v>
                </c:pt>
                <c:pt idx="2824">
                  <c:v>58768</c:v>
                </c:pt>
                <c:pt idx="2825">
                  <c:v>58775</c:v>
                </c:pt>
                <c:pt idx="2826">
                  <c:v>58782</c:v>
                </c:pt>
                <c:pt idx="2827">
                  <c:v>58789</c:v>
                </c:pt>
                <c:pt idx="2828">
                  <c:v>58796</c:v>
                </c:pt>
                <c:pt idx="2829">
                  <c:v>58804</c:v>
                </c:pt>
                <c:pt idx="2830">
                  <c:v>58811</c:v>
                </c:pt>
                <c:pt idx="2831">
                  <c:v>58818</c:v>
                </c:pt>
                <c:pt idx="2832">
                  <c:v>58825</c:v>
                </c:pt>
                <c:pt idx="2833">
                  <c:v>58832</c:v>
                </c:pt>
                <c:pt idx="2834">
                  <c:v>58839</c:v>
                </c:pt>
                <c:pt idx="2835">
                  <c:v>58846</c:v>
                </c:pt>
                <c:pt idx="2836">
                  <c:v>58853</c:v>
                </c:pt>
                <c:pt idx="2837">
                  <c:v>58860</c:v>
                </c:pt>
                <c:pt idx="2838">
                  <c:v>58867</c:v>
                </c:pt>
                <c:pt idx="2839">
                  <c:v>58874</c:v>
                </c:pt>
                <c:pt idx="2840">
                  <c:v>58881</c:v>
                </c:pt>
                <c:pt idx="2841">
                  <c:v>58888</c:v>
                </c:pt>
                <c:pt idx="2842">
                  <c:v>58895</c:v>
                </c:pt>
                <c:pt idx="2843">
                  <c:v>58902</c:v>
                </c:pt>
                <c:pt idx="2844">
                  <c:v>58909</c:v>
                </c:pt>
                <c:pt idx="2845">
                  <c:v>58916</c:v>
                </c:pt>
                <c:pt idx="2846">
                  <c:v>58923</c:v>
                </c:pt>
                <c:pt idx="2847">
                  <c:v>58930</c:v>
                </c:pt>
                <c:pt idx="2848">
                  <c:v>58937</c:v>
                </c:pt>
                <c:pt idx="2849">
                  <c:v>58944</c:v>
                </c:pt>
                <c:pt idx="2850">
                  <c:v>58951</c:v>
                </c:pt>
                <c:pt idx="2851">
                  <c:v>58958</c:v>
                </c:pt>
                <c:pt idx="2852">
                  <c:v>58965</c:v>
                </c:pt>
                <c:pt idx="2853">
                  <c:v>58972</c:v>
                </c:pt>
                <c:pt idx="2854">
                  <c:v>58979</c:v>
                </c:pt>
                <c:pt idx="2855">
                  <c:v>58986</c:v>
                </c:pt>
                <c:pt idx="2856">
                  <c:v>58993</c:v>
                </c:pt>
                <c:pt idx="2857">
                  <c:v>59000</c:v>
                </c:pt>
                <c:pt idx="2858">
                  <c:v>59007</c:v>
                </c:pt>
                <c:pt idx="2859">
                  <c:v>59014</c:v>
                </c:pt>
                <c:pt idx="2860">
                  <c:v>59021</c:v>
                </c:pt>
                <c:pt idx="2861">
                  <c:v>59028</c:v>
                </c:pt>
                <c:pt idx="2862">
                  <c:v>59035</c:v>
                </c:pt>
                <c:pt idx="2863">
                  <c:v>59042</c:v>
                </c:pt>
                <c:pt idx="2864">
                  <c:v>59049</c:v>
                </c:pt>
                <c:pt idx="2865">
                  <c:v>59056</c:v>
                </c:pt>
                <c:pt idx="2866">
                  <c:v>59063</c:v>
                </c:pt>
                <c:pt idx="2867">
                  <c:v>59070</c:v>
                </c:pt>
                <c:pt idx="2868">
                  <c:v>59077</c:v>
                </c:pt>
                <c:pt idx="2869">
                  <c:v>59084</c:v>
                </c:pt>
                <c:pt idx="2870">
                  <c:v>59091</c:v>
                </c:pt>
                <c:pt idx="2871">
                  <c:v>59098</c:v>
                </c:pt>
                <c:pt idx="2872">
                  <c:v>59105</c:v>
                </c:pt>
                <c:pt idx="2873">
                  <c:v>59112</c:v>
                </c:pt>
                <c:pt idx="2874">
                  <c:v>59119</c:v>
                </c:pt>
                <c:pt idx="2875">
                  <c:v>59126</c:v>
                </c:pt>
                <c:pt idx="2876">
                  <c:v>59133</c:v>
                </c:pt>
                <c:pt idx="2877">
                  <c:v>59140</c:v>
                </c:pt>
                <c:pt idx="2878">
                  <c:v>59147</c:v>
                </c:pt>
                <c:pt idx="2879">
                  <c:v>59154</c:v>
                </c:pt>
                <c:pt idx="2880">
                  <c:v>59161</c:v>
                </c:pt>
                <c:pt idx="2881">
                  <c:v>59168</c:v>
                </c:pt>
                <c:pt idx="2882">
                  <c:v>59175</c:v>
                </c:pt>
                <c:pt idx="2883">
                  <c:v>59182</c:v>
                </c:pt>
                <c:pt idx="2884">
                  <c:v>59189</c:v>
                </c:pt>
                <c:pt idx="2885">
                  <c:v>59196</c:v>
                </c:pt>
                <c:pt idx="2886">
                  <c:v>59203</c:v>
                </c:pt>
                <c:pt idx="2887">
                  <c:v>59210</c:v>
                </c:pt>
                <c:pt idx="2888">
                  <c:v>59217</c:v>
                </c:pt>
                <c:pt idx="2889">
                  <c:v>59224</c:v>
                </c:pt>
                <c:pt idx="2890">
                  <c:v>59231</c:v>
                </c:pt>
                <c:pt idx="2891">
                  <c:v>59238</c:v>
                </c:pt>
                <c:pt idx="2892">
                  <c:v>59245</c:v>
                </c:pt>
                <c:pt idx="2893">
                  <c:v>59252</c:v>
                </c:pt>
                <c:pt idx="2894">
                  <c:v>59259</c:v>
                </c:pt>
                <c:pt idx="2895">
                  <c:v>59266</c:v>
                </c:pt>
                <c:pt idx="2896">
                  <c:v>59273</c:v>
                </c:pt>
                <c:pt idx="2897">
                  <c:v>59280</c:v>
                </c:pt>
                <c:pt idx="2898">
                  <c:v>59287</c:v>
                </c:pt>
                <c:pt idx="2899">
                  <c:v>59294</c:v>
                </c:pt>
                <c:pt idx="2900">
                  <c:v>59301</c:v>
                </c:pt>
                <c:pt idx="2901">
                  <c:v>59308</c:v>
                </c:pt>
                <c:pt idx="2902">
                  <c:v>59315</c:v>
                </c:pt>
                <c:pt idx="2903">
                  <c:v>59322</c:v>
                </c:pt>
                <c:pt idx="2904">
                  <c:v>59329</c:v>
                </c:pt>
                <c:pt idx="2905">
                  <c:v>59336</c:v>
                </c:pt>
                <c:pt idx="2906">
                  <c:v>59343</c:v>
                </c:pt>
                <c:pt idx="2907">
                  <c:v>59350</c:v>
                </c:pt>
                <c:pt idx="2908">
                  <c:v>59357</c:v>
                </c:pt>
                <c:pt idx="2909">
                  <c:v>59364</c:v>
                </c:pt>
                <c:pt idx="2910">
                  <c:v>59371</c:v>
                </c:pt>
                <c:pt idx="2911">
                  <c:v>59378</c:v>
                </c:pt>
                <c:pt idx="2912">
                  <c:v>59385</c:v>
                </c:pt>
                <c:pt idx="2913">
                  <c:v>59392</c:v>
                </c:pt>
                <c:pt idx="2914">
                  <c:v>59399</c:v>
                </c:pt>
                <c:pt idx="2915">
                  <c:v>59406</c:v>
                </c:pt>
                <c:pt idx="2916">
                  <c:v>59413</c:v>
                </c:pt>
                <c:pt idx="2917">
                  <c:v>59420</c:v>
                </c:pt>
                <c:pt idx="2918">
                  <c:v>59427</c:v>
                </c:pt>
                <c:pt idx="2919">
                  <c:v>59434</c:v>
                </c:pt>
                <c:pt idx="2920">
                  <c:v>59441</c:v>
                </c:pt>
                <c:pt idx="2921">
                  <c:v>59448</c:v>
                </c:pt>
                <c:pt idx="2922">
                  <c:v>59455</c:v>
                </c:pt>
                <c:pt idx="2923">
                  <c:v>59462</c:v>
                </c:pt>
                <c:pt idx="2924">
                  <c:v>59469</c:v>
                </c:pt>
                <c:pt idx="2925">
                  <c:v>59476</c:v>
                </c:pt>
                <c:pt idx="2926">
                  <c:v>59483</c:v>
                </c:pt>
                <c:pt idx="2927">
                  <c:v>59490</c:v>
                </c:pt>
                <c:pt idx="2928">
                  <c:v>59497</c:v>
                </c:pt>
                <c:pt idx="2929">
                  <c:v>59504</c:v>
                </c:pt>
                <c:pt idx="2930">
                  <c:v>59511</c:v>
                </c:pt>
                <c:pt idx="2931">
                  <c:v>59518</c:v>
                </c:pt>
                <c:pt idx="2932">
                  <c:v>59525</c:v>
                </c:pt>
                <c:pt idx="2933">
                  <c:v>59532</c:v>
                </c:pt>
                <c:pt idx="2934">
                  <c:v>59539</c:v>
                </c:pt>
                <c:pt idx="2935">
                  <c:v>59546</c:v>
                </c:pt>
                <c:pt idx="2936">
                  <c:v>59553</c:v>
                </c:pt>
                <c:pt idx="2937">
                  <c:v>59560</c:v>
                </c:pt>
                <c:pt idx="2938">
                  <c:v>59567</c:v>
                </c:pt>
                <c:pt idx="2939">
                  <c:v>59574</c:v>
                </c:pt>
                <c:pt idx="2940">
                  <c:v>59581</c:v>
                </c:pt>
                <c:pt idx="2941">
                  <c:v>59588</c:v>
                </c:pt>
                <c:pt idx="2942">
                  <c:v>59595</c:v>
                </c:pt>
                <c:pt idx="2943">
                  <c:v>59602</c:v>
                </c:pt>
                <c:pt idx="2944">
                  <c:v>59609</c:v>
                </c:pt>
                <c:pt idx="2945">
                  <c:v>59616</c:v>
                </c:pt>
                <c:pt idx="2946">
                  <c:v>59623</c:v>
                </c:pt>
                <c:pt idx="2947">
                  <c:v>59630</c:v>
                </c:pt>
                <c:pt idx="2948">
                  <c:v>59637</c:v>
                </c:pt>
                <c:pt idx="2949">
                  <c:v>59644</c:v>
                </c:pt>
                <c:pt idx="2950">
                  <c:v>59651</c:v>
                </c:pt>
                <c:pt idx="2951">
                  <c:v>59658</c:v>
                </c:pt>
                <c:pt idx="2952">
                  <c:v>59665</c:v>
                </c:pt>
                <c:pt idx="2953">
                  <c:v>59672</c:v>
                </c:pt>
                <c:pt idx="2954">
                  <c:v>59679</c:v>
                </c:pt>
                <c:pt idx="2955">
                  <c:v>59686</c:v>
                </c:pt>
                <c:pt idx="2956">
                  <c:v>59693</c:v>
                </c:pt>
                <c:pt idx="2957">
                  <c:v>59700</c:v>
                </c:pt>
                <c:pt idx="2958">
                  <c:v>59707</c:v>
                </c:pt>
                <c:pt idx="2959">
                  <c:v>59714</c:v>
                </c:pt>
                <c:pt idx="2960">
                  <c:v>59721</c:v>
                </c:pt>
                <c:pt idx="2961">
                  <c:v>59728</c:v>
                </c:pt>
                <c:pt idx="2962">
                  <c:v>59735</c:v>
                </c:pt>
                <c:pt idx="2963">
                  <c:v>59742</c:v>
                </c:pt>
                <c:pt idx="2964">
                  <c:v>59749</c:v>
                </c:pt>
                <c:pt idx="2965">
                  <c:v>59756</c:v>
                </c:pt>
                <c:pt idx="2966">
                  <c:v>59763</c:v>
                </c:pt>
                <c:pt idx="2967">
                  <c:v>59770</c:v>
                </c:pt>
                <c:pt idx="2968">
                  <c:v>59777</c:v>
                </c:pt>
                <c:pt idx="2969">
                  <c:v>59784</c:v>
                </c:pt>
                <c:pt idx="2970">
                  <c:v>59791</c:v>
                </c:pt>
                <c:pt idx="2971">
                  <c:v>59798</c:v>
                </c:pt>
                <c:pt idx="2972">
                  <c:v>59805</c:v>
                </c:pt>
                <c:pt idx="2973">
                  <c:v>59812</c:v>
                </c:pt>
                <c:pt idx="2974">
                  <c:v>59819</c:v>
                </c:pt>
                <c:pt idx="2975">
                  <c:v>59826</c:v>
                </c:pt>
                <c:pt idx="2976">
                  <c:v>59833</c:v>
                </c:pt>
                <c:pt idx="2977">
                  <c:v>59840</c:v>
                </c:pt>
                <c:pt idx="2978">
                  <c:v>59847</c:v>
                </c:pt>
                <c:pt idx="2979">
                  <c:v>59854</c:v>
                </c:pt>
                <c:pt idx="2980">
                  <c:v>59861</c:v>
                </c:pt>
                <c:pt idx="2981">
                  <c:v>59868</c:v>
                </c:pt>
                <c:pt idx="2982">
                  <c:v>59875</c:v>
                </c:pt>
                <c:pt idx="2983">
                  <c:v>59882</c:v>
                </c:pt>
                <c:pt idx="2984">
                  <c:v>59889</c:v>
                </c:pt>
                <c:pt idx="2985">
                  <c:v>59897</c:v>
                </c:pt>
                <c:pt idx="2986">
                  <c:v>59904</c:v>
                </c:pt>
                <c:pt idx="2987">
                  <c:v>59911</c:v>
                </c:pt>
                <c:pt idx="2988">
                  <c:v>59918</c:v>
                </c:pt>
                <c:pt idx="2989">
                  <c:v>59925</c:v>
                </c:pt>
                <c:pt idx="2990">
                  <c:v>59932</c:v>
                </c:pt>
                <c:pt idx="2991">
                  <c:v>59939</c:v>
                </c:pt>
                <c:pt idx="2992">
                  <c:v>59946</c:v>
                </c:pt>
                <c:pt idx="2993">
                  <c:v>59953</c:v>
                </c:pt>
                <c:pt idx="2994">
                  <c:v>59960</c:v>
                </c:pt>
                <c:pt idx="2995">
                  <c:v>59967</c:v>
                </c:pt>
                <c:pt idx="2996">
                  <c:v>59974</c:v>
                </c:pt>
                <c:pt idx="2997">
                  <c:v>59981</c:v>
                </c:pt>
                <c:pt idx="2998">
                  <c:v>59988</c:v>
                </c:pt>
                <c:pt idx="2999">
                  <c:v>59995</c:v>
                </c:pt>
                <c:pt idx="3000">
                  <c:v>60002</c:v>
                </c:pt>
                <c:pt idx="3001">
                  <c:v>60009</c:v>
                </c:pt>
                <c:pt idx="3002">
                  <c:v>60016</c:v>
                </c:pt>
                <c:pt idx="3003">
                  <c:v>60023</c:v>
                </c:pt>
                <c:pt idx="3004">
                  <c:v>60030</c:v>
                </c:pt>
                <c:pt idx="3005">
                  <c:v>60037</c:v>
                </c:pt>
                <c:pt idx="3006">
                  <c:v>60044</c:v>
                </c:pt>
                <c:pt idx="3007">
                  <c:v>60051</c:v>
                </c:pt>
                <c:pt idx="3008">
                  <c:v>60058</c:v>
                </c:pt>
                <c:pt idx="3009">
                  <c:v>60065</c:v>
                </c:pt>
                <c:pt idx="3010">
                  <c:v>60072</c:v>
                </c:pt>
                <c:pt idx="3011">
                  <c:v>60079</c:v>
                </c:pt>
                <c:pt idx="3012">
                  <c:v>60086</c:v>
                </c:pt>
                <c:pt idx="3013">
                  <c:v>60093</c:v>
                </c:pt>
                <c:pt idx="3014">
                  <c:v>60100</c:v>
                </c:pt>
                <c:pt idx="3015">
                  <c:v>60107</c:v>
                </c:pt>
                <c:pt idx="3016">
                  <c:v>60114</c:v>
                </c:pt>
                <c:pt idx="3017">
                  <c:v>60121</c:v>
                </c:pt>
                <c:pt idx="3018">
                  <c:v>60128</c:v>
                </c:pt>
                <c:pt idx="3019">
                  <c:v>60135</c:v>
                </c:pt>
                <c:pt idx="3020">
                  <c:v>60142</c:v>
                </c:pt>
                <c:pt idx="3021">
                  <c:v>60149</c:v>
                </c:pt>
                <c:pt idx="3022">
                  <c:v>60156</c:v>
                </c:pt>
                <c:pt idx="3023">
                  <c:v>60163</c:v>
                </c:pt>
                <c:pt idx="3024">
                  <c:v>60170</c:v>
                </c:pt>
                <c:pt idx="3025">
                  <c:v>60177</c:v>
                </c:pt>
                <c:pt idx="3026">
                  <c:v>60184</c:v>
                </c:pt>
                <c:pt idx="3027">
                  <c:v>60191</c:v>
                </c:pt>
                <c:pt idx="3028">
                  <c:v>60198</c:v>
                </c:pt>
                <c:pt idx="3029">
                  <c:v>60205</c:v>
                </c:pt>
                <c:pt idx="3030">
                  <c:v>60212</c:v>
                </c:pt>
                <c:pt idx="3031">
                  <c:v>60219</c:v>
                </c:pt>
                <c:pt idx="3032">
                  <c:v>60226</c:v>
                </c:pt>
                <c:pt idx="3033">
                  <c:v>60233</c:v>
                </c:pt>
                <c:pt idx="3034">
                  <c:v>60240</c:v>
                </c:pt>
                <c:pt idx="3035">
                  <c:v>60247</c:v>
                </c:pt>
                <c:pt idx="3036">
                  <c:v>60254</c:v>
                </c:pt>
                <c:pt idx="3037">
                  <c:v>60265</c:v>
                </c:pt>
                <c:pt idx="3038">
                  <c:v>60272</c:v>
                </c:pt>
                <c:pt idx="3039">
                  <c:v>60279</c:v>
                </c:pt>
                <c:pt idx="3040">
                  <c:v>60286</c:v>
                </c:pt>
                <c:pt idx="3041">
                  <c:v>60293</c:v>
                </c:pt>
                <c:pt idx="3042">
                  <c:v>60300</c:v>
                </c:pt>
                <c:pt idx="3043">
                  <c:v>60307</c:v>
                </c:pt>
                <c:pt idx="3044">
                  <c:v>60314</c:v>
                </c:pt>
                <c:pt idx="3045">
                  <c:v>60321</c:v>
                </c:pt>
                <c:pt idx="3046">
                  <c:v>60328</c:v>
                </c:pt>
                <c:pt idx="3047">
                  <c:v>60335</c:v>
                </c:pt>
                <c:pt idx="3048">
                  <c:v>60342</c:v>
                </c:pt>
                <c:pt idx="3049">
                  <c:v>60349</c:v>
                </c:pt>
                <c:pt idx="3050">
                  <c:v>60357</c:v>
                </c:pt>
                <c:pt idx="3051">
                  <c:v>60364</c:v>
                </c:pt>
                <c:pt idx="3052">
                  <c:v>60371</c:v>
                </c:pt>
                <c:pt idx="3053">
                  <c:v>60378</c:v>
                </c:pt>
                <c:pt idx="3054">
                  <c:v>60385</c:v>
                </c:pt>
                <c:pt idx="3055">
                  <c:v>60392</c:v>
                </c:pt>
                <c:pt idx="3056">
                  <c:v>60399</c:v>
                </c:pt>
                <c:pt idx="3057">
                  <c:v>60406</c:v>
                </c:pt>
                <c:pt idx="3058">
                  <c:v>60413</c:v>
                </c:pt>
                <c:pt idx="3059">
                  <c:v>60420</c:v>
                </c:pt>
                <c:pt idx="3060">
                  <c:v>60427</c:v>
                </c:pt>
                <c:pt idx="3061">
                  <c:v>60434</c:v>
                </c:pt>
                <c:pt idx="3062">
                  <c:v>60441</c:v>
                </c:pt>
                <c:pt idx="3063">
                  <c:v>60448</c:v>
                </c:pt>
                <c:pt idx="3064">
                  <c:v>60455</c:v>
                </c:pt>
                <c:pt idx="3065">
                  <c:v>60462</c:v>
                </c:pt>
                <c:pt idx="3066">
                  <c:v>60469</c:v>
                </c:pt>
                <c:pt idx="3067">
                  <c:v>60476</c:v>
                </c:pt>
                <c:pt idx="3068">
                  <c:v>60483</c:v>
                </c:pt>
                <c:pt idx="3069">
                  <c:v>60490</c:v>
                </c:pt>
                <c:pt idx="3070">
                  <c:v>60497</c:v>
                </c:pt>
                <c:pt idx="3071">
                  <c:v>60504</c:v>
                </c:pt>
                <c:pt idx="3072">
                  <c:v>60511</c:v>
                </c:pt>
                <c:pt idx="3073">
                  <c:v>60518</c:v>
                </c:pt>
                <c:pt idx="3074">
                  <c:v>60525</c:v>
                </c:pt>
                <c:pt idx="3075">
                  <c:v>60532</c:v>
                </c:pt>
                <c:pt idx="3076">
                  <c:v>60539</c:v>
                </c:pt>
                <c:pt idx="3077">
                  <c:v>60546</c:v>
                </c:pt>
                <c:pt idx="3078">
                  <c:v>60553</c:v>
                </c:pt>
                <c:pt idx="3079">
                  <c:v>60560</c:v>
                </c:pt>
                <c:pt idx="3080">
                  <c:v>60567</c:v>
                </c:pt>
                <c:pt idx="3081">
                  <c:v>60574</c:v>
                </c:pt>
                <c:pt idx="3082">
                  <c:v>60581</c:v>
                </c:pt>
                <c:pt idx="3083">
                  <c:v>60588</c:v>
                </c:pt>
                <c:pt idx="3084">
                  <c:v>60595</c:v>
                </c:pt>
                <c:pt idx="3085">
                  <c:v>60602</c:v>
                </c:pt>
                <c:pt idx="3086">
                  <c:v>60609</c:v>
                </c:pt>
                <c:pt idx="3087">
                  <c:v>60616</c:v>
                </c:pt>
                <c:pt idx="3088">
                  <c:v>60623</c:v>
                </c:pt>
                <c:pt idx="3089">
                  <c:v>60630</c:v>
                </c:pt>
                <c:pt idx="3090">
                  <c:v>60637</c:v>
                </c:pt>
                <c:pt idx="3091">
                  <c:v>60644</c:v>
                </c:pt>
                <c:pt idx="3092">
                  <c:v>60651</c:v>
                </c:pt>
                <c:pt idx="3093">
                  <c:v>60658</c:v>
                </c:pt>
                <c:pt idx="3094">
                  <c:v>60665</c:v>
                </c:pt>
                <c:pt idx="3095">
                  <c:v>60672</c:v>
                </c:pt>
                <c:pt idx="3096">
                  <c:v>60679</c:v>
                </c:pt>
                <c:pt idx="3097">
                  <c:v>60686</c:v>
                </c:pt>
                <c:pt idx="3098">
                  <c:v>60693</c:v>
                </c:pt>
                <c:pt idx="3099">
                  <c:v>60700</c:v>
                </c:pt>
                <c:pt idx="3100">
                  <c:v>60707</c:v>
                </c:pt>
                <c:pt idx="3101">
                  <c:v>60714</c:v>
                </c:pt>
                <c:pt idx="3102">
                  <c:v>60721</c:v>
                </c:pt>
                <c:pt idx="3103">
                  <c:v>60728</c:v>
                </c:pt>
                <c:pt idx="3104">
                  <c:v>60735</c:v>
                </c:pt>
                <c:pt idx="3105">
                  <c:v>60742</c:v>
                </c:pt>
                <c:pt idx="3106">
                  <c:v>60749</c:v>
                </c:pt>
                <c:pt idx="3107">
                  <c:v>60756</c:v>
                </c:pt>
                <c:pt idx="3108">
                  <c:v>60763</c:v>
                </c:pt>
                <c:pt idx="3109">
                  <c:v>60770</c:v>
                </c:pt>
                <c:pt idx="3110">
                  <c:v>60777</c:v>
                </c:pt>
                <c:pt idx="3111">
                  <c:v>60784</c:v>
                </c:pt>
                <c:pt idx="3112">
                  <c:v>60791</c:v>
                </c:pt>
                <c:pt idx="3113">
                  <c:v>60798</c:v>
                </c:pt>
                <c:pt idx="3114">
                  <c:v>60805</c:v>
                </c:pt>
                <c:pt idx="3115">
                  <c:v>60812</c:v>
                </c:pt>
                <c:pt idx="3116">
                  <c:v>60819</c:v>
                </c:pt>
                <c:pt idx="3117">
                  <c:v>60826</c:v>
                </c:pt>
                <c:pt idx="3118">
                  <c:v>60833</c:v>
                </c:pt>
                <c:pt idx="3119">
                  <c:v>60840</c:v>
                </c:pt>
                <c:pt idx="3120">
                  <c:v>60847</c:v>
                </c:pt>
                <c:pt idx="3121">
                  <c:v>60854</c:v>
                </c:pt>
                <c:pt idx="3122">
                  <c:v>60861</c:v>
                </c:pt>
                <c:pt idx="3123">
                  <c:v>60868</c:v>
                </c:pt>
                <c:pt idx="3124">
                  <c:v>60875</c:v>
                </c:pt>
                <c:pt idx="3125">
                  <c:v>60882</c:v>
                </c:pt>
                <c:pt idx="3126">
                  <c:v>60889</c:v>
                </c:pt>
                <c:pt idx="3127">
                  <c:v>60896</c:v>
                </c:pt>
                <c:pt idx="3128">
                  <c:v>60903</c:v>
                </c:pt>
                <c:pt idx="3129">
                  <c:v>60910</c:v>
                </c:pt>
                <c:pt idx="3130">
                  <c:v>60917</c:v>
                </c:pt>
                <c:pt idx="3131">
                  <c:v>60924</c:v>
                </c:pt>
                <c:pt idx="3132">
                  <c:v>60931</c:v>
                </c:pt>
                <c:pt idx="3133">
                  <c:v>60938</c:v>
                </c:pt>
                <c:pt idx="3134">
                  <c:v>60945</c:v>
                </c:pt>
                <c:pt idx="3135">
                  <c:v>60952</c:v>
                </c:pt>
                <c:pt idx="3136">
                  <c:v>60959</c:v>
                </c:pt>
                <c:pt idx="3137">
                  <c:v>60966</c:v>
                </c:pt>
                <c:pt idx="3138">
                  <c:v>60973</c:v>
                </c:pt>
                <c:pt idx="3139">
                  <c:v>60980</c:v>
                </c:pt>
                <c:pt idx="3140">
                  <c:v>60987</c:v>
                </c:pt>
                <c:pt idx="3141">
                  <c:v>60995</c:v>
                </c:pt>
                <c:pt idx="3142">
                  <c:v>61002</c:v>
                </c:pt>
                <c:pt idx="3143">
                  <c:v>61009</c:v>
                </c:pt>
                <c:pt idx="3144">
                  <c:v>61016</c:v>
                </c:pt>
                <c:pt idx="3145">
                  <c:v>61023</c:v>
                </c:pt>
                <c:pt idx="3146">
                  <c:v>61030</c:v>
                </c:pt>
                <c:pt idx="3147">
                  <c:v>61037</c:v>
                </c:pt>
                <c:pt idx="3148">
                  <c:v>61044</c:v>
                </c:pt>
                <c:pt idx="3149">
                  <c:v>61051</c:v>
                </c:pt>
                <c:pt idx="3150">
                  <c:v>61058</c:v>
                </c:pt>
                <c:pt idx="3151">
                  <c:v>61065</c:v>
                </c:pt>
                <c:pt idx="3152">
                  <c:v>61072</c:v>
                </c:pt>
                <c:pt idx="3153">
                  <c:v>61079</c:v>
                </c:pt>
                <c:pt idx="3154">
                  <c:v>61086</c:v>
                </c:pt>
                <c:pt idx="3155">
                  <c:v>61093</c:v>
                </c:pt>
                <c:pt idx="3156">
                  <c:v>61100</c:v>
                </c:pt>
                <c:pt idx="3157">
                  <c:v>61107</c:v>
                </c:pt>
                <c:pt idx="3158">
                  <c:v>61114</c:v>
                </c:pt>
                <c:pt idx="3159">
                  <c:v>61121</c:v>
                </c:pt>
                <c:pt idx="3160">
                  <c:v>61128</c:v>
                </c:pt>
                <c:pt idx="3161">
                  <c:v>61135</c:v>
                </c:pt>
                <c:pt idx="3162">
                  <c:v>61142</c:v>
                </c:pt>
                <c:pt idx="3163">
                  <c:v>61149</c:v>
                </c:pt>
                <c:pt idx="3164">
                  <c:v>61156</c:v>
                </c:pt>
                <c:pt idx="3165">
                  <c:v>61163</c:v>
                </c:pt>
                <c:pt idx="3166">
                  <c:v>61170</c:v>
                </c:pt>
                <c:pt idx="3167">
                  <c:v>61177</c:v>
                </c:pt>
                <c:pt idx="3168">
                  <c:v>61184</c:v>
                </c:pt>
                <c:pt idx="3169">
                  <c:v>61191</c:v>
                </c:pt>
                <c:pt idx="3170">
                  <c:v>61198</c:v>
                </c:pt>
                <c:pt idx="3171">
                  <c:v>61205</c:v>
                </c:pt>
                <c:pt idx="3172">
                  <c:v>61212</c:v>
                </c:pt>
                <c:pt idx="3173">
                  <c:v>61219</c:v>
                </c:pt>
                <c:pt idx="3174">
                  <c:v>61226</c:v>
                </c:pt>
                <c:pt idx="3175">
                  <c:v>61233</c:v>
                </c:pt>
                <c:pt idx="3176">
                  <c:v>61240</c:v>
                </c:pt>
                <c:pt idx="3177">
                  <c:v>61247</c:v>
                </c:pt>
                <c:pt idx="3178">
                  <c:v>61254</c:v>
                </c:pt>
                <c:pt idx="3179">
                  <c:v>61261</c:v>
                </c:pt>
                <c:pt idx="3180">
                  <c:v>61268</c:v>
                </c:pt>
                <c:pt idx="3181">
                  <c:v>61275</c:v>
                </c:pt>
                <c:pt idx="3182">
                  <c:v>61282</c:v>
                </c:pt>
                <c:pt idx="3183">
                  <c:v>61289</c:v>
                </c:pt>
                <c:pt idx="3184">
                  <c:v>61296</c:v>
                </c:pt>
                <c:pt idx="3185">
                  <c:v>61303</c:v>
                </c:pt>
                <c:pt idx="3186">
                  <c:v>61310</c:v>
                </c:pt>
                <c:pt idx="3187">
                  <c:v>61317</c:v>
                </c:pt>
                <c:pt idx="3188">
                  <c:v>61324</c:v>
                </c:pt>
                <c:pt idx="3189">
                  <c:v>61331</c:v>
                </c:pt>
                <c:pt idx="3190">
                  <c:v>61338</c:v>
                </c:pt>
                <c:pt idx="3191">
                  <c:v>61345</c:v>
                </c:pt>
                <c:pt idx="3192">
                  <c:v>61352</c:v>
                </c:pt>
                <c:pt idx="3193">
                  <c:v>61359</c:v>
                </c:pt>
                <c:pt idx="3194">
                  <c:v>61366</c:v>
                </c:pt>
                <c:pt idx="3195">
                  <c:v>61373</c:v>
                </c:pt>
                <c:pt idx="3196">
                  <c:v>61380</c:v>
                </c:pt>
                <c:pt idx="3197">
                  <c:v>61387</c:v>
                </c:pt>
                <c:pt idx="3198">
                  <c:v>61394</c:v>
                </c:pt>
                <c:pt idx="3199">
                  <c:v>61401</c:v>
                </c:pt>
                <c:pt idx="3200">
                  <c:v>61408</c:v>
                </c:pt>
                <c:pt idx="3201">
                  <c:v>61415</c:v>
                </c:pt>
                <c:pt idx="3202">
                  <c:v>61422</c:v>
                </c:pt>
                <c:pt idx="3203">
                  <c:v>61429</c:v>
                </c:pt>
                <c:pt idx="3204">
                  <c:v>61436</c:v>
                </c:pt>
                <c:pt idx="3205">
                  <c:v>61443</c:v>
                </c:pt>
                <c:pt idx="3206">
                  <c:v>61450</c:v>
                </c:pt>
                <c:pt idx="3207">
                  <c:v>61457</c:v>
                </c:pt>
                <c:pt idx="3208">
                  <c:v>61464</c:v>
                </c:pt>
                <c:pt idx="3209">
                  <c:v>61471</c:v>
                </c:pt>
                <c:pt idx="3210">
                  <c:v>61478</c:v>
                </c:pt>
                <c:pt idx="3211">
                  <c:v>61485</c:v>
                </c:pt>
                <c:pt idx="3212">
                  <c:v>61492</c:v>
                </c:pt>
                <c:pt idx="3213">
                  <c:v>61499</c:v>
                </c:pt>
                <c:pt idx="3214">
                  <c:v>61506</c:v>
                </c:pt>
                <c:pt idx="3215">
                  <c:v>61513</c:v>
                </c:pt>
                <c:pt idx="3216">
                  <c:v>61520</c:v>
                </c:pt>
                <c:pt idx="3217">
                  <c:v>61527</c:v>
                </c:pt>
                <c:pt idx="3218">
                  <c:v>61534</c:v>
                </c:pt>
                <c:pt idx="3219">
                  <c:v>61541</c:v>
                </c:pt>
                <c:pt idx="3220">
                  <c:v>61548</c:v>
                </c:pt>
                <c:pt idx="3221">
                  <c:v>61555</c:v>
                </c:pt>
                <c:pt idx="3222">
                  <c:v>61562</c:v>
                </c:pt>
                <c:pt idx="3223">
                  <c:v>61569</c:v>
                </c:pt>
                <c:pt idx="3224">
                  <c:v>61576</c:v>
                </c:pt>
                <c:pt idx="3225">
                  <c:v>61583</c:v>
                </c:pt>
                <c:pt idx="3226">
                  <c:v>61590</c:v>
                </c:pt>
                <c:pt idx="3227">
                  <c:v>61597</c:v>
                </c:pt>
                <c:pt idx="3228">
                  <c:v>61604</c:v>
                </c:pt>
                <c:pt idx="3229">
                  <c:v>61611</c:v>
                </c:pt>
                <c:pt idx="3230">
                  <c:v>61618</c:v>
                </c:pt>
                <c:pt idx="3231">
                  <c:v>61625</c:v>
                </c:pt>
                <c:pt idx="3232">
                  <c:v>61632</c:v>
                </c:pt>
                <c:pt idx="3233">
                  <c:v>61639</c:v>
                </c:pt>
                <c:pt idx="3234">
                  <c:v>61646</c:v>
                </c:pt>
                <c:pt idx="3235">
                  <c:v>61653</c:v>
                </c:pt>
                <c:pt idx="3236">
                  <c:v>61660</c:v>
                </c:pt>
                <c:pt idx="3237">
                  <c:v>61667</c:v>
                </c:pt>
                <c:pt idx="3238">
                  <c:v>61674</c:v>
                </c:pt>
                <c:pt idx="3239">
                  <c:v>61681</c:v>
                </c:pt>
                <c:pt idx="3240">
                  <c:v>61688</c:v>
                </c:pt>
                <c:pt idx="3241">
                  <c:v>61695</c:v>
                </c:pt>
                <c:pt idx="3242">
                  <c:v>61702</c:v>
                </c:pt>
                <c:pt idx="3243">
                  <c:v>61709</c:v>
                </c:pt>
                <c:pt idx="3244">
                  <c:v>61716</c:v>
                </c:pt>
                <c:pt idx="3245">
                  <c:v>61724</c:v>
                </c:pt>
                <c:pt idx="3246">
                  <c:v>61731</c:v>
                </c:pt>
                <c:pt idx="3247">
                  <c:v>61738</c:v>
                </c:pt>
                <c:pt idx="3248">
                  <c:v>61745</c:v>
                </c:pt>
                <c:pt idx="3249">
                  <c:v>61752</c:v>
                </c:pt>
                <c:pt idx="3250">
                  <c:v>61759</c:v>
                </c:pt>
                <c:pt idx="3251">
                  <c:v>61766</c:v>
                </c:pt>
                <c:pt idx="3252">
                  <c:v>61773</c:v>
                </c:pt>
                <c:pt idx="3253">
                  <c:v>61780</c:v>
                </c:pt>
                <c:pt idx="3254">
                  <c:v>61787</c:v>
                </c:pt>
                <c:pt idx="3255">
                  <c:v>61794</c:v>
                </c:pt>
                <c:pt idx="3256">
                  <c:v>61801</c:v>
                </c:pt>
                <c:pt idx="3257">
                  <c:v>61808</c:v>
                </c:pt>
                <c:pt idx="3258">
                  <c:v>61815</c:v>
                </c:pt>
                <c:pt idx="3259">
                  <c:v>61822</c:v>
                </c:pt>
                <c:pt idx="3260">
                  <c:v>61829</c:v>
                </c:pt>
                <c:pt idx="3261">
                  <c:v>61836</c:v>
                </c:pt>
                <c:pt idx="3262">
                  <c:v>61843</c:v>
                </c:pt>
                <c:pt idx="3263">
                  <c:v>61850</c:v>
                </c:pt>
                <c:pt idx="3264">
                  <c:v>61857</c:v>
                </c:pt>
                <c:pt idx="3265">
                  <c:v>61864</c:v>
                </c:pt>
                <c:pt idx="3266">
                  <c:v>61871</c:v>
                </c:pt>
                <c:pt idx="3267">
                  <c:v>61878</c:v>
                </c:pt>
                <c:pt idx="3268">
                  <c:v>61885</c:v>
                </c:pt>
                <c:pt idx="3269">
                  <c:v>61892</c:v>
                </c:pt>
                <c:pt idx="3270">
                  <c:v>61899</c:v>
                </c:pt>
                <c:pt idx="3271">
                  <c:v>61906</c:v>
                </c:pt>
                <c:pt idx="3272">
                  <c:v>61913</c:v>
                </c:pt>
                <c:pt idx="3273">
                  <c:v>61920</c:v>
                </c:pt>
                <c:pt idx="3274">
                  <c:v>61927</c:v>
                </c:pt>
                <c:pt idx="3275">
                  <c:v>61934</c:v>
                </c:pt>
                <c:pt idx="3276">
                  <c:v>61941</c:v>
                </c:pt>
                <c:pt idx="3277">
                  <c:v>61948</c:v>
                </c:pt>
                <c:pt idx="3278">
                  <c:v>61955</c:v>
                </c:pt>
                <c:pt idx="3279">
                  <c:v>61962</c:v>
                </c:pt>
                <c:pt idx="3280">
                  <c:v>61969</c:v>
                </c:pt>
                <c:pt idx="3281">
                  <c:v>61976</c:v>
                </c:pt>
                <c:pt idx="3282">
                  <c:v>61983</c:v>
                </c:pt>
                <c:pt idx="3283">
                  <c:v>61990</c:v>
                </c:pt>
                <c:pt idx="3284">
                  <c:v>61997</c:v>
                </c:pt>
                <c:pt idx="3285">
                  <c:v>62004</c:v>
                </c:pt>
                <c:pt idx="3286">
                  <c:v>62011</c:v>
                </c:pt>
                <c:pt idx="3287">
                  <c:v>62018</c:v>
                </c:pt>
                <c:pt idx="3288">
                  <c:v>62025</c:v>
                </c:pt>
                <c:pt idx="3289">
                  <c:v>62032</c:v>
                </c:pt>
                <c:pt idx="3290">
                  <c:v>62039</c:v>
                </c:pt>
                <c:pt idx="3291">
                  <c:v>62046</c:v>
                </c:pt>
                <c:pt idx="3292">
                  <c:v>62053</c:v>
                </c:pt>
                <c:pt idx="3293">
                  <c:v>62060</c:v>
                </c:pt>
                <c:pt idx="3294">
                  <c:v>62067</c:v>
                </c:pt>
                <c:pt idx="3295">
                  <c:v>62074</c:v>
                </c:pt>
                <c:pt idx="3296">
                  <c:v>62081</c:v>
                </c:pt>
                <c:pt idx="3297">
                  <c:v>62089</c:v>
                </c:pt>
                <c:pt idx="3298">
                  <c:v>62096</c:v>
                </c:pt>
                <c:pt idx="3299">
                  <c:v>62103</c:v>
                </c:pt>
                <c:pt idx="3300">
                  <c:v>62110</c:v>
                </c:pt>
                <c:pt idx="3301">
                  <c:v>62117</c:v>
                </c:pt>
                <c:pt idx="3302">
                  <c:v>62124</c:v>
                </c:pt>
                <c:pt idx="3303">
                  <c:v>62131</c:v>
                </c:pt>
                <c:pt idx="3304">
                  <c:v>62138</c:v>
                </c:pt>
                <c:pt idx="3305">
                  <c:v>62145</c:v>
                </c:pt>
                <c:pt idx="3306">
                  <c:v>62152</c:v>
                </c:pt>
                <c:pt idx="3307">
                  <c:v>62159</c:v>
                </c:pt>
                <c:pt idx="3308">
                  <c:v>62166</c:v>
                </c:pt>
                <c:pt idx="3309">
                  <c:v>62173</c:v>
                </c:pt>
                <c:pt idx="3310">
                  <c:v>62184</c:v>
                </c:pt>
                <c:pt idx="3311">
                  <c:v>62191</c:v>
                </c:pt>
                <c:pt idx="3312">
                  <c:v>62198</c:v>
                </c:pt>
                <c:pt idx="3313">
                  <c:v>62205</c:v>
                </c:pt>
                <c:pt idx="3314">
                  <c:v>62212</c:v>
                </c:pt>
                <c:pt idx="3315">
                  <c:v>62219</c:v>
                </c:pt>
                <c:pt idx="3316">
                  <c:v>62226</c:v>
                </c:pt>
                <c:pt idx="3317">
                  <c:v>62233</c:v>
                </c:pt>
                <c:pt idx="3318">
                  <c:v>62240</c:v>
                </c:pt>
                <c:pt idx="3319">
                  <c:v>62247</c:v>
                </c:pt>
                <c:pt idx="3320">
                  <c:v>62254</c:v>
                </c:pt>
                <c:pt idx="3321">
                  <c:v>62261</c:v>
                </c:pt>
                <c:pt idx="3322">
                  <c:v>62268</c:v>
                </c:pt>
                <c:pt idx="3323">
                  <c:v>62275</c:v>
                </c:pt>
                <c:pt idx="3324">
                  <c:v>62282</c:v>
                </c:pt>
                <c:pt idx="3325">
                  <c:v>62289</c:v>
                </c:pt>
                <c:pt idx="3326">
                  <c:v>62296</c:v>
                </c:pt>
                <c:pt idx="3327">
                  <c:v>62303</c:v>
                </c:pt>
                <c:pt idx="3328">
                  <c:v>62310</c:v>
                </c:pt>
                <c:pt idx="3329">
                  <c:v>62317</c:v>
                </c:pt>
                <c:pt idx="3330">
                  <c:v>62324</c:v>
                </c:pt>
                <c:pt idx="3331">
                  <c:v>62331</c:v>
                </c:pt>
                <c:pt idx="3332">
                  <c:v>62338</c:v>
                </c:pt>
                <c:pt idx="3333">
                  <c:v>62345</c:v>
                </c:pt>
                <c:pt idx="3334">
                  <c:v>62352</c:v>
                </c:pt>
                <c:pt idx="3335">
                  <c:v>62359</c:v>
                </c:pt>
                <c:pt idx="3336">
                  <c:v>62366</c:v>
                </c:pt>
                <c:pt idx="3337">
                  <c:v>62373</c:v>
                </c:pt>
                <c:pt idx="3338">
                  <c:v>62380</c:v>
                </c:pt>
                <c:pt idx="3339">
                  <c:v>62387</c:v>
                </c:pt>
                <c:pt idx="3340">
                  <c:v>62394</c:v>
                </c:pt>
                <c:pt idx="3341">
                  <c:v>62401</c:v>
                </c:pt>
                <c:pt idx="3342">
                  <c:v>62408</c:v>
                </c:pt>
                <c:pt idx="3343">
                  <c:v>62415</c:v>
                </c:pt>
                <c:pt idx="3344">
                  <c:v>62422</c:v>
                </c:pt>
                <c:pt idx="3345">
                  <c:v>62429</c:v>
                </c:pt>
                <c:pt idx="3346">
                  <c:v>62436</c:v>
                </c:pt>
                <c:pt idx="3347">
                  <c:v>62443</c:v>
                </c:pt>
                <c:pt idx="3348">
                  <c:v>62450</c:v>
                </c:pt>
                <c:pt idx="3349">
                  <c:v>62457</c:v>
                </c:pt>
                <c:pt idx="3350">
                  <c:v>62464</c:v>
                </c:pt>
                <c:pt idx="3351">
                  <c:v>62471</c:v>
                </c:pt>
                <c:pt idx="3352">
                  <c:v>62478</c:v>
                </c:pt>
                <c:pt idx="3353">
                  <c:v>62485</c:v>
                </c:pt>
                <c:pt idx="3354">
                  <c:v>62492</c:v>
                </c:pt>
                <c:pt idx="3355">
                  <c:v>62499</c:v>
                </c:pt>
                <c:pt idx="3356">
                  <c:v>62506</c:v>
                </c:pt>
                <c:pt idx="3357">
                  <c:v>62513</c:v>
                </c:pt>
                <c:pt idx="3358">
                  <c:v>62520</c:v>
                </c:pt>
                <c:pt idx="3359">
                  <c:v>62527</c:v>
                </c:pt>
                <c:pt idx="3360">
                  <c:v>62534</c:v>
                </c:pt>
                <c:pt idx="3361">
                  <c:v>62541</c:v>
                </c:pt>
                <c:pt idx="3362">
                  <c:v>62548</c:v>
                </c:pt>
                <c:pt idx="3363">
                  <c:v>62555</c:v>
                </c:pt>
                <c:pt idx="3364">
                  <c:v>62562</c:v>
                </c:pt>
                <c:pt idx="3365">
                  <c:v>62569</c:v>
                </c:pt>
                <c:pt idx="3366">
                  <c:v>62576</c:v>
                </c:pt>
                <c:pt idx="3367">
                  <c:v>62583</c:v>
                </c:pt>
                <c:pt idx="3368">
                  <c:v>62590</c:v>
                </c:pt>
                <c:pt idx="3369">
                  <c:v>62597</c:v>
                </c:pt>
                <c:pt idx="3370">
                  <c:v>62604</c:v>
                </c:pt>
                <c:pt idx="3371">
                  <c:v>62611</c:v>
                </c:pt>
                <c:pt idx="3372">
                  <c:v>62618</c:v>
                </c:pt>
                <c:pt idx="3373">
                  <c:v>62625</c:v>
                </c:pt>
                <c:pt idx="3374">
                  <c:v>62632</c:v>
                </c:pt>
                <c:pt idx="3375">
                  <c:v>62639</c:v>
                </c:pt>
                <c:pt idx="3376">
                  <c:v>62646</c:v>
                </c:pt>
                <c:pt idx="3377">
                  <c:v>62653</c:v>
                </c:pt>
                <c:pt idx="3378">
                  <c:v>62660</c:v>
                </c:pt>
                <c:pt idx="3379">
                  <c:v>62667</c:v>
                </c:pt>
                <c:pt idx="3380">
                  <c:v>62674</c:v>
                </c:pt>
                <c:pt idx="3381">
                  <c:v>62681</c:v>
                </c:pt>
                <c:pt idx="3382">
                  <c:v>62688</c:v>
                </c:pt>
                <c:pt idx="3383">
                  <c:v>62695</c:v>
                </c:pt>
                <c:pt idx="3384">
                  <c:v>62702</c:v>
                </c:pt>
                <c:pt idx="3385">
                  <c:v>62709</c:v>
                </c:pt>
                <c:pt idx="3386">
                  <c:v>62716</c:v>
                </c:pt>
                <c:pt idx="3387">
                  <c:v>62723</c:v>
                </c:pt>
                <c:pt idx="3388">
                  <c:v>62730</c:v>
                </c:pt>
                <c:pt idx="3389">
                  <c:v>62737</c:v>
                </c:pt>
                <c:pt idx="3390">
                  <c:v>62744</c:v>
                </c:pt>
                <c:pt idx="3391">
                  <c:v>62751</c:v>
                </c:pt>
                <c:pt idx="3392">
                  <c:v>62758</c:v>
                </c:pt>
                <c:pt idx="3393">
                  <c:v>62765</c:v>
                </c:pt>
                <c:pt idx="3394">
                  <c:v>62772</c:v>
                </c:pt>
                <c:pt idx="3395">
                  <c:v>62779</c:v>
                </c:pt>
                <c:pt idx="3396">
                  <c:v>62786</c:v>
                </c:pt>
                <c:pt idx="3397">
                  <c:v>62793</c:v>
                </c:pt>
                <c:pt idx="3398">
                  <c:v>62800</c:v>
                </c:pt>
                <c:pt idx="3399">
                  <c:v>62807</c:v>
                </c:pt>
                <c:pt idx="3400">
                  <c:v>62814</c:v>
                </c:pt>
                <c:pt idx="3401">
                  <c:v>62821</c:v>
                </c:pt>
                <c:pt idx="3402">
                  <c:v>62828</c:v>
                </c:pt>
                <c:pt idx="3403">
                  <c:v>62835</c:v>
                </c:pt>
                <c:pt idx="3404">
                  <c:v>62842</c:v>
                </c:pt>
                <c:pt idx="3405">
                  <c:v>62849</c:v>
                </c:pt>
                <c:pt idx="3406">
                  <c:v>62856</c:v>
                </c:pt>
                <c:pt idx="3407">
                  <c:v>62863</c:v>
                </c:pt>
                <c:pt idx="3408">
                  <c:v>62870</c:v>
                </c:pt>
                <c:pt idx="3409">
                  <c:v>62877</c:v>
                </c:pt>
                <c:pt idx="3410">
                  <c:v>62884</c:v>
                </c:pt>
                <c:pt idx="3411">
                  <c:v>62891</c:v>
                </c:pt>
                <c:pt idx="3412">
                  <c:v>62898</c:v>
                </c:pt>
                <c:pt idx="3413">
                  <c:v>62905</c:v>
                </c:pt>
                <c:pt idx="3414">
                  <c:v>62912</c:v>
                </c:pt>
                <c:pt idx="3415">
                  <c:v>62919</c:v>
                </c:pt>
                <c:pt idx="3416">
                  <c:v>62926</c:v>
                </c:pt>
                <c:pt idx="3417">
                  <c:v>62933</c:v>
                </c:pt>
                <c:pt idx="3418">
                  <c:v>62940</c:v>
                </c:pt>
                <c:pt idx="3419">
                  <c:v>62947</c:v>
                </c:pt>
                <c:pt idx="3420">
                  <c:v>62954</c:v>
                </c:pt>
                <c:pt idx="3421">
                  <c:v>62961</c:v>
                </c:pt>
                <c:pt idx="3422">
                  <c:v>62968</c:v>
                </c:pt>
                <c:pt idx="3423">
                  <c:v>62975</c:v>
                </c:pt>
                <c:pt idx="3424">
                  <c:v>62982</c:v>
                </c:pt>
                <c:pt idx="3425">
                  <c:v>62989</c:v>
                </c:pt>
                <c:pt idx="3426">
                  <c:v>62996</c:v>
                </c:pt>
                <c:pt idx="3427">
                  <c:v>63003</c:v>
                </c:pt>
                <c:pt idx="3428">
                  <c:v>63010</c:v>
                </c:pt>
                <c:pt idx="3429">
                  <c:v>63017</c:v>
                </c:pt>
                <c:pt idx="3430">
                  <c:v>63024</c:v>
                </c:pt>
                <c:pt idx="3431">
                  <c:v>63031</c:v>
                </c:pt>
                <c:pt idx="3432">
                  <c:v>63038</c:v>
                </c:pt>
                <c:pt idx="3433">
                  <c:v>63045</c:v>
                </c:pt>
                <c:pt idx="3434">
                  <c:v>63052</c:v>
                </c:pt>
                <c:pt idx="3435">
                  <c:v>63059</c:v>
                </c:pt>
                <c:pt idx="3436">
                  <c:v>63066</c:v>
                </c:pt>
                <c:pt idx="3437">
                  <c:v>63073</c:v>
                </c:pt>
                <c:pt idx="3438">
                  <c:v>63080</c:v>
                </c:pt>
                <c:pt idx="3439">
                  <c:v>63087</c:v>
                </c:pt>
                <c:pt idx="3440">
                  <c:v>63094</c:v>
                </c:pt>
                <c:pt idx="3441">
                  <c:v>63101</c:v>
                </c:pt>
                <c:pt idx="3442">
                  <c:v>63108</c:v>
                </c:pt>
                <c:pt idx="3443">
                  <c:v>63115</c:v>
                </c:pt>
                <c:pt idx="3444">
                  <c:v>63122</c:v>
                </c:pt>
                <c:pt idx="3445">
                  <c:v>63129</c:v>
                </c:pt>
                <c:pt idx="3446">
                  <c:v>63136</c:v>
                </c:pt>
                <c:pt idx="3447">
                  <c:v>63143</c:v>
                </c:pt>
                <c:pt idx="3448">
                  <c:v>63150</c:v>
                </c:pt>
                <c:pt idx="3449">
                  <c:v>63157</c:v>
                </c:pt>
                <c:pt idx="3450">
                  <c:v>63164</c:v>
                </c:pt>
                <c:pt idx="3451">
                  <c:v>63171</c:v>
                </c:pt>
                <c:pt idx="3452">
                  <c:v>63178</c:v>
                </c:pt>
                <c:pt idx="3453">
                  <c:v>63186</c:v>
                </c:pt>
                <c:pt idx="3454">
                  <c:v>63193</c:v>
                </c:pt>
                <c:pt idx="3455">
                  <c:v>63200</c:v>
                </c:pt>
                <c:pt idx="3456">
                  <c:v>63207</c:v>
                </c:pt>
                <c:pt idx="3457">
                  <c:v>63214</c:v>
                </c:pt>
                <c:pt idx="3458">
                  <c:v>63221</c:v>
                </c:pt>
                <c:pt idx="3459">
                  <c:v>63228</c:v>
                </c:pt>
                <c:pt idx="3460">
                  <c:v>63235</c:v>
                </c:pt>
                <c:pt idx="3461">
                  <c:v>63242</c:v>
                </c:pt>
                <c:pt idx="3462">
                  <c:v>63249</c:v>
                </c:pt>
                <c:pt idx="3463">
                  <c:v>63256</c:v>
                </c:pt>
                <c:pt idx="3464">
                  <c:v>63263</c:v>
                </c:pt>
                <c:pt idx="3465">
                  <c:v>63270</c:v>
                </c:pt>
                <c:pt idx="3466">
                  <c:v>63277</c:v>
                </c:pt>
                <c:pt idx="3467">
                  <c:v>63284</c:v>
                </c:pt>
                <c:pt idx="3468">
                  <c:v>63291</c:v>
                </c:pt>
                <c:pt idx="3469">
                  <c:v>63298</c:v>
                </c:pt>
                <c:pt idx="3470">
                  <c:v>63305</c:v>
                </c:pt>
                <c:pt idx="3471">
                  <c:v>63312</c:v>
                </c:pt>
                <c:pt idx="3472">
                  <c:v>63319</c:v>
                </c:pt>
                <c:pt idx="3473">
                  <c:v>63326</c:v>
                </c:pt>
                <c:pt idx="3474">
                  <c:v>63333</c:v>
                </c:pt>
                <c:pt idx="3475">
                  <c:v>63340</c:v>
                </c:pt>
                <c:pt idx="3476">
                  <c:v>63347</c:v>
                </c:pt>
                <c:pt idx="3477">
                  <c:v>63354</c:v>
                </c:pt>
                <c:pt idx="3478">
                  <c:v>63361</c:v>
                </c:pt>
                <c:pt idx="3479">
                  <c:v>63368</c:v>
                </c:pt>
                <c:pt idx="3480">
                  <c:v>63375</c:v>
                </c:pt>
                <c:pt idx="3481">
                  <c:v>63382</c:v>
                </c:pt>
                <c:pt idx="3482">
                  <c:v>63389</c:v>
                </c:pt>
                <c:pt idx="3483">
                  <c:v>63396</c:v>
                </c:pt>
                <c:pt idx="3484">
                  <c:v>63403</c:v>
                </c:pt>
                <c:pt idx="3485">
                  <c:v>63410</c:v>
                </c:pt>
                <c:pt idx="3486">
                  <c:v>63417</c:v>
                </c:pt>
                <c:pt idx="3487">
                  <c:v>63424</c:v>
                </c:pt>
                <c:pt idx="3488">
                  <c:v>63431</c:v>
                </c:pt>
                <c:pt idx="3489">
                  <c:v>63438</c:v>
                </c:pt>
                <c:pt idx="3490">
                  <c:v>63445</c:v>
                </c:pt>
                <c:pt idx="3491">
                  <c:v>63452</c:v>
                </c:pt>
                <c:pt idx="3492">
                  <c:v>63459</c:v>
                </c:pt>
                <c:pt idx="3493">
                  <c:v>63466</c:v>
                </c:pt>
                <c:pt idx="3494">
                  <c:v>63473</c:v>
                </c:pt>
                <c:pt idx="3495">
                  <c:v>63480</c:v>
                </c:pt>
                <c:pt idx="3496">
                  <c:v>63487</c:v>
                </c:pt>
                <c:pt idx="3497">
                  <c:v>63494</c:v>
                </c:pt>
                <c:pt idx="3498">
                  <c:v>63501</c:v>
                </c:pt>
                <c:pt idx="3499">
                  <c:v>63508</c:v>
                </c:pt>
                <c:pt idx="3500">
                  <c:v>63515</c:v>
                </c:pt>
                <c:pt idx="3501">
                  <c:v>63522</c:v>
                </c:pt>
                <c:pt idx="3502">
                  <c:v>63529</c:v>
                </c:pt>
                <c:pt idx="3503">
                  <c:v>63536</c:v>
                </c:pt>
                <c:pt idx="3504">
                  <c:v>63543</c:v>
                </c:pt>
                <c:pt idx="3505">
                  <c:v>63550</c:v>
                </c:pt>
                <c:pt idx="3506">
                  <c:v>63557</c:v>
                </c:pt>
                <c:pt idx="3507">
                  <c:v>63564</c:v>
                </c:pt>
                <c:pt idx="3508">
                  <c:v>63571</c:v>
                </c:pt>
                <c:pt idx="3509">
                  <c:v>63578</c:v>
                </c:pt>
                <c:pt idx="3510">
                  <c:v>63585</c:v>
                </c:pt>
                <c:pt idx="3511">
                  <c:v>63592</c:v>
                </c:pt>
                <c:pt idx="3512">
                  <c:v>63599</c:v>
                </c:pt>
                <c:pt idx="3513">
                  <c:v>63606</c:v>
                </c:pt>
                <c:pt idx="3514">
                  <c:v>63613</c:v>
                </c:pt>
                <c:pt idx="3515">
                  <c:v>63620</c:v>
                </c:pt>
                <c:pt idx="3516">
                  <c:v>63627</c:v>
                </c:pt>
                <c:pt idx="3517">
                  <c:v>63634</c:v>
                </c:pt>
                <c:pt idx="3518">
                  <c:v>63641</c:v>
                </c:pt>
                <c:pt idx="3519">
                  <c:v>63648</c:v>
                </c:pt>
                <c:pt idx="3520">
                  <c:v>63655</c:v>
                </c:pt>
                <c:pt idx="3521">
                  <c:v>63662</c:v>
                </c:pt>
                <c:pt idx="3522">
                  <c:v>63669</c:v>
                </c:pt>
                <c:pt idx="3523">
                  <c:v>63676</c:v>
                </c:pt>
                <c:pt idx="3524">
                  <c:v>63683</c:v>
                </c:pt>
                <c:pt idx="3525">
                  <c:v>63690</c:v>
                </c:pt>
                <c:pt idx="3526">
                  <c:v>63697</c:v>
                </c:pt>
                <c:pt idx="3527">
                  <c:v>63704</c:v>
                </c:pt>
                <c:pt idx="3528">
                  <c:v>63711</c:v>
                </c:pt>
                <c:pt idx="3529">
                  <c:v>63718</c:v>
                </c:pt>
                <c:pt idx="3530">
                  <c:v>63725</c:v>
                </c:pt>
                <c:pt idx="3531">
                  <c:v>63732</c:v>
                </c:pt>
                <c:pt idx="3532">
                  <c:v>63739</c:v>
                </c:pt>
                <c:pt idx="3533">
                  <c:v>63746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7.195780521862539E-3</c:v>
                </c:pt>
                <c:pt idx="1">
                  <c:v>7.1974973579713719E-3</c:v>
                </c:pt>
                <c:pt idx="2">
                  <c:v>7.1990905229668556E-3</c:v>
                </c:pt>
                <c:pt idx="3">
                  <c:v>7.2010819791301639E-3</c:v>
                </c:pt>
                <c:pt idx="4">
                  <c:v>7.2034717265423431E-3</c:v>
                </c:pt>
                <c:pt idx="5">
                  <c:v>7.2097212654990512E-3</c:v>
                </c:pt>
                <c:pt idx="6">
                  <c:v>7.2170136290850007E-3</c:v>
                </c:pt>
                <c:pt idx="7">
                  <c:v>7.221394832903627E-3</c:v>
                </c:pt>
                <c:pt idx="8">
                  <c:v>7.2261743281332169E-3</c:v>
                </c:pt>
                <c:pt idx="9">
                  <c:v>7.2313521146116777E-3</c:v>
                </c:pt>
                <c:pt idx="10">
                  <c:v>7.2431790567265937E-3</c:v>
                </c:pt>
                <c:pt idx="11">
                  <c:v>7.2560461743920168E-3</c:v>
                </c:pt>
                <c:pt idx="12">
                  <c:v>7.2632154178442487E-3</c:v>
                </c:pt>
                <c:pt idx="13">
                  <c:v>7.2707829527884904E-3</c:v>
                </c:pt>
                <c:pt idx="14">
                  <c:v>7.2787487791436956E-3</c:v>
                </c:pt>
                <c:pt idx="15">
                  <c:v>7.2961539116733762E-3</c:v>
                </c:pt>
                <c:pt idx="16">
                  <c:v>7.314595000132984E-3</c:v>
                </c:pt>
                <c:pt idx="17">
                  <c:v>7.3245522844345157E-3</c:v>
                </c:pt>
                <c:pt idx="18">
                  <c:v>7.3349078603091034E-3</c:v>
                </c:pt>
                <c:pt idx="19">
                  <c:v>7.3456617279188396E-3</c:v>
                </c:pt>
                <c:pt idx="20">
                  <c:v>7.368645855814945E-3</c:v>
                </c:pt>
                <c:pt idx="21">
                  <c:v>7.3926046009520352E-3</c:v>
                </c:pt>
                <c:pt idx="22">
                  <c:v>7.4050168381267767E-3</c:v>
                </c:pt>
                <c:pt idx="23">
                  <c:v>7.4174942777638364E-3</c:v>
                </c:pt>
                <c:pt idx="24">
                  <c:v>7.4300369198632144E-3</c:v>
                </c:pt>
                <c:pt idx="25">
                  <c:v>7.4554918262155958E-3</c:v>
                </c:pt>
                <c:pt idx="26">
                  <c:v>7.4808595131270472E-3</c:v>
                </c:pt>
                <c:pt idx="27">
                  <c:v>7.4937281676190626E-3</c:v>
                </c:pt>
                <c:pt idx="28">
                  <c:v>7.5066620247354887E-3</c:v>
                </c:pt>
                <c:pt idx="29">
                  <c:v>7.5196610842331868E-3</c:v>
                </c:pt>
                <c:pt idx="30">
                  <c:v>7.5460325467302533E-3</c:v>
                </c:pt>
                <c:pt idx="31">
                  <c:v>7.5723093478197168E-3</c:v>
                </c:pt>
                <c:pt idx="32">
                  <c:v>7.5856344200342374E-3</c:v>
                </c:pt>
                <c:pt idx="33">
                  <c:v>7.5990246948731688E-3</c:v>
                </c:pt>
                <c:pt idx="34">
                  <c:v>7.6124801722554647E-3</c:v>
                </c:pt>
                <c:pt idx="35">
                  <c:v>7.63976837022562E-3</c:v>
                </c:pt>
                <c:pt idx="36">
                  <c:v>7.6669541076235248E-3</c:v>
                </c:pt>
                <c:pt idx="37">
                  <c:v>7.6807355979657821E-3</c:v>
                </c:pt>
                <c:pt idx="38">
                  <c:v>7.6945822908514039E-3</c:v>
                </c:pt>
                <c:pt idx="39">
                  <c:v>7.7084941863614365E-3</c:v>
                </c:pt>
                <c:pt idx="40">
                  <c:v>7.7438463662629631E-3</c:v>
                </c:pt>
                <c:pt idx="41">
                  <c:v>7.7790317036829926E-3</c:v>
                </c:pt>
                <c:pt idx="42">
                  <c:v>7.7932634224053832E-3</c:v>
                </c:pt>
                <c:pt idx="43">
                  <c:v>7.8072033801090956E-3</c:v>
                </c:pt>
                <c:pt idx="44">
                  <c:v>7.83404091985666E-3</c:v>
                </c:pt>
                <c:pt idx="45">
                  <c:v>7.8593316732078478E-3</c:v>
                </c:pt>
                <c:pt idx="46">
                  <c:v>7.8714558619319419E-3</c:v>
                </c:pt>
                <c:pt idx="47">
                  <c:v>7.8832168966169736E-3</c:v>
                </c:pt>
                <c:pt idx="48">
                  <c:v>7.8946147774250353E-3</c:v>
                </c:pt>
                <c:pt idx="49">
                  <c:v>7.9163717150184301E-3</c:v>
                </c:pt>
                <c:pt idx="50">
                  <c:v>7.936574760266657E-3</c:v>
                </c:pt>
                <c:pt idx="51">
                  <c:v>7.9461568707983599E-3</c:v>
                </c:pt>
                <c:pt idx="52">
                  <c:v>7.9553758271289077E-3</c:v>
                </c:pt>
                <c:pt idx="53">
                  <c:v>7.9642316292583004E-3</c:v>
                </c:pt>
                <c:pt idx="54">
                  <c:v>7.9809072196930977E-3</c:v>
                </c:pt>
                <c:pt idx="55">
                  <c:v>7.9960232957643207E-3</c:v>
                </c:pt>
                <c:pt idx="56">
                  <c:v>8.0030633267258455E-3</c:v>
                </c:pt>
                <c:pt idx="57">
                  <c:v>8.0097402032430765E-3</c:v>
                </c:pt>
                <c:pt idx="58">
                  <c:v>8.0160539255591523E-3</c:v>
                </c:pt>
                <c:pt idx="59">
                  <c:v>8.0276474055414795E-3</c:v>
                </c:pt>
                <c:pt idx="60">
                  <c:v>8.0376772709478406E-3</c:v>
                </c:pt>
                <c:pt idx="61">
                  <c:v>8.0421752212855857E-3</c:v>
                </c:pt>
                <c:pt idx="62">
                  <c:v>8.0463100170979907E-3</c:v>
                </c:pt>
                <c:pt idx="63">
                  <c:v>8.0500816586281942E-3</c:v>
                </c:pt>
                <c:pt idx="64">
                  <c:v>8.0565922520858813E-3</c:v>
                </c:pt>
                <c:pt idx="65">
                  <c:v>8.0618349503946973E-3</c:v>
                </c:pt>
                <c:pt idx="66">
                  <c:v>8.0655804432339107E-3</c:v>
                </c:pt>
                <c:pt idx="67">
                  <c:v>8.0707524055645408E-3</c:v>
                </c:pt>
                <c:pt idx="68">
                  <c:v>8.0773508373055414E-3</c:v>
                </c:pt>
                <c:pt idx="69">
                  <c:v>8.0954821456188011E-3</c:v>
                </c:pt>
                <c:pt idx="70">
                  <c:v>8.1180092605614984E-3</c:v>
                </c:pt>
                <c:pt idx="71">
                  <c:v>8.1317400409752771E-3</c:v>
                </c:pt>
                <c:pt idx="72">
                  <c:v>8.1468972916909355E-3</c:v>
                </c:pt>
                <c:pt idx="73">
                  <c:v>8.1634810126274271E-3</c:v>
                </c:pt>
                <c:pt idx="74">
                  <c:v>8.2015876399717715E-3</c:v>
                </c:pt>
                <c:pt idx="75">
                  <c:v>8.2440806040118275E-3</c:v>
                </c:pt>
                <c:pt idx="76">
                  <c:v>8.2677966799427072E-3</c:v>
                </c:pt>
                <c:pt idx="77">
                  <c:v>8.2929392276342995E-3</c:v>
                </c:pt>
                <c:pt idx="78">
                  <c:v>8.3195082474107895E-3</c:v>
                </c:pt>
                <c:pt idx="79">
                  <c:v>8.3775934722163381E-3</c:v>
                </c:pt>
                <c:pt idx="80">
                  <c:v>8.440049053282106E-3</c:v>
                </c:pt>
                <c:pt idx="81">
                  <c:v>8.4737504382648154E-3</c:v>
                </c:pt>
                <c:pt idx="82">
                  <c:v>8.5088782975206723E-3</c:v>
                </c:pt>
                <c:pt idx="83">
                  <c:v>8.545432631211769E-3</c:v>
                </c:pt>
                <c:pt idx="84">
                  <c:v>8.6234999457087316E-3</c:v>
                </c:pt>
                <c:pt idx="85">
                  <c:v>8.7055517721157383E-3</c:v>
                </c:pt>
                <c:pt idx="86">
                  <c:v>8.7470607928652466E-3</c:v>
                </c:pt>
                <c:pt idx="87">
                  <c:v>8.7878185975831524E-3</c:v>
                </c:pt>
                <c:pt idx="88">
                  <c:v>8.8278251861884094E-3</c:v>
                </c:pt>
                <c:pt idx="89">
                  <c:v>8.9055515820176314E-3</c:v>
                </c:pt>
                <c:pt idx="90">
                  <c:v>8.9803393726750613E-3</c:v>
                </c:pt>
                <c:pt idx="91">
                  <c:v>9.0165898762595287E-3</c:v>
                </c:pt>
                <c:pt idx="92">
                  <c:v>9.0520891621914679E-3</c:v>
                </c:pt>
                <c:pt idx="93">
                  <c:v>9.08683723022774E-3</c:v>
                </c:pt>
                <c:pt idx="94">
                  <c:v>9.1540588753443366E-3</c:v>
                </c:pt>
                <c:pt idx="95">
                  <c:v>9.2183173193638446E-3</c:v>
                </c:pt>
                <c:pt idx="96">
                  <c:v>9.249309294842023E-3</c:v>
                </c:pt>
                <c:pt idx="97">
                  <c:v>9.2795500512898865E-3</c:v>
                </c:pt>
                <c:pt idx="98">
                  <c:v>9.3090395883022037E-3</c:v>
                </c:pt>
                <c:pt idx="99">
                  <c:v>9.3657549079229092E-3</c:v>
                </c:pt>
                <c:pt idx="100">
                  <c:v>9.4194855402129907E-3</c:v>
                </c:pt>
                <c:pt idx="101">
                  <c:v>9.4452189783456042E-3</c:v>
                </c:pt>
                <c:pt idx="102">
                  <c:v>9.4702011959890697E-3</c:v>
                </c:pt>
                <c:pt idx="103">
                  <c:v>9.4944321932244335E-3</c:v>
                </c:pt>
                <c:pt idx="104">
                  <c:v>9.5406394876466454E-3</c:v>
                </c:pt>
                <c:pt idx="105">
                  <c:v>9.5838439745188353E-3</c:v>
                </c:pt>
                <c:pt idx="106">
                  <c:v>9.6043188672823021E-3</c:v>
                </c:pt>
                <c:pt idx="107">
                  <c:v>9.6240425386651118E-3</c:v>
                </c:pt>
                <c:pt idx="108">
                  <c:v>9.6430473173803044E-3</c:v>
                </c:pt>
                <c:pt idx="109">
                  <c:v>9.6793913933805147E-3</c:v>
                </c:pt>
                <c:pt idx="110">
                  <c:v>9.7133646199620838E-3</c:v>
                </c:pt>
                <c:pt idx="111">
                  <c:v>9.7295508208861126E-3</c:v>
                </c:pt>
                <c:pt idx="112">
                  <c:v>9.7451797716541222E-3</c:v>
                </c:pt>
                <c:pt idx="113">
                  <c:v>9.760251472347159E-3</c:v>
                </c:pt>
                <c:pt idx="114">
                  <c:v>9.7887998832783367E-3</c:v>
                </c:pt>
                <c:pt idx="115">
                  <c:v>9.8149657725055128E-3</c:v>
                </c:pt>
                <c:pt idx="116">
                  <c:v>9.8272512215269447E-3</c:v>
                </c:pt>
                <c:pt idx="117">
                  <c:v>9.8389794200681724E-3</c:v>
                </c:pt>
                <c:pt idx="118">
                  <c:v>9.8501503680481495E-3</c:v>
                </c:pt>
                <c:pt idx="119">
                  <c:v>9.8709016941685625E-3</c:v>
                </c:pt>
                <c:pt idx="120">
                  <c:v>9.8892616533829969E-3</c:v>
                </c:pt>
                <c:pt idx="121">
                  <c:v>9.8976463478273047E-3</c:v>
                </c:pt>
                <c:pt idx="122">
                  <c:v>9.9054737914672231E-3</c:v>
                </c:pt>
                <c:pt idx="123">
                  <c:v>9.9127439842217058E-3</c:v>
                </c:pt>
                <c:pt idx="124">
                  <c:v>9.925696770723599E-3</c:v>
                </c:pt>
                <c:pt idx="125">
                  <c:v>9.9362522458990021E-3</c:v>
                </c:pt>
                <c:pt idx="126">
                  <c:v>9.9407361839021213E-3</c:v>
                </c:pt>
                <c:pt idx="127">
                  <c:v>9.9508297660844125E-3</c:v>
                </c:pt>
                <c:pt idx="128">
                  <c:v>9.9563395440638303E-3</c:v>
                </c:pt>
                <c:pt idx="129">
                  <c:v>9.9593347508775132E-3</c:v>
                </c:pt>
                <c:pt idx="130">
                  <c:v>9.9676732102826904E-3</c:v>
                </c:pt>
                <c:pt idx="131">
                  <c:v>9.9907550448733833E-3</c:v>
                </c:pt>
                <c:pt idx="132">
                  <c:v>1.0016256277685098E-2</c:v>
                </c:pt>
                <c:pt idx="133">
                  <c:v>1.003223491438332E-2</c:v>
                </c:pt>
                <c:pt idx="134">
                  <c:v>1.0050068327555062E-2</c:v>
                </c:pt>
                <c:pt idx="135">
                  <c:v>1.0069756517443462E-2</c:v>
                </c:pt>
                <c:pt idx="136">
                  <c:v>1.0115595817499583E-2</c:v>
                </c:pt>
                <c:pt idx="137">
                  <c:v>1.0167057050404216E-2</c:v>
                </c:pt>
                <c:pt idx="138">
                  <c:v>1.0196019128981826E-2</c:v>
                </c:pt>
                <c:pt idx="139">
                  <c:v>1.0226835986383298E-2</c:v>
                </c:pt>
                <c:pt idx="140">
                  <c:v>1.0259507623257003E-2</c:v>
                </c:pt>
                <c:pt idx="141">
                  <c:v>1.0331325910604521E-2</c:v>
                </c:pt>
                <c:pt idx="142">
                  <c:v>1.0408741975037605E-2</c:v>
                </c:pt>
                <c:pt idx="143">
                  <c:v>1.0450687516971868E-2</c:v>
                </c:pt>
                <c:pt idx="144">
                  <c:v>1.0494487841701261E-2</c:v>
                </c:pt>
                <c:pt idx="145">
                  <c:v>1.0540142949874154E-2</c:v>
                </c:pt>
                <c:pt idx="146">
                  <c:v>1.0637945807656276E-2</c:v>
                </c:pt>
                <c:pt idx="147">
                  <c:v>1.0741311231994288E-2</c:v>
                </c:pt>
                <c:pt idx="148">
                  <c:v>1.0795733324406864E-2</c:v>
                </c:pt>
                <c:pt idx="149">
                  <c:v>1.084947548358528E-2</c:v>
                </c:pt>
                <c:pt idx="150">
                  <c:v>1.0902030764800008E-2</c:v>
                </c:pt>
                <c:pt idx="151">
                  <c:v>1.1003516764761525E-2</c:v>
                </c:pt>
                <c:pt idx="152">
                  <c:v>1.11003830999723E-2</c:v>
                </c:pt>
                <c:pt idx="153">
                  <c:v>1.1147003983993375E-2</c:v>
                </c:pt>
                <c:pt idx="154">
                  <c:v>1.1192437987052051E-2</c:v>
                </c:pt>
                <c:pt idx="155">
                  <c:v>1.1236685108905187E-2</c:v>
                </c:pt>
                <c:pt idx="156">
                  <c:v>1.1321574232416866E-2</c:v>
                </c:pt>
                <c:pt idx="157">
                  <c:v>1.1401804774779922E-2</c:v>
                </c:pt>
                <c:pt idx="158">
                  <c:v>1.144011748387852E-2</c:v>
                </c:pt>
                <c:pt idx="159">
                  <c:v>1.1477243309178098E-2</c:v>
                </c:pt>
                <c:pt idx="160">
                  <c:v>1.1513182250516563E-2</c:v>
                </c:pt>
                <c:pt idx="161">
                  <c:v>1.1581471311487014E-2</c:v>
                </c:pt>
                <c:pt idx="162">
                  <c:v>1.1645069168154665E-2</c:v>
                </c:pt>
                <c:pt idx="163">
                  <c:v>1.1675073684014325E-2</c:v>
                </c:pt>
                <c:pt idx="164">
                  <c:v>1.1703891313886716E-2</c:v>
                </c:pt>
                <c:pt idx="165">
                  <c:v>1.1731522057528698E-2</c:v>
                </c:pt>
                <c:pt idx="166">
                  <c:v>1.1783207629213107E-2</c:v>
                </c:pt>
                <c:pt idx="167">
                  <c:v>1.1830176163795114E-2</c:v>
                </c:pt>
                <c:pt idx="168">
                  <c:v>1.1851872472151692E-2</c:v>
                </c:pt>
                <c:pt idx="169">
                  <c:v>1.1872381892819028E-2</c:v>
                </c:pt>
                <c:pt idx="170">
                  <c:v>1.1891704425472938E-2</c:v>
                </c:pt>
                <c:pt idx="171">
                  <c:v>1.1928277690170427E-2</c:v>
                </c:pt>
                <c:pt idx="172">
                  <c:v>1.1963270535831905E-2</c:v>
                </c:pt>
                <c:pt idx="173">
                  <c:v>1.1980644483535752E-2</c:v>
                </c:pt>
                <c:pt idx="174">
                  <c:v>1.1997828006924394E-2</c:v>
                </c:pt>
                <c:pt idx="175">
                  <c:v>1.201482110599783E-2</c:v>
                </c:pt>
                <c:pt idx="176">
                  <c:v>1.2048570254741636E-2</c:v>
                </c:pt>
                <c:pt idx="177">
                  <c:v>1.208088925841011E-2</c:v>
                </c:pt>
                <c:pt idx="178">
                  <c:v>1.2096930235421244E-2</c:v>
                </c:pt>
                <c:pt idx="179">
                  <c:v>1.2112780788036126E-2</c:v>
                </c:pt>
                <c:pt idx="180">
                  <c:v>1.2128440916011618E-2</c:v>
                </c:pt>
                <c:pt idx="181">
                  <c:v>1.2159531480994506E-2</c:v>
                </c:pt>
                <c:pt idx="182">
                  <c:v>1.2189177182735378E-2</c:v>
                </c:pt>
                <c:pt idx="183">
                  <c:v>1.220388518791915E-2</c:v>
                </c:pt>
                <c:pt idx="184">
                  <c:v>1.2218402768463532E-2</c:v>
                </c:pt>
                <c:pt idx="185">
                  <c:v>1.2232729924287478E-2</c:v>
                </c:pt>
                <c:pt idx="186">
                  <c:v>1.2261161343453491E-2</c:v>
                </c:pt>
                <c:pt idx="187">
                  <c:v>1.2288134300622033E-2</c:v>
                </c:pt>
                <c:pt idx="188">
                  <c:v>1.2301509332843796E-2</c:v>
                </c:pt>
                <c:pt idx="189">
                  <c:v>1.231469394018303E-2</c:v>
                </c:pt>
                <c:pt idx="190">
                  <c:v>1.2327688122801828E-2</c:v>
                </c:pt>
                <c:pt idx="191">
                  <c:v>1.2354824263820138E-2</c:v>
                </c:pt>
                <c:pt idx="192">
                  <c:v>1.238336961055353E-2</c:v>
                </c:pt>
                <c:pt idx="193">
                  <c:v>1.2399049943366824E-2</c:v>
                </c:pt>
                <c:pt idx="194">
                  <c:v>1.2415449420091207E-2</c:v>
                </c:pt>
                <c:pt idx="195">
                  <c:v>1.2470533903967462E-2</c:v>
                </c:pt>
                <c:pt idx="196">
                  <c:v>1.2528948309864507E-2</c:v>
                </c:pt>
                <c:pt idx="197">
                  <c:v>1.2550381797370447E-2</c:v>
                </c:pt>
                <c:pt idx="198">
                  <c:v>1.2572534429841076E-2</c:v>
                </c:pt>
                <c:pt idx="199">
                  <c:v>1.2619673137487982E-2</c:v>
                </c:pt>
                <c:pt idx="200">
                  <c:v>1.266833641099141E-2</c:v>
                </c:pt>
                <c:pt idx="201">
                  <c:v>1.2694084769825364E-2</c:v>
                </c:pt>
                <c:pt idx="202">
                  <c:v>1.2720552274434471E-2</c:v>
                </c:pt>
                <c:pt idx="203">
                  <c:v>1.274773892481873E-2</c:v>
                </c:pt>
                <c:pt idx="204">
                  <c:v>1.2804958577020317E-2</c:v>
                </c:pt>
                <c:pt idx="205">
                  <c:v>1.2863676988726924E-2</c:v>
                </c:pt>
                <c:pt idx="206">
                  <c:v>1.2894459371066702E-2</c:v>
                </c:pt>
                <c:pt idx="207">
                  <c:v>1.292596090031628E-2</c:v>
                </c:pt>
                <c:pt idx="208">
                  <c:v>1.2958181576637751E-2</c:v>
                </c:pt>
                <c:pt idx="209">
                  <c:v>1.3025484889389965E-2</c:v>
                </c:pt>
                <c:pt idx="210">
                  <c:v>1.3094073828785469E-2</c:v>
                </c:pt>
                <c:pt idx="211">
                  <c:v>1.3128798675603459E-2</c:v>
                </c:pt>
                <c:pt idx="212">
                  <c:v>1.316315110244215E-2</c:v>
                </c:pt>
                <c:pt idx="213">
                  <c:v>1.3197131109058402E-2</c:v>
                </c:pt>
                <c:pt idx="214">
                  <c:v>1.3280943824678648E-2</c:v>
                </c:pt>
                <c:pt idx="215">
                  <c:v>1.3361444837668435E-2</c:v>
                </c:pt>
                <c:pt idx="216">
                  <c:v>1.3393190321653314E-2</c:v>
                </c:pt>
                <c:pt idx="217">
                  <c:v>1.3424563384929478E-2</c:v>
                </c:pt>
                <c:pt idx="218">
                  <c:v>1.3486566398565419E-2</c:v>
                </c:pt>
                <c:pt idx="219">
                  <c:v>1.3546331428029301E-2</c:v>
                </c:pt>
                <c:pt idx="220">
                  <c:v>1.3575842385897818E-2</c:v>
                </c:pt>
                <c:pt idx="221">
                  <c:v>1.3604980922328203E-2</c:v>
                </c:pt>
                <c:pt idx="222">
                  <c:v>1.36337470374015E-2</c:v>
                </c:pt>
                <c:pt idx="223">
                  <c:v>1.3690551339597958E-2</c:v>
                </c:pt>
                <c:pt idx="224">
                  <c:v>1.3745087281449297E-2</c:v>
                </c:pt>
                <c:pt idx="225">
                  <c:v>1.377199128803519E-2</c:v>
                </c:pt>
                <c:pt idx="226">
                  <c:v>1.3798522872615626E-2</c:v>
                </c:pt>
                <c:pt idx="227">
                  <c:v>1.3824682035190605E-2</c:v>
                </c:pt>
                <c:pt idx="228">
                  <c:v>1.3889010518021438E-2</c:v>
                </c:pt>
                <c:pt idx="229">
                  <c:v>1.3949891514822843E-2</c:v>
                </c:pt>
                <c:pt idx="230">
                  <c:v>1.3974007750848783E-2</c:v>
                </c:pt>
                <c:pt idx="231">
                  <c:v>1.3998709600716586E-2</c:v>
                </c:pt>
                <c:pt idx="232">
                  <c:v>1.4051244927445474E-2</c:v>
                </c:pt>
                <c:pt idx="233">
                  <c:v>1.4105289214353389E-2</c:v>
                </c:pt>
                <c:pt idx="234">
                  <c:v>1.4133877172276543E-2</c:v>
                </c:pt>
                <c:pt idx="235">
                  <c:v>1.4163242352280836E-2</c:v>
                </c:pt>
                <c:pt idx="236">
                  <c:v>1.419338475452836E-2</c:v>
                </c:pt>
                <c:pt idx="237">
                  <c:v>1.4256817132034529E-2</c:v>
                </c:pt>
                <c:pt idx="238">
                  <c:v>1.432172659089459E-2</c:v>
                </c:pt>
                <c:pt idx="239">
                  <c:v>1.4355755107762214E-2</c:v>
                </c:pt>
                <c:pt idx="240">
                  <c:v>1.4390560848169809E-2</c:v>
                </c:pt>
                <c:pt idx="241">
                  <c:v>1.4426143812360515E-2</c:v>
                </c:pt>
                <c:pt idx="242">
                  <c:v>1.4500476513643983E-2</c:v>
                </c:pt>
                <c:pt idx="243">
                  <c:v>1.4576247911493034E-2</c:v>
                </c:pt>
                <c:pt idx="244">
                  <c:v>1.4615716998003236E-2</c:v>
                </c:pt>
                <c:pt idx="245">
                  <c:v>1.4655963309755382E-2</c:v>
                </c:pt>
                <c:pt idx="246">
                  <c:v>1.469698684699261E-2</c:v>
                </c:pt>
                <c:pt idx="247">
                  <c:v>1.4782223301040473E-2</c:v>
                </c:pt>
                <c:pt idx="248">
                  <c:v>1.4868853255817216E-2</c:v>
                </c:pt>
                <c:pt idx="249">
                  <c:v>1.4913762924370078E-2</c:v>
                </c:pt>
                <c:pt idx="250">
                  <c:v>1.4959449820109993E-2</c:v>
                </c:pt>
                <c:pt idx="251">
                  <c:v>1.5005913943199056E-2</c:v>
                </c:pt>
                <c:pt idx="252">
                  <c:v>1.5102057758840106E-2</c:v>
                </c:pt>
                <c:pt idx="253">
                  <c:v>1.5199242924770484E-2</c:v>
                </c:pt>
                <c:pt idx="254">
                  <c:v>1.5247794444097629E-2</c:v>
                </c:pt>
                <c:pt idx="255">
                  <c:v>1.5295324446862324E-2</c:v>
                </c:pt>
                <c:pt idx="256">
                  <c:v>1.5341832932578292E-2</c:v>
                </c:pt>
                <c:pt idx="257">
                  <c:v>1.5432097261907087E-2</c:v>
                </c:pt>
                <c:pt idx="258">
                  <c:v>1.551765169652608E-2</c:v>
                </c:pt>
                <c:pt idx="259">
                  <c:v>1.5559052591163081E-2</c:v>
                </c:pt>
                <c:pt idx="260">
                  <c:v>1.5599431966401012E-2</c:v>
                </c:pt>
                <c:pt idx="261">
                  <c:v>1.5638789821996735E-2</c:v>
                </c:pt>
                <c:pt idx="262">
                  <c:v>1.5714777003245084E-2</c:v>
                </c:pt>
                <c:pt idx="263">
                  <c:v>1.5786006041635936E-2</c:v>
                </c:pt>
                <c:pt idx="264">
                  <c:v>1.5820256294319934E-2</c:v>
                </c:pt>
                <c:pt idx="265">
                  <c:v>1.585348502549766E-2</c:v>
                </c:pt>
                <c:pt idx="266">
                  <c:v>1.5885692234844928E-2</c:v>
                </c:pt>
                <c:pt idx="267">
                  <c:v>1.5947398293989501E-2</c:v>
                </c:pt>
                <c:pt idx="268">
                  <c:v>1.6004305849471878E-2</c:v>
                </c:pt>
                <c:pt idx="269">
                  <c:v>1.6031405446181868E-2</c:v>
                </c:pt>
                <c:pt idx="270">
                  <c:v>1.605748351952152E-2</c:v>
                </c:pt>
                <c:pt idx="271">
                  <c:v>1.6082540069571882E-2</c:v>
                </c:pt>
                <c:pt idx="272">
                  <c:v>1.6129960847074409E-2</c:v>
                </c:pt>
                <c:pt idx="273">
                  <c:v>1.617255103039672E-2</c:v>
                </c:pt>
                <c:pt idx="274">
                  <c:v>1.6192724294108451E-2</c:v>
                </c:pt>
                <c:pt idx="275">
                  <c:v>1.6212997704521115E-2</c:v>
                </c:pt>
                <c:pt idx="276">
                  <c:v>1.6233595595632755E-2</c:v>
                </c:pt>
                <c:pt idx="277">
                  <c:v>1.6276598755871063E-2</c:v>
                </c:pt>
                <c:pt idx="278">
                  <c:v>1.6319231969662562E-2</c:v>
                </c:pt>
                <c:pt idx="279">
                  <c:v>1.6341452265808964E-2</c:v>
                </c:pt>
                <c:pt idx="280">
                  <c:v>1.6363997043140621E-2</c:v>
                </c:pt>
                <c:pt idx="281">
                  <c:v>1.6386866301657532E-2</c:v>
                </c:pt>
                <c:pt idx="282">
                  <c:v>1.6434426340768232E-2</c:v>
                </c:pt>
                <c:pt idx="283">
                  <c:v>1.6481588149441784E-2</c:v>
                </c:pt>
                <c:pt idx="284">
                  <c:v>1.6506079815019614E-2</c:v>
                </c:pt>
                <c:pt idx="285">
                  <c:v>1.6530895962268977E-2</c:v>
                </c:pt>
                <c:pt idx="286">
                  <c:v>1.6556036591270917E-2</c:v>
                </c:pt>
                <c:pt idx="287">
                  <c:v>1.6608155097923204E-2</c:v>
                </c:pt>
                <c:pt idx="288">
                  <c:v>1.6659843924966555E-2</c:v>
                </c:pt>
                <c:pt idx="289">
                  <c:v>1.6686606963379758E-2</c:v>
                </c:pt>
                <c:pt idx="290">
                  <c:v>1.6713694483707631E-2</c:v>
                </c:pt>
                <c:pt idx="291">
                  <c:v>1.6741106486355406E-2</c:v>
                </c:pt>
                <c:pt idx="292">
                  <c:v>1.6797785095468885E-2</c:v>
                </c:pt>
                <c:pt idx="293">
                  <c:v>1.6853999319740298E-2</c:v>
                </c:pt>
                <c:pt idx="294">
                  <c:v>1.688303373431177E-2</c:v>
                </c:pt>
                <c:pt idx="295">
                  <c:v>1.6912392631365236E-2</c:v>
                </c:pt>
                <c:pt idx="296">
                  <c:v>1.6941993214020235E-2</c:v>
                </c:pt>
                <c:pt idx="297">
                  <c:v>1.7016530012524955E-2</c:v>
                </c:pt>
                <c:pt idx="298">
                  <c:v>1.7087825606182383E-2</c:v>
                </c:pt>
                <c:pt idx="299">
                  <c:v>1.7116475182944457E-2</c:v>
                </c:pt>
                <c:pt idx="300">
                  <c:v>1.7144952459041685E-2</c:v>
                </c:pt>
                <c:pt idx="301">
                  <c:v>1.7202143333654073E-2</c:v>
                </c:pt>
                <c:pt idx="302">
                  <c:v>1.7257138556052709E-2</c:v>
                </c:pt>
                <c:pt idx="303">
                  <c:v>1.7284754328258378E-2</c:v>
                </c:pt>
                <c:pt idx="304">
                  <c:v>1.7312197799556062E-2</c:v>
                </c:pt>
                <c:pt idx="305">
                  <c:v>1.7339468969945759E-2</c:v>
                </c:pt>
                <c:pt idx="306">
                  <c:v>1.7394265840487238E-2</c:v>
                </c:pt>
                <c:pt idx="307">
                  <c:v>1.7446830641452138E-2</c:v>
                </c:pt>
                <c:pt idx="308">
                  <c:v>1.7473240306653537E-2</c:v>
                </c:pt>
                <c:pt idx="309">
                  <c:v>1.7499477670622765E-2</c:v>
                </c:pt>
                <c:pt idx="310">
                  <c:v>1.7525542733440869E-2</c:v>
                </c:pt>
                <c:pt idx="311">
                  <c:v>1.7577944984932259E-2</c:v>
                </c:pt>
                <c:pt idx="312">
                  <c:v>1.7628079971986343E-2</c:v>
                </c:pt>
                <c:pt idx="313">
                  <c:v>1.7653283528238362E-2</c:v>
                </c:pt>
                <c:pt idx="314">
                  <c:v>1.7678314783096116E-2</c:v>
                </c:pt>
                <c:pt idx="315">
                  <c:v>1.7703173736478561E-2</c:v>
                </c:pt>
                <c:pt idx="316">
                  <c:v>1.7753180728762311E-2</c:v>
                </c:pt>
                <c:pt idx="317">
                  <c:v>1.780088653493106E-2</c:v>
                </c:pt>
                <c:pt idx="318">
                  <c:v>1.7824907840232607E-2</c:v>
                </c:pt>
                <c:pt idx="319">
                  <c:v>1.7848876142158021E-2</c:v>
                </c:pt>
                <c:pt idx="320">
                  <c:v>1.7872815300489231E-2</c:v>
                </c:pt>
                <c:pt idx="321">
                  <c:v>1.7921476342140179E-2</c:v>
                </c:pt>
                <c:pt idx="322">
                  <c:v>1.7968280496575284E-2</c:v>
                </c:pt>
                <c:pt idx="323">
                  <c:v>1.7992073936287101E-2</c:v>
                </c:pt>
                <c:pt idx="324">
                  <c:v>1.8015838232323667E-2</c:v>
                </c:pt>
                <c:pt idx="325">
                  <c:v>1.8039573384684982E-2</c:v>
                </c:pt>
                <c:pt idx="326">
                  <c:v>1.8087842825241417E-2</c:v>
                </c:pt>
                <c:pt idx="327">
                  <c:v>1.8134222556486224E-2</c:v>
                </c:pt>
                <c:pt idx="328">
                  <c:v>1.8157811990147099E-2</c:v>
                </c:pt>
                <c:pt idx="329">
                  <c:v>1.8181372279889585E-2</c:v>
                </c:pt>
                <c:pt idx="330">
                  <c:v>1.820490342595682E-2</c:v>
                </c:pt>
                <c:pt idx="331">
                  <c:v>1.8252781273766509E-2</c:v>
                </c:pt>
                <c:pt idx="332">
                  <c:v>1.8298736572500696E-2</c:v>
                </c:pt>
                <c:pt idx="333">
                  <c:v>1.8322121999624352E-2</c:v>
                </c:pt>
                <c:pt idx="334">
                  <c:v>1.8345478282991712E-2</c:v>
                </c:pt>
                <c:pt idx="335">
                  <c:v>1.8368805422521728E-2</c:v>
                </c:pt>
                <c:pt idx="336">
                  <c:v>1.841629168188012E-2</c:v>
                </c:pt>
                <c:pt idx="337">
                  <c:v>1.8461822542592543E-2</c:v>
                </c:pt>
                <c:pt idx="338">
                  <c:v>1.8485003963016888E-2</c:v>
                </c:pt>
                <c:pt idx="339">
                  <c:v>1.850815623960389E-2</c:v>
                </c:pt>
                <c:pt idx="340">
                  <c:v>1.8531279372353548E-2</c:v>
                </c:pt>
                <c:pt idx="341">
                  <c:v>1.8578374043827971E-2</c:v>
                </c:pt>
                <c:pt idx="342">
                  <c:v>1.8623480464816655E-2</c:v>
                </c:pt>
                <c:pt idx="343">
                  <c:v>1.864645787829855E-2</c:v>
                </c:pt>
                <c:pt idx="344">
                  <c:v>1.8669406147862055E-2</c:v>
                </c:pt>
                <c:pt idx="345">
                  <c:v>1.8692325273588217E-2</c:v>
                </c:pt>
                <c:pt idx="346">
                  <c:v>1.8739028353882786E-2</c:v>
                </c:pt>
                <c:pt idx="347">
                  <c:v>1.8783710337390014E-2</c:v>
                </c:pt>
                <c:pt idx="348">
                  <c:v>1.8806483743605273E-2</c:v>
                </c:pt>
                <c:pt idx="349">
                  <c:v>1.8829228005902143E-2</c:v>
                </c:pt>
                <c:pt idx="350">
                  <c:v>1.8851943124199577E-2</c:v>
                </c:pt>
                <c:pt idx="351">
                  <c:v>1.8898254606425361E-2</c:v>
                </c:pt>
                <c:pt idx="352">
                  <c:v>1.8942512158367508E-2</c:v>
                </c:pt>
                <c:pt idx="353">
                  <c:v>1.8965081557072994E-2</c:v>
                </c:pt>
                <c:pt idx="354">
                  <c:v>1.8987621811779043E-2</c:v>
                </c:pt>
                <c:pt idx="355">
                  <c:v>1.9010132922485656E-2</c:v>
                </c:pt>
                <c:pt idx="356">
                  <c:v>1.905605279583648E-2</c:v>
                </c:pt>
                <c:pt idx="357">
                  <c:v>1.9099885925885074E-2</c:v>
                </c:pt>
                <c:pt idx="358">
                  <c:v>1.9122251316837646E-2</c:v>
                </c:pt>
                <c:pt idx="359">
                  <c:v>1.9144587563709736E-2</c:v>
                </c:pt>
                <c:pt idx="360">
                  <c:v>1.916689466658239E-2</c:v>
                </c:pt>
                <c:pt idx="361">
                  <c:v>1.9212422916523957E-2</c:v>
                </c:pt>
                <c:pt idx="362">
                  <c:v>1.9255831638159693E-2</c:v>
                </c:pt>
                <c:pt idx="363">
                  <c:v>1.9277993020954121E-2</c:v>
                </c:pt>
                <c:pt idx="364">
                  <c:v>1.9300125259749112E-2</c:v>
                </c:pt>
                <c:pt idx="365">
                  <c:v>1.9322228354544668E-2</c:v>
                </c:pt>
                <c:pt idx="366">
                  <c:v>1.9367364963030674E-2</c:v>
                </c:pt>
                <c:pt idx="367">
                  <c:v>1.9410349293165208E-2</c:v>
                </c:pt>
                <c:pt idx="368">
                  <c:v>1.9432306667720445E-2</c:v>
                </c:pt>
                <c:pt idx="369">
                  <c:v>1.94542348981952E-2</c:v>
                </c:pt>
                <c:pt idx="370">
                  <c:v>1.9476133984589472E-2</c:v>
                </c:pt>
                <c:pt idx="371">
                  <c:v>1.9520878929899513E-2</c:v>
                </c:pt>
                <c:pt idx="372">
                  <c:v>1.9563438889361739E-2</c:v>
                </c:pt>
                <c:pt idx="373">
                  <c:v>1.9585192255353601E-2</c:v>
                </c:pt>
                <c:pt idx="374">
                  <c:v>1.9606916477183933E-2</c:v>
                </c:pt>
                <c:pt idx="375">
                  <c:v>1.9628611554933784E-2</c:v>
                </c:pt>
                <c:pt idx="376">
                  <c:v>1.9672964811673358E-2</c:v>
                </c:pt>
                <c:pt idx="377">
                  <c:v>1.9715100424804177E-2</c:v>
                </c:pt>
                <c:pt idx="378">
                  <c:v>1.9736649781908477E-2</c:v>
                </c:pt>
                <c:pt idx="379">
                  <c:v>1.9758169994932295E-2</c:v>
                </c:pt>
                <c:pt idx="380">
                  <c:v>1.9824679795679145E-2</c:v>
                </c:pt>
                <c:pt idx="381">
                  <c:v>1.9886671856126359E-2</c:v>
                </c:pt>
                <c:pt idx="382">
                  <c:v>1.9907943722516919E-2</c:v>
                </c:pt>
                <c:pt idx="383">
                  <c:v>1.9962393429808489E-2</c:v>
                </c:pt>
                <c:pt idx="384">
                  <c:v>2.0013200828860045E-2</c:v>
                </c:pt>
                <c:pt idx="385">
                  <c:v>2.0034031804941899E-2</c:v>
                </c:pt>
                <c:pt idx="386">
                  <c:v>2.0054789299197573E-2</c:v>
                </c:pt>
                <c:pt idx="387">
                  <c:v>2.0075473311708114E-2</c:v>
                </c:pt>
                <c:pt idx="388">
                  <c:v>2.0117705122721933E-2</c:v>
                </c:pt>
                <c:pt idx="389">
                  <c:v>2.0157474543731624E-2</c:v>
                </c:pt>
                <c:pt idx="390">
                  <c:v>2.0177791147192314E-2</c:v>
                </c:pt>
                <c:pt idx="391">
                  <c:v>2.0198034268745779E-2</c:v>
                </c:pt>
                <c:pt idx="392">
                  <c:v>2.0218203908392018E-2</c:v>
                </c:pt>
                <c:pt idx="393">
                  <c:v>2.025942264854123E-2</c:v>
                </c:pt>
                <c:pt idx="394">
                  <c:v>2.0298147648390996E-2</c:v>
                </c:pt>
                <c:pt idx="395">
                  <c:v>2.0317949878582153E-2</c:v>
                </c:pt>
                <c:pt idx="396">
                  <c:v>2.0337678626866085E-2</c:v>
                </c:pt>
                <c:pt idx="397">
                  <c:v>2.0357333893161744E-2</c:v>
                </c:pt>
                <c:pt idx="398">
                  <c:v>2.0397539268761648E-2</c:v>
                </c:pt>
                <c:pt idx="399">
                  <c:v>2.0435220138704802E-2</c:v>
                </c:pt>
                <c:pt idx="400">
                  <c:v>2.0454507995059101E-2</c:v>
                </c:pt>
                <c:pt idx="401">
                  <c:v>2.0473722369506175E-2</c:v>
                </c:pt>
                <c:pt idx="402">
                  <c:v>2.0492863261802885E-2</c:v>
                </c:pt>
                <c:pt idx="403">
                  <c:v>2.0532054971118173E-2</c:v>
                </c:pt>
                <c:pt idx="404">
                  <c:v>2.0568692010620726E-2</c:v>
                </c:pt>
                <c:pt idx="405">
                  <c:v>2.0587465492651891E-2</c:v>
                </c:pt>
                <c:pt idx="406">
                  <c:v>2.0606165492532691E-2</c:v>
                </c:pt>
                <c:pt idx="407">
                  <c:v>2.0624792010344173E-2</c:v>
                </c:pt>
                <c:pt idx="408">
                  <c:v>2.0662969743669993E-2</c:v>
                </c:pt>
                <c:pt idx="409">
                  <c:v>2.0698563260167502E-2</c:v>
                </c:pt>
                <c:pt idx="410">
                  <c:v>2.0716822367308207E-2</c:v>
                </c:pt>
                <c:pt idx="411">
                  <c:v>2.0735007992217502E-2</c:v>
                </c:pt>
                <c:pt idx="412">
                  <c:v>2.0753120134895386E-2</c:v>
                </c:pt>
                <c:pt idx="413">
                  <c:v>2.0790283574827487E-2</c:v>
                </c:pt>
                <c:pt idx="414">
                  <c:v>2.0824833883535954E-2</c:v>
                </c:pt>
                <c:pt idx="415">
                  <c:v>2.0842578615218876E-2</c:v>
                </c:pt>
                <c:pt idx="416">
                  <c:v>2.0860249864508296E-2</c:v>
                </c:pt>
                <c:pt idx="417">
                  <c:v>2.0877847631566304E-2</c:v>
                </c:pt>
                <c:pt idx="418">
                  <c:v>2.0913996453244175E-2</c:v>
                </c:pt>
                <c:pt idx="419">
                  <c:v>2.0947503877078999E-2</c:v>
                </c:pt>
                <c:pt idx="420">
                  <c:v>2.0964734232574722E-2</c:v>
                </c:pt>
                <c:pt idx="421">
                  <c:v>2.0981891105920081E-2</c:v>
                </c:pt>
                <c:pt idx="422">
                  <c:v>2.099897449679089E-2</c:v>
                </c:pt>
                <c:pt idx="423">
                  <c:v>2.1034108367978813E-2</c:v>
                </c:pt>
                <c:pt idx="424">
                  <c:v>2.1066573236987463E-2</c:v>
                </c:pt>
                <c:pt idx="425">
                  <c:v>2.1083289215971801E-2</c:v>
                </c:pt>
                <c:pt idx="426">
                  <c:v>2.1099931712643683E-2</c:v>
                </c:pt>
                <c:pt idx="427">
                  <c:v>2.1116500726922061E-2</c:v>
                </c:pt>
                <c:pt idx="428">
                  <c:v>2.1150619308306272E-2</c:v>
                </c:pt>
                <c:pt idx="429">
                  <c:v>2.1182041959695308E-2</c:v>
                </c:pt>
                <c:pt idx="430">
                  <c:v>2.1198243561844077E-2</c:v>
                </c:pt>
                <c:pt idx="431">
                  <c:v>2.1214371681356203E-2</c:v>
                </c:pt>
                <c:pt idx="432">
                  <c:v>2.1230426318474827E-2</c:v>
                </c:pt>
                <c:pt idx="433">
                  <c:v>2.1263529263960693E-2</c:v>
                </c:pt>
                <c:pt idx="434">
                  <c:v>2.1293910041960684E-2</c:v>
                </c:pt>
                <c:pt idx="435">
                  <c:v>2.1309597266544467E-2</c:v>
                </c:pt>
                <c:pt idx="436">
                  <c:v>2.1325211008653699E-2</c:v>
                </c:pt>
                <c:pt idx="437">
                  <c:v>2.134075126812629E-2</c:v>
                </c:pt>
                <c:pt idx="438">
                  <c:v>2.1372838224865319E-2</c:v>
                </c:pt>
                <c:pt idx="439">
                  <c:v>2.1402177480460693E-2</c:v>
                </c:pt>
                <c:pt idx="440">
                  <c:v>2.1417350327074258E-2</c:v>
                </c:pt>
                <c:pt idx="441">
                  <c:v>2.1432449691132227E-2</c:v>
                </c:pt>
                <c:pt idx="442">
                  <c:v>2.1479761068377456E-2</c:v>
                </c:pt>
                <c:pt idx="443">
                  <c:v>2.1521519746618978E-2</c:v>
                </c:pt>
                <c:pt idx="444">
                  <c:v>2.1536206771189947E-2</c:v>
                </c:pt>
                <c:pt idx="445">
                  <c:v>2.1550922352012725E-2</c:v>
                </c:pt>
                <c:pt idx="446">
                  <c:v>2.1581724659985872E-2</c:v>
                </c:pt>
                <c:pt idx="447">
                  <c:v>2.1610070238551327E-2</c:v>
                </c:pt>
                <c:pt idx="448">
                  <c:v>2.1624928600957327E-2</c:v>
                </c:pt>
                <c:pt idx="449">
                  <c:v>2.1639815519777228E-2</c:v>
                </c:pt>
                <c:pt idx="450">
                  <c:v>2.1654730994848936E-2</c:v>
                </c:pt>
                <c:pt idx="451">
                  <c:v>2.1685945444042863E-2</c:v>
                </c:pt>
                <c:pt idx="452">
                  <c:v>2.1714678458626402E-2</c:v>
                </c:pt>
                <c:pt idx="453">
                  <c:v>2.1729736715443426E-2</c:v>
                </c:pt>
                <c:pt idx="454">
                  <c:v>2.1744823528593304E-2</c:v>
                </c:pt>
                <c:pt idx="455">
                  <c:v>2.1759938898076037E-2</c:v>
                </c:pt>
                <c:pt idx="456">
                  <c:v>2.1791565715501376E-2</c:v>
                </c:pt>
                <c:pt idx="457">
                  <c:v>2.1820685939821782E-2</c:v>
                </c:pt>
                <c:pt idx="458">
                  <c:v>2.1835944091211923E-2</c:v>
                </c:pt>
                <c:pt idx="459">
                  <c:v>2.1851230798934917E-2</c:v>
                </c:pt>
                <c:pt idx="460">
                  <c:v>2.1866546063071812E-2</c:v>
                </c:pt>
                <c:pt idx="461">
                  <c:v>2.1898585477954462E-2</c:v>
                </c:pt>
                <c:pt idx="462">
                  <c:v>2.1928092683434208E-2</c:v>
                </c:pt>
                <c:pt idx="463">
                  <c:v>2.1943550729559558E-2</c:v>
                </c:pt>
                <c:pt idx="464">
                  <c:v>2.1959037332017761E-2</c:v>
                </c:pt>
                <c:pt idx="465">
                  <c:v>2.1974552490889865E-2</c:v>
                </c:pt>
                <c:pt idx="466">
                  <c:v>2.2015474729778772E-2</c:v>
                </c:pt>
                <c:pt idx="467">
                  <c:v>2.2052556631620979E-2</c:v>
                </c:pt>
                <c:pt idx="468">
                  <c:v>2.206824312905753E-2</c:v>
                </c:pt>
                <c:pt idx="469">
                  <c:v>2.2083958182907981E-2</c:v>
                </c:pt>
                <c:pt idx="470">
                  <c:v>2.2116823490783886E-2</c:v>
                </c:pt>
                <c:pt idx="471">
                  <c:v>2.2147103962691927E-2</c:v>
                </c:pt>
                <c:pt idx="472">
                  <c:v>2.2162961798773972E-2</c:v>
                </c:pt>
                <c:pt idx="473">
                  <c:v>2.2178848191269918E-2</c:v>
                </c:pt>
                <c:pt idx="474">
                  <c:v>2.2194763140260809E-2</c:v>
                </c:pt>
                <c:pt idx="475">
                  <c:v>2.2228041748697528E-2</c:v>
                </c:pt>
                <c:pt idx="476">
                  <c:v>2.2258708500849655E-2</c:v>
                </c:pt>
                <c:pt idx="477">
                  <c:v>2.2274766232234233E-2</c:v>
                </c:pt>
                <c:pt idx="478">
                  <c:v>2.2290852520032711E-2</c:v>
                </c:pt>
                <c:pt idx="479">
                  <c:v>2.2306967364326136E-2</c:v>
                </c:pt>
                <c:pt idx="480">
                  <c:v>2.2340659512653332E-2</c:v>
                </c:pt>
                <c:pt idx="481">
                  <c:v>2.2371712306449298E-2</c:v>
                </c:pt>
                <c:pt idx="482">
                  <c:v>2.2387969933298502E-2</c:v>
                </c:pt>
                <c:pt idx="483">
                  <c:v>2.2404256116480559E-2</c:v>
                </c:pt>
                <c:pt idx="484">
                  <c:v>2.2420570856319655E-2</c:v>
                </c:pt>
                <c:pt idx="485">
                  <c:v>2.2463573938814319E-2</c:v>
                </c:pt>
                <c:pt idx="486">
                  <c:v>2.2502572903182472E-2</c:v>
                </c:pt>
                <c:pt idx="487">
                  <c:v>2.2519058982153339E-2</c:v>
                </c:pt>
                <c:pt idx="488">
                  <c:v>2.2535573617619153E-2</c:v>
                </c:pt>
                <c:pt idx="489">
                  <c:v>2.2570093574468451E-2</c:v>
                </c:pt>
                <c:pt idx="490">
                  <c:v>2.2601917725080245E-2</c:v>
                </c:pt>
                <c:pt idx="491">
                  <c:v>2.261857514326393E-2</c:v>
                </c:pt>
                <c:pt idx="492">
                  <c:v>2.2635261118104655E-2</c:v>
                </c:pt>
                <c:pt idx="493">
                  <c:v>2.2651975649440326E-2</c:v>
                </c:pt>
                <c:pt idx="494">
                  <c:v>2.268690988021627E-2</c:v>
                </c:pt>
                <c:pt idx="495">
                  <c:v>2.271911934070503E-2</c:v>
                </c:pt>
                <c:pt idx="496">
                  <c:v>2.2735976655001711E-2</c:v>
                </c:pt>
                <c:pt idx="497">
                  <c:v>2.2752862525793338E-2</c:v>
                </c:pt>
                <c:pt idx="498">
                  <c:v>2.2769776953323051E-2</c:v>
                </c:pt>
                <c:pt idx="499">
                  <c:v>2.2805125707837291E-2</c:v>
                </c:pt>
                <c:pt idx="500">
                  <c:v>2.2837720229120784E-2</c:v>
                </c:pt>
                <c:pt idx="501">
                  <c:v>2.285477743953046E-2</c:v>
                </c:pt>
                <c:pt idx="502">
                  <c:v>2.2871863206678222E-2</c:v>
                </c:pt>
                <c:pt idx="503">
                  <c:v>2.2888977530401977E-2</c:v>
                </c:pt>
                <c:pt idx="504">
                  <c:v>2.2924741061491897E-2</c:v>
                </c:pt>
                <c:pt idx="505">
                  <c:v>2.2957720391543202E-2</c:v>
                </c:pt>
                <c:pt idx="506">
                  <c:v>2.2974977498390059E-2</c:v>
                </c:pt>
                <c:pt idx="507">
                  <c:v>2.2992248309352536E-2</c:v>
                </c:pt>
                <c:pt idx="508">
                  <c:v>2.300947341377868E-2</c:v>
                </c:pt>
                <c:pt idx="509">
                  <c:v>2.3045176619960566E-2</c:v>
                </c:pt>
                <c:pt idx="510">
                  <c:v>2.307776824094887E-2</c:v>
                </c:pt>
                <c:pt idx="511">
                  <c:v>2.3094690549986252E-2</c:v>
                </c:pt>
                <c:pt idx="512">
                  <c:v>2.3111552299945881E-2</c:v>
                </c:pt>
                <c:pt idx="513">
                  <c:v>2.3128353490827758E-2</c:v>
                </c:pt>
                <c:pt idx="514">
                  <c:v>2.3163223811721499E-2</c:v>
                </c:pt>
                <c:pt idx="515">
                  <c:v>2.3194952662767276E-2</c:v>
                </c:pt>
                <c:pt idx="516">
                  <c:v>2.3211451057936205E-2</c:v>
                </c:pt>
                <c:pt idx="517">
                  <c:v>2.3227888893865289E-2</c:v>
                </c:pt>
                <c:pt idx="518">
                  <c:v>2.3341258088355188E-2</c:v>
                </c:pt>
                <c:pt idx="519">
                  <c:v>2.3451659880416864E-2</c:v>
                </c:pt>
                <c:pt idx="520">
                  <c:v>2.3559094267537883E-2</c:v>
                </c:pt>
                <c:pt idx="521">
                  <c:v>2.3663561247124765E-2</c:v>
                </c:pt>
                <c:pt idx="522">
                  <c:v>2.3765060816502981E-2</c:v>
                </c:pt>
                <c:pt idx="523">
                  <c:v>2.386359297332219E-2</c:v>
                </c:pt>
                <c:pt idx="524">
                  <c:v>2.3959157715069956E-2</c:v>
                </c:pt>
                <c:pt idx="525">
                  <c:v>2.4051755039476985E-2</c:v>
                </c:pt>
                <c:pt idx="526">
                  <c:v>2.414138494427398E-2</c:v>
                </c:pt>
                <c:pt idx="527">
                  <c:v>2.4228047427272692E-2</c:v>
                </c:pt>
                <c:pt idx="528">
                  <c:v>2.4311751431038697E-2</c:v>
                </c:pt>
                <c:pt idx="529">
                  <c:v>2.4393981791109853E-2</c:v>
                </c:pt>
                <c:pt idx="530">
                  <c:v>2.4475874496733274E-2</c:v>
                </c:pt>
                <c:pt idx="531">
                  <c:v>2.4557429547584775E-2</c:v>
                </c:pt>
                <c:pt idx="532">
                  <c:v>2.4638646943583309E-2</c:v>
                </c:pt>
                <c:pt idx="533">
                  <c:v>2.4719526684323645E-2</c:v>
                </c:pt>
                <c:pt idx="534">
                  <c:v>2.4800068769643691E-2</c:v>
                </c:pt>
                <c:pt idx="535">
                  <c:v>2.4880273199381353E-2</c:v>
                </c:pt>
                <c:pt idx="536">
                  <c:v>2.496013997337454E-2</c:v>
                </c:pt>
                <c:pt idx="537">
                  <c:v>2.5039669091136973E-2</c:v>
                </c:pt>
                <c:pt idx="538">
                  <c:v>2.51188605527497E-2</c:v>
                </c:pt>
                <c:pt idx="539">
                  <c:v>2.5197714357807488E-2</c:v>
                </c:pt>
                <c:pt idx="540">
                  <c:v>2.5276230506148245E-2</c:v>
                </c:pt>
                <c:pt idx="541">
                  <c:v>2.5354408997528832E-2</c:v>
                </c:pt>
                <c:pt idx="542">
                  <c:v>2.5432249831787157E-2</c:v>
                </c:pt>
                <c:pt idx="543">
                  <c:v>2.5509753008680081E-2</c:v>
                </c:pt>
                <c:pt idx="544">
                  <c:v>2.5586918527964464E-2</c:v>
                </c:pt>
                <c:pt idx="545">
                  <c:v>2.5663746389478215E-2</c:v>
                </c:pt>
                <c:pt idx="546">
                  <c:v>2.5740236592897148E-2</c:v>
                </c:pt>
                <c:pt idx="547">
                  <c:v>2.5816389138140217E-2</c:v>
                </c:pt>
                <c:pt idx="548">
                  <c:v>2.5892204024964283E-2</c:v>
                </c:pt>
                <c:pt idx="549">
                  <c:v>2.5967681253126207E-2</c:v>
                </c:pt>
                <c:pt idx="550">
                  <c:v>2.6042820822463897E-2</c:v>
                </c:pt>
                <c:pt idx="551">
                  <c:v>2.6117622732653167E-2</c:v>
                </c:pt>
                <c:pt idx="552">
                  <c:v>2.6192086983612972E-2</c:v>
                </c:pt>
                <c:pt idx="553">
                  <c:v>2.6266213575100172E-2</c:v>
                </c:pt>
                <c:pt idx="554">
                  <c:v>2.6340002506871629E-2</c:v>
                </c:pt>
                <c:pt idx="555">
                  <c:v>2.641345377876525E-2</c:v>
                </c:pt>
                <c:pt idx="556">
                  <c:v>2.6486567390618942E-2</c:v>
                </c:pt>
                <c:pt idx="557">
                  <c:v>2.6559343342108521E-2</c:v>
                </c:pt>
                <c:pt idx="558">
                  <c:v>2.6631781633071894E-2</c:v>
                </c:pt>
                <c:pt idx="559">
                  <c:v>2.6703882263428014E-2</c:v>
                </c:pt>
                <c:pt idx="560">
                  <c:v>2.677564523277165E-2</c:v>
                </c:pt>
                <c:pt idx="561">
                  <c:v>2.6847070541102802E-2</c:v>
                </c:pt>
                <c:pt idx="562">
                  <c:v>2.6918158188178332E-2</c:v>
                </c:pt>
                <c:pt idx="563">
                  <c:v>2.6988908173674053E-2</c:v>
                </c:pt>
                <c:pt idx="564">
                  <c:v>2.7059320497427874E-2</c:v>
                </c:pt>
                <c:pt idx="565">
                  <c:v>2.7129395159439795E-2</c:v>
                </c:pt>
                <c:pt idx="566">
                  <c:v>2.7199132159223538E-2</c:v>
                </c:pt>
                <c:pt idx="567">
                  <c:v>2.7268531496860149E-2</c:v>
                </c:pt>
                <c:pt idx="568">
                  <c:v>2.7337593171944397E-2</c:v>
                </c:pt>
                <c:pt idx="569">
                  <c:v>2.7406317184395235E-2</c:v>
                </c:pt>
                <c:pt idx="570">
                  <c:v>2.7474703533969524E-2</c:v>
                </c:pt>
                <c:pt idx="571">
                  <c:v>2.754275222058622E-2</c:v>
                </c:pt>
                <c:pt idx="572">
                  <c:v>2.7610463243921135E-2</c:v>
                </c:pt>
                <c:pt idx="573">
                  <c:v>2.7677836603812178E-2</c:v>
                </c:pt>
                <c:pt idx="574">
                  <c:v>2.7744872300097256E-2</c:v>
                </c:pt>
                <c:pt idx="575">
                  <c:v>2.7811570332614277E-2</c:v>
                </c:pt>
                <c:pt idx="576">
                  <c:v>2.7877930701201148E-2</c:v>
                </c:pt>
                <c:pt idx="577">
                  <c:v>2.794395340561473E-2</c:v>
                </c:pt>
                <c:pt idx="578">
                  <c:v>2.8009638445611884E-2</c:v>
                </c:pt>
                <c:pt idx="579">
                  <c:v>2.8074985821111564E-2</c:v>
                </c:pt>
                <c:pt idx="580">
                  <c:v>2.8139995531951678E-2</c:v>
                </c:pt>
                <c:pt idx="581">
                  <c:v>2.8204667577889087E-2</c:v>
                </c:pt>
                <c:pt idx="582">
                  <c:v>2.8269001958761697E-2</c:v>
                </c:pt>
                <c:pt idx="583">
                  <c:v>2.8332998674326371E-2</c:v>
                </c:pt>
                <c:pt idx="584">
                  <c:v>2.8396657724583108E-2</c:v>
                </c:pt>
                <c:pt idx="585">
                  <c:v>2.8459979109126676E-2</c:v>
                </c:pt>
                <c:pt idx="586">
                  <c:v>2.8522962827957077E-2</c:v>
                </c:pt>
                <c:pt idx="587">
                  <c:v>2.858560888083117E-2</c:v>
                </c:pt>
                <c:pt idx="588">
                  <c:v>2.8647917267586864E-2</c:v>
                </c:pt>
                <c:pt idx="589">
                  <c:v>2.8709887988062066E-2</c:v>
                </c:pt>
                <c:pt idx="590">
                  <c:v>2.8771521042013637E-2</c:v>
                </c:pt>
                <c:pt idx="591">
                  <c:v>2.883281642936053E-2</c:v>
                </c:pt>
                <c:pt idx="592">
                  <c:v>2.8893774149940654E-2</c:v>
                </c:pt>
                <c:pt idx="593">
                  <c:v>2.8954394203429823E-2</c:v>
                </c:pt>
                <c:pt idx="594">
                  <c:v>2.9014676589909083E-2</c:v>
                </c:pt>
                <c:pt idx="595">
                  <c:v>2.9074621308973203E-2</c:v>
                </c:pt>
                <c:pt idx="596">
                  <c:v>2.9134228360541137E-2</c:v>
                </c:pt>
                <c:pt idx="597">
                  <c:v>2.9193497744531838E-2</c:v>
                </c:pt>
                <c:pt idx="598">
                  <c:v>2.9252429460702167E-2</c:v>
                </c:pt>
                <c:pt idx="599">
                  <c:v>2.9311023508890033E-2</c:v>
                </c:pt>
                <c:pt idx="600">
                  <c:v>2.9369279889014388E-2</c:v>
                </c:pt>
                <c:pt idx="601">
                  <c:v>2.9427198600751048E-2</c:v>
                </c:pt>
                <c:pt idx="602">
                  <c:v>2.9484779644018966E-2</c:v>
                </c:pt>
                <c:pt idx="603">
                  <c:v>2.9542023018737096E-2</c:v>
                </c:pt>
                <c:pt idx="604">
                  <c:v>2.9598928724581253E-2</c:v>
                </c:pt>
                <c:pt idx="605">
                  <c:v>2.9655496761551436E-2</c:v>
                </c:pt>
                <c:pt idx="606">
                  <c:v>2.9711727129485554E-2</c:v>
                </c:pt>
                <c:pt idx="607">
                  <c:v>2.9767619828140468E-2</c:v>
                </c:pt>
                <c:pt idx="608">
                  <c:v>2.9823174857273038E-2</c:v>
                </c:pt>
                <c:pt idx="609">
                  <c:v>2.9878392216964311E-2</c:v>
                </c:pt>
                <c:pt idx="610">
                  <c:v>2.9933271906971148E-2</c:v>
                </c:pt>
                <c:pt idx="611">
                  <c:v>2.9987813927050411E-2</c:v>
                </c:pt>
                <c:pt idx="612">
                  <c:v>3.0042018277121052E-2</c:v>
                </c:pt>
                <c:pt idx="613">
                  <c:v>3.009588495702098E-2</c:v>
                </c:pt>
                <c:pt idx="614">
                  <c:v>3.0149413966588101E-2</c:v>
                </c:pt>
                <c:pt idx="615">
                  <c:v>3.020260530574137E-2</c:v>
                </c:pt>
                <c:pt idx="616">
                  <c:v>3.0255458974237648E-2</c:v>
                </c:pt>
                <c:pt idx="617">
                  <c:v>3.0307974972076934E-2</c:v>
                </c:pt>
                <c:pt idx="618">
                  <c:v>3.0360153298935044E-2</c:v>
                </c:pt>
                <c:pt idx="619">
                  <c:v>3.0411993954649885E-2</c:v>
                </c:pt>
                <c:pt idx="620">
                  <c:v>3.0463496939302503E-2</c:v>
                </c:pt>
                <c:pt idx="621">
                  <c:v>3.051466225264976E-2</c:v>
                </c:pt>
                <c:pt idx="622">
                  <c:v>3.0565489894448516E-2</c:v>
                </c:pt>
                <c:pt idx="623">
                  <c:v>3.0615979864698772E-2</c:v>
                </c:pt>
                <c:pt idx="624">
                  <c:v>3.0666132163076343E-2</c:v>
                </c:pt>
                <c:pt idx="625">
                  <c:v>3.0715946789662274E-2</c:v>
                </c:pt>
                <c:pt idx="626">
                  <c:v>3.0765423744132381E-2</c:v>
                </c:pt>
                <c:pt idx="627">
                  <c:v>3.0814563026486663E-2</c:v>
                </c:pt>
                <c:pt idx="628">
                  <c:v>3.0863364636481982E-2</c:v>
                </c:pt>
                <c:pt idx="629">
                  <c:v>3.0911828574037292E-2</c:v>
                </c:pt>
                <c:pt idx="630">
                  <c:v>3.0959954839071546E-2</c:v>
                </c:pt>
                <c:pt idx="631">
                  <c:v>3.1007743431341606E-2</c:v>
                </c:pt>
                <c:pt idx="632">
                  <c:v>3.1055194350766424E-2</c:v>
                </c:pt>
                <c:pt idx="633">
                  <c:v>3.1102307597264955E-2</c:v>
                </c:pt>
                <c:pt idx="634">
                  <c:v>3.1149083170675107E-2</c:v>
                </c:pt>
                <c:pt idx="635">
                  <c:v>3.119552107075374E-2</c:v>
                </c:pt>
                <c:pt idx="636">
                  <c:v>3.1241621297500854E-2</c:v>
                </c:pt>
                <c:pt idx="637">
                  <c:v>3.1287383850754358E-2</c:v>
                </c:pt>
                <c:pt idx="638">
                  <c:v>3.1332808730433204E-2</c:v>
                </c:pt>
                <c:pt idx="639">
                  <c:v>3.1377895936294253E-2</c:v>
                </c:pt>
                <c:pt idx="640">
                  <c:v>3.1422645468337507E-2</c:v>
                </c:pt>
                <c:pt idx="641">
                  <c:v>3.1467057326400871E-2</c:v>
                </c:pt>
                <c:pt idx="642">
                  <c:v>3.1511131510241208E-2</c:v>
                </c:pt>
                <c:pt idx="643">
                  <c:v>3.1554868019939564E-2</c:v>
                </c:pt>
                <c:pt idx="644">
                  <c:v>3.1598266855252799E-2</c:v>
                </c:pt>
                <c:pt idx="645">
                  <c:v>3.1647452045219238E-2</c:v>
                </c:pt>
                <c:pt idx="646">
                  <c:v>3.1690127292124393E-2</c:v>
                </c:pt>
                <c:pt idx="647">
                  <c:v>3.1732464864401289E-2</c:v>
                </c:pt>
                <c:pt idx="648">
                  <c:v>3.1774464761806787E-2</c:v>
                </c:pt>
                <c:pt idx="649">
                  <c:v>3.1816126984178794E-2</c:v>
                </c:pt>
                <c:pt idx="650">
                  <c:v>3.1857451531517311E-2</c:v>
                </c:pt>
                <c:pt idx="651">
                  <c:v>3.1898438403660245E-2</c:v>
                </c:pt>
                <c:pt idx="652">
                  <c:v>3.1939087600445504E-2</c:v>
                </c:pt>
                <c:pt idx="653">
                  <c:v>3.197939912179204E-2</c:v>
                </c:pt>
                <c:pt idx="654">
                  <c:v>3.2019372967618809E-2</c:v>
                </c:pt>
                <c:pt idx="655">
                  <c:v>3.2059009137844763E-2</c:v>
                </c:pt>
                <c:pt idx="656">
                  <c:v>3.209830763230781E-2</c:v>
                </c:pt>
                <c:pt idx="657">
                  <c:v>3.2137268450764811E-2</c:v>
                </c:pt>
                <c:pt idx="658">
                  <c:v>3.2175891593377859E-2</c:v>
                </c:pt>
                <c:pt idx="659">
                  <c:v>3.2214177059822768E-2</c:v>
                </c:pt>
                <c:pt idx="660">
                  <c:v>3.2252124850099539E-2</c:v>
                </c:pt>
                <c:pt idx="661">
                  <c:v>3.2306129106547399E-2</c:v>
                </c:pt>
                <c:pt idx="662">
                  <c:v>3.2327007401662389E-2</c:v>
                </c:pt>
                <c:pt idx="663">
                  <c:v>3.2363942162786374E-2</c:v>
                </c:pt>
                <c:pt idx="664">
                  <c:v>3.2400539247255944E-2</c:v>
                </c:pt>
                <c:pt idx="665">
                  <c:v>3.2436798654990051E-2</c:v>
                </c:pt>
                <c:pt idx="666">
                  <c:v>3.247272038590765E-2</c:v>
                </c:pt>
                <c:pt idx="667">
                  <c:v>3.250830444000874E-2</c:v>
                </c:pt>
                <c:pt idx="668">
                  <c:v>3.2543550816969136E-2</c:v>
                </c:pt>
                <c:pt idx="669">
                  <c:v>3.2578459516950931E-2</c:v>
                </c:pt>
                <c:pt idx="670">
                  <c:v>3.2613030539629939E-2</c:v>
                </c:pt>
                <c:pt idx="671">
                  <c:v>3.2647263885006161E-2</c:v>
                </c:pt>
                <c:pt idx="672">
                  <c:v>3.2681159553079597E-2</c:v>
                </c:pt>
                <c:pt idx="673">
                  <c:v>3.2714717543607108E-2</c:v>
                </c:pt>
                <c:pt idx="674">
                  <c:v>3.2747937856588694E-2</c:v>
                </c:pt>
                <c:pt idx="675">
                  <c:v>3.2780820491862261E-2</c:v>
                </c:pt>
                <c:pt idx="676">
                  <c:v>3.2813365449346765E-2</c:v>
                </c:pt>
                <c:pt idx="677">
                  <c:v>3.2845572729042205E-2</c:v>
                </c:pt>
                <c:pt idx="678">
                  <c:v>3.2877442330705442E-2</c:v>
                </c:pt>
                <c:pt idx="679">
                  <c:v>3.2908974254417522E-2</c:v>
                </c:pt>
                <c:pt idx="680">
                  <c:v>3.2940168500016354E-2</c:v>
                </c:pt>
                <c:pt idx="681">
                  <c:v>3.2971025067258797E-2</c:v>
                </c:pt>
                <c:pt idx="682">
                  <c:v>3.3001543956387991E-2</c:v>
                </c:pt>
                <c:pt idx="683">
                  <c:v>3.3031725167079751E-2</c:v>
                </c:pt>
                <c:pt idx="684">
                  <c:v>3.306156869925303E-2</c:v>
                </c:pt>
                <c:pt idx="685">
                  <c:v>3.3091074552907829E-2</c:v>
                </c:pt>
                <c:pt idx="686">
                  <c:v>3.3120242727963101E-2</c:v>
                </c:pt>
                <c:pt idx="687">
                  <c:v>3.3149073224256753E-2</c:v>
                </c:pt>
                <c:pt idx="688">
                  <c:v>3.3177566041869833E-2</c:v>
                </c:pt>
                <c:pt idx="689">
                  <c:v>3.32057211805592E-2</c:v>
                </c:pt>
                <c:pt idx="690">
                  <c:v>3.3233538640243809E-2</c:v>
                </c:pt>
                <c:pt idx="691">
                  <c:v>3.326101842092366E-2</c:v>
                </c:pt>
                <c:pt idx="692">
                  <c:v>3.3288160522598753E-2</c:v>
                </c:pt>
                <c:pt idx="693">
                  <c:v>3.3314964945025949E-2</c:v>
                </c:pt>
                <c:pt idx="694">
                  <c:v>3.3341431688286294E-2</c:v>
                </c:pt>
                <c:pt idx="695">
                  <c:v>3.3367560752136649E-2</c:v>
                </c:pt>
                <c:pt idx="696">
                  <c:v>3.3393352136658061E-2</c:v>
                </c:pt>
                <c:pt idx="697">
                  <c:v>3.3429075193829691E-2</c:v>
                </c:pt>
                <c:pt idx="698">
                  <c:v>3.3454099323827854E-2</c:v>
                </c:pt>
                <c:pt idx="699">
                  <c:v>3.3478785715684488E-2</c:v>
                </c:pt>
                <c:pt idx="700">
                  <c:v>3.3503134369237506E-2</c:v>
                </c:pt>
                <c:pt idx="701">
                  <c:v>3.3527145284189729E-2</c:v>
                </c:pt>
                <c:pt idx="702">
                  <c:v>3.3550818460433104E-2</c:v>
                </c:pt>
                <c:pt idx="703">
                  <c:v>3.3574153897751501E-2</c:v>
                </c:pt>
                <c:pt idx="704">
                  <c:v>3.3597151595874772E-2</c:v>
                </c:pt>
                <c:pt idx="705">
                  <c:v>3.3619811554694845E-2</c:v>
                </c:pt>
                <c:pt idx="706">
                  <c:v>3.3642133773995608E-2</c:v>
                </c:pt>
                <c:pt idx="707">
                  <c:v>3.3664118253614969E-2</c:v>
                </c:pt>
                <c:pt idx="708">
                  <c:v>3.3685764993309775E-2</c:v>
                </c:pt>
                <c:pt idx="709">
                  <c:v>3.370707399297198E-2</c:v>
                </c:pt>
                <c:pt idx="710">
                  <c:v>3.3728045252385451E-2</c:v>
                </c:pt>
                <c:pt idx="711">
                  <c:v>3.3748678771361083E-2</c:v>
                </c:pt>
                <c:pt idx="712">
                  <c:v>3.3774446309905448E-2</c:v>
                </c:pt>
                <c:pt idx="713">
                  <c:v>3.3794255934110895E-2</c:v>
                </c:pt>
                <c:pt idx="714">
                  <c:v>3.3813727877852751E-2</c:v>
                </c:pt>
                <c:pt idx="715">
                  <c:v>3.383286214080683E-2</c:v>
                </c:pt>
                <c:pt idx="716">
                  <c:v>3.3851658723135225E-2</c:v>
                </c:pt>
                <c:pt idx="717">
                  <c:v>3.387011762475689E-2</c:v>
                </c:pt>
                <c:pt idx="718">
                  <c:v>3.3888238845509733E-2</c:v>
                </c:pt>
                <c:pt idx="719">
                  <c:v>3.3906022385474799E-2</c:v>
                </c:pt>
                <c:pt idx="720">
                  <c:v>3.3923468244571042E-2</c:v>
                </c:pt>
                <c:pt idx="721">
                  <c:v>3.3940576422717417E-2</c:v>
                </c:pt>
                <c:pt idx="722">
                  <c:v>3.3957346919832876E-2</c:v>
                </c:pt>
                <c:pt idx="723">
                  <c:v>3.397379154265856E-2</c:v>
                </c:pt>
                <c:pt idx="724">
                  <c:v>3.3990240879135936E-2</c:v>
                </c:pt>
                <c:pt idx="725">
                  <c:v>3.4006848416494595E-2</c:v>
                </c:pt>
                <c:pt idx="726">
                  <c:v>3.4023614154896631E-2</c:v>
                </c:pt>
                <c:pt idx="727">
                  <c:v>3.4040538094179951E-2</c:v>
                </c:pt>
                <c:pt idx="728">
                  <c:v>3.4057620234425601E-2</c:v>
                </c:pt>
                <c:pt idx="729">
                  <c:v>3.4074860575714627E-2</c:v>
                </c:pt>
                <c:pt idx="730">
                  <c:v>3.409225911804703E-2</c:v>
                </c:pt>
                <c:pt idx="731">
                  <c:v>3.410981586142281E-2</c:v>
                </c:pt>
                <c:pt idx="732">
                  <c:v>3.4127530805923012E-2</c:v>
                </c:pt>
                <c:pt idx="733">
                  <c:v>3.4145403951385545E-2</c:v>
                </c:pt>
                <c:pt idx="734">
                  <c:v>3.4163435298134592E-2</c:v>
                </c:pt>
                <c:pt idx="735">
                  <c:v>3.4181624846008063E-2</c:v>
                </c:pt>
                <c:pt idx="736">
                  <c:v>3.4199972595005956E-2</c:v>
                </c:pt>
                <c:pt idx="737">
                  <c:v>3.4218478545128272E-2</c:v>
                </c:pt>
                <c:pt idx="738">
                  <c:v>3.423714269661815E-2</c:v>
                </c:pt>
                <c:pt idx="739">
                  <c:v>3.4255965049232451E-2</c:v>
                </c:pt>
                <c:pt idx="740">
                  <c:v>3.4274945603133267E-2</c:v>
                </c:pt>
                <c:pt idx="741">
                  <c:v>3.4294084358320598E-2</c:v>
                </c:pt>
                <c:pt idx="742">
                  <c:v>3.4313381314956537E-2</c:v>
                </c:pt>
                <c:pt idx="743">
                  <c:v>3.4332836472797945E-2</c:v>
                </c:pt>
                <c:pt idx="744">
                  <c:v>3.4352449832087961E-2</c:v>
                </c:pt>
                <c:pt idx="745">
                  <c:v>3.4372221392664493E-2</c:v>
                </c:pt>
                <c:pt idx="746">
                  <c:v>3.4392151154689632E-2</c:v>
                </c:pt>
                <c:pt idx="747">
                  <c:v>3.4412239118244425E-2</c:v>
                </c:pt>
                <c:pt idx="748">
                  <c:v>3.4432485283247827E-2</c:v>
                </c:pt>
                <c:pt idx="749">
                  <c:v>3.445288964961879E-2</c:v>
                </c:pt>
                <c:pt idx="750">
                  <c:v>3.4473452217681499E-2</c:v>
                </c:pt>
                <c:pt idx="751">
                  <c:v>3.4494172987192817E-2</c:v>
                </c:pt>
                <c:pt idx="752">
                  <c:v>3.4515051958395881E-2</c:v>
                </c:pt>
                <c:pt idx="753">
                  <c:v>3.4536089131047554E-2</c:v>
                </c:pt>
                <c:pt idx="754">
                  <c:v>3.4557284505472019E-2</c:v>
                </c:pt>
                <c:pt idx="755">
                  <c:v>3.4578638081426138E-2</c:v>
                </c:pt>
                <c:pt idx="756">
                  <c:v>3.4600149859072005E-2</c:v>
                </c:pt>
                <c:pt idx="757">
                  <c:v>3.462181983857171E-2</c:v>
                </c:pt>
                <c:pt idx="758">
                  <c:v>3.4643648019763162E-2</c:v>
                </c:pt>
                <c:pt idx="759">
                  <c:v>3.4665634402646361E-2</c:v>
                </c:pt>
                <c:pt idx="760">
                  <c:v>3.46877789873834E-2</c:v>
                </c:pt>
                <c:pt idx="761">
                  <c:v>3.4710081773974277E-2</c:v>
                </c:pt>
                <c:pt idx="762">
                  <c:v>3.4732542762418994E-2</c:v>
                </c:pt>
                <c:pt idx="763">
                  <c:v>3.475516195271755E-2</c:v>
                </c:pt>
                <c:pt idx="764">
                  <c:v>3.4777939344950992E-2</c:v>
                </c:pt>
                <c:pt idx="765">
                  <c:v>3.480087493911932E-2</c:v>
                </c:pt>
                <c:pt idx="766">
                  <c:v>3.4823968735222532E-2</c:v>
                </c:pt>
                <c:pt idx="767">
                  <c:v>3.4847220733422724E-2</c:v>
                </c:pt>
                <c:pt idx="768">
                  <c:v>3.48706309335578E-2</c:v>
                </c:pt>
                <c:pt idx="769">
                  <c:v>3.4894199335870901E-2</c:v>
                </c:pt>
                <c:pt idx="770">
                  <c:v>3.4917925940199934E-2</c:v>
                </c:pt>
                <c:pt idx="771">
                  <c:v>3.4941810746706992E-2</c:v>
                </c:pt>
                <c:pt idx="772">
                  <c:v>3.4965853755311027E-2</c:v>
                </c:pt>
                <c:pt idx="773">
                  <c:v>3.4990054966174133E-2</c:v>
                </c:pt>
                <c:pt idx="774">
                  <c:v>3.5014414379215264E-2</c:v>
                </c:pt>
                <c:pt idx="775">
                  <c:v>3.5038925814331323E-2</c:v>
                </c:pt>
                <c:pt idx="776">
                  <c:v>3.506341622458331E-2</c:v>
                </c:pt>
                <c:pt idx="777">
                  <c:v>3.508780526684796E-2</c:v>
                </c:pt>
                <c:pt idx="778">
                  <c:v>3.5112092941206319E-2</c:v>
                </c:pt>
                <c:pt idx="779">
                  <c:v>3.5136279247496294E-2</c:v>
                </c:pt>
                <c:pt idx="780">
                  <c:v>3.5160364185798931E-2</c:v>
                </c:pt>
                <c:pt idx="781">
                  <c:v>3.5184347756033185E-2</c:v>
                </c:pt>
                <c:pt idx="782">
                  <c:v>3.5208229958199055E-2</c:v>
                </c:pt>
                <c:pt idx="783">
                  <c:v>3.5232010792296542E-2</c:v>
                </c:pt>
                <c:pt idx="784">
                  <c:v>3.5255690258244599E-2</c:v>
                </c:pt>
                <c:pt idx="785">
                  <c:v>3.5279268356124271E-2</c:v>
                </c:pt>
                <c:pt idx="786">
                  <c:v>3.5302745085854514E-2</c:v>
                </c:pt>
                <c:pt idx="787">
                  <c:v>3.5326120447435327E-2</c:v>
                </c:pt>
                <c:pt idx="788">
                  <c:v>3.5349394440704618E-2</c:v>
                </c:pt>
                <c:pt idx="789">
                  <c:v>3.5372567065824478E-2</c:v>
                </c:pt>
                <c:pt idx="790">
                  <c:v>3.5395638322794909E-2</c:v>
                </c:pt>
                <c:pt idx="791">
                  <c:v>3.5418608211453817E-2</c:v>
                </c:pt>
                <c:pt idx="792">
                  <c:v>3.5441476731882249E-2</c:v>
                </c:pt>
                <c:pt idx="793">
                  <c:v>3.5464243884080204E-2</c:v>
                </c:pt>
                <c:pt idx="794">
                  <c:v>3.5486909667804545E-2</c:v>
                </c:pt>
                <c:pt idx="795">
                  <c:v>3.5509474083379455E-2</c:v>
                </c:pt>
                <c:pt idx="796">
                  <c:v>3.5531937130561797E-2</c:v>
                </c:pt>
                <c:pt idx="797">
                  <c:v>3.555429880935157E-2</c:v>
                </c:pt>
                <c:pt idx="798">
                  <c:v>3.5576559119748774E-2</c:v>
                </c:pt>
                <c:pt idx="799">
                  <c:v>3.5598718061834456E-2</c:v>
                </c:pt>
                <c:pt idx="800">
                  <c:v>3.5620775635446522E-2</c:v>
                </c:pt>
                <c:pt idx="801">
                  <c:v>3.5645860166482191E-2</c:v>
                </c:pt>
                <c:pt idx="802">
                  <c:v>3.5667700521959667E-2</c:v>
                </c:pt>
                <c:pt idx="803">
                  <c:v>3.5689439509044574E-2</c:v>
                </c:pt>
                <c:pt idx="804">
                  <c:v>3.571107712757482E-2</c:v>
                </c:pt>
                <c:pt idx="805">
                  <c:v>3.5732613377712497E-2</c:v>
                </c:pt>
                <c:pt idx="806">
                  <c:v>3.5754048259295512E-2</c:v>
                </c:pt>
                <c:pt idx="807">
                  <c:v>3.5775381772323867E-2</c:v>
                </c:pt>
                <c:pt idx="808">
                  <c:v>3.5796613916716513E-2</c:v>
                </c:pt>
                <c:pt idx="809">
                  <c:v>3.5817744692635545E-2</c:v>
                </c:pt>
                <c:pt idx="810">
                  <c:v>3.5838774099837822E-2</c:v>
                </c:pt>
                <c:pt idx="811">
                  <c:v>3.5859702138485439E-2</c:v>
                </c:pt>
                <c:pt idx="812">
                  <c:v>3.5880528808497347E-2</c:v>
                </c:pt>
                <c:pt idx="813">
                  <c:v>3.5901254109954595E-2</c:v>
                </c:pt>
                <c:pt idx="814">
                  <c:v>3.5921878042614042E-2</c:v>
                </c:pt>
                <c:pt idx="815">
                  <c:v>3.5942400606637781E-2</c:v>
                </c:pt>
                <c:pt idx="816">
                  <c:v>3.5962821802025813E-2</c:v>
                </c:pt>
                <c:pt idx="817">
                  <c:v>3.5983141628616044E-2</c:v>
                </c:pt>
                <c:pt idx="818">
                  <c:v>3.6003360086489522E-2</c:v>
                </c:pt>
                <c:pt idx="819">
                  <c:v>3.6023477175646246E-2</c:v>
                </c:pt>
                <c:pt idx="820">
                  <c:v>3.6043492896005169E-2</c:v>
                </c:pt>
                <c:pt idx="821">
                  <c:v>3.6063407247647339E-2</c:v>
                </c:pt>
                <c:pt idx="822">
                  <c:v>3.6083220230410662E-2</c:v>
                </c:pt>
                <c:pt idx="823">
                  <c:v>3.6102931844376185E-2</c:v>
                </c:pt>
                <c:pt idx="824">
                  <c:v>3.6122542089462861E-2</c:v>
                </c:pt>
                <c:pt idx="825">
                  <c:v>3.6142050965751737E-2</c:v>
                </c:pt>
                <c:pt idx="826">
                  <c:v>3.6161458473242813E-2</c:v>
                </c:pt>
                <c:pt idx="827">
                  <c:v>3.6180748948526631E-2</c:v>
                </c:pt>
                <c:pt idx="828">
                  <c:v>3.6199745974516695E-2</c:v>
                </c:pt>
                <c:pt idx="829">
                  <c:v>3.6218399264265067E-2</c:v>
                </c:pt>
                <c:pt idx="830">
                  <c:v>3.6236708817366514E-2</c:v>
                </c:pt>
                <c:pt idx="831">
                  <c:v>3.6254674634064177E-2</c:v>
                </c:pt>
                <c:pt idx="832">
                  <c:v>3.6272296714033869E-2</c:v>
                </c:pt>
                <c:pt idx="833">
                  <c:v>3.6289575057356638E-2</c:v>
                </c:pt>
                <c:pt idx="834">
                  <c:v>3.6306509664032482E-2</c:v>
                </c:pt>
                <c:pt idx="835">
                  <c:v>3.6323100533980357E-2</c:v>
                </c:pt>
                <c:pt idx="836">
                  <c:v>3.6339347667119215E-2</c:v>
                </c:pt>
                <c:pt idx="837">
                  <c:v>3.6355251063449057E-2</c:v>
                </c:pt>
                <c:pt idx="838">
                  <c:v>3.6370810722888836E-2</c:v>
                </c:pt>
                <c:pt idx="839">
                  <c:v>3.6386026645438552E-2</c:v>
                </c:pt>
                <c:pt idx="840">
                  <c:v>3.6400898831017159E-2</c:v>
                </c:pt>
                <c:pt idx="841">
                  <c:v>3.6415427279543611E-2</c:v>
                </c:pt>
                <c:pt idx="842">
                  <c:v>3.6429611991098954E-2</c:v>
                </c:pt>
                <c:pt idx="843">
                  <c:v>3.6443452965440049E-2</c:v>
                </c:pt>
                <c:pt idx="844">
                  <c:v>3.6456950202810035E-2</c:v>
                </c:pt>
                <c:pt idx="845">
                  <c:v>3.6470103702884726E-2</c:v>
                </c:pt>
                <c:pt idx="846">
                  <c:v>3.6482913465826217E-2</c:v>
                </c:pt>
                <c:pt idx="847">
                  <c:v>3.6495379491553459E-2</c:v>
                </c:pt>
                <c:pt idx="848">
                  <c:v>3.6507501779904361E-2</c:v>
                </c:pt>
                <c:pt idx="849">
                  <c:v>3.6519280331041015E-2</c:v>
                </c:pt>
                <c:pt idx="850">
                  <c:v>3.6530715144801329E-2</c:v>
                </c:pt>
                <c:pt idx="851">
                  <c:v>3.6541806221185302E-2</c:v>
                </c:pt>
                <c:pt idx="852">
                  <c:v>3.6552553560192935E-2</c:v>
                </c:pt>
                <c:pt idx="853">
                  <c:v>3.6562957161743181E-2</c:v>
                </c:pt>
                <c:pt idx="854">
                  <c:v>3.6573017025836041E-2</c:v>
                </c:pt>
                <c:pt idx="855">
                  <c:v>3.6582733152471514E-2</c:v>
                </c:pt>
                <c:pt idx="856">
                  <c:v>3.6592105541487507E-2</c:v>
                </c:pt>
                <c:pt idx="857">
                  <c:v>3.6601134193046114E-2</c:v>
                </c:pt>
                <c:pt idx="858">
                  <c:v>3.6609819107066288E-2</c:v>
                </c:pt>
                <c:pt idx="859">
                  <c:v>3.6618160283385937E-2</c:v>
                </c:pt>
                <c:pt idx="860">
                  <c:v>3.6626157722167152E-2</c:v>
                </c:pt>
                <c:pt idx="861">
                  <c:v>3.6633811423247842E-2</c:v>
                </c:pt>
                <c:pt idx="862">
                  <c:v>3.6641121386709052E-2</c:v>
                </c:pt>
                <c:pt idx="863">
                  <c:v>3.6648087612469737E-2</c:v>
                </c:pt>
                <c:pt idx="864">
                  <c:v>3.6654710100529897E-2</c:v>
                </c:pt>
                <c:pt idx="865">
                  <c:v>3.6660988850889531E-2</c:v>
                </c:pt>
                <c:pt idx="866">
                  <c:v>3.6666923863467593E-2</c:v>
                </c:pt>
                <c:pt idx="867">
                  <c:v>3.6672515138264083E-2</c:v>
                </c:pt>
                <c:pt idx="868">
                  <c:v>3.6677762675360048E-2</c:v>
                </c:pt>
                <c:pt idx="869">
                  <c:v>3.6682666474593395E-2</c:v>
                </c:pt>
                <c:pt idx="870">
                  <c:v>3.6687226536126216E-2</c:v>
                </c:pt>
                <c:pt idx="871">
                  <c:v>3.6691442859715373E-2</c:v>
                </c:pt>
                <c:pt idx="872">
                  <c:v>3.6695315445522958E-2</c:v>
                </c:pt>
                <c:pt idx="873">
                  <c:v>3.6698844293548971E-2</c:v>
                </c:pt>
                <c:pt idx="874">
                  <c:v>3.6702029403712366E-2</c:v>
                </c:pt>
                <c:pt idx="875">
                  <c:v>3.6704870776013143E-2</c:v>
                </c:pt>
                <c:pt idx="876">
                  <c:v>3.6707368410451302E-2</c:v>
                </c:pt>
                <c:pt idx="877">
                  <c:v>3.6709522306945797E-2</c:v>
                </c:pt>
                <c:pt idx="878">
                  <c:v>3.6711332465658719E-2</c:v>
                </c:pt>
                <c:pt idx="879">
                  <c:v>3.6712813967033631E-2</c:v>
                </c:pt>
                <c:pt idx="880">
                  <c:v>3.6714389067623587E-2</c:v>
                </c:pt>
                <c:pt idx="881">
                  <c:v>3.671625381530208E-2</c:v>
                </c:pt>
                <c:pt idx="882">
                  <c:v>3.671840820982597E-2</c:v>
                </c:pt>
                <c:pt idx="883">
                  <c:v>3.672085225135735E-2</c:v>
                </c:pt>
                <c:pt idx="884">
                  <c:v>3.6723585939815173E-2</c:v>
                </c:pt>
                <c:pt idx="885">
                  <c:v>3.6726609275361533E-2</c:v>
                </c:pt>
                <c:pt idx="886">
                  <c:v>3.6729922257834335E-2</c:v>
                </c:pt>
                <c:pt idx="887">
                  <c:v>3.6733524887233582E-2</c:v>
                </c:pt>
                <c:pt idx="888">
                  <c:v>3.6737417163721364E-2</c:v>
                </c:pt>
                <c:pt idx="889">
                  <c:v>3.6741599087216636E-2</c:v>
                </c:pt>
                <c:pt idx="890">
                  <c:v>3.6746070657638352E-2</c:v>
                </c:pt>
                <c:pt idx="891">
                  <c:v>3.6750831875148604E-2</c:v>
                </c:pt>
                <c:pt idx="892">
                  <c:v>3.6755882739747392E-2</c:v>
                </c:pt>
                <c:pt idx="893">
                  <c:v>3.6761223251272623E-2</c:v>
                </c:pt>
                <c:pt idx="894">
                  <c:v>3.6766853409967437E-2</c:v>
                </c:pt>
                <c:pt idx="895">
                  <c:v>3.6772773215669741E-2</c:v>
                </c:pt>
                <c:pt idx="896">
                  <c:v>3.6778982668541627E-2</c:v>
                </c:pt>
                <c:pt idx="897">
                  <c:v>3.6785481768583095E-2</c:v>
                </c:pt>
                <c:pt idx="898">
                  <c:v>3.6792270515632053E-2</c:v>
                </c:pt>
                <c:pt idx="899">
                  <c:v>3.6799348909850593E-2</c:v>
                </c:pt>
                <c:pt idx="900">
                  <c:v>3.680671695115767E-2</c:v>
                </c:pt>
                <c:pt idx="901">
                  <c:v>3.6814374639715375E-2</c:v>
                </c:pt>
                <c:pt idx="902">
                  <c:v>3.6822321975523709E-2</c:v>
                </c:pt>
                <c:pt idx="903">
                  <c:v>3.6830558958420578E-2</c:v>
                </c:pt>
                <c:pt idx="904">
                  <c:v>3.6839085588649123E-2</c:v>
                </c:pt>
                <c:pt idx="905">
                  <c:v>3.684790186604725E-2</c:v>
                </c:pt>
                <c:pt idx="906">
                  <c:v>3.6857007790777052E-2</c:v>
                </c:pt>
                <c:pt idx="907">
                  <c:v>3.6866403362838529E-2</c:v>
                </c:pt>
                <c:pt idx="908">
                  <c:v>3.6876088582150635E-2</c:v>
                </c:pt>
                <c:pt idx="909">
                  <c:v>3.6886063448794415E-2</c:v>
                </c:pt>
                <c:pt idx="910">
                  <c:v>3.689632796276987E-2</c:v>
                </c:pt>
                <c:pt idx="911">
                  <c:v>3.6906882124239093E-2</c:v>
                </c:pt>
                <c:pt idx="912">
                  <c:v>3.6917725933039991E-2</c:v>
                </c:pt>
                <c:pt idx="913">
                  <c:v>3.6928859389334656E-2</c:v>
                </c:pt>
                <c:pt idx="914">
                  <c:v>3.6940282493042043E-2</c:v>
                </c:pt>
                <c:pt idx="915">
                  <c:v>3.6951995244324243E-2</c:v>
                </c:pt>
                <c:pt idx="916">
                  <c:v>3.696399764310021E-2</c:v>
                </c:pt>
                <c:pt idx="917">
                  <c:v>3.6976289689369946E-2</c:v>
                </c:pt>
                <c:pt idx="918">
                  <c:v>3.6988871383295541E-2</c:v>
                </c:pt>
                <c:pt idx="919">
                  <c:v>3.7001742724714903E-2</c:v>
                </c:pt>
                <c:pt idx="920">
                  <c:v>3.7014903713790126E-2</c:v>
                </c:pt>
                <c:pt idx="921">
                  <c:v>3.7028354350602255E-2</c:v>
                </c:pt>
                <c:pt idx="922">
                  <c:v>3.7042094635070244E-2</c:v>
                </c:pt>
                <c:pt idx="923">
                  <c:v>3.7056124567356186E-2</c:v>
                </c:pt>
                <c:pt idx="924">
                  <c:v>3.7070444147379034E-2</c:v>
                </c:pt>
                <c:pt idx="925">
                  <c:v>3.7085053375138788E-2</c:v>
                </c:pt>
                <c:pt idx="926">
                  <c:v>3.7099952250797541E-2</c:v>
                </c:pt>
                <c:pt idx="927">
                  <c:v>3.7115140774355293E-2</c:v>
                </c:pt>
                <c:pt idx="928">
                  <c:v>3.7130618945730998E-2</c:v>
                </c:pt>
                <c:pt idx="929">
                  <c:v>3.7146386765086747E-2</c:v>
                </c:pt>
                <c:pt idx="930">
                  <c:v>3.7162444232422542E-2</c:v>
                </c:pt>
                <c:pt idx="931">
                  <c:v>3.7178791347819429E-2</c:v>
                </c:pt>
                <c:pt idx="932">
                  <c:v>3.7195203156951129E-2</c:v>
                </c:pt>
                <c:pt idx="933">
                  <c:v>3.7211385625045557E-2</c:v>
                </c:pt>
                <c:pt idx="934">
                  <c:v>3.7227336980836245E-2</c:v>
                </c:pt>
                <c:pt idx="935">
                  <c:v>3.7243057224161102E-2</c:v>
                </c:pt>
                <c:pt idx="936">
                  <c:v>3.7258546355101174E-2</c:v>
                </c:pt>
                <c:pt idx="937">
                  <c:v>3.7273804373656461E-2</c:v>
                </c:pt>
                <c:pt idx="938">
                  <c:v>3.7288831279745915E-2</c:v>
                </c:pt>
                <c:pt idx="939">
                  <c:v>3.7303627073288492E-2</c:v>
                </c:pt>
                <c:pt idx="940">
                  <c:v>3.7318191754365238E-2</c:v>
                </c:pt>
                <c:pt idx="941">
                  <c:v>3.7332525322895105E-2</c:v>
                </c:pt>
                <c:pt idx="942">
                  <c:v>3.7346627778797048E-2</c:v>
                </c:pt>
                <c:pt idx="943">
                  <c:v>3.7360499122071067E-2</c:v>
                </c:pt>
                <c:pt idx="944">
                  <c:v>3.7374139352717162E-2</c:v>
                </c:pt>
                <c:pt idx="945">
                  <c:v>3.7387548470816379E-2</c:v>
                </c:pt>
                <c:pt idx="946">
                  <c:v>3.7400726476125579E-2</c:v>
                </c:pt>
                <c:pt idx="947">
                  <c:v>3.7413673368725808E-2</c:v>
                </c:pt>
                <c:pt idx="948">
                  <c:v>3.7426389148617067E-2</c:v>
                </c:pt>
                <c:pt idx="949">
                  <c:v>3.7438873815799356E-2</c:v>
                </c:pt>
                <c:pt idx="950">
                  <c:v>3.7451127370191628E-2</c:v>
                </c:pt>
                <c:pt idx="951">
                  <c:v>3.7463149811712837E-2</c:v>
                </c:pt>
                <c:pt idx="952">
                  <c:v>3.7474941140444029E-2</c:v>
                </c:pt>
                <c:pt idx="953">
                  <c:v>3.7486501356385205E-2</c:v>
                </c:pt>
                <c:pt idx="954">
                  <c:v>3.7497830459374271E-2</c:v>
                </c:pt>
                <c:pt idx="955">
                  <c:v>3.7508928449492274E-2</c:v>
                </c:pt>
                <c:pt idx="956">
                  <c:v>3.7519795326658167E-2</c:v>
                </c:pt>
                <c:pt idx="957">
                  <c:v>3.7538777004697918E-2</c:v>
                </c:pt>
                <c:pt idx="958">
                  <c:v>3.7549084727579458E-2</c:v>
                </c:pt>
                <c:pt idx="959">
                  <c:v>3.7559161290475027E-2</c:v>
                </c:pt>
                <c:pt idx="960">
                  <c:v>3.7569006693357616E-2</c:v>
                </c:pt>
                <c:pt idx="961">
                  <c:v>3.7578620936200201E-2</c:v>
                </c:pt>
                <c:pt idx="962">
                  <c:v>3.7588004018867714E-2</c:v>
                </c:pt>
                <c:pt idx="963">
                  <c:v>3.759715594138717E-2</c:v>
                </c:pt>
                <c:pt idx="964">
                  <c:v>3.7606076703650501E-2</c:v>
                </c:pt>
                <c:pt idx="965">
                  <c:v>3.7614766305630695E-2</c:v>
                </c:pt>
                <c:pt idx="966">
                  <c:v>3.7623224747273719E-2</c:v>
                </c:pt>
                <c:pt idx="967">
                  <c:v>3.7631452028552566E-2</c:v>
                </c:pt>
                <c:pt idx="968">
                  <c:v>3.7639448149386176E-2</c:v>
                </c:pt>
                <c:pt idx="969">
                  <c:v>3.7647213109747543E-2</c:v>
                </c:pt>
                <c:pt idx="970">
                  <c:v>3.7654746909555621E-2</c:v>
                </c:pt>
                <c:pt idx="971">
                  <c:v>3.7662049548837416E-2</c:v>
                </c:pt>
                <c:pt idx="972">
                  <c:v>3.7669121027484882E-2</c:v>
                </c:pt>
                <c:pt idx="973">
                  <c:v>3.7674934816547268E-2</c:v>
                </c:pt>
                <c:pt idx="974">
                  <c:v>3.7681443561258243E-2</c:v>
                </c:pt>
                <c:pt idx="975">
                  <c:v>3.7687721192530832E-2</c:v>
                </c:pt>
                <c:pt idx="976">
                  <c:v>3.7693767710689219E-2</c:v>
                </c:pt>
                <c:pt idx="977">
                  <c:v>3.7699583115571311E-2</c:v>
                </c:pt>
                <c:pt idx="978">
                  <c:v>3.7705167407096063E-2</c:v>
                </c:pt>
                <c:pt idx="979">
                  <c:v>3.7710520585425567E-2</c:v>
                </c:pt>
                <c:pt idx="980">
                  <c:v>3.7715642650478776E-2</c:v>
                </c:pt>
                <c:pt idx="981">
                  <c:v>3.7720533602174644E-2</c:v>
                </c:pt>
                <c:pt idx="982">
                  <c:v>3.7725193440513172E-2</c:v>
                </c:pt>
                <c:pt idx="983">
                  <c:v>3.7729671413104793E-2</c:v>
                </c:pt>
                <c:pt idx="984">
                  <c:v>3.7734140289386042E-2</c:v>
                </c:pt>
                <c:pt idx="985">
                  <c:v>3.7738615408986487E-2</c:v>
                </c:pt>
                <c:pt idx="986">
                  <c:v>3.7743096771744034E-2</c:v>
                </c:pt>
                <c:pt idx="987">
                  <c:v>3.7747584377739729E-2</c:v>
                </c:pt>
                <c:pt idx="988">
                  <c:v>3.7752078226811481E-2</c:v>
                </c:pt>
                <c:pt idx="989">
                  <c:v>3.7756578319283474E-2</c:v>
                </c:pt>
                <c:pt idx="990">
                  <c:v>3.7761084654912569E-2</c:v>
                </c:pt>
                <c:pt idx="991">
                  <c:v>3.776559723361772E-2</c:v>
                </c:pt>
                <c:pt idx="992">
                  <c:v>3.7770116055642067E-2</c:v>
                </c:pt>
                <c:pt idx="993">
                  <c:v>3.7774641120904562E-2</c:v>
                </c:pt>
                <c:pt idx="994">
                  <c:v>3.7779172429324159E-2</c:v>
                </c:pt>
                <c:pt idx="995">
                  <c:v>3.7783709980981905E-2</c:v>
                </c:pt>
                <c:pt idx="996">
                  <c:v>3.77882537758778E-2</c:v>
                </c:pt>
                <c:pt idx="997">
                  <c:v>3.7792803813768705E-2</c:v>
                </c:pt>
                <c:pt idx="998">
                  <c:v>3.7797360095059851E-2</c:v>
                </c:pt>
                <c:pt idx="999">
                  <c:v>3.7801922619508099E-2</c:v>
                </c:pt>
                <c:pt idx="1000">
                  <c:v>3.7806491387275543E-2</c:v>
                </c:pt>
                <c:pt idx="1001">
                  <c:v>3.7811066398200088E-2</c:v>
                </c:pt>
                <c:pt idx="1002">
                  <c:v>3.7815647652281736E-2</c:v>
                </c:pt>
                <c:pt idx="1003">
                  <c:v>3.7820235149601533E-2</c:v>
                </c:pt>
                <c:pt idx="1004">
                  <c:v>3.7824828890159479E-2</c:v>
                </c:pt>
                <c:pt idx="1005">
                  <c:v>3.7829428873874527E-2</c:v>
                </c:pt>
                <c:pt idx="1006">
                  <c:v>3.7834035100746677E-2</c:v>
                </c:pt>
                <c:pt idx="1007">
                  <c:v>3.7838647570938022E-2</c:v>
                </c:pt>
                <c:pt idx="1008">
                  <c:v>3.7843266284367516E-2</c:v>
                </c:pt>
                <c:pt idx="1009">
                  <c:v>3.7847891240954112E-2</c:v>
                </c:pt>
                <c:pt idx="1010">
                  <c:v>3.7852522440697811E-2</c:v>
                </c:pt>
                <c:pt idx="1011">
                  <c:v>3.7857159883760705E-2</c:v>
                </c:pt>
                <c:pt idx="1012">
                  <c:v>3.7861803569980701E-2</c:v>
                </c:pt>
                <c:pt idx="1013">
                  <c:v>3.7866453499357799E-2</c:v>
                </c:pt>
                <c:pt idx="1014">
                  <c:v>3.7871109672054093E-2</c:v>
                </c:pt>
                <c:pt idx="1015">
                  <c:v>3.7875772087826443E-2</c:v>
                </c:pt>
                <c:pt idx="1016">
                  <c:v>3.7880440746999033E-2</c:v>
                </c:pt>
                <c:pt idx="1017">
                  <c:v>3.788511564924768E-2</c:v>
                </c:pt>
                <c:pt idx="1018">
                  <c:v>3.7889796794734476E-2</c:v>
                </c:pt>
                <c:pt idx="1019">
                  <c:v>3.7894484183540467E-2</c:v>
                </c:pt>
                <c:pt idx="1020">
                  <c:v>3.789917781550356E-2</c:v>
                </c:pt>
                <c:pt idx="1021">
                  <c:v>3.7903877690623755E-2</c:v>
                </c:pt>
                <c:pt idx="1022">
                  <c:v>3.7908583808982099E-2</c:v>
                </c:pt>
                <c:pt idx="1023">
                  <c:v>3.7913296170578592E-2</c:v>
                </c:pt>
                <c:pt idx="1024">
                  <c:v>3.7918014775413234E-2</c:v>
                </c:pt>
                <c:pt idx="1025">
                  <c:v>3.7922739623404977E-2</c:v>
                </c:pt>
                <c:pt idx="1026">
                  <c:v>3.7927470714553824E-2</c:v>
                </c:pt>
                <c:pt idx="1027">
                  <c:v>3.7932208049021865E-2</c:v>
                </c:pt>
                <c:pt idx="1028">
                  <c:v>3.7936951626647009E-2</c:v>
                </c:pt>
                <c:pt idx="1029">
                  <c:v>3.7941701447672393E-2</c:v>
                </c:pt>
                <c:pt idx="1030">
                  <c:v>3.7946457511692788E-2</c:v>
                </c:pt>
                <c:pt idx="1031">
                  <c:v>3.7951219819032378E-2</c:v>
                </c:pt>
                <c:pt idx="1032">
                  <c:v>3.7955988369610116E-2</c:v>
                </c:pt>
                <c:pt idx="1033">
                  <c:v>3.7960763163263911E-2</c:v>
                </c:pt>
                <c:pt idx="1034">
                  <c:v>3.7965544200317947E-2</c:v>
                </c:pt>
                <c:pt idx="1035">
                  <c:v>3.7970330613252834E-2</c:v>
                </c:pt>
                <c:pt idx="1036">
                  <c:v>3.7975098121251216E-2</c:v>
                </c:pt>
                <c:pt idx="1037">
                  <c:v>3.7979835450775434E-2</c:v>
                </c:pt>
                <c:pt idx="1038">
                  <c:v>3.7984542601906535E-2</c:v>
                </c:pt>
                <c:pt idx="1039">
                  <c:v>3.7989219574644517E-2</c:v>
                </c:pt>
                <c:pt idx="1040">
                  <c:v>3.7993866369070428E-2</c:v>
                </c:pt>
                <c:pt idx="1041">
                  <c:v>3.7998482984941129E-2</c:v>
                </c:pt>
                <c:pt idx="1042">
                  <c:v>3.8003069422499758E-2</c:v>
                </c:pt>
                <c:pt idx="1043">
                  <c:v>3.8007625681503177E-2</c:v>
                </c:pt>
                <c:pt idx="1044">
                  <c:v>3.8012151762194524E-2</c:v>
                </c:pt>
                <c:pt idx="1045">
                  <c:v>3.8016647664411707E-2</c:v>
                </c:pt>
                <c:pt idx="1046">
                  <c:v>3.8021113388316818E-2</c:v>
                </c:pt>
                <c:pt idx="1047">
                  <c:v>3.8025548933747766E-2</c:v>
                </c:pt>
                <c:pt idx="1048">
                  <c:v>3.8029954300704549E-2</c:v>
                </c:pt>
                <c:pt idx="1049">
                  <c:v>3.8034329489268215E-2</c:v>
                </c:pt>
                <c:pt idx="1050">
                  <c:v>3.8038674499438763E-2</c:v>
                </c:pt>
                <c:pt idx="1051">
                  <c:v>3.8042989331216193E-2</c:v>
                </c:pt>
                <c:pt idx="1052">
                  <c:v>3.8047273984438412E-2</c:v>
                </c:pt>
                <c:pt idx="1053">
                  <c:v>3.805152845934856E-2</c:v>
                </c:pt>
                <c:pt idx="1054">
                  <c:v>3.8055752755865591E-2</c:v>
                </c:pt>
                <c:pt idx="1055">
                  <c:v>3.805994687382741E-2</c:v>
                </c:pt>
                <c:pt idx="1056">
                  <c:v>3.8064110813396113E-2</c:v>
                </c:pt>
                <c:pt idx="1057">
                  <c:v>3.8068244574571697E-2</c:v>
                </c:pt>
                <c:pt idx="1058">
                  <c:v>3.807234815743521E-2</c:v>
                </c:pt>
                <c:pt idx="1059">
                  <c:v>3.8076421561662466E-2</c:v>
                </c:pt>
                <c:pt idx="1060">
                  <c:v>3.8080464787496604E-2</c:v>
                </c:pt>
                <c:pt idx="1061">
                  <c:v>3.8084477835018671E-2</c:v>
                </c:pt>
                <c:pt idx="1062">
                  <c:v>3.8088460703985527E-2</c:v>
                </c:pt>
                <c:pt idx="1063">
                  <c:v>3.8092413394559266E-2</c:v>
                </c:pt>
                <c:pt idx="1064">
                  <c:v>3.809633590665884E-2</c:v>
                </c:pt>
                <c:pt idx="1065">
                  <c:v>3.8100228240365297E-2</c:v>
                </c:pt>
                <c:pt idx="1066">
                  <c:v>3.8104090395678636E-2</c:v>
                </c:pt>
                <c:pt idx="1067">
                  <c:v>3.8107922372436764E-2</c:v>
                </c:pt>
                <c:pt idx="1068">
                  <c:v>3.8111724170882821E-2</c:v>
                </c:pt>
                <c:pt idx="1069">
                  <c:v>3.8115495790773668E-2</c:v>
                </c:pt>
                <c:pt idx="1070">
                  <c:v>3.8119237232271397E-2</c:v>
                </c:pt>
                <c:pt idx="1071">
                  <c:v>3.8122948495294962E-2</c:v>
                </c:pt>
                <c:pt idx="1072">
                  <c:v>3.8126629579925408E-2</c:v>
                </c:pt>
                <c:pt idx="1073">
                  <c:v>3.8130280486081691E-2</c:v>
                </c:pt>
                <c:pt idx="1074">
                  <c:v>3.8133901213844856E-2</c:v>
                </c:pt>
                <c:pt idx="1075">
                  <c:v>3.8137491763052811E-2</c:v>
                </c:pt>
                <c:pt idx="1076">
                  <c:v>3.8141052133867648E-2</c:v>
                </c:pt>
                <c:pt idx="1077">
                  <c:v>3.8144582326289367E-2</c:v>
                </c:pt>
                <c:pt idx="1078">
                  <c:v>3.8148082340155876E-2</c:v>
                </c:pt>
                <c:pt idx="1079">
                  <c:v>3.8151552175629266E-2</c:v>
                </c:pt>
                <c:pt idx="1080">
                  <c:v>3.8154991832628493E-2</c:v>
                </c:pt>
                <c:pt idx="1081">
                  <c:v>3.8158401311234602E-2</c:v>
                </c:pt>
                <c:pt idx="1082">
                  <c:v>3.8161780611285501E-2</c:v>
                </c:pt>
                <c:pt idx="1083">
                  <c:v>3.8165129732943281E-2</c:v>
                </c:pt>
                <c:pt idx="1084">
                  <c:v>3.8168448676126898E-2</c:v>
                </c:pt>
                <c:pt idx="1085">
                  <c:v>3.8171737440917397E-2</c:v>
                </c:pt>
                <c:pt idx="1086">
                  <c:v>3.8174996027233732E-2</c:v>
                </c:pt>
                <c:pt idx="1087">
                  <c:v>3.8178224418056184E-2</c:v>
                </c:pt>
                <c:pt idx="1088">
                  <c:v>3.8181422136103205E-2</c:v>
                </c:pt>
                <c:pt idx="1089">
                  <c:v>3.8184588960037402E-2</c:v>
                </c:pt>
                <c:pt idx="1090">
                  <c:v>3.8187724889696684E-2</c:v>
                </c:pt>
                <c:pt idx="1091">
                  <c:v>3.8190829925000003E-2</c:v>
                </c:pt>
                <c:pt idx="1092">
                  <c:v>3.8193904066190498E-2</c:v>
                </c:pt>
                <c:pt idx="1093">
                  <c:v>3.8196947313106078E-2</c:v>
                </c:pt>
                <c:pt idx="1094">
                  <c:v>3.8199959665827787E-2</c:v>
                </c:pt>
                <c:pt idx="1095">
                  <c:v>3.8202941124274581E-2</c:v>
                </c:pt>
                <c:pt idx="1096">
                  <c:v>3.8205891688446458E-2</c:v>
                </c:pt>
                <c:pt idx="1097">
                  <c:v>3.8208811358424466E-2</c:v>
                </c:pt>
                <c:pt idx="1098">
                  <c:v>3.8211700134127558E-2</c:v>
                </c:pt>
                <c:pt idx="1099">
                  <c:v>3.8214558015474687E-2</c:v>
                </c:pt>
                <c:pt idx="1100">
                  <c:v>3.8217385002790039E-2</c:v>
                </c:pt>
                <c:pt idx="1101">
                  <c:v>3.8220181095749428E-2</c:v>
                </c:pt>
                <c:pt idx="1102">
                  <c:v>3.8222946294514948E-2</c:v>
                </c:pt>
                <c:pt idx="1103">
                  <c:v>3.8225680598924505E-2</c:v>
                </c:pt>
                <c:pt idx="1104">
                  <c:v>3.8228384009221239E-2</c:v>
                </c:pt>
                <c:pt idx="1105">
                  <c:v>3.823105652516201E-2</c:v>
                </c:pt>
                <c:pt idx="1106">
                  <c:v>3.8233698146908912E-2</c:v>
                </c:pt>
                <c:pt idx="1107">
                  <c:v>3.8236308874380898E-2</c:v>
                </c:pt>
                <c:pt idx="1108">
                  <c:v>3.8238888707659013E-2</c:v>
                </c:pt>
                <c:pt idx="1109">
                  <c:v>3.8241437646662213E-2</c:v>
                </c:pt>
                <c:pt idx="1110">
                  <c:v>3.824395569130945E-2</c:v>
                </c:pt>
                <c:pt idx="1111">
                  <c:v>3.8246442841762818E-2</c:v>
                </c:pt>
                <c:pt idx="1112">
                  <c:v>3.8248899098022315E-2</c:v>
                </c:pt>
                <c:pt idx="1113">
                  <c:v>3.8251668418315399E-2</c:v>
                </c:pt>
                <c:pt idx="1114">
                  <c:v>3.8254058472568797E-2</c:v>
                </c:pt>
                <c:pt idx="1115">
                  <c:v>3.8256417632466233E-2</c:v>
                </c:pt>
                <c:pt idx="1116">
                  <c:v>3.8258745898250845E-2</c:v>
                </c:pt>
                <c:pt idx="1117">
                  <c:v>3.8261043269679496E-2</c:v>
                </c:pt>
                <c:pt idx="1118">
                  <c:v>3.8263309746995322E-2</c:v>
                </c:pt>
                <c:pt idx="1119">
                  <c:v>3.826554532987414E-2</c:v>
                </c:pt>
                <c:pt idx="1120">
                  <c:v>3.8267750018640134E-2</c:v>
                </c:pt>
                <c:pt idx="1121">
                  <c:v>3.8269923813050166E-2</c:v>
                </c:pt>
                <c:pt idx="1122">
                  <c:v>3.8272066713266328E-2</c:v>
                </c:pt>
                <c:pt idx="1123">
                  <c:v>3.8274178719207574E-2</c:v>
                </c:pt>
                <c:pt idx="1124">
                  <c:v>3.8276259830873904E-2</c:v>
                </c:pt>
                <c:pt idx="1125">
                  <c:v>3.8278310048265318E-2</c:v>
                </c:pt>
                <c:pt idx="1126">
                  <c:v>3.8280329371462862E-2</c:v>
                </c:pt>
                <c:pt idx="1127">
                  <c:v>3.8282317800304444E-2</c:v>
                </c:pt>
                <c:pt idx="1128">
                  <c:v>3.8284275334952156E-2</c:v>
                </c:pt>
                <c:pt idx="1129">
                  <c:v>3.8286201975324952E-2</c:v>
                </c:pt>
                <c:pt idx="1130">
                  <c:v>3.8288097721422831E-2</c:v>
                </c:pt>
                <c:pt idx="1131">
                  <c:v>3.8289962573164749E-2</c:v>
                </c:pt>
                <c:pt idx="1132">
                  <c:v>3.8291796530793842E-2</c:v>
                </c:pt>
                <c:pt idx="1133">
                  <c:v>3.8293599594066974E-2</c:v>
                </c:pt>
                <c:pt idx="1134">
                  <c:v>3.8295371763146235E-2</c:v>
                </c:pt>
                <c:pt idx="1135">
                  <c:v>3.8297113037869535E-2</c:v>
                </c:pt>
                <c:pt idx="1136">
                  <c:v>3.8298823418398964E-2</c:v>
                </c:pt>
                <c:pt idx="1137">
                  <c:v>3.8300502904653477E-2</c:v>
                </c:pt>
                <c:pt idx="1138">
                  <c:v>3.8302151496633075E-2</c:v>
                </c:pt>
                <c:pt idx="1139">
                  <c:v>3.8303769396629272E-2</c:v>
                </c:pt>
                <c:pt idx="1140">
                  <c:v>3.8305362269371868E-2</c:v>
                </c:pt>
                <c:pt idx="1141">
                  <c:v>3.8306932744893718E-2</c:v>
                </c:pt>
                <c:pt idx="1142">
                  <c:v>3.8308480823194824E-2</c:v>
                </c:pt>
                <c:pt idx="1143">
                  <c:v>3.8310006504275185E-2</c:v>
                </c:pt>
                <c:pt idx="1144">
                  <c:v>3.8311509788134801E-2</c:v>
                </c:pt>
                <c:pt idx="1145">
                  <c:v>3.8312990674773673E-2</c:v>
                </c:pt>
                <c:pt idx="1146">
                  <c:v>3.8314449164110753E-2</c:v>
                </c:pt>
                <c:pt idx="1147">
                  <c:v>3.8315885256308135E-2</c:v>
                </c:pt>
                <c:pt idx="1148">
                  <c:v>3.8317298951284773E-2</c:v>
                </c:pt>
                <c:pt idx="1149">
                  <c:v>3.8318690249040666E-2</c:v>
                </c:pt>
                <c:pt idx="1150">
                  <c:v>3.8320059149413721E-2</c:v>
                </c:pt>
                <c:pt idx="1151">
                  <c:v>3.8321405652647078E-2</c:v>
                </c:pt>
                <c:pt idx="1152">
                  <c:v>3.8322729758740737E-2</c:v>
                </c:pt>
                <c:pt idx="1153">
                  <c:v>3.8324031467451558E-2</c:v>
                </c:pt>
                <c:pt idx="1154">
                  <c:v>3.8325310779022681E-2</c:v>
                </c:pt>
                <c:pt idx="1155">
                  <c:v>3.8326567693373059E-2</c:v>
                </c:pt>
                <c:pt idx="1156">
                  <c:v>3.8327802210502693E-2</c:v>
                </c:pt>
                <c:pt idx="1157">
                  <c:v>3.8329014330411582E-2</c:v>
                </c:pt>
                <c:pt idx="1158">
                  <c:v>3.8330204053099726E-2</c:v>
                </c:pt>
                <c:pt idx="1159">
                  <c:v>3.8331371378486079E-2</c:v>
                </c:pt>
                <c:pt idx="1160">
                  <c:v>3.8332516306651687E-2</c:v>
                </c:pt>
                <c:pt idx="1161">
                  <c:v>3.8333638837596551E-2</c:v>
                </c:pt>
                <c:pt idx="1162">
                  <c:v>3.833473897132067E-2</c:v>
                </c:pt>
                <c:pt idx="1163">
                  <c:v>3.8335816707742998E-2</c:v>
                </c:pt>
                <c:pt idx="1164">
                  <c:v>3.8336872047025627E-2</c:v>
                </c:pt>
                <c:pt idx="1165">
                  <c:v>3.8337904989006466E-2</c:v>
                </c:pt>
                <c:pt idx="1166">
                  <c:v>3.8338915533847606E-2</c:v>
                </c:pt>
                <c:pt idx="1167">
                  <c:v>3.8339903681468002E-2</c:v>
                </c:pt>
                <c:pt idx="1168">
                  <c:v>3.8340869431786606E-2</c:v>
                </c:pt>
                <c:pt idx="1169">
                  <c:v>3.8341812784884466E-2</c:v>
                </c:pt>
                <c:pt idx="1170">
                  <c:v>3.8342733740680535E-2</c:v>
                </c:pt>
                <c:pt idx="1171">
                  <c:v>3.8343632299417951E-2</c:v>
                </c:pt>
                <c:pt idx="1172">
                  <c:v>3.8344508460772531E-2</c:v>
                </c:pt>
                <c:pt idx="1173">
                  <c:v>3.8345362224906365E-2</c:v>
                </c:pt>
                <c:pt idx="1174">
                  <c:v>3.8346193591900501E-2</c:v>
                </c:pt>
                <c:pt idx="1175">
                  <c:v>3.83470025615118E-2</c:v>
                </c:pt>
                <c:pt idx="1176">
                  <c:v>3.8347789134064447E-2</c:v>
                </c:pt>
                <c:pt idx="1177">
                  <c:v>3.8348553309234257E-2</c:v>
                </c:pt>
                <c:pt idx="1178">
                  <c:v>3.8349295087183322E-2</c:v>
                </c:pt>
                <c:pt idx="1179">
                  <c:v>3.8350014467992688E-2</c:v>
                </c:pt>
                <c:pt idx="1180">
                  <c:v>3.8350711451500263E-2</c:v>
                </c:pt>
                <c:pt idx="1181">
                  <c:v>3.8351386037787094E-2</c:v>
                </c:pt>
                <c:pt idx="1182">
                  <c:v>3.8352038226772134E-2</c:v>
                </c:pt>
                <c:pt idx="1183">
                  <c:v>3.8352668018779568E-2</c:v>
                </c:pt>
                <c:pt idx="1184">
                  <c:v>3.8353275413242072E-2</c:v>
                </c:pt>
                <c:pt idx="1185">
                  <c:v>3.8353860410645924E-2</c:v>
                </c:pt>
                <c:pt idx="1186">
                  <c:v>3.8354423010747984E-2</c:v>
                </c:pt>
                <c:pt idx="1187">
                  <c:v>3.8354963213629301E-2</c:v>
                </c:pt>
                <c:pt idx="1188">
                  <c:v>3.8355481019289872E-2</c:v>
                </c:pt>
                <c:pt idx="1189">
                  <c:v>3.8355976427648653E-2</c:v>
                </c:pt>
                <c:pt idx="1190">
                  <c:v>3.8356449438867735E-2</c:v>
                </c:pt>
                <c:pt idx="1191">
                  <c:v>3.8356899930729327E-2</c:v>
                </c:pt>
                <c:pt idx="1192">
                  <c:v>3.8357307634450111E-2</c:v>
                </c:pt>
                <c:pt idx="1193">
                  <c:v>3.8357657043283089E-2</c:v>
                </c:pt>
                <c:pt idx="1194">
                  <c:v>3.8357948157309307E-2</c:v>
                </c:pt>
                <c:pt idx="1195">
                  <c:v>3.8358180976366674E-2</c:v>
                </c:pt>
                <c:pt idx="1196">
                  <c:v>3.835835550061728E-2</c:v>
                </c:pt>
                <c:pt idx="1197">
                  <c:v>3.8358471729899035E-2</c:v>
                </c:pt>
                <c:pt idx="1198">
                  <c:v>3.8358529664292984E-2</c:v>
                </c:pt>
                <c:pt idx="1199">
                  <c:v>3.8358529303718081E-2</c:v>
                </c:pt>
                <c:pt idx="1200">
                  <c:v>3.8358470648336418E-2</c:v>
                </c:pt>
                <c:pt idx="1201">
                  <c:v>3.8358353698066949E-2</c:v>
                </c:pt>
                <c:pt idx="1202">
                  <c:v>3.8358178452909675E-2</c:v>
                </c:pt>
                <c:pt idx="1203">
                  <c:v>3.8357944912864594E-2</c:v>
                </c:pt>
                <c:pt idx="1204">
                  <c:v>3.8357653077931708E-2</c:v>
                </c:pt>
                <c:pt idx="1205">
                  <c:v>3.835730294802997E-2</c:v>
                </c:pt>
                <c:pt idx="1206">
                  <c:v>3.8356894523321472E-2</c:v>
                </c:pt>
                <c:pt idx="1207">
                  <c:v>3.8356427803644122E-2</c:v>
                </c:pt>
                <c:pt idx="1208">
                  <c:v>3.8355902789078966E-2</c:v>
                </c:pt>
                <c:pt idx="1209">
                  <c:v>3.8355319479707051E-2</c:v>
                </c:pt>
                <c:pt idx="1210">
                  <c:v>3.8354677875366283E-2</c:v>
                </c:pt>
                <c:pt idx="1211">
                  <c:v>3.835397797613771E-2</c:v>
                </c:pt>
                <c:pt idx="1212">
                  <c:v>3.8353219782021331E-2</c:v>
                </c:pt>
                <c:pt idx="1213">
                  <c:v>3.8352403293017145E-2</c:v>
                </c:pt>
                <c:pt idx="1214">
                  <c:v>3.8351528509206201E-2</c:v>
                </c:pt>
                <c:pt idx="1215">
                  <c:v>3.8350595430426404E-2</c:v>
                </c:pt>
                <c:pt idx="1216">
                  <c:v>3.8349604056677755E-2</c:v>
                </c:pt>
                <c:pt idx="1217">
                  <c:v>3.8348399676688683E-2</c:v>
                </c:pt>
                <c:pt idx="1218">
                  <c:v>3.8347283385415931E-2</c:v>
                </c:pt>
                <c:pt idx="1219">
                  <c:v>3.8346108799255374E-2</c:v>
                </c:pt>
                <c:pt idx="1220">
                  <c:v>3.8344875918207011E-2</c:v>
                </c:pt>
                <c:pt idx="1221">
                  <c:v>3.8343584742270842E-2</c:v>
                </c:pt>
                <c:pt idx="1222">
                  <c:v>3.8342235271365821E-2</c:v>
                </c:pt>
                <c:pt idx="1223">
                  <c:v>3.834082750565404E-2</c:v>
                </c:pt>
                <c:pt idx="1224">
                  <c:v>3.8339361445054454E-2</c:v>
                </c:pt>
                <c:pt idx="1225">
                  <c:v>3.8337837089567062E-2</c:v>
                </c:pt>
                <c:pt idx="1226">
                  <c:v>3.8336254439191864E-2</c:v>
                </c:pt>
                <c:pt idx="1227">
                  <c:v>3.8334613494009906E-2</c:v>
                </c:pt>
                <c:pt idx="1228">
                  <c:v>3.833291425377805E-2</c:v>
                </c:pt>
                <c:pt idx="1229">
                  <c:v>3.833115671882048E-2</c:v>
                </c:pt>
                <c:pt idx="1230">
                  <c:v>3.8329340888894059E-2</c:v>
                </c:pt>
                <c:pt idx="1231">
                  <c:v>3.8327466764079832E-2</c:v>
                </c:pt>
                <c:pt idx="1232">
                  <c:v>3.8325534344458845E-2</c:v>
                </c:pt>
                <c:pt idx="1233">
                  <c:v>3.8331011196835574E-2</c:v>
                </c:pt>
                <c:pt idx="1234">
                  <c:v>3.8321494620472407E-2</c:v>
                </c:pt>
                <c:pt idx="1235">
                  <c:v>3.8319387316188003E-2</c:v>
                </c:pt>
                <c:pt idx="1236">
                  <c:v>3.8317221717015792E-2</c:v>
                </c:pt>
                <c:pt idx="1237">
                  <c:v>3.8314997822955776E-2</c:v>
                </c:pt>
                <c:pt idx="1238">
                  <c:v>3.8312715634089001E-2</c:v>
                </c:pt>
                <c:pt idx="1239">
                  <c:v>3.8310375150334419E-2</c:v>
                </c:pt>
                <c:pt idx="1240">
                  <c:v>3.8307976371610986E-2</c:v>
                </c:pt>
                <c:pt idx="1241">
                  <c:v>3.8305519298080792E-2</c:v>
                </c:pt>
                <c:pt idx="1242">
                  <c:v>3.8303003929662793E-2</c:v>
                </c:pt>
                <c:pt idx="1243">
                  <c:v>3.8300430267572683E-2</c:v>
                </c:pt>
                <c:pt idx="1244">
                  <c:v>3.8297798511913728E-2</c:v>
                </c:pt>
                <c:pt idx="1245">
                  <c:v>3.8295108815377121E-2</c:v>
                </c:pt>
                <c:pt idx="1246">
                  <c:v>3.8292361178124956E-2</c:v>
                </c:pt>
                <c:pt idx="1247">
                  <c:v>3.8289555600157232E-2</c:v>
                </c:pt>
                <c:pt idx="1248">
                  <c:v>3.8286692081554996E-2</c:v>
                </c:pt>
                <c:pt idx="1249">
                  <c:v>3.8283770622156155E-2</c:v>
                </c:pt>
                <c:pt idx="1250">
                  <c:v>3.8280791222041755E-2</c:v>
                </c:pt>
                <c:pt idx="1251">
                  <c:v>3.8277753881211796E-2</c:v>
                </c:pt>
                <c:pt idx="1252">
                  <c:v>3.8274658599666278E-2</c:v>
                </c:pt>
                <c:pt idx="1253">
                  <c:v>3.8271505377405202E-2</c:v>
                </c:pt>
                <c:pt idx="1254">
                  <c:v>3.826829421434752E-2</c:v>
                </c:pt>
                <c:pt idx="1255">
                  <c:v>3.8265025110655326E-2</c:v>
                </c:pt>
                <c:pt idx="1256">
                  <c:v>3.8261698066247574E-2</c:v>
                </c:pt>
                <c:pt idx="1257">
                  <c:v>3.8258313081205308E-2</c:v>
                </c:pt>
                <c:pt idx="1258">
                  <c:v>3.8254870155447485E-2</c:v>
                </c:pt>
                <c:pt idx="1259">
                  <c:v>3.8251369288812009E-2</c:v>
                </c:pt>
                <c:pt idx="1260">
                  <c:v>3.8247810481623068E-2</c:v>
                </c:pt>
                <c:pt idx="1261">
                  <c:v>3.8244193733637522E-2</c:v>
                </c:pt>
                <c:pt idx="1262">
                  <c:v>3.8240519045179555E-2</c:v>
                </c:pt>
                <c:pt idx="1263">
                  <c:v>3.8236786415762891E-2</c:v>
                </c:pt>
                <c:pt idx="1264">
                  <c:v>3.8232995845711715E-2</c:v>
                </c:pt>
                <c:pt idx="1265">
                  <c:v>3.8229147335026026E-2</c:v>
                </c:pt>
                <c:pt idx="1266">
                  <c:v>3.8225240883543732E-2</c:v>
                </c:pt>
                <c:pt idx="1267">
                  <c:v>3.8221276491426925E-2</c:v>
                </c:pt>
                <c:pt idx="1268">
                  <c:v>3.8217254158675606E-2</c:v>
                </c:pt>
                <c:pt idx="1269">
                  <c:v>3.8215997625350814E-2</c:v>
                </c:pt>
                <c:pt idx="1270">
                  <c:v>3.8211841986758317E-2</c:v>
                </c:pt>
                <c:pt idx="1271">
                  <c:v>3.8207628395428392E-2</c:v>
                </c:pt>
                <c:pt idx="1272">
                  <c:v>3.8203356851415078E-2</c:v>
                </c:pt>
                <c:pt idx="1273">
                  <c:v>3.8199027354664336E-2</c:v>
                </c:pt>
                <c:pt idx="1274">
                  <c:v>3.8194639905230206E-2</c:v>
                </c:pt>
                <c:pt idx="1275">
                  <c:v>3.819019450311268E-2</c:v>
                </c:pt>
                <c:pt idx="1276">
                  <c:v>3.8185691148284746E-2</c:v>
                </c:pt>
                <c:pt idx="1277">
                  <c:v>3.8181129840773417E-2</c:v>
                </c:pt>
                <c:pt idx="1278">
                  <c:v>3.8176510580605713E-2</c:v>
                </c:pt>
                <c:pt idx="1279">
                  <c:v>3.8171833367754614E-2</c:v>
                </c:pt>
                <c:pt idx="1280">
                  <c:v>3.8167098202247139E-2</c:v>
                </c:pt>
                <c:pt idx="1281">
                  <c:v>3.8162305084110303E-2</c:v>
                </c:pt>
                <c:pt idx="1282">
                  <c:v>3.8157454013263058E-2</c:v>
                </c:pt>
                <c:pt idx="1283">
                  <c:v>3.8152544989840484E-2</c:v>
                </c:pt>
                <c:pt idx="1284">
                  <c:v>3.8141446153491243E-2</c:v>
                </c:pt>
                <c:pt idx="1285">
                  <c:v>3.8136397443102599E-2</c:v>
                </c:pt>
                <c:pt idx="1286">
                  <c:v>3.8131290791998396E-2</c:v>
                </c:pt>
                <c:pt idx="1287">
                  <c:v>3.8126126200340726E-2</c:v>
                </c:pt>
                <c:pt idx="1288">
                  <c:v>3.8120903667967498E-2</c:v>
                </c:pt>
                <c:pt idx="1289">
                  <c:v>3.8115623194959758E-2</c:v>
                </c:pt>
                <c:pt idx="1290">
                  <c:v>3.8110284781236459E-2</c:v>
                </c:pt>
                <c:pt idx="1291">
                  <c:v>3.810488842704074E-2</c:v>
                </c:pt>
                <c:pt idx="1292">
                  <c:v>3.8099434132048415E-2</c:v>
                </c:pt>
                <c:pt idx="1293">
                  <c:v>3.8093921896583671E-2</c:v>
                </c:pt>
                <c:pt idx="1294">
                  <c:v>3.8088351720403368E-2</c:v>
                </c:pt>
                <c:pt idx="1295">
                  <c:v>3.8082721369061545E-2</c:v>
                </c:pt>
                <c:pt idx="1296">
                  <c:v>3.8077023003842969E-2</c:v>
                </c:pt>
                <c:pt idx="1297">
                  <c:v>3.8071255928316949E-2</c:v>
                </c:pt>
                <c:pt idx="1298">
                  <c:v>3.8065420142969764E-2</c:v>
                </c:pt>
                <c:pt idx="1299">
                  <c:v>3.805951564739618E-2</c:v>
                </c:pt>
                <c:pt idx="1300">
                  <c:v>3.8053542441920385E-2</c:v>
                </c:pt>
                <c:pt idx="1301">
                  <c:v>3.8047500526380285E-2</c:v>
                </c:pt>
                <c:pt idx="1302">
                  <c:v>3.8041389900856926E-2</c:v>
                </c:pt>
                <c:pt idx="1303">
                  <c:v>3.8035210565269262E-2</c:v>
                </c:pt>
                <c:pt idx="1304">
                  <c:v>3.8028962519617293E-2</c:v>
                </c:pt>
                <c:pt idx="1305">
                  <c:v>3.8022645763982066E-2</c:v>
                </c:pt>
                <c:pt idx="1306">
                  <c:v>3.8016260298282534E-2</c:v>
                </c:pt>
                <c:pt idx="1307">
                  <c:v>3.8009806122680789E-2</c:v>
                </c:pt>
                <c:pt idx="1308">
                  <c:v>3.800328323701474E-2</c:v>
                </c:pt>
                <c:pt idx="1309">
                  <c:v>3.7996691641365432E-2</c:v>
                </c:pt>
                <c:pt idx="1310">
                  <c:v>3.7990031335651819E-2</c:v>
                </c:pt>
                <c:pt idx="1311">
                  <c:v>3.7983302319954948E-2</c:v>
                </c:pt>
                <c:pt idx="1312">
                  <c:v>3.7976504594355864E-2</c:v>
                </c:pt>
                <c:pt idx="1313">
                  <c:v>3.796963815861143E-2</c:v>
                </c:pt>
                <c:pt idx="1314">
                  <c:v>3.7962703013045829E-2</c:v>
                </c:pt>
                <c:pt idx="1315">
                  <c:v>3.7955699157415923E-2</c:v>
                </c:pt>
                <c:pt idx="1316">
                  <c:v>3.7948626591802759E-2</c:v>
                </c:pt>
                <c:pt idx="1317">
                  <c:v>3.7941485316206336E-2</c:v>
                </c:pt>
                <c:pt idx="1318">
                  <c:v>3.7934275330707701E-2</c:v>
                </c:pt>
                <c:pt idx="1319">
                  <c:v>3.7926996635225807E-2</c:v>
                </c:pt>
                <c:pt idx="1320">
                  <c:v>3.7919649229760655E-2</c:v>
                </c:pt>
                <c:pt idx="1321">
                  <c:v>3.7912233114312244E-2</c:v>
                </c:pt>
                <c:pt idx="1322">
                  <c:v>3.7904748288961621E-2</c:v>
                </c:pt>
                <c:pt idx="1323">
                  <c:v>3.7897194753708785E-2</c:v>
                </c:pt>
                <c:pt idx="1324">
                  <c:v>3.7889572508391645E-2</c:v>
                </c:pt>
                <c:pt idx="1325">
                  <c:v>3.7881881553253338E-2</c:v>
                </c:pt>
                <c:pt idx="1326">
                  <c:v>3.7874121888050727E-2</c:v>
                </c:pt>
                <c:pt idx="1327">
                  <c:v>3.786629351302695E-2</c:v>
                </c:pt>
                <c:pt idx="1328">
                  <c:v>3.7858396427938867E-2</c:v>
                </c:pt>
                <c:pt idx="1329">
                  <c:v>3.7850430633029619E-2</c:v>
                </c:pt>
                <c:pt idx="1330">
                  <c:v>3.7842396128218159E-2</c:v>
                </c:pt>
                <c:pt idx="1331">
                  <c:v>3.7834292913504486E-2</c:v>
                </c:pt>
                <c:pt idx="1332">
                  <c:v>3.7826120988888601E-2</c:v>
                </c:pt>
                <c:pt idx="1333">
                  <c:v>3.7817880354289457E-2</c:v>
                </c:pt>
                <c:pt idx="1334">
                  <c:v>3.7809571009788101E-2</c:v>
                </c:pt>
                <c:pt idx="1335">
                  <c:v>3.7801192955465579E-2</c:v>
                </c:pt>
                <c:pt idx="1336">
                  <c:v>3.7792746191240845E-2</c:v>
                </c:pt>
                <c:pt idx="1337">
                  <c:v>3.7784230717113898E-2</c:v>
                </c:pt>
                <c:pt idx="1338">
                  <c:v>3.7775646533084739E-2</c:v>
                </c:pt>
                <c:pt idx="1339">
                  <c:v>3.7766993639234414E-2</c:v>
                </c:pt>
                <c:pt idx="1340">
                  <c:v>3.7758272035400831E-2</c:v>
                </c:pt>
                <c:pt idx="1341">
                  <c:v>3.7749481721827127E-2</c:v>
                </c:pt>
                <c:pt idx="1342">
                  <c:v>3.7740622698351212E-2</c:v>
                </c:pt>
                <c:pt idx="1343">
                  <c:v>3.7731694965135176E-2</c:v>
                </c:pt>
                <c:pt idx="1344">
                  <c:v>3.772269852177379E-2</c:v>
                </c:pt>
                <c:pt idx="1345">
                  <c:v>3.7713633368915422E-2</c:v>
                </c:pt>
                <c:pt idx="1346">
                  <c:v>3.770449950599275E-2</c:v>
                </c:pt>
                <c:pt idx="1347">
                  <c:v>3.7695297092829039E-2</c:v>
                </c:pt>
                <c:pt idx="1348">
                  <c:v>3.7686030597667841E-2</c:v>
                </c:pt>
                <c:pt idx="1349">
                  <c:v>3.7676702094726622E-2</c:v>
                </c:pt>
                <c:pt idx="1350">
                  <c:v>3.7667311584410612E-2</c:v>
                </c:pt>
                <c:pt idx="1351">
                  <c:v>3.7657859066476673E-2</c:v>
                </c:pt>
                <c:pt idx="1352">
                  <c:v>3.7648344541005851E-2</c:v>
                </c:pt>
                <c:pt idx="1353">
                  <c:v>3.7638768007917101E-2</c:v>
                </c:pt>
                <c:pt idx="1354">
                  <c:v>3.7629129467291467E-2</c:v>
                </c:pt>
                <c:pt idx="1355">
                  <c:v>3.7619428919047904E-2</c:v>
                </c:pt>
                <c:pt idx="1356">
                  <c:v>3.760966636342955E-2</c:v>
                </c:pt>
                <c:pt idx="1357">
                  <c:v>3.7599841800112221E-2</c:v>
                </c:pt>
                <c:pt idx="1358">
                  <c:v>3.7589955229339056E-2</c:v>
                </c:pt>
                <c:pt idx="1359">
                  <c:v>3.7580006651110054E-2</c:v>
                </c:pt>
                <c:pt idx="1360">
                  <c:v>3.7569996065182076E-2</c:v>
                </c:pt>
                <c:pt idx="1361">
                  <c:v>3.7559923471798262E-2</c:v>
                </c:pt>
                <c:pt idx="1362">
                  <c:v>3.7549788870877565E-2</c:v>
                </c:pt>
                <c:pt idx="1363">
                  <c:v>3.7539592262582078E-2</c:v>
                </c:pt>
                <c:pt idx="1364">
                  <c:v>3.7529333646587615E-2</c:v>
                </c:pt>
                <c:pt idx="1365">
                  <c:v>3.7519013023218362E-2</c:v>
                </c:pt>
                <c:pt idx="1366">
                  <c:v>3.7508630392393272E-2</c:v>
                </c:pt>
                <c:pt idx="1367">
                  <c:v>3.7498185754031299E-2</c:v>
                </c:pt>
                <c:pt idx="1368">
                  <c:v>3.7487679108132443E-2</c:v>
                </c:pt>
                <c:pt idx="1369">
                  <c:v>3.7477110454777751E-2</c:v>
                </c:pt>
                <c:pt idx="1370">
                  <c:v>3.7466479794048269E-2</c:v>
                </c:pt>
                <c:pt idx="1371">
                  <c:v>3.7455787125700857E-2</c:v>
                </c:pt>
                <c:pt idx="1372">
                  <c:v>3.7445032450059701E-2</c:v>
                </c:pt>
                <c:pt idx="1373">
                  <c:v>3.7432665464427473E-2</c:v>
                </c:pt>
                <c:pt idx="1374">
                  <c:v>3.7421777915597199E-2</c:v>
                </c:pt>
                <c:pt idx="1375">
                  <c:v>3.7410828359311088E-2</c:v>
                </c:pt>
                <c:pt idx="1376">
                  <c:v>3.7399816795569141E-2</c:v>
                </c:pt>
                <c:pt idx="1377">
                  <c:v>3.7388743224452403E-2</c:v>
                </c:pt>
                <c:pt idx="1378">
                  <c:v>3.7377607645798783E-2</c:v>
                </c:pt>
                <c:pt idx="1379">
                  <c:v>3.7366410059851418E-2</c:v>
                </c:pt>
                <c:pt idx="1380">
                  <c:v>3.7355150466448217E-2</c:v>
                </c:pt>
                <c:pt idx="1381">
                  <c:v>3.7343828865589179E-2</c:v>
                </c:pt>
                <c:pt idx="1382">
                  <c:v>3.7332445257355351E-2</c:v>
                </c:pt>
                <c:pt idx="1383">
                  <c:v>3.7320999641665686E-2</c:v>
                </c:pt>
                <c:pt idx="1384">
                  <c:v>3.7309492018601231E-2</c:v>
                </c:pt>
                <c:pt idx="1385">
                  <c:v>3.7297922388161986E-2</c:v>
                </c:pt>
                <c:pt idx="1386">
                  <c:v>3.7286290750428996E-2</c:v>
                </c:pt>
                <c:pt idx="1387">
                  <c:v>3.7274597105159124E-2</c:v>
                </c:pt>
                <c:pt idx="1388">
                  <c:v>3.72628414527576E-2</c:v>
                </c:pt>
                <c:pt idx="1389">
                  <c:v>3.7251023792738147E-2</c:v>
                </c:pt>
                <c:pt idx="1390">
                  <c:v>3.723914412542495E-2</c:v>
                </c:pt>
                <c:pt idx="1391">
                  <c:v>3.7227202450899055E-2</c:v>
                </c:pt>
                <c:pt idx="1392">
                  <c:v>3.7215198768836277E-2</c:v>
                </c:pt>
                <c:pt idx="1393">
                  <c:v>3.7203133079560802E-2</c:v>
                </c:pt>
                <c:pt idx="1394">
                  <c:v>3.7191005382910536E-2</c:v>
                </c:pt>
                <c:pt idx="1395">
                  <c:v>3.7178815678966526E-2</c:v>
                </c:pt>
                <c:pt idx="1396">
                  <c:v>3.7166563967728772E-2</c:v>
                </c:pt>
                <c:pt idx="1397">
                  <c:v>3.7154250249197274E-2</c:v>
                </c:pt>
                <c:pt idx="1398">
                  <c:v>3.7141874523290985E-2</c:v>
                </c:pt>
                <c:pt idx="1399">
                  <c:v>3.7129436114083925E-2</c:v>
                </c:pt>
                <c:pt idx="1400">
                  <c:v>3.711692740946626E-2</c:v>
                </c:pt>
                <c:pt idx="1401">
                  <c:v>3.7104346239585917E-2</c:v>
                </c:pt>
                <c:pt idx="1402">
                  <c:v>3.7091692604442894E-2</c:v>
                </c:pt>
                <c:pt idx="1403">
                  <c:v>3.7078966503875099E-2</c:v>
                </c:pt>
                <c:pt idx="1404">
                  <c:v>3.7066167937963579E-2</c:v>
                </c:pt>
                <c:pt idx="1405">
                  <c:v>3.7053296906708333E-2</c:v>
                </c:pt>
                <c:pt idx="1406">
                  <c:v>3.7040353410271454E-2</c:v>
                </c:pt>
                <c:pt idx="1407">
                  <c:v>3.7027337448409803E-2</c:v>
                </c:pt>
                <c:pt idx="1408">
                  <c:v>3.7014249021366519E-2</c:v>
                </c:pt>
                <c:pt idx="1409">
                  <c:v>3.7001088128898463E-2</c:v>
                </c:pt>
                <c:pt idx="1410">
                  <c:v>3.6987854771248774E-2</c:v>
                </c:pt>
                <c:pt idx="1411">
                  <c:v>3.6974548948255359E-2</c:v>
                </c:pt>
                <c:pt idx="1412">
                  <c:v>3.6961170660080311E-2</c:v>
                </c:pt>
                <c:pt idx="1413">
                  <c:v>3.6947719906723631E-2</c:v>
                </c:pt>
                <c:pt idx="1414">
                  <c:v>3.6934196687942178E-2</c:v>
                </c:pt>
                <c:pt idx="1415">
                  <c:v>3.6920601004060138E-2</c:v>
                </c:pt>
                <c:pt idx="1416">
                  <c:v>3.6906932854834373E-2</c:v>
                </c:pt>
                <c:pt idx="1417">
                  <c:v>3.6893192240508021E-2</c:v>
                </c:pt>
                <c:pt idx="1418">
                  <c:v>3.687937916091899E-2</c:v>
                </c:pt>
                <c:pt idx="1419">
                  <c:v>3.686549361606728E-2</c:v>
                </c:pt>
                <c:pt idx="1420">
                  <c:v>3.6851535606033936E-2</c:v>
                </c:pt>
                <c:pt idx="1421">
                  <c:v>3.6837505130900006E-2</c:v>
                </c:pt>
                <c:pt idx="1422">
                  <c:v>3.6823402190584442E-2</c:v>
                </c:pt>
                <c:pt idx="1423">
                  <c:v>3.6809226785006199E-2</c:v>
                </c:pt>
                <c:pt idx="1424">
                  <c:v>3.6794978914408416E-2</c:v>
                </c:pt>
                <c:pt idx="1425">
                  <c:v>3.6780658578547953E-2</c:v>
                </c:pt>
                <c:pt idx="1426">
                  <c:v>3.6766265777505858E-2</c:v>
                </c:pt>
                <c:pt idx="1427">
                  <c:v>3.6751800511444221E-2</c:v>
                </c:pt>
                <c:pt idx="1428">
                  <c:v>3.6737262780119906E-2</c:v>
                </c:pt>
                <c:pt idx="1429">
                  <c:v>3.6722652583695004E-2</c:v>
                </c:pt>
                <c:pt idx="1430">
                  <c:v>3.6707969922169514E-2</c:v>
                </c:pt>
                <c:pt idx="1431">
                  <c:v>3.6693214795543438E-2</c:v>
                </c:pt>
                <c:pt idx="1432">
                  <c:v>3.6678387203978868E-2</c:v>
                </c:pt>
                <c:pt idx="1433">
                  <c:v>3.6663487147232665E-2</c:v>
                </c:pt>
                <c:pt idx="1434">
                  <c:v>3.6648514625304829E-2</c:v>
                </c:pt>
                <c:pt idx="1435">
                  <c:v>3.6633469638438498E-2</c:v>
                </c:pt>
                <c:pt idx="1436">
                  <c:v>3.6618352186390535E-2</c:v>
                </c:pt>
                <c:pt idx="1437">
                  <c:v>3.6603162269404077E-2</c:v>
                </c:pt>
                <c:pt idx="1438">
                  <c:v>3.6587899887398079E-2</c:v>
                </c:pt>
                <c:pt idx="1439">
                  <c:v>3.6572565040291494E-2</c:v>
                </c:pt>
                <c:pt idx="1440">
                  <c:v>3.6557157728084322E-2</c:v>
                </c:pt>
                <c:pt idx="1441">
                  <c:v>3.6541677951100748E-2</c:v>
                </c:pt>
                <c:pt idx="1442">
                  <c:v>3.6526125708935542E-2</c:v>
                </c:pt>
                <c:pt idx="1443">
                  <c:v>3.6510501001831841E-2</c:v>
                </c:pt>
                <c:pt idx="1444">
                  <c:v>3.6494803829789646E-2</c:v>
                </c:pt>
                <c:pt idx="1445">
                  <c:v>3.6479034192646864E-2</c:v>
                </c:pt>
                <c:pt idx="1446">
                  <c:v>3.6463192090565588E-2</c:v>
                </c:pt>
                <c:pt idx="1447">
                  <c:v>3.6447277523545818E-2</c:v>
                </c:pt>
                <c:pt idx="1448">
                  <c:v>3.6431290491587554E-2</c:v>
                </c:pt>
                <c:pt idx="1449">
                  <c:v>3.6415230994771841E-2</c:v>
                </c:pt>
                <c:pt idx="1450">
                  <c:v>3.6399099032936588E-2</c:v>
                </c:pt>
                <c:pt idx="1451">
                  <c:v>3.6382897662337044E-2</c:v>
                </c:pt>
                <c:pt idx="1452">
                  <c:v>3.6366712452041705E-2</c:v>
                </c:pt>
                <c:pt idx="1453">
                  <c:v>3.6350583130937419E-2</c:v>
                </c:pt>
                <c:pt idx="1454">
                  <c:v>3.6334509698781048E-2</c:v>
                </c:pt>
                <c:pt idx="1455">
                  <c:v>3.6318492155734683E-2</c:v>
                </c:pt>
                <c:pt idx="1456">
                  <c:v>3.6302530501798325E-2</c:v>
                </c:pt>
                <c:pt idx="1457">
                  <c:v>3.628662473680988E-2</c:v>
                </c:pt>
                <c:pt idx="1458">
                  <c:v>3.627077486076935E-2</c:v>
                </c:pt>
                <c:pt idx="1459">
                  <c:v>3.6254980873919873E-2</c:v>
                </c:pt>
                <c:pt idx="1460">
                  <c:v>3.6239242776099356E-2</c:v>
                </c:pt>
                <c:pt idx="1461">
                  <c:v>3.6223560567064661E-2</c:v>
                </c:pt>
                <c:pt idx="1462">
                  <c:v>3.6207934247383111E-2</c:v>
                </c:pt>
                <c:pt idx="1463">
                  <c:v>3.619236381632529E-2</c:v>
                </c:pt>
                <c:pt idx="1464">
                  <c:v>3.6176849274458522E-2</c:v>
                </c:pt>
                <c:pt idx="1465">
                  <c:v>3.6161390621539669E-2</c:v>
                </c:pt>
                <c:pt idx="1466">
                  <c:v>3.6145987857649775E-2</c:v>
                </c:pt>
                <c:pt idx="1467">
                  <c:v>3.6130640982626749E-2</c:v>
                </c:pt>
                <c:pt idx="1468">
                  <c:v>3.6115349996632684E-2</c:v>
                </c:pt>
                <c:pt idx="1469">
                  <c:v>3.6100114899505487E-2</c:v>
                </c:pt>
                <c:pt idx="1470">
                  <c:v>3.6084935691407249E-2</c:v>
                </c:pt>
                <c:pt idx="1471">
                  <c:v>3.6069812372256926E-2</c:v>
                </c:pt>
                <c:pt idx="1472">
                  <c:v>3.6054744941892425E-2</c:v>
                </c:pt>
                <c:pt idx="1473">
                  <c:v>3.603973340063793E-2</c:v>
                </c:pt>
                <c:pt idx="1474">
                  <c:v>3.6024777748169257E-2</c:v>
                </c:pt>
                <c:pt idx="1475">
                  <c:v>3.6009877984648497E-2</c:v>
                </c:pt>
                <c:pt idx="1476">
                  <c:v>3.5995034109994606E-2</c:v>
                </c:pt>
                <c:pt idx="1477">
                  <c:v>3.5980246124369675E-2</c:v>
                </c:pt>
                <c:pt idx="1478">
                  <c:v>3.5965514027530565E-2</c:v>
                </c:pt>
                <c:pt idx="1479">
                  <c:v>3.5950837819558323E-2</c:v>
                </c:pt>
                <c:pt idx="1480">
                  <c:v>3.5936217500452949E-2</c:v>
                </c:pt>
                <c:pt idx="1481">
                  <c:v>3.5921653070295489E-2</c:v>
                </c:pt>
                <c:pt idx="1482">
                  <c:v>3.5907144529004897E-2</c:v>
                </c:pt>
                <c:pt idx="1483">
                  <c:v>3.5892691876500127E-2</c:v>
                </c:pt>
                <c:pt idx="1484">
                  <c:v>3.5878295112862224E-2</c:v>
                </c:pt>
                <c:pt idx="1485">
                  <c:v>3.5863954238091189E-2</c:v>
                </c:pt>
                <c:pt idx="1486">
                  <c:v>3.5849669252187022E-2</c:v>
                </c:pt>
                <c:pt idx="1487">
                  <c:v>3.583544015498763E-2</c:v>
                </c:pt>
                <c:pt idx="1488">
                  <c:v>3.5821266946736152E-2</c:v>
                </c:pt>
                <c:pt idx="1489">
                  <c:v>3.5807149627270496E-2</c:v>
                </c:pt>
                <c:pt idx="1490">
                  <c:v>3.5793088196509615E-2</c:v>
                </c:pt>
                <c:pt idx="1491">
                  <c:v>3.5779082654777694E-2</c:v>
                </c:pt>
                <c:pt idx="1492">
                  <c:v>3.5765133001588456E-2</c:v>
                </c:pt>
                <c:pt idx="1493">
                  <c:v>3.5751239237347132E-2</c:v>
                </c:pt>
                <c:pt idx="1494">
                  <c:v>3.5737401361810583E-2</c:v>
                </c:pt>
                <c:pt idx="1495">
                  <c:v>3.5723619375140903E-2</c:v>
                </c:pt>
                <c:pt idx="1496">
                  <c:v>3.5709893277175997E-2</c:v>
                </c:pt>
                <c:pt idx="1497">
                  <c:v>3.5696223067996913E-2</c:v>
                </c:pt>
                <c:pt idx="1498">
                  <c:v>3.568260874760365E-2</c:v>
                </c:pt>
                <c:pt idx="1499">
                  <c:v>3.5669050315915163E-2</c:v>
                </c:pt>
                <c:pt idx="1500">
                  <c:v>3.5655547773093543E-2</c:v>
                </c:pt>
                <c:pt idx="1501">
                  <c:v>3.5642101118814606E-2</c:v>
                </c:pt>
                <c:pt idx="1502">
                  <c:v>3.5628710353321491E-2</c:v>
                </c:pt>
                <c:pt idx="1503">
                  <c:v>3.5615375488041723E-2</c:v>
                </c:pt>
                <c:pt idx="1504">
                  <c:v>3.5602098413136662E-2</c:v>
                </c:pt>
                <c:pt idx="1505">
                  <c:v>3.5588880575039283E-2</c:v>
                </c:pt>
                <c:pt idx="1506">
                  <c:v>3.5575721973668539E-2</c:v>
                </c:pt>
                <c:pt idx="1507">
                  <c:v>3.556262260902443E-2</c:v>
                </c:pt>
                <c:pt idx="1508">
                  <c:v>3.554958248102591E-2</c:v>
                </c:pt>
                <c:pt idx="1509">
                  <c:v>3.5536601589916117E-2</c:v>
                </c:pt>
                <c:pt idx="1510">
                  <c:v>3.552367993528982E-2</c:v>
                </c:pt>
                <c:pt idx="1511">
                  <c:v>3.5510817517390159E-2</c:v>
                </c:pt>
                <c:pt idx="1512">
                  <c:v>3.5498014336298178E-2</c:v>
                </c:pt>
                <c:pt idx="1513">
                  <c:v>3.5485270391851786E-2</c:v>
                </c:pt>
                <c:pt idx="1514">
                  <c:v>3.5472585684050983E-2</c:v>
                </c:pt>
                <c:pt idx="1515">
                  <c:v>3.5459960212895769E-2</c:v>
                </c:pt>
                <c:pt idx="1516">
                  <c:v>3.544739397846719E-2</c:v>
                </c:pt>
                <c:pt idx="1517">
                  <c:v>3.5434886980603153E-2</c:v>
                </c:pt>
                <c:pt idx="1518">
                  <c:v>3.5422439219546797E-2</c:v>
                </c:pt>
                <c:pt idx="1519">
                  <c:v>3.5410050694973938E-2</c:v>
                </c:pt>
                <c:pt idx="1520">
                  <c:v>3.5397721407046667E-2</c:v>
                </c:pt>
                <c:pt idx="1521">
                  <c:v>3.5385451355764985E-2</c:v>
                </c:pt>
                <c:pt idx="1522">
                  <c:v>3.5373240541209938E-2</c:v>
                </c:pt>
                <c:pt idx="1523">
                  <c:v>3.5361088963219434E-2</c:v>
                </c:pt>
                <c:pt idx="1524">
                  <c:v>3.5348996621955564E-2</c:v>
                </c:pt>
                <c:pt idx="1525">
                  <c:v>3.5336963517175191E-2</c:v>
                </c:pt>
                <c:pt idx="1526">
                  <c:v>3.5324989649040406E-2</c:v>
                </c:pt>
                <c:pt idx="1527">
                  <c:v>3.5313075017470164E-2</c:v>
                </c:pt>
                <c:pt idx="1528">
                  <c:v>3.5301219622464464E-2</c:v>
                </c:pt>
                <c:pt idx="1529">
                  <c:v>3.5287743134239102E-2</c:v>
                </c:pt>
                <c:pt idx="1530">
                  <c:v>3.5276014674809897E-2</c:v>
                </c:pt>
                <c:pt idx="1531">
                  <c:v>3.5264345451945234E-2</c:v>
                </c:pt>
                <c:pt idx="1532">
                  <c:v>3.5252735465726159E-2</c:v>
                </c:pt>
                <c:pt idx="1533">
                  <c:v>3.5241184715909535E-2</c:v>
                </c:pt>
                <c:pt idx="1534">
                  <c:v>3.5229693202900592E-2</c:v>
                </c:pt>
                <c:pt idx="1535">
                  <c:v>3.5218260926213052E-2</c:v>
                </c:pt>
                <c:pt idx="1536">
                  <c:v>3.5206887886171101E-2</c:v>
                </c:pt>
                <c:pt idx="1537">
                  <c:v>3.5195574082693692E-2</c:v>
                </c:pt>
                <c:pt idx="1538">
                  <c:v>3.5184319515618734E-2</c:v>
                </c:pt>
                <c:pt idx="1539">
                  <c:v>3.5173124185189364E-2</c:v>
                </c:pt>
                <c:pt idx="1540">
                  <c:v>3.516198809124349E-2</c:v>
                </c:pt>
                <c:pt idx="1541">
                  <c:v>3.5150911233862159E-2</c:v>
                </c:pt>
                <c:pt idx="1542">
                  <c:v>3.5139893612964324E-2</c:v>
                </c:pt>
                <c:pt idx="1543">
                  <c:v>3.5128935228631031E-2</c:v>
                </c:pt>
                <c:pt idx="1544">
                  <c:v>3.5121691263020338E-2</c:v>
                </c:pt>
                <c:pt idx="1545">
                  <c:v>3.5107196169252841E-2</c:v>
                </c:pt>
                <c:pt idx="1546">
                  <c:v>3.5096415494370037E-2</c:v>
                </c:pt>
                <c:pt idx="1547">
                  <c:v>3.5085694056051775E-2</c:v>
                </c:pt>
                <c:pt idx="1548">
                  <c:v>3.5075031854054917E-2</c:v>
                </c:pt>
                <c:pt idx="1549">
                  <c:v>3.5064428888541554E-2</c:v>
                </c:pt>
                <c:pt idx="1550">
                  <c:v>3.5053885159673781E-2</c:v>
                </c:pt>
                <c:pt idx="1551">
                  <c:v>3.5043400667127411E-2</c:v>
                </c:pt>
                <c:pt idx="1552">
                  <c:v>3.5032975411145584E-2</c:v>
                </c:pt>
                <c:pt idx="1553">
                  <c:v>3.502260939148516E-2</c:v>
                </c:pt>
                <c:pt idx="1554">
                  <c:v>3.5012302608308232E-2</c:v>
                </c:pt>
                <c:pt idx="1555">
                  <c:v>3.5002055061614801E-2</c:v>
                </c:pt>
                <c:pt idx="1556">
                  <c:v>3.4991865373618092E-2</c:v>
                </c:pt>
                <c:pt idx="1557">
                  <c:v>3.4981731743712885E-2</c:v>
                </c:pt>
                <c:pt idx="1558">
                  <c:v>3.4971654160714793E-2</c:v>
                </c:pt>
                <c:pt idx="1559">
                  <c:v>3.4961632624948003E-2</c:v>
                </c:pt>
                <c:pt idx="1560">
                  <c:v>3.4951667136007281E-2</c:v>
                </c:pt>
                <c:pt idx="1561">
                  <c:v>3.4941757694378905E-2</c:v>
                </c:pt>
                <c:pt idx="1562">
                  <c:v>3.4931904299657646E-2</c:v>
                </c:pt>
                <c:pt idx="1563">
                  <c:v>3.492210695208664E-2</c:v>
                </c:pt>
                <c:pt idx="1564">
                  <c:v>3.4912365651584842E-2</c:v>
                </c:pt>
                <c:pt idx="1565">
                  <c:v>3.4902680398071206E-2</c:v>
                </c:pt>
                <c:pt idx="1566">
                  <c:v>3.4893051191626778E-2</c:v>
                </c:pt>
                <c:pt idx="1567">
                  <c:v>3.4883478032251558E-2</c:v>
                </c:pt>
                <c:pt idx="1568">
                  <c:v>3.4873960920026592E-2</c:v>
                </c:pt>
                <c:pt idx="1569">
                  <c:v>3.4864499854708741E-2</c:v>
                </c:pt>
                <c:pt idx="1570">
                  <c:v>3.4855094836460099E-2</c:v>
                </c:pt>
                <c:pt idx="1571">
                  <c:v>3.4845745865118571E-2</c:v>
                </c:pt>
                <c:pt idx="1572">
                  <c:v>3.4836452940927298E-2</c:v>
                </c:pt>
                <c:pt idx="1573">
                  <c:v>3.4827216063724187E-2</c:v>
                </c:pt>
                <c:pt idx="1574">
                  <c:v>3.4818035233509237E-2</c:v>
                </c:pt>
                <c:pt idx="1575">
                  <c:v>3.4808910450363495E-2</c:v>
                </c:pt>
                <c:pt idx="1576">
                  <c:v>3.4799841714205915E-2</c:v>
                </c:pt>
                <c:pt idx="1577">
                  <c:v>3.4790829025036496E-2</c:v>
                </c:pt>
                <c:pt idx="1578">
                  <c:v>3.4781872382855239E-2</c:v>
                </c:pt>
                <c:pt idx="1579">
                  <c:v>3.477297178774319E-2</c:v>
                </c:pt>
                <c:pt idx="1580">
                  <c:v>3.4764127239538256E-2</c:v>
                </c:pt>
                <c:pt idx="1581">
                  <c:v>3.4750341901604864E-2</c:v>
                </c:pt>
                <c:pt idx="1582">
                  <c:v>3.4741641474191898E-2</c:v>
                </c:pt>
                <c:pt idx="1583">
                  <c:v>3.4732997093767093E-2</c:v>
                </c:pt>
                <c:pt idx="1584">
                  <c:v>3.4724408760411496E-2</c:v>
                </c:pt>
                <c:pt idx="1585">
                  <c:v>3.4715876473881968E-2</c:v>
                </c:pt>
                <c:pt idx="1586">
                  <c:v>3.4707400234421648E-2</c:v>
                </c:pt>
                <c:pt idx="1587">
                  <c:v>3.4698980041868444E-2</c:v>
                </c:pt>
                <c:pt idx="1588">
                  <c:v>3.4690615896222354E-2</c:v>
                </c:pt>
                <c:pt idx="1589">
                  <c:v>3.4682307797645473E-2</c:v>
                </c:pt>
                <c:pt idx="1590">
                  <c:v>3.4674055745975707E-2</c:v>
                </c:pt>
                <c:pt idx="1591">
                  <c:v>3.4665859741213056E-2</c:v>
                </c:pt>
                <c:pt idx="1592">
                  <c:v>3.4657719783438568E-2</c:v>
                </c:pt>
                <c:pt idx="1593">
                  <c:v>3.4649635872490148E-2</c:v>
                </c:pt>
                <c:pt idx="1594">
                  <c:v>3.4641608008691982E-2</c:v>
                </c:pt>
                <c:pt idx="1595">
                  <c:v>3.4632501935971671E-2</c:v>
                </c:pt>
                <c:pt idx="1596">
                  <c:v>3.462459417246877E-2</c:v>
                </c:pt>
                <c:pt idx="1597">
                  <c:v>3.4616742456035077E-2</c:v>
                </c:pt>
                <c:pt idx="1598">
                  <c:v>3.4608946786508499E-2</c:v>
                </c:pt>
                <c:pt idx="1599">
                  <c:v>3.4601207163889036E-2</c:v>
                </c:pt>
                <c:pt idx="1600">
                  <c:v>3.4593523588095643E-2</c:v>
                </c:pt>
                <c:pt idx="1601">
                  <c:v>3.4585896059371457E-2</c:v>
                </c:pt>
                <c:pt idx="1602">
                  <c:v>3.4578324577473341E-2</c:v>
                </c:pt>
                <c:pt idx="1603">
                  <c:v>3.4570809142482339E-2</c:v>
                </c:pt>
                <c:pt idx="1604">
                  <c:v>3.4563349754398454E-2</c:v>
                </c:pt>
                <c:pt idx="1605">
                  <c:v>3.4555946413140637E-2</c:v>
                </c:pt>
                <c:pt idx="1606">
                  <c:v>3.4548599118789936E-2</c:v>
                </c:pt>
                <c:pt idx="1607">
                  <c:v>3.4541308188804631E-2</c:v>
                </c:pt>
                <c:pt idx="1608">
                  <c:v>3.4534082511854525E-2</c:v>
                </c:pt>
                <c:pt idx="1609">
                  <c:v>3.4526926214735187E-2</c:v>
                </c:pt>
                <c:pt idx="1610">
                  <c:v>3.4519839297527666E-2</c:v>
                </c:pt>
                <c:pt idx="1611">
                  <c:v>3.451282176023196E-2</c:v>
                </c:pt>
                <c:pt idx="1612">
                  <c:v>3.4505873602685977E-2</c:v>
                </c:pt>
                <c:pt idx="1613">
                  <c:v>3.449899482505181E-2</c:v>
                </c:pt>
                <c:pt idx="1614">
                  <c:v>3.4492185427248412E-2</c:v>
                </c:pt>
                <c:pt idx="1615">
                  <c:v>3.448544540935683E-2</c:v>
                </c:pt>
                <c:pt idx="1616">
                  <c:v>3.4478774771296017E-2</c:v>
                </c:pt>
                <c:pt idx="1617">
                  <c:v>3.4472173513065973E-2</c:v>
                </c:pt>
                <c:pt idx="1618">
                  <c:v>3.4465641634666699E-2</c:v>
                </c:pt>
                <c:pt idx="1619">
                  <c:v>3.4459179136098195E-2</c:v>
                </c:pt>
                <c:pt idx="1620">
                  <c:v>3.4452786017441506E-2</c:v>
                </c:pt>
                <c:pt idx="1621">
                  <c:v>3.4446462278696632E-2</c:v>
                </c:pt>
                <c:pt idx="1622">
                  <c:v>3.4440207919620436E-2</c:v>
                </c:pt>
                <c:pt idx="1623">
                  <c:v>3.4434022940375009E-2</c:v>
                </c:pt>
                <c:pt idx="1624">
                  <c:v>3.4427907341041397E-2</c:v>
                </c:pt>
                <c:pt idx="1625">
                  <c:v>3.4421861121457509E-2</c:v>
                </c:pt>
                <c:pt idx="1626">
                  <c:v>3.441588428170439E-2</c:v>
                </c:pt>
                <c:pt idx="1627">
                  <c:v>3.4409976821700994E-2</c:v>
                </c:pt>
                <c:pt idx="1628">
                  <c:v>3.440413874169046E-2</c:v>
                </c:pt>
                <c:pt idx="1629">
                  <c:v>3.4398370041348603E-2</c:v>
                </c:pt>
                <c:pt idx="1630">
                  <c:v>3.4392670720837515E-2</c:v>
                </c:pt>
                <c:pt idx="1631">
                  <c:v>3.4387040780157196E-2</c:v>
                </c:pt>
                <c:pt idx="1632">
                  <c:v>3.4381480219145555E-2</c:v>
                </c:pt>
                <c:pt idx="1633">
                  <c:v>3.4375989038045729E-2</c:v>
                </c:pt>
                <c:pt idx="1634">
                  <c:v>3.437056723661458E-2</c:v>
                </c:pt>
                <c:pt idx="1635">
                  <c:v>3.4365214815176293E-2</c:v>
                </c:pt>
                <c:pt idx="1636">
                  <c:v>3.4359931773325636E-2</c:v>
                </c:pt>
                <c:pt idx="1637">
                  <c:v>3.4354718111224702E-2</c:v>
                </c:pt>
                <c:pt idx="1638">
                  <c:v>3.4349573829116631E-2</c:v>
                </c:pt>
                <c:pt idx="1639">
                  <c:v>3.4344498926677236E-2</c:v>
                </c:pt>
                <c:pt idx="1640">
                  <c:v>3.4339493403906518E-2</c:v>
                </c:pt>
                <c:pt idx="1641">
                  <c:v>3.4334557261128662E-2</c:v>
                </c:pt>
                <c:pt idx="1642">
                  <c:v>3.4329690498019483E-2</c:v>
                </c:pt>
                <c:pt idx="1643">
                  <c:v>3.432489311457898E-2</c:v>
                </c:pt>
                <c:pt idx="1644">
                  <c:v>3.4320165110969247E-2</c:v>
                </c:pt>
                <c:pt idx="1645">
                  <c:v>3.4315506487109237E-2</c:v>
                </c:pt>
                <c:pt idx="1646">
                  <c:v>3.4310917242917904E-2</c:v>
                </c:pt>
                <c:pt idx="1647">
                  <c:v>3.4306397378638387E-2</c:v>
                </c:pt>
                <c:pt idx="1648">
                  <c:v>3.4301946894027546E-2</c:v>
                </c:pt>
                <c:pt idx="1649">
                  <c:v>3.4297565789166429E-2</c:v>
                </c:pt>
                <c:pt idx="1650">
                  <c:v>3.4293254064055034E-2</c:v>
                </c:pt>
                <c:pt idx="1651">
                  <c:v>3.4289011718693363E-2</c:v>
                </c:pt>
                <c:pt idx="1652">
                  <c:v>3.4284838753000368E-2</c:v>
                </c:pt>
                <c:pt idx="1653">
                  <c:v>3.428073516721919E-2</c:v>
                </c:pt>
                <c:pt idx="1654">
                  <c:v>3.4276700961025641E-2</c:v>
                </c:pt>
                <c:pt idx="1655">
                  <c:v>3.4272736134581816E-2</c:v>
                </c:pt>
                <c:pt idx="1656">
                  <c:v>3.4268840687806668E-2</c:v>
                </c:pt>
                <c:pt idx="1657">
                  <c:v>3.4265014620862289E-2</c:v>
                </c:pt>
                <c:pt idx="1658">
                  <c:v>3.4261257933667633E-2</c:v>
                </c:pt>
                <c:pt idx="1659">
                  <c:v>3.4257570624925959E-2</c:v>
                </c:pt>
                <c:pt idx="1660">
                  <c:v>3.4253952663353404E-2</c:v>
                </c:pt>
                <c:pt idx="1661">
                  <c:v>3.4250404033794313E-2</c:v>
                </c:pt>
                <c:pt idx="1662">
                  <c:v>3.424692473657287E-2</c:v>
                </c:pt>
                <c:pt idx="1663">
                  <c:v>3.4243514771445938E-2</c:v>
                </c:pt>
                <c:pt idx="1664">
                  <c:v>3.42401741387377E-2</c:v>
                </c:pt>
                <c:pt idx="1665">
                  <c:v>3.4236902838123973E-2</c:v>
                </c:pt>
                <c:pt idx="1666">
                  <c:v>3.4233700869685801E-2</c:v>
                </c:pt>
                <c:pt idx="1667">
                  <c:v>3.4230568233585279E-2</c:v>
                </c:pt>
                <c:pt idx="1668">
                  <c:v>3.4227504929660313E-2</c:v>
                </c:pt>
                <c:pt idx="1669">
                  <c:v>3.4224510957991949E-2</c:v>
                </c:pt>
                <c:pt idx="1670">
                  <c:v>3.4221586318499142E-2</c:v>
                </c:pt>
                <c:pt idx="1671">
                  <c:v>3.4218731011262937E-2</c:v>
                </c:pt>
                <c:pt idx="1672">
                  <c:v>3.4215945036040196E-2</c:v>
                </c:pt>
                <c:pt idx="1673">
                  <c:v>3.421322839323615E-2</c:v>
                </c:pt>
                <c:pt idx="1674">
                  <c:v>3.4210581082526614E-2</c:v>
                </c:pt>
                <c:pt idx="1675">
                  <c:v>3.4208003104154727E-2</c:v>
                </c:pt>
                <c:pt idx="1676">
                  <c:v>3.4205494457796304E-2</c:v>
                </c:pt>
                <c:pt idx="1677">
                  <c:v>3.4203055143856576E-2</c:v>
                </c:pt>
                <c:pt idx="1678">
                  <c:v>3.4200685162011357E-2</c:v>
                </c:pt>
                <c:pt idx="1679">
                  <c:v>3.4198384512341695E-2</c:v>
                </c:pt>
                <c:pt idx="1680">
                  <c:v>3.4196153194928636E-2</c:v>
                </c:pt>
                <c:pt idx="1681">
                  <c:v>3.4193991209691132E-2</c:v>
                </c:pt>
                <c:pt idx="1682">
                  <c:v>3.4191898556629186E-2</c:v>
                </c:pt>
                <c:pt idx="1683">
                  <c:v>3.4189875235823841E-2</c:v>
                </c:pt>
                <c:pt idx="1684">
                  <c:v>3.4187921247194053E-2</c:v>
                </c:pt>
                <c:pt idx="1685">
                  <c:v>3.4185773013808429E-2</c:v>
                </c:pt>
                <c:pt idx="1686">
                  <c:v>3.4183967594114684E-2</c:v>
                </c:pt>
                <c:pt idx="1687">
                  <c:v>3.4182231506758587E-2</c:v>
                </c:pt>
                <c:pt idx="1688">
                  <c:v>3.4180564751334908E-2</c:v>
                </c:pt>
                <c:pt idx="1689">
                  <c:v>3.4178967328248877E-2</c:v>
                </c:pt>
                <c:pt idx="1690">
                  <c:v>3.4177439237338403E-2</c:v>
                </c:pt>
                <c:pt idx="1691">
                  <c:v>3.4175980478603485E-2</c:v>
                </c:pt>
                <c:pt idx="1692">
                  <c:v>3.4174591052044123E-2</c:v>
                </c:pt>
                <c:pt idx="1693">
                  <c:v>3.4173270957741364E-2</c:v>
                </c:pt>
                <c:pt idx="1694">
                  <c:v>3.4172020195614161E-2</c:v>
                </c:pt>
                <c:pt idx="1695">
                  <c:v>3.4170838765581468E-2</c:v>
                </c:pt>
                <c:pt idx="1696">
                  <c:v>3.4169726667805378E-2</c:v>
                </c:pt>
                <c:pt idx="1697">
                  <c:v>3.4168683902123798E-2</c:v>
                </c:pt>
                <c:pt idx="1698">
                  <c:v>3.416771046869882E-2</c:v>
                </c:pt>
                <c:pt idx="1699">
                  <c:v>3.4166806367449398E-2</c:v>
                </c:pt>
                <c:pt idx="1700">
                  <c:v>3.4165971598375533E-2</c:v>
                </c:pt>
                <c:pt idx="1701">
                  <c:v>3.4165206161477224E-2</c:v>
                </c:pt>
                <c:pt idx="1702">
                  <c:v>3.4164510056835518E-2</c:v>
                </c:pt>
                <c:pt idx="1703">
                  <c:v>3.4163883284288321E-2</c:v>
                </c:pt>
                <c:pt idx="1704">
                  <c:v>3.4163325843916681E-2</c:v>
                </c:pt>
                <c:pt idx="1705">
                  <c:v>3.4162837735801643E-2</c:v>
                </c:pt>
                <c:pt idx="1706">
                  <c:v>3.4162418959781116E-2</c:v>
                </c:pt>
                <c:pt idx="1707">
                  <c:v>3.4162069515936144E-2</c:v>
                </c:pt>
                <c:pt idx="1708">
                  <c:v>3.4161789404266729E-2</c:v>
                </c:pt>
                <c:pt idx="1709">
                  <c:v>3.416157862477287E-2</c:v>
                </c:pt>
                <c:pt idx="1710">
                  <c:v>3.4161437177535614E-2</c:v>
                </c:pt>
                <c:pt idx="1711">
                  <c:v>3.416135705469614E-2</c:v>
                </c:pt>
                <c:pt idx="1712">
                  <c:v>3.4161248063900862E-2</c:v>
                </c:pt>
                <c:pt idx="1713">
                  <c:v>3.4161084495972771E-2</c:v>
                </c:pt>
                <c:pt idx="1714">
                  <c:v>3.4160866350992913E-2</c:v>
                </c:pt>
                <c:pt idx="1715">
                  <c:v>3.4160593628799196E-2</c:v>
                </c:pt>
                <c:pt idx="1716">
                  <c:v>3.4160266329634759E-2</c:v>
                </c:pt>
                <c:pt idx="1717">
                  <c:v>3.4159884453337508E-2</c:v>
                </c:pt>
                <c:pt idx="1718">
                  <c:v>3.415944799998849E-2</c:v>
                </c:pt>
                <c:pt idx="1719">
                  <c:v>3.4158956969587706E-2</c:v>
                </c:pt>
                <c:pt idx="1720">
                  <c:v>3.4158411362054109E-2</c:v>
                </c:pt>
                <c:pt idx="1721">
                  <c:v>3.4157811177549791E-2</c:v>
                </c:pt>
                <c:pt idx="1722">
                  <c:v>3.4157156415831613E-2</c:v>
                </c:pt>
                <c:pt idx="1723">
                  <c:v>3.4156447077142715E-2</c:v>
                </c:pt>
                <c:pt idx="1724">
                  <c:v>3.4155683161321004E-2</c:v>
                </c:pt>
                <c:pt idx="1725">
                  <c:v>3.415486466836648E-2</c:v>
                </c:pt>
                <c:pt idx="1726">
                  <c:v>3.4153991598360189E-2</c:v>
                </c:pt>
                <c:pt idx="1727">
                  <c:v>3.4153063951302132E-2</c:v>
                </c:pt>
                <c:pt idx="1728">
                  <c:v>3.4152081727192307E-2</c:v>
                </c:pt>
                <c:pt idx="1729">
                  <c:v>3.4151044926030716E-2</c:v>
                </c:pt>
                <c:pt idx="1730">
                  <c:v>3.4149953547817358E-2</c:v>
                </c:pt>
                <c:pt idx="1731">
                  <c:v>3.4148807592309094E-2</c:v>
                </c:pt>
                <c:pt idx="1732">
                  <c:v>3.4147607059992202E-2</c:v>
                </c:pt>
                <c:pt idx="1733">
                  <c:v>3.4146351950380405E-2</c:v>
                </c:pt>
                <c:pt idx="1734">
                  <c:v>3.4145042263878933E-2</c:v>
                </c:pt>
                <c:pt idx="1735">
                  <c:v>3.4143678000163602E-2</c:v>
                </c:pt>
                <c:pt idx="1736">
                  <c:v>3.414225915947755E-2</c:v>
                </c:pt>
                <c:pt idx="1737">
                  <c:v>3.4140785741739732E-2</c:v>
                </c:pt>
                <c:pt idx="1738">
                  <c:v>3.4139257746788054E-2</c:v>
                </c:pt>
                <c:pt idx="1739">
                  <c:v>3.4137675174865656E-2</c:v>
                </c:pt>
                <c:pt idx="1740">
                  <c:v>3.4136038025891491E-2</c:v>
                </c:pt>
                <c:pt idx="1741">
                  <c:v>3.4134346299865559E-2</c:v>
                </c:pt>
                <c:pt idx="1742">
                  <c:v>3.4132599996625768E-2</c:v>
                </c:pt>
                <c:pt idx="1743">
                  <c:v>3.4130799116415256E-2</c:v>
                </c:pt>
                <c:pt idx="1744">
                  <c:v>3.4128943659152977E-2</c:v>
                </c:pt>
                <c:pt idx="1745">
                  <c:v>3.4127033624757885E-2</c:v>
                </c:pt>
                <c:pt idx="1746">
                  <c:v>3.4125069013392073E-2</c:v>
                </c:pt>
                <c:pt idx="1747">
                  <c:v>3.4123049824812401E-2</c:v>
                </c:pt>
                <c:pt idx="1748">
                  <c:v>3.4120976059343056E-2</c:v>
                </c:pt>
                <c:pt idx="1749">
                  <c:v>3.4118847716740897E-2</c:v>
                </c:pt>
                <c:pt idx="1750">
                  <c:v>3.4116664797086971E-2</c:v>
                </c:pt>
                <c:pt idx="1751">
                  <c:v>3.4114427300381278E-2</c:v>
                </c:pt>
                <c:pt idx="1752">
                  <c:v>3.4112135226623819E-2</c:v>
                </c:pt>
                <c:pt idx="1753">
                  <c:v>3.4109788575733546E-2</c:v>
                </c:pt>
                <c:pt idx="1754">
                  <c:v>3.4107387347791507E-2</c:v>
                </c:pt>
                <c:pt idx="1755">
                  <c:v>3.4104931542797701E-2</c:v>
                </c:pt>
                <c:pt idx="1756">
                  <c:v>3.4102421160833174E-2</c:v>
                </c:pt>
                <c:pt idx="1757">
                  <c:v>3.4099856201735834E-2</c:v>
                </c:pt>
                <c:pt idx="1758">
                  <c:v>3.4097236665667774E-2</c:v>
                </c:pt>
                <c:pt idx="1759">
                  <c:v>3.40945625524669E-2</c:v>
                </c:pt>
                <c:pt idx="1760">
                  <c:v>3.409183386221426E-2</c:v>
                </c:pt>
                <c:pt idx="1761">
                  <c:v>3.40890505949909E-2</c:v>
                </c:pt>
                <c:pt idx="1762">
                  <c:v>3.4086212750634726E-2</c:v>
                </c:pt>
                <c:pt idx="1763">
                  <c:v>3.4083320273872175E-2</c:v>
                </c:pt>
                <c:pt idx="1764">
                  <c:v>3.4080363979647199E-2</c:v>
                </c:pt>
                <c:pt idx="1765">
                  <c:v>3.4077336840760974E-2</c:v>
                </c:pt>
                <c:pt idx="1766">
                  <c:v>3.4074238857132455E-2</c:v>
                </c:pt>
                <c:pt idx="1767">
                  <c:v>3.4071070028842687E-2</c:v>
                </c:pt>
                <c:pt idx="1768">
                  <c:v>3.4067830355810624E-2</c:v>
                </c:pt>
                <c:pt idx="1769">
                  <c:v>3.4064519838117313E-2</c:v>
                </c:pt>
                <c:pt idx="1770">
                  <c:v>3.4061138475762753E-2</c:v>
                </c:pt>
                <c:pt idx="1771">
                  <c:v>3.4057686268584852E-2</c:v>
                </c:pt>
                <c:pt idx="1772">
                  <c:v>3.4054163216826749E-2</c:v>
                </c:pt>
                <c:pt idx="1773">
                  <c:v>3.4050569320407398E-2</c:v>
                </c:pt>
                <c:pt idx="1774">
                  <c:v>3.4046904579245751E-2</c:v>
                </c:pt>
                <c:pt idx="1775">
                  <c:v>3.4043168993422857E-2</c:v>
                </c:pt>
                <c:pt idx="1776">
                  <c:v>3.4039362563019759E-2</c:v>
                </c:pt>
                <c:pt idx="1777">
                  <c:v>3.4035485287793321E-2</c:v>
                </c:pt>
                <c:pt idx="1778">
                  <c:v>3.4031537167905634E-2</c:v>
                </c:pt>
                <c:pt idx="1779">
                  <c:v>3.4027518203437745E-2</c:v>
                </c:pt>
                <c:pt idx="1780">
                  <c:v>3.4023428394227562E-2</c:v>
                </c:pt>
                <c:pt idx="1781">
                  <c:v>3.4019267740275083E-2</c:v>
                </c:pt>
                <c:pt idx="1782">
                  <c:v>3.4015036241823449E-2</c:v>
                </c:pt>
                <c:pt idx="1783">
                  <c:v>3.4010733898710566E-2</c:v>
                </c:pt>
                <c:pt idx="1784">
                  <c:v>3.4006360710774342E-2</c:v>
                </c:pt>
                <c:pt idx="1785">
                  <c:v>3.4001916678257915E-2</c:v>
                </c:pt>
                <c:pt idx="1786">
                  <c:v>3.3997401801242333E-2</c:v>
                </c:pt>
                <c:pt idx="1787">
                  <c:v>3.3992816079322363E-2</c:v>
                </c:pt>
                <c:pt idx="1788">
                  <c:v>3.3988159512903238E-2</c:v>
                </c:pt>
                <c:pt idx="1789">
                  <c:v>3.3982750974047571E-2</c:v>
                </c:pt>
                <c:pt idx="1790">
                  <c:v>3.3977942597651634E-2</c:v>
                </c:pt>
                <c:pt idx="1791">
                  <c:v>3.3973063376675494E-2</c:v>
                </c:pt>
                <c:pt idx="1792">
                  <c:v>3.396811331095706E-2</c:v>
                </c:pt>
                <c:pt idx="1793">
                  <c:v>3.3963092400658423E-2</c:v>
                </c:pt>
                <c:pt idx="1794">
                  <c:v>3.3958000645698538E-2</c:v>
                </c:pt>
                <c:pt idx="1795">
                  <c:v>3.3952838046077405E-2</c:v>
                </c:pt>
                <c:pt idx="1796">
                  <c:v>3.3947604601876069E-2</c:v>
                </c:pt>
                <c:pt idx="1797">
                  <c:v>3.3942300313013485E-2</c:v>
                </c:pt>
                <c:pt idx="1798">
                  <c:v>3.3936925179570698E-2</c:v>
                </c:pt>
                <c:pt idx="1799">
                  <c:v>3.393147920154771E-2</c:v>
                </c:pt>
                <c:pt idx="1800">
                  <c:v>3.3925962378863472E-2</c:v>
                </c:pt>
                <c:pt idx="1801">
                  <c:v>3.3920374711517987E-2</c:v>
                </c:pt>
                <c:pt idx="1802">
                  <c:v>3.3914716199754391E-2</c:v>
                </c:pt>
                <c:pt idx="1803">
                  <c:v>3.3908986843167455E-2</c:v>
                </c:pt>
                <c:pt idx="1804">
                  <c:v>3.3903186642081362E-2</c:v>
                </c:pt>
                <c:pt idx="1805">
                  <c:v>3.3901919696649019E-2</c:v>
                </c:pt>
                <c:pt idx="1806">
                  <c:v>3.3891373706006478E-2</c:v>
                </c:pt>
                <c:pt idx="1807">
                  <c:v>3.3885360971179779E-2</c:v>
                </c:pt>
                <c:pt idx="1808">
                  <c:v>3.3879277391691831E-2</c:v>
                </c:pt>
                <c:pt idx="1809">
                  <c:v>3.3873122967704727E-2</c:v>
                </c:pt>
                <c:pt idx="1810">
                  <c:v>3.3866897698975329E-2</c:v>
                </c:pt>
                <c:pt idx="1811">
                  <c:v>3.3860601585827821E-2</c:v>
                </c:pt>
                <c:pt idx="1812">
                  <c:v>3.3854234628019064E-2</c:v>
                </c:pt>
                <c:pt idx="1813">
                  <c:v>3.3847796825711152E-2</c:v>
                </c:pt>
                <c:pt idx="1814">
                  <c:v>3.3841288178741991E-2</c:v>
                </c:pt>
                <c:pt idx="1815">
                  <c:v>3.3834708819460158E-2</c:v>
                </c:pt>
                <c:pt idx="1816">
                  <c:v>3.3828080687499096E-2</c:v>
                </c:pt>
                <c:pt idx="1817">
                  <c:v>3.3821420568029836E-2</c:v>
                </c:pt>
                <c:pt idx="1818">
                  <c:v>3.3814728461214472E-2</c:v>
                </c:pt>
                <c:pt idx="1819">
                  <c:v>3.3808004367053002E-2</c:v>
                </c:pt>
                <c:pt idx="1820">
                  <c:v>3.3801248285302288E-2</c:v>
                </c:pt>
                <c:pt idx="1821">
                  <c:v>3.3794460216286515E-2</c:v>
                </c:pt>
                <c:pt idx="1822">
                  <c:v>3.3787640159762544E-2</c:v>
                </c:pt>
                <c:pt idx="1823">
                  <c:v>3.3780788115811422E-2</c:v>
                </c:pt>
                <c:pt idx="1824">
                  <c:v>3.3773904084433148E-2</c:v>
                </c:pt>
                <c:pt idx="1825">
                  <c:v>3.3766988065627723E-2</c:v>
                </c:pt>
                <c:pt idx="1826">
                  <c:v>3.3760040059476193E-2</c:v>
                </c:pt>
                <c:pt idx="1827">
                  <c:v>3.3753060065816465E-2</c:v>
                </c:pt>
                <c:pt idx="1828">
                  <c:v>3.3746048084810631E-2</c:v>
                </c:pt>
                <c:pt idx="1829">
                  <c:v>3.3739004116458693E-2</c:v>
                </c:pt>
                <c:pt idx="1830">
                  <c:v>3.3731928160598557E-2</c:v>
                </c:pt>
                <c:pt idx="1831">
                  <c:v>3.3724820217392315E-2</c:v>
                </c:pt>
                <c:pt idx="1832">
                  <c:v>3.3717680286758922E-2</c:v>
                </c:pt>
                <c:pt idx="1833">
                  <c:v>3.3710508368698378E-2</c:v>
                </c:pt>
                <c:pt idx="1834">
                  <c:v>3.3703304463210682E-2</c:v>
                </c:pt>
                <c:pt idx="1835">
                  <c:v>3.3696068570457927E-2</c:v>
                </c:pt>
                <c:pt idx="1836">
                  <c:v>3.3688800690196974E-2</c:v>
                </c:pt>
                <c:pt idx="1837">
                  <c:v>3.3681500822589916E-2</c:v>
                </c:pt>
                <c:pt idx="1838">
                  <c:v>3.3674168967636753E-2</c:v>
                </c:pt>
                <c:pt idx="1839">
                  <c:v>3.3666805125175392E-2</c:v>
                </c:pt>
                <c:pt idx="1840">
                  <c:v>3.3659409295367926E-2</c:v>
                </c:pt>
                <c:pt idx="1841">
                  <c:v>3.3652955473614243E-2</c:v>
                </c:pt>
                <c:pt idx="1842">
                  <c:v>3.3645485152738283E-2</c:v>
                </c:pt>
                <c:pt idx="1843">
                  <c:v>3.3637982838897004E-2</c:v>
                </c:pt>
                <c:pt idx="1844">
                  <c:v>3.3630448532063394E-2</c:v>
                </c:pt>
                <c:pt idx="1845">
                  <c:v>3.3622882232318504E-2</c:v>
                </c:pt>
                <c:pt idx="1846">
                  <c:v>3.3615283939608297E-2</c:v>
                </c:pt>
                <c:pt idx="1847">
                  <c:v>3.360765365395979E-2</c:v>
                </c:pt>
                <c:pt idx="1848">
                  <c:v>3.3599991375318959E-2</c:v>
                </c:pt>
                <c:pt idx="1849">
                  <c:v>3.3592297103766842E-2</c:v>
                </c:pt>
                <c:pt idx="1850">
                  <c:v>3.358457083933046E-2</c:v>
                </c:pt>
                <c:pt idx="1851">
                  <c:v>3.3576812581901747E-2</c:v>
                </c:pt>
                <c:pt idx="1852">
                  <c:v>3.356902233161578E-2</c:v>
                </c:pt>
                <c:pt idx="1853">
                  <c:v>3.3561200088391516E-2</c:v>
                </c:pt>
                <c:pt idx="1854">
                  <c:v>3.3553345852255965E-2</c:v>
                </c:pt>
                <c:pt idx="1855">
                  <c:v>3.3538988321852869E-2</c:v>
                </c:pt>
                <c:pt idx="1856">
                  <c:v>3.3531057846021284E-2</c:v>
                </c:pt>
                <c:pt idx="1857">
                  <c:v>3.3523095382843593E-2</c:v>
                </c:pt>
                <c:pt idx="1858">
                  <c:v>3.3515100932400843E-2</c:v>
                </c:pt>
                <c:pt idx="1859">
                  <c:v>3.3507074494368849E-2</c:v>
                </c:pt>
                <c:pt idx="1860">
                  <c:v>3.3499016069152843E-2</c:v>
                </c:pt>
                <c:pt idx="1861">
                  <c:v>3.3490925656590731E-2</c:v>
                </c:pt>
                <c:pt idx="1862">
                  <c:v>3.3482803256682514E-2</c:v>
                </c:pt>
                <c:pt idx="1863">
                  <c:v>3.3474648869428192E-2</c:v>
                </c:pt>
                <c:pt idx="1864">
                  <c:v>3.3466462494827764E-2</c:v>
                </c:pt>
                <c:pt idx="1865">
                  <c:v>3.3458244132962278E-2</c:v>
                </c:pt>
                <c:pt idx="1866">
                  <c:v>3.3449993783588594E-2</c:v>
                </c:pt>
                <c:pt idx="1867">
                  <c:v>3.3441674777965336E-2</c:v>
                </c:pt>
                <c:pt idx="1868">
                  <c:v>3.3433158473276103E-2</c:v>
                </c:pt>
                <c:pt idx="1869">
                  <c:v>3.3424433448154822E-2</c:v>
                </c:pt>
                <c:pt idx="1870">
                  <c:v>3.3415499702601492E-2</c:v>
                </c:pt>
                <c:pt idx="1871">
                  <c:v>3.340635723669716E-2</c:v>
                </c:pt>
                <c:pt idx="1872">
                  <c:v>3.3397006050279732E-2</c:v>
                </c:pt>
                <c:pt idx="1873">
                  <c:v>3.3387446143511301E-2</c:v>
                </c:pt>
                <c:pt idx="1874">
                  <c:v>3.3377677516553961E-2</c:v>
                </c:pt>
                <c:pt idx="1875">
                  <c:v>3.3367700169083525E-2</c:v>
                </c:pt>
                <c:pt idx="1876">
                  <c:v>3.3357514101262087E-2</c:v>
                </c:pt>
                <c:pt idx="1877">
                  <c:v>3.3347119313170692E-2</c:v>
                </c:pt>
                <c:pt idx="1878">
                  <c:v>3.3336515804728295E-2</c:v>
                </c:pt>
                <c:pt idx="1879">
                  <c:v>3.3325703576015941E-2</c:v>
                </c:pt>
                <c:pt idx="1880">
                  <c:v>3.3314682627114678E-2</c:v>
                </c:pt>
                <c:pt idx="1881">
                  <c:v>3.3303452957862412E-2</c:v>
                </c:pt>
                <c:pt idx="1882">
                  <c:v>3.3292014568421235E-2</c:v>
                </c:pt>
                <c:pt idx="1883">
                  <c:v>3.3280367458791149E-2</c:v>
                </c:pt>
                <c:pt idx="1884">
                  <c:v>3.3268511628972153E-2</c:v>
                </c:pt>
                <c:pt idx="1885">
                  <c:v>3.3256447079045293E-2</c:v>
                </c:pt>
                <c:pt idx="1886">
                  <c:v>3.3244173808848476E-2</c:v>
                </c:pt>
                <c:pt idx="1887">
                  <c:v>3.3231691818624842E-2</c:v>
                </c:pt>
                <c:pt idx="1888">
                  <c:v>3.3219001108293345E-2</c:v>
                </c:pt>
                <c:pt idx="1889">
                  <c:v>3.3206101677772937E-2</c:v>
                </c:pt>
                <c:pt idx="1890">
                  <c:v>3.3192993527306758E-2</c:v>
                </c:pt>
                <c:pt idx="1891">
                  <c:v>3.3179676656813761E-2</c:v>
                </c:pt>
                <c:pt idx="1892">
                  <c:v>3.3166151066212901E-2</c:v>
                </c:pt>
                <c:pt idx="1893">
                  <c:v>3.315241675566627E-2</c:v>
                </c:pt>
                <c:pt idx="1894">
                  <c:v>3.3138473725254913E-2</c:v>
                </c:pt>
                <c:pt idx="1895">
                  <c:v>3.3124321974735693E-2</c:v>
                </c:pt>
                <c:pt idx="1896">
                  <c:v>3.3109961504432794E-2</c:v>
                </c:pt>
                <c:pt idx="1897">
                  <c:v>3.3095392314103078E-2</c:v>
                </c:pt>
                <c:pt idx="1898">
                  <c:v>3.3080614403989683E-2</c:v>
                </c:pt>
                <c:pt idx="1899">
                  <c:v>3.3065627774011563E-2</c:v>
                </c:pt>
                <c:pt idx="1900">
                  <c:v>3.3050432424249765E-2</c:v>
                </c:pt>
                <c:pt idx="1901">
                  <c:v>3.3035028354623241E-2</c:v>
                </c:pt>
                <c:pt idx="1902">
                  <c:v>3.3019415565294086E-2</c:v>
                </c:pt>
                <c:pt idx="1903">
                  <c:v>3.3003594056262298E-2</c:v>
                </c:pt>
                <c:pt idx="1904">
                  <c:v>3.2987563827446831E-2</c:v>
                </c:pt>
                <c:pt idx="1905">
                  <c:v>3.2971324879009778E-2</c:v>
                </c:pt>
                <c:pt idx="1906">
                  <c:v>3.2954877210789046E-2</c:v>
                </c:pt>
                <c:pt idx="1907">
                  <c:v>3.2938220823027775E-2</c:v>
                </c:pt>
                <c:pt idx="1908">
                  <c:v>3.2921355715725964E-2</c:v>
                </c:pt>
                <c:pt idx="1909">
                  <c:v>3.290428188872152E-2</c:v>
                </c:pt>
                <c:pt idx="1910">
                  <c:v>3.288699934233863E-2</c:v>
                </c:pt>
                <c:pt idx="1911">
                  <c:v>3.2869508076253107E-2</c:v>
                </c:pt>
                <c:pt idx="1912">
                  <c:v>3.2851808090870183E-2</c:v>
                </c:pt>
                <c:pt idx="1913">
                  <c:v>3.2833899385946719E-2</c:v>
                </c:pt>
                <c:pt idx="1914">
                  <c:v>3.2815781961644808E-2</c:v>
                </c:pt>
                <c:pt idx="1915">
                  <c:v>3.2797455817883403E-2</c:v>
                </c:pt>
                <c:pt idx="1916">
                  <c:v>3.2778920954824597E-2</c:v>
                </c:pt>
                <c:pt idx="1917">
                  <c:v>3.2760177372387345E-2</c:v>
                </c:pt>
                <c:pt idx="1918">
                  <c:v>3.2741225070652691E-2</c:v>
                </c:pt>
                <c:pt idx="1919">
                  <c:v>3.2722078332163562E-2</c:v>
                </c:pt>
                <c:pt idx="1920">
                  <c:v>3.2703137067392474E-2</c:v>
                </c:pt>
                <c:pt idx="1921">
                  <c:v>3.2684586948668048E-2</c:v>
                </c:pt>
                <c:pt idx="1922">
                  <c:v>3.266642797590924E-2</c:v>
                </c:pt>
                <c:pt idx="1923">
                  <c:v>3.2648660149359188E-2</c:v>
                </c:pt>
                <c:pt idx="1924">
                  <c:v>3.2631283468693706E-2</c:v>
                </c:pt>
                <c:pt idx="1925">
                  <c:v>3.2614297933993841E-2</c:v>
                </c:pt>
                <c:pt idx="1926">
                  <c:v>3.2597703545097501E-2</c:v>
                </c:pt>
                <c:pt idx="1927">
                  <c:v>3.2581500302085731E-2</c:v>
                </c:pt>
                <c:pt idx="1928">
                  <c:v>3.2565688204796439E-2</c:v>
                </c:pt>
                <c:pt idx="1929">
                  <c:v>3.2550267253229626E-2</c:v>
                </c:pt>
                <c:pt idx="1930">
                  <c:v>3.2535237447304244E-2</c:v>
                </c:pt>
                <c:pt idx="1931">
                  <c:v>3.2520598786939248E-2</c:v>
                </c:pt>
                <c:pt idx="1932">
                  <c:v>3.250635127229673E-2</c:v>
                </c:pt>
                <c:pt idx="1933">
                  <c:v>3.2492494902971458E-2</c:v>
                </c:pt>
                <c:pt idx="1934">
                  <c:v>3.2479029679287619E-2</c:v>
                </c:pt>
                <c:pt idx="1935">
                  <c:v>3.2465955600921026E-2</c:v>
                </c:pt>
                <c:pt idx="1936">
                  <c:v>3.2453272668033772E-2</c:v>
                </c:pt>
                <c:pt idx="1937">
                  <c:v>3.2440980880463766E-2</c:v>
                </c:pt>
                <c:pt idx="1938">
                  <c:v>3.2429080238129959E-2</c:v>
                </c:pt>
                <c:pt idx="1939">
                  <c:v>3.2417570741194446E-2</c:v>
                </c:pt>
                <c:pt idx="1940">
                  <c:v>3.2406452389414087E-2</c:v>
                </c:pt>
                <c:pt idx="1941">
                  <c:v>3.2395725182788881E-2</c:v>
                </c:pt>
                <c:pt idx="1942">
                  <c:v>3.2385389121399877E-2</c:v>
                </c:pt>
                <c:pt idx="1943">
                  <c:v>3.237544420508498E-2</c:v>
                </c:pt>
                <c:pt idx="1944">
                  <c:v>3.2365890433844191E-2</c:v>
                </c:pt>
                <c:pt idx="1945">
                  <c:v>3.2356727807839603E-2</c:v>
                </c:pt>
                <c:pt idx="1946">
                  <c:v>3.2347956326665983E-2</c:v>
                </c:pt>
                <c:pt idx="1947">
                  <c:v>3.2339575990647518E-2</c:v>
                </c:pt>
                <c:pt idx="1948">
                  <c:v>3.2331586799460021E-2</c:v>
                </c:pt>
                <c:pt idx="1949">
                  <c:v>3.2323988753346633E-2</c:v>
                </c:pt>
                <c:pt idx="1950">
                  <c:v>3.2316781852226306E-2</c:v>
                </c:pt>
                <c:pt idx="1951">
                  <c:v>3.2309966095855902E-2</c:v>
                </c:pt>
                <c:pt idx="1952">
                  <c:v>3.230354148447856E-2</c:v>
                </c:pt>
                <c:pt idx="1953">
                  <c:v>3.229750801785114E-2</c:v>
                </c:pt>
                <c:pt idx="1954">
                  <c:v>3.2291865696216782E-2</c:v>
                </c:pt>
                <c:pt idx="1955">
                  <c:v>3.2286614519332346E-2</c:v>
                </c:pt>
                <c:pt idx="1956">
                  <c:v>3.228175448727888E-2</c:v>
                </c:pt>
                <c:pt idx="1957">
                  <c:v>3.2277285599975336E-2</c:v>
                </c:pt>
                <c:pt idx="1958">
                  <c:v>3.2273207857502761E-2</c:v>
                </c:pt>
                <c:pt idx="1959">
                  <c:v>3.226952125978011E-2</c:v>
                </c:pt>
                <c:pt idx="1960">
                  <c:v>3.226622580680738E-2</c:v>
                </c:pt>
                <c:pt idx="1961">
                  <c:v>3.2263321498746667E-2</c:v>
                </c:pt>
                <c:pt idx="1962">
                  <c:v>3.2260808335192737E-2</c:v>
                </c:pt>
                <c:pt idx="1963">
                  <c:v>3.2258686316388729E-2</c:v>
                </c:pt>
                <c:pt idx="1964">
                  <c:v>3.2256955442415691E-2</c:v>
                </c:pt>
                <c:pt idx="1965">
                  <c:v>3.225561571311153E-2</c:v>
                </c:pt>
                <c:pt idx="1966">
                  <c:v>3.2254667128476244E-2</c:v>
                </c:pt>
                <c:pt idx="1967">
                  <c:v>3.2254109688590882E-2</c:v>
                </c:pt>
                <c:pt idx="1968">
                  <c:v>3.2253943393455442E-2</c:v>
                </c:pt>
                <c:pt idx="1969">
                  <c:v>3.2254168242907832E-2</c:v>
                </c:pt>
                <c:pt idx="1970">
                  <c:v>3.2254784237272238E-2</c:v>
                </c:pt>
                <c:pt idx="1971">
                  <c:v>3.2255781377301673E-2</c:v>
                </c:pt>
                <c:pt idx="1972">
                  <c:v>3.2256879695508056E-2</c:v>
                </c:pt>
                <c:pt idx="1973">
                  <c:v>3.225794920711067E-2</c:v>
                </c:pt>
                <c:pt idx="1974">
                  <c:v>3.2258989911947422E-2</c:v>
                </c:pt>
                <c:pt idx="1975">
                  <c:v>3.2260001809937267E-2</c:v>
                </c:pt>
                <c:pt idx="1976">
                  <c:v>3.2260984901242296E-2</c:v>
                </c:pt>
                <c:pt idx="1977">
                  <c:v>3.2261939185862509E-2</c:v>
                </c:pt>
                <c:pt idx="1978">
                  <c:v>3.2262864663554769E-2</c:v>
                </c:pt>
                <c:pt idx="1979">
                  <c:v>3.2263761334643259E-2</c:v>
                </c:pt>
                <c:pt idx="1980">
                  <c:v>3.2264629198884842E-2</c:v>
                </c:pt>
                <c:pt idx="1981">
                  <c:v>3.2265468256198471E-2</c:v>
                </c:pt>
                <c:pt idx="1982">
                  <c:v>3.2266278507070423E-2</c:v>
                </c:pt>
                <c:pt idx="1983">
                  <c:v>3.2267059951014421E-2</c:v>
                </c:pt>
                <c:pt idx="1984">
                  <c:v>3.2267812588273603E-2</c:v>
                </c:pt>
                <c:pt idx="1985">
                  <c:v>3.2268536418604832E-2</c:v>
                </c:pt>
                <c:pt idx="1986">
                  <c:v>3.2269231442332291E-2</c:v>
                </c:pt>
                <c:pt idx="1987">
                  <c:v>3.2269897659212843E-2</c:v>
                </c:pt>
                <c:pt idx="1988">
                  <c:v>3.2270535069408579E-2</c:v>
                </c:pt>
                <c:pt idx="1989">
                  <c:v>3.2271143672757407E-2</c:v>
                </c:pt>
                <c:pt idx="1990">
                  <c:v>3.2271723469421421E-2</c:v>
                </c:pt>
                <c:pt idx="1991">
                  <c:v>3.2272274459319572E-2</c:v>
                </c:pt>
                <c:pt idx="1992">
                  <c:v>3.2272796642370816E-2</c:v>
                </c:pt>
                <c:pt idx="1993">
                  <c:v>3.227329001881829E-2</c:v>
                </c:pt>
                <c:pt idx="1994">
                  <c:v>3.2273754588337811E-2</c:v>
                </c:pt>
                <c:pt idx="1995">
                  <c:v>3.2274190351172516E-2</c:v>
                </c:pt>
                <c:pt idx="1996">
                  <c:v>3.2274597307160313E-2</c:v>
                </c:pt>
                <c:pt idx="1997">
                  <c:v>3.2275027126222877E-2</c:v>
                </c:pt>
                <c:pt idx="1998">
                  <c:v>3.2275372353554044E-2</c:v>
                </c:pt>
                <c:pt idx="1999">
                  <c:v>3.2275688774038302E-2</c:v>
                </c:pt>
                <c:pt idx="2000">
                  <c:v>3.2275976387837746E-2</c:v>
                </c:pt>
                <c:pt idx="2001">
                  <c:v>3.2276235194871328E-2</c:v>
                </c:pt>
                <c:pt idx="2002">
                  <c:v>3.2276465195058002E-2</c:v>
                </c:pt>
                <c:pt idx="2003">
                  <c:v>3.2276666388478814E-2</c:v>
                </c:pt>
                <c:pt idx="2004">
                  <c:v>3.2276838775214811E-2</c:v>
                </c:pt>
                <c:pt idx="2005">
                  <c:v>3.2276982355184947E-2</c:v>
                </c:pt>
                <c:pt idx="2006">
                  <c:v>3.2277097128308174E-2</c:v>
                </c:pt>
                <c:pt idx="2007">
                  <c:v>3.2277183094827633E-2</c:v>
                </c:pt>
                <c:pt idx="2008">
                  <c:v>3.2277240254419137E-2</c:v>
                </c:pt>
                <c:pt idx="2009">
                  <c:v>3.2277268607325826E-2</c:v>
                </c:pt>
                <c:pt idx="2010">
                  <c:v>3.2277268153466654E-2</c:v>
                </c:pt>
                <c:pt idx="2011">
                  <c:v>3.227723889284162E-2</c:v>
                </c:pt>
                <c:pt idx="2012">
                  <c:v>3.2277180825369678E-2</c:v>
                </c:pt>
                <c:pt idx="2013">
                  <c:v>3.2277093951212921E-2</c:v>
                </c:pt>
                <c:pt idx="2014">
                  <c:v>3.2276978270290302E-2</c:v>
                </c:pt>
                <c:pt idx="2015">
                  <c:v>3.2276833782520775E-2</c:v>
                </c:pt>
                <c:pt idx="2016">
                  <c:v>3.2276660488228526E-2</c:v>
                </c:pt>
                <c:pt idx="2017">
                  <c:v>3.2276458386927276E-2</c:v>
                </c:pt>
                <c:pt idx="2018">
                  <c:v>3.2276227478941211E-2</c:v>
                </c:pt>
                <c:pt idx="2019">
                  <c:v>3.2275967764108238E-2</c:v>
                </c:pt>
                <c:pt idx="2020">
                  <c:v>3.2275679242752542E-2</c:v>
                </c:pt>
                <c:pt idx="2021">
                  <c:v>3.2275361914306799E-2</c:v>
                </c:pt>
                <c:pt idx="2022">
                  <c:v>3.2275015779500427E-2</c:v>
                </c:pt>
                <c:pt idx="2023">
                  <c:v>3.2274640837604007E-2</c:v>
                </c:pt>
                <c:pt idx="2024">
                  <c:v>3.2274237089103819E-2</c:v>
                </c:pt>
                <c:pt idx="2025">
                  <c:v>3.2273804533756723E-2</c:v>
                </c:pt>
                <c:pt idx="2026">
                  <c:v>3.2273343171643765E-2</c:v>
                </c:pt>
                <c:pt idx="2027">
                  <c:v>3.2272853002683899E-2</c:v>
                </c:pt>
                <c:pt idx="2028">
                  <c:v>3.2272334027039218E-2</c:v>
                </c:pt>
                <c:pt idx="2029">
                  <c:v>3.2271786244871814E-2</c:v>
                </c:pt>
                <c:pt idx="2030">
                  <c:v>3.227120965569541E-2</c:v>
                </c:pt>
                <c:pt idx="2031">
                  <c:v>3.227060425983419E-2</c:v>
                </c:pt>
                <c:pt idx="2032">
                  <c:v>3.2269970057126063E-2</c:v>
                </c:pt>
                <c:pt idx="2033">
                  <c:v>3.226930704773312E-2</c:v>
                </c:pt>
                <c:pt idx="2034">
                  <c:v>3.2268615231574316E-2</c:v>
                </c:pt>
                <c:pt idx="2035">
                  <c:v>3.2267894608568604E-2</c:v>
                </c:pt>
                <c:pt idx="2036">
                  <c:v>3.2267145178959122E-2</c:v>
                </c:pt>
                <c:pt idx="2037">
                  <c:v>3.2266366942421687E-2</c:v>
                </c:pt>
                <c:pt idx="2038">
                  <c:v>3.2265559899280483E-2</c:v>
                </c:pt>
                <c:pt idx="2039">
                  <c:v>3.226472404929237E-2</c:v>
                </c:pt>
                <c:pt idx="2040">
                  <c:v>3.226385939245735E-2</c:v>
                </c:pt>
                <c:pt idx="2041">
                  <c:v>3.2262965928937515E-2</c:v>
                </c:pt>
                <c:pt idx="2042">
                  <c:v>3.2262043658732864E-2</c:v>
                </c:pt>
                <c:pt idx="2043">
                  <c:v>3.2261092581681305E-2</c:v>
                </c:pt>
                <c:pt idx="2044">
                  <c:v>3.2260112697863885E-2</c:v>
                </c:pt>
                <c:pt idx="2045">
                  <c:v>3.225910400736165E-2</c:v>
                </c:pt>
                <c:pt idx="2046">
                  <c:v>3.2258066510012506E-2</c:v>
                </c:pt>
                <c:pt idx="2047">
                  <c:v>3.2257000205978548E-2</c:v>
                </c:pt>
                <c:pt idx="2048">
                  <c:v>3.2255905095178727E-2</c:v>
                </c:pt>
                <c:pt idx="2049">
                  <c:v>3.2254781177613046E-2</c:v>
                </c:pt>
                <c:pt idx="2050">
                  <c:v>3.2253628453281502E-2</c:v>
                </c:pt>
                <c:pt idx="2051">
                  <c:v>3.2252446922265143E-2</c:v>
                </c:pt>
                <c:pt idx="2052">
                  <c:v>3.2251236584239784E-2</c:v>
                </c:pt>
                <c:pt idx="2053">
                  <c:v>3.2249997439772748E-2</c:v>
                </c:pt>
                <c:pt idx="2054">
                  <c:v>3.2248729488377759E-2</c:v>
                </c:pt>
                <c:pt idx="2055">
                  <c:v>3.2247432730297954E-2</c:v>
                </c:pt>
                <c:pt idx="2056">
                  <c:v>3.2246107165452287E-2</c:v>
                </c:pt>
                <c:pt idx="2057">
                  <c:v>3.2244752793759712E-2</c:v>
                </c:pt>
                <c:pt idx="2058">
                  <c:v>3.2243369615382322E-2</c:v>
                </c:pt>
                <c:pt idx="2059">
                  <c:v>3.2241957630239071E-2</c:v>
                </c:pt>
                <c:pt idx="2060">
                  <c:v>3.2240516838329958E-2</c:v>
                </c:pt>
                <c:pt idx="2061">
                  <c:v>3.2239047239736029E-2</c:v>
                </c:pt>
                <c:pt idx="2062">
                  <c:v>3.2237548834295193E-2</c:v>
                </c:pt>
                <c:pt idx="2063">
                  <c:v>3.2236021622007449E-2</c:v>
                </c:pt>
                <c:pt idx="2064">
                  <c:v>3.2234465603196982E-2</c:v>
                </c:pt>
                <c:pt idx="2065">
                  <c:v>3.2232880777458561E-2</c:v>
                </c:pt>
                <c:pt idx="2066">
                  <c:v>3.2231267145116371E-2</c:v>
                </c:pt>
                <c:pt idx="2067">
                  <c:v>3.2229624705927273E-2</c:v>
                </c:pt>
                <c:pt idx="2068">
                  <c:v>3.2227953459972314E-2</c:v>
                </c:pt>
                <c:pt idx="2069">
                  <c:v>3.2226253407332539E-2</c:v>
                </c:pt>
                <c:pt idx="2070">
                  <c:v>3.2224524547845856E-2</c:v>
                </c:pt>
                <c:pt idx="2071">
                  <c:v>3.2222766881836451E-2</c:v>
                </c:pt>
                <c:pt idx="2072">
                  <c:v>3.2220980408736999E-2</c:v>
                </c:pt>
                <c:pt idx="2073">
                  <c:v>3.2219165129033778E-2</c:v>
                </c:pt>
                <c:pt idx="2074">
                  <c:v>3.2217321042645741E-2</c:v>
                </c:pt>
                <c:pt idx="2075">
                  <c:v>3.2215448149491843E-2</c:v>
                </c:pt>
                <c:pt idx="2076">
                  <c:v>3.221354644965313E-2</c:v>
                </c:pt>
                <c:pt idx="2077">
                  <c:v>3.2211615942967509E-2</c:v>
                </c:pt>
                <c:pt idx="2078">
                  <c:v>3.220965662943498E-2</c:v>
                </c:pt>
                <c:pt idx="2079">
                  <c:v>3.2207668509460774E-2</c:v>
                </c:pt>
                <c:pt idx="2080">
                  <c:v>3.2205651582477568E-2</c:v>
                </c:pt>
                <c:pt idx="2081">
                  <c:v>3.22036058487285E-2</c:v>
                </c:pt>
                <c:pt idx="2082">
                  <c:v>3.2201531308375664E-2</c:v>
                </c:pt>
                <c:pt idx="2083">
                  <c:v>3.2199427961256966E-2</c:v>
                </c:pt>
                <c:pt idx="2084">
                  <c:v>3.2197295807372406E-2</c:v>
                </c:pt>
                <c:pt idx="2085">
                  <c:v>3.2195134846559892E-2</c:v>
                </c:pt>
                <c:pt idx="2086">
                  <c:v>3.2192945079386748E-2</c:v>
                </c:pt>
                <c:pt idx="2087">
                  <c:v>3.2190726505204603E-2</c:v>
                </c:pt>
                <c:pt idx="2088">
                  <c:v>3.2188479124337643E-2</c:v>
                </c:pt>
                <c:pt idx="2089">
                  <c:v>3.2186202936623776E-2</c:v>
                </c:pt>
                <c:pt idx="2090">
                  <c:v>3.2183897942306139E-2</c:v>
                </c:pt>
                <c:pt idx="2091">
                  <c:v>3.2181564141303687E-2</c:v>
                </c:pt>
                <c:pt idx="2092">
                  <c:v>3.2179201533292234E-2</c:v>
                </c:pt>
                <c:pt idx="2093">
                  <c:v>3.2176810118758059E-2</c:v>
                </c:pt>
                <c:pt idx="2094">
                  <c:v>3.2174389897539069E-2</c:v>
                </c:pt>
                <c:pt idx="2095">
                  <c:v>3.2171940869554216E-2</c:v>
                </c:pt>
                <c:pt idx="2096">
                  <c:v>3.216946303464141E-2</c:v>
                </c:pt>
                <c:pt idx="2097">
                  <c:v>3.2166956393205881E-2</c:v>
                </c:pt>
                <c:pt idx="2098">
                  <c:v>3.2164420944842398E-2</c:v>
                </c:pt>
                <c:pt idx="2099">
                  <c:v>3.2161856689794099E-2</c:v>
                </c:pt>
                <c:pt idx="2100">
                  <c:v>3.2159263628060986E-2</c:v>
                </c:pt>
                <c:pt idx="2101">
                  <c:v>3.215626485537304E-2</c:v>
                </c:pt>
                <c:pt idx="2102">
                  <c:v>3.2153610065064342E-2</c:v>
                </c:pt>
                <c:pt idx="2103">
                  <c:v>3.215092646782769E-2</c:v>
                </c:pt>
                <c:pt idx="2104">
                  <c:v>3.2148214063825176E-2</c:v>
                </c:pt>
                <c:pt idx="2105">
                  <c:v>3.2145472853137846E-2</c:v>
                </c:pt>
                <c:pt idx="2106">
                  <c:v>3.2142702835846748E-2</c:v>
                </c:pt>
                <c:pt idx="2107">
                  <c:v>3.2139904011708742E-2</c:v>
                </c:pt>
                <c:pt idx="2108">
                  <c:v>3.2137076380804874E-2</c:v>
                </c:pt>
                <c:pt idx="2109">
                  <c:v>3.2134219943297238E-2</c:v>
                </c:pt>
                <c:pt idx="2110">
                  <c:v>3.2131334698942693E-2</c:v>
                </c:pt>
                <c:pt idx="2111">
                  <c:v>3.2128420647903333E-2</c:v>
                </c:pt>
                <c:pt idx="2112">
                  <c:v>3.2125477790098111E-2</c:v>
                </c:pt>
                <c:pt idx="2113">
                  <c:v>3.2122506125689121E-2</c:v>
                </c:pt>
                <c:pt idx="2114">
                  <c:v>3.2119505654433222E-2</c:v>
                </c:pt>
                <c:pt idx="2115">
                  <c:v>3.2116476376411462E-2</c:v>
                </c:pt>
                <c:pt idx="2116">
                  <c:v>3.2118189665448771E-2</c:v>
                </c:pt>
                <c:pt idx="2117">
                  <c:v>3.2110331400394543E-2</c:v>
                </c:pt>
                <c:pt idx="2118">
                  <c:v>3.2107215702318337E-2</c:v>
                </c:pt>
                <c:pt idx="2119">
                  <c:v>3.2104071197314177E-2</c:v>
                </c:pt>
                <c:pt idx="2120">
                  <c:v>3.210089788586834E-2</c:v>
                </c:pt>
                <c:pt idx="2121">
                  <c:v>3.2097695767575596E-2</c:v>
                </c:pt>
                <c:pt idx="2122">
                  <c:v>3.209446484251699E-2</c:v>
                </c:pt>
                <c:pt idx="2123">
                  <c:v>3.2091205110773569E-2</c:v>
                </c:pt>
                <c:pt idx="2124">
                  <c:v>3.2087916572426378E-2</c:v>
                </c:pt>
                <c:pt idx="2125">
                  <c:v>3.208459922723228E-2</c:v>
                </c:pt>
                <c:pt idx="2126">
                  <c:v>3.208125307527232E-2</c:v>
                </c:pt>
                <c:pt idx="2127">
                  <c:v>3.2077878116708591E-2</c:v>
                </c:pt>
                <c:pt idx="2128">
                  <c:v>3.2074474351379001E-2</c:v>
                </c:pt>
                <c:pt idx="2129">
                  <c:v>3.2071041779445641E-2</c:v>
                </c:pt>
                <c:pt idx="2130">
                  <c:v>3.2067580400584328E-2</c:v>
                </c:pt>
                <c:pt idx="2131">
                  <c:v>3.2064090215200292E-2</c:v>
                </c:pt>
                <c:pt idx="2132">
                  <c:v>3.2060571222969347E-2</c:v>
                </c:pt>
                <c:pt idx="2133">
                  <c:v>3.2057023423972542E-2</c:v>
                </c:pt>
                <c:pt idx="2134">
                  <c:v>3.2053446818371967E-2</c:v>
                </c:pt>
                <c:pt idx="2135">
                  <c:v>3.2049841406248669E-2</c:v>
                </c:pt>
                <c:pt idx="2136">
                  <c:v>3.2046207187197417E-2</c:v>
                </c:pt>
                <c:pt idx="2137">
                  <c:v>3.2042544161380304E-2</c:v>
                </c:pt>
                <c:pt idx="2138">
                  <c:v>3.2038852329121514E-2</c:v>
                </c:pt>
                <c:pt idx="2139">
                  <c:v>3.203513168993477E-2</c:v>
                </c:pt>
                <c:pt idx="2140">
                  <c:v>3.2031382244063211E-2</c:v>
                </c:pt>
                <c:pt idx="2141">
                  <c:v>3.2027603991506837E-2</c:v>
                </c:pt>
                <c:pt idx="2142">
                  <c:v>3.2023796932265647E-2</c:v>
                </c:pt>
                <c:pt idx="2143">
                  <c:v>3.2019961066339642E-2</c:v>
                </c:pt>
                <c:pt idx="2144">
                  <c:v>3.2016096393566729E-2</c:v>
                </c:pt>
                <c:pt idx="2145">
                  <c:v>3.2012202914190047E-2</c:v>
                </c:pt>
                <c:pt idx="2146">
                  <c:v>3.2008280628128549E-2</c:v>
                </c:pt>
                <c:pt idx="2147">
                  <c:v>3.2004329535463283E-2</c:v>
                </c:pt>
                <c:pt idx="2148">
                  <c:v>3.2000349635870062E-2</c:v>
                </c:pt>
                <c:pt idx="2149">
                  <c:v>3.1996340929835165E-2</c:v>
                </c:pt>
                <c:pt idx="2150">
                  <c:v>3.1992303416872314E-2</c:v>
                </c:pt>
                <c:pt idx="2151">
                  <c:v>3.198823709738674E-2</c:v>
                </c:pt>
                <c:pt idx="2152">
                  <c:v>3.1984141971054258E-2</c:v>
                </c:pt>
                <c:pt idx="2153">
                  <c:v>3.1981636135894151E-2</c:v>
                </c:pt>
                <c:pt idx="2154">
                  <c:v>3.1977474436687789E-2</c:v>
                </c:pt>
                <c:pt idx="2155">
                  <c:v>3.1973283925852788E-2</c:v>
                </c:pt>
                <c:pt idx="2156">
                  <c:v>3.1969064603335116E-2</c:v>
                </c:pt>
                <c:pt idx="2157">
                  <c:v>3.1964816469188806E-2</c:v>
                </c:pt>
                <c:pt idx="2158">
                  <c:v>3.1960539523440877E-2</c:v>
                </c:pt>
                <c:pt idx="2159">
                  <c:v>3.195623376603729E-2</c:v>
                </c:pt>
                <c:pt idx="2160">
                  <c:v>3.1951899196978051E-2</c:v>
                </c:pt>
                <c:pt idx="2161">
                  <c:v>3.1947535816344207E-2</c:v>
                </c:pt>
                <c:pt idx="2162">
                  <c:v>3.1943143624108737E-2</c:v>
                </c:pt>
                <c:pt idx="2163">
                  <c:v>3.1938722620217616E-2</c:v>
                </c:pt>
                <c:pt idx="2164">
                  <c:v>3.193427280472487E-2</c:v>
                </c:pt>
                <c:pt idx="2165">
                  <c:v>3.1929794177549452E-2</c:v>
                </c:pt>
                <c:pt idx="2166">
                  <c:v>3.1925286738826442E-2</c:v>
                </c:pt>
                <c:pt idx="2167">
                  <c:v>3.1916006904825212E-2</c:v>
                </c:pt>
                <c:pt idx="2168">
                  <c:v>3.191143029542487E-2</c:v>
                </c:pt>
                <c:pt idx="2169">
                  <c:v>3.190682487917762E-2</c:v>
                </c:pt>
                <c:pt idx="2170">
                  <c:v>3.1902190656407647E-2</c:v>
                </c:pt>
                <c:pt idx="2171">
                  <c:v>3.1897527627033906E-2</c:v>
                </c:pt>
                <c:pt idx="2172">
                  <c:v>3.1892835790894303E-2</c:v>
                </c:pt>
                <c:pt idx="2173">
                  <c:v>3.1888115148069884E-2</c:v>
                </c:pt>
                <c:pt idx="2174">
                  <c:v>3.1883365698641697E-2</c:v>
                </c:pt>
                <c:pt idx="2175">
                  <c:v>3.1878587442447648E-2</c:v>
                </c:pt>
                <c:pt idx="2176">
                  <c:v>3.187378037964983E-2</c:v>
                </c:pt>
                <c:pt idx="2177">
                  <c:v>3.1868944510167196E-2</c:v>
                </c:pt>
                <c:pt idx="2178">
                  <c:v>3.1864079834080794E-2</c:v>
                </c:pt>
                <c:pt idx="2179">
                  <c:v>3.185918635122853E-2</c:v>
                </c:pt>
                <c:pt idx="2180">
                  <c:v>3.1854264061772497E-2</c:v>
                </c:pt>
                <c:pt idx="2181">
                  <c:v>3.1849312965550602E-2</c:v>
                </c:pt>
                <c:pt idx="2182">
                  <c:v>3.1844333062887031E-2</c:v>
                </c:pt>
                <c:pt idx="2183">
                  <c:v>3.1839324353457599E-2</c:v>
                </c:pt>
                <c:pt idx="2184">
                  <c:v>3.1834286837181258E-2</c:v>
                </c:pt>
                <c:pt idx="2185">
                  <c:v>3.1829220514463241E-2</c:v>
                </c:pt>
                <c:pt idx="2186">
                  <c:v>3.1824125385141455E-2</c:v>
                </c:pt>
                <c:pt idx="2187">
                  <c:v>3.1819001448891715E-2</c:v>
                </c:pt>
                <c:pt idx="2188">
                  <c:v>3.1813848706281345E-2</c:v>
                </c:pt>
                <c:pt idx="2189">
                  <c:v>3.1808667156905113E-2</c:v>
                </c:pt>
                <c:pt idx="2190">
                  <c:v>3.1803456800844065E-2</c:v>
                </c:pt>
                <c:pt idx="2191">
                  <c:v>3.179821763793611E-2</c:v>
                </c:pt>
                <c:pt idx="2192">
                  <c:v>3.1792949668748571E-2</c:v>
                </c:pt>
                <c:pt idx="2193">
                  <c:v>3.1787652892714124E-2</c:v>
                </c:pt>
                <c:pt idx="2194">
                  <c:v>3.1782327310075908E-2</c:v>
                </c:pt>
                <c:pt idx="2195">
                  <c:v>3.1776972920752877E-2</c:v>
                </c:pt>
                <c:pt idx="2196">
                  <c:v>3.1771589724826077E-2</c:v>
                </c:pt>
                <c:pt idx="2197">
                  <c:v>3.1766177722295508E-2</c:v>
                </c:pt>
                <c:pt idx="2198">
                  <c:v>3.1760736912999077E-2</c:v>
                </c:pt>
                <c:pt idx="2199">
                  <c:v>3.1755267297098877E-2</c:v>
                </c:pt>
                <c:pt idx="2200">
                  <c:v>3.1749768874757001E-2</c:v>
                </c:pt>
                <c:pt idx="2201">
                  <c:v>3.1744241645649263E-2</c:v>
                </c:pt>
                <c:pt idx="2202">
                  <c:v>3.1738685609775663E-2</c:v>
                </c:pt>
                <c:pt idx="2203">
                  <c:v>3.1733100767298295E-2</c:v>
                </c:pt>
                <c:pt idx="2204">
                  <c:v>3.1727487118298203E-2</c:v>
                </c:pt>
                <c:pt idx="2205">
                  <c:v>3.172184466253225E-2</c:v>
                </c:pt>
                <c:pt idx="2206">
                  <c:v>3.1716173400324621E-2</c:v>
                </c:pt>
                <c:pt idx="2207">
                  <c:v>3.171047333135113E-2</c:v>
                </c:pt>
                <c:pt idx="2208">
                  <c:v>3.1704744455854916E-2</c:v>
                </c:pt>
                <c:pt idx="2209">
                  <c:v>3.1698986773430748E-2</c:v>
                </c:pt>
                <c:pt idx="2210">
                  <c:v>3.1693200284726997E-2</c:v>
                </c:pt>
                <c:pt idx="2211">
                  <c:v>3.1687384989257383E-2</c:v>
                </c:pt>
                <c:pt idx="2212">
                  <c:v>3.1681540887346094E-2</c:v>
                </c:pt>
                <c:pt idx="2213">
                  <c:v>3.1675667978425803E-2</c:v>
                </c:pt>
                <c:pt idx="2214">
                  <c:v>3.1669766263225929E-2</c:v>
                </c:pt>
                <c:pt idx="2215">
                  <c:v>3.166383574134124E-2</c:v>
                </c:pt>
                <c:pt idx="2216">
                  <c:v>3.1657876412609642E-2</c:v>
                </c:pt>
                <c:pt idx="2217">
                  <c:v>3.1651888277436369E-2</c:v>
                </c:pt>
                <c:pt idx="2218">
                  <c:v>3.1645871335740372E-2</c:v>
                </c:pt>
                <c:pt idx="2219">
                  <c:v>3.163982558735956E-2</c:v>
                </c:pt>
                <c:pt idx="2220">
                  <c:v>3.1633751032374979E-2</c:v>
                </c:pt>
                <c:pt idx="2221">
                  <c:v>3.1627647670705583E-2</c:v>
                </c:pt>
                <c:pt idx="2222">
                  <c:v>3.1621515502432418E-2</c:v>
                </c:pt>
                <c:pt idx="2223">
                  <c:v>3.1615354527474437E-2</c:v>
                </c:pt>
                <c:pt idx="2224">
                  <c:v>3.160916474607478E-2</c:v>
                </c:pt>
                <c:pt idx="2225">
                  <c:v>3.1602946158071354E-2</c:v>
                </c:pt>
                <c:pt idx="2226">
                  <c:v>3.1596698763464159E-2</c:v>
                </c:pt>
                <c:pt idx="2227">
                  <c:v>3.1590422562091103E-2</c:v>
                </c:pt>
                <c:pt idx="2228">
                  <c:v>3.158411755427637E-2</c:v>
                </c:pt>
                <c:pt idx="2229">
                  <c:v>3.1577783739857868E-2</c:v>
                </c:pt>
                <c:pt idx="2230">
                  <c:v>3.1571421118835596E-2</c:v>
                </c:pt>
                <c:pt idx="2231">
                  <c:v>3.1565031234735974E-2</c:v>
                </c:pt>
                <c:pt idx="2232">
                  <c:v>3.1558657309702642E-2</c:v>
                </c:pt>
                <c:pt idx="2233">
                  <c:v>3.1552319410875773E-2</c:v>
                </c:pt>
                <c:pt idx="2234">
                  <c:v>3.154601753817432E-2</c:v>
                </c:pt>
                <c:pt idx="2235">
                  <c:v>3.1539751691841422E-2</c:v>
                </c:pt>
                <c:pt idx="2236">
                  <c:v>3.1533521871796033E-2</c:v>
                </c:pt>
                <c:pt idx="2237">
                  <c:v>3.152732807787606E-2</c:v>
                </c:pt>
                <c:pt idx="2238">
                  <c:v>3.152117031016255E-2</c:v>
                </c:pt>
                <c:pt idx="2239">
                  <c:v>3.1515048568736548E-2</c:v>
                </c:pt>
                <c:pt idx="2240">
                  <c:v>3.1508962853598055E-2</c:v>
                </c:pt>
                <c:pt idx="2241">
                  <c:v>3.1502913164666024E-2</c:v>
                </c:pt>
                <c:pt idx="2242">
                  <c:v>3.1496899501778364E-2</c:v>
                </c:pt>
                <c:pt idx="2243">
                  <c:v>3.1490921865340304E-2</c:v>
                </c:pt>
                <c:pt idx="2244">
                  <c:v>3.1484980255027661E-2</c:v>
                </c:pt>
                <c:pt idx="2245">
                  <c:v>3.1479074670921481E-2</c:v>
                </c:pt>
                <c:pt idx="2246">
                  <c:v>3.1473205113021763E-2</c:v>
                </c:pt>
                <c:pt idx="2247">
                  <c:v>3.14673715814906E-2</c:v>
                </c:pt>
                <c:pt idx="2248">
                  <c:v>3.1461574076084853E-2</c:v>
                </c:pt>
                <c:pt idx="2249">
                  <c:v>3.1455812596723476E-2</c:v>
                </c:pt>
                <c:pt idx="2250">
                  <c:v>3.1450087143730654E-2</c:v>
                </c:pt>
                <c:pt idx="2251">
                  <c:v>3.1444397716944295E-2</c:v>
                </c:pt>
                <c:pt idx="2252">
                  <c:v>3.1438744316445444E-2</c:v>
                </c:pt>
                <c:pt idx="2253">
                  <c:v>3.1433126941909917E-2</c:v>
                </c:pt>
                <c:pt idx="2254">
                  <c:v>3.1427545593905037E-2</c:v>
                </c:pt>
                <c:pt idx="2255">
                  <c:v>3.1422000271782435E-2</c:v>
                </c:pt>
                <c:pt idx="2256">
                  <c:v>3.1416490976028388E-2</c:v>
                </c:pt>
                <c:pt idx="2257">
                  <c:v>3.1410238751711228E-2</c:v>
                </c:pt>
                <c:pt idx="2258">
                  <c:v>3.1404806654889983E-2</c:v>
                </c:pt>
                <c:pt idx="2259">
                  <c:v>3.1399410584356247E-2</c:v>
                </c:pt>
                <c:pt idx="2260">
                  <c:v>3.1394050540028973E-2</c:v>
                </c:pt>
                <c:pt idx="2261">
                  <c:v>3.1388726521746069E-2</c:v>
                </c:pt>
                <c:pt idx="2262">
                  <c:v>3.1383438529750673E-2</c:v>
                </c:pt>
                <c:pt idx="2263">
                  <c:v>3.1378186563961741E-2</c:v>
                </c:pt>
                <c:pt idx="2264">
                  <c:v>3.1372970624298224E-2</c:v>
                </c:pt>
                <c:pt idx="2265">
                  <c:v>3.136779071084117E-2</c:v>
                </c:pt>
                <c:pt idx="2266">
                  <c:v>3.1362646823590579E-2</c:v>
                </c:pt>
                <c:pt idx="2267">
                  <c:v>3.135753896254645E-2</c:v>
                </c:pt>
                <c:pt idx="2268">
                  <c:v>3.1352467127627737E-2</c:v>
                </c:pt>
                <c:pt idx="2269">
                  <c:v>3.134743131883444E-2</c:v>
                </c:pt>
                <c:pt idx="2270">
                  <c:v>3.1342431536490745E-2</c:v>
                </c:pt>
                <c:pt idx="2271">
                  <c:v>3.1337467780029327E-2</c:v>
                </c:pt>
                <c:pt idx="2272">
                  <c:v>3.1332540049855417E-2</c:v>
                </c:pt>
                <c:pt idx="2273">
                  <c:v>3.1327648345887971E-2</c:v>
                </c:pt>
                <c:pt idx="2274">
                  <c:v>3.132279266804594E-2</c:v>
                </c:pt>
                <c:pt idx="2275">
                  <c:v>3.1317973016410372E-2</c:v>
                </c:pt>
                <c:pt idx="2276">
                  <c:v>3.1313189390819174E-2</c:v>
                </c:pt>
                <c:pt idx="2277">
                  <c:v>3.1308441791596531E-2</c:v>
                </c:pt>
                <c:pt idx="2278">
                  <c:v>3.1303730218418258E-2</c:v>
                </c:pt>
                <c:pt idx="2279">
                  <c:v>3.1299054671365401E-2</c:v>
                </c:pt>
                <c:pt idx="2280">
                  <c:v>3.1294415150681099E-2</c:v>
                </c:pt>
                <c:pt idx="2281">
                  <c:v>3.128981165596012E-2</c:v>
                </c:pt>
                <c:pt idx="2282">
                  <c:v>3.1285244187364558E-2</c:v>
                </c:pt>
                <c:pt idx="2283">
                  <c:v>3.1280712745056505E-2</c:v>
                </c:pt>
                <c:pt idx="2284">
                  <c:v>3.1276217328954914E-2</c:v>
                </c:pt>
                <c:pt idx="2285">
                  <c:v>3.1271757938897693E-2</c:v>
                </c:pt>
                <c:pt idx="2286">
                  <c:v>3.1267334575046934E-2</c:v>
                </c:pt>
                <c:pt idx="2287">
                  <c:v>3.1262947237240546E-2</c:v>
                </c:pt>
                <c:pt idx="2288">
                  <c:v>3.1258595925883759E-2</c:v>
                </c:pt>
                <c:pt idx="2289">
                  <c:v>3.1254280640409249E-2</c:v>
                </c:pt>
                <c:pt idx="2290">
                  <c:v>3.1250001381141201E-2</c:v>
                </c:pt>
                <c:pt idx="2291">
                  <c:v>3.1245758148079616E-2</c:v>
                </c:pt>
                <c:pt idx="2292">
                  <c:v>3.1241550941143448E-2</c:v>
                </c:pt>
                <c:pt idx="2293">
                  <c:v>3.1237379760332695E-2</c:v>
                </c:pt>
                <c:pt idx="2294">
                  <c:v>3.1233244605647359E-2</c:v>
                </c:pt>
                <c:pt idx="2295">
                  <c:v>3.1229145477087439E-2</c:v>
                </c:pt>
                <c:pt idx="2296">
                  <c:v>3.1225082374733981E-2</c:v>
                </c:pt>
                <c:pt idx="2297">
                  <c:v>3.1221055298586986E-2</c:v>
                </c:pt>
                <c:pt idx="2298">
                  <c:v>3.1217064248403315E-2</c:v>
                </c:pt>
                <c:pt idx="2299">
                  <c:v>3.1213109224426105E-2</c:v>
                </c:pt>
                <c:pt idx="2300">
                  <c:v>3.1209190226736405E-2</c:v>
                </c:pt>
                <c:pt idx="2301">
                  <c:v>3.1205307254928982E-2</c:v>
                </c:pt>
                <c:pt idx="2302">
                  <c:v>3.1201460309490114E-2</c:v>
                </c:pt>
                <c:pt idx="2303">
                  <c:v>3.1197649390095616E-2</c:v>
                </c:pt>
                <c:pt idx="2304">
                  <c:v>3.1193874496826535E-2</c:v>
                </c:pt>
                <c:pt idx="2305">
                  <c:v>3.1190135629682869E-2</c:v>
                </c:pt>
                <c:pt idx="2306">
                  <c:v>3.1186432788826712E-2</c:v>
                </c:pt>
                <c:pt idx="2307">
                  <c:v>3.1182765973933879E-2</c:v>
                </c:pt>
                <c:pt idx="2308">
                  <c:v>3.1179135185166462E-2</c:v>
                </c:pt>
                <c:pt idx="2309">
                  <c:v>3.1175540422605508E-2</c:v>
                </c:pt>
                <c:pt idx="2310">
                  <c:v>3.1171981686088923E-2</c:v>
                </c:pt>
                <c:pt idx="2311">
                  <c:v>3.1168458975778801E-2</c:v>
                </c:pt>
                <c:pt idx="2312">
                  <c:v>3.1164972291513049E-2</c:v>
                </c:pt>
                <c:pt idx="2313">
                  <c:v>3.1161521633453759E-2</c:v>
                </c:pt>
                <c:pt idx="2314">
                  <c:v>3.1158107001519886E-2</c:v>
                </c:pt>
                <c:pt idx="2315">
                  <c:v>3.1154728395630382E-2</c:v>
                </c:pt>
                <c:pt idx="2316">
                  <c:v>3.1151385815866295E-2</c:v>
                </c:pt>
                <c:pt idx="2317">
                  <c:v>3.114807926230867E-2</c:v>
                </c:pt>
                <c:pt idx="2318">
                  <c:v>3.1144808734795415E-2</c:v>
                </c:pt>
                <c:pt idx="2319">
                  <c:v>3.1141574233407576E-2</c:v>
                </c:pt>
                <c:pt idx="2320">
                  <c:v>3.1138375758145154E-2</c:v>
                </c:pt>
                <c:pt idx="2321">
                  <c:v>3.1135213309089194E-2</c:v>
                </c:pt>
                <c:pt idx="2322">
                  <c:v>3.1132086885996557E-2</c:v>
                </c:pt>
                <c:pt idx="2323">
                  <c:v>3.1128996489110383E-2</c:v>
                </c:pt>
                <c:pt idx="2324">
                  <c:v>3.1125942118349625E-2</c:v>
                </c:pt>
                <c:pt idx="2325">
                  <c:v>3.112292377379533E-2</c:v>
                </c:pt>
                <c:pt idx="2326">
                  <c:v>3.1119941455204359E-2</c:v>
                </c:pt>
                <c:pt idx="2327">
                  <c:v>3.1116995162738803E-2</c:v>
                </c:pt>
                <c:pt idx="2328">
                  <c:v>3.1114084896398664E-2</c:v>
                </c:pt>
                <c:pt idx="2329">
                  <c:v>3.1111210656183941E-2</c:v>
                </c:pt>
                <c:pt idx="2330">
                  <c:v>3.1108372442013588E-2</c:v>
                </c:pt>
                <c:pt idx="2331">
                  <c:v>3.1105570254049697E-2</c:v>
                </c:pt>
                <c:pt idx="2332">
                  <c:v>3.1102804092211223E-2</c:v>
                </c:pt>
                <c:pt idx="2333">
                  <c:v>3.1100073956173979E-2</c:v>
                </c:pt>
                <c:pt idx="2334">
                  <c:v>3.1097379846586337E-2</c:v>
                </c:pt>
                <c:pt idx="2335">
                  <c:v>3.1094721763124111E-2</c:v>
                </c:pt>
                <c:pt idx="2336">
                  <c:v>3.1092099705625209E-2</c:v>
                </c:pt>
                <c:pt idx="2337">
                  <c:v>3.1089513674251723E-2</c:v>
                </c:pt>
                <c:pt idx="2338">
                  <c:v>3.1086963669003653E-2</c:v>
                </c:pt>
                <c:pt idx="2339">
                  <c:v>3.1084449689718907E-2</c:v>
                </c:pt>
                <c:pt idx="2340">
                  <c:v>3.108197173672167E-2</c:v>
                </c:pt>
                <c:pt idx="2341">
                  <c:v>3.1079529809687756E-2</c:v>
                </c:pt>
                <c:pt idx="2342">
                  <c:v>3.1077123908941351E-2</c:v>
                </c:pt>
                <c:pt idx="2343">
                  <c:v>3.1074754034077223E-2</c:v>
                </c:pt>
                <c:pt idx="2344">
                  <c:v>3.1072420185338512E-2</c:v>
                </c:pt>
                <c:pt idx="2345">
                  <c:v>3.1070122362725217E-2</c:v>
                </c:pt>
                <c:pt idx="2346">
                  <c:v>3.1067860566480476E-2</c:v>
                </c:pt>
                <c:pt idx="2347">
                  <c:v>3.1065634796036967E-2</c:v>
                </c:pt>
                <c:pt idx="2348">
                  <c:v>3.1063445051637828E-2</c:v>
                </c:pt>
                <c:pt idx="2349">
                  <c:v>3.1061291333607244E-2</c:v>
                </c:pt>
                <c:pt idx="2350">
                  <c:v>3.1059173641539983E-2</c:v>
                </c:pt>
                <c:pt idx="2351">
                  <c:v>3.1057091975355E-2</c:v>
                </c:pt>
                <c:pt idx="2352">
                  <c:v>3.1055046335457526E-2</c:v>
                </c:pt>
                <c:pt idx="2353">
                  <c:v>3.1053036721766514E-2</c:v>
                </c:pt>
                <c:pt idx="2354">
                  <c:v>3.1051063134038825E-2</c:v>
                </c:pt>
                <c:pt idx="2355">
                  <c:v>3.1049125572274461E-2</c:v>
                </c:pt>
                <c:pt idx="2356">
                  <c:v>3.1047224036797605E-2</c:v>
                </c:pt>
                <c:pt idx="2357">
                  <c:v>3.1045358527365119E-2</c:v>
                </c:pt>
                <c:pt idx="2358">
                  <c:v>3.1043529044058049E-2</c:v>
                </c:pt>
                <c:pt idx="2359">
                  <c:v>3.1041735586633257E-2</c:v>
                </c:pt>
                <c:pt idx="2360">
                  <c:v>3.1039978155577019E-2</c:v>
                </c:pt>
                <c:pt idx="2361">
                  <c:v>3.1038256750403059E-2</c:v>
                </c:pt>
                <c:pt idx="2362">
                  <c:v>3.1036571371435562E-2</c:v>
                </c:pt>
                <c:pt idx="2363">
                  <c:v>3.1034922018512434E-2</c:v>
                </c:pt>
                <c:pt idx="2364">
                  <c:v>3.1033308691714723E-2</c:v>
                </c:pt>
                <c:pt idx="2365">
                  <c:v>3.1031731390961381E-2</c:v>
                </c:pt>
                <c:pt idx="2366">
                  <c:v>3.1030190116171363E-2</c:v>
                </c:pt>
                <c:pt idx="2367">
                  <c:v>3.1028684867668854E-2</c:v>
                </c:pt>
                <c:pt idx="2368">
                  <c:v>3.1027215645210715E-2</c:v>
                </c:pt>
                <c:pt idx="2369">
                  <c:v>3.1025782448634853E-2</c:v>
                </c:pt>
                <c:pt idx="2370">
                  <c:v>3.1024385278427546E-2</c:v>
                </c:pt>
                <c:pt idx="2371">
                  <c:v>3.102302413426461E-2</c:v>
                </c:pt>
                <c:pt idx="2372">
                  <c:v>3.102169901598395E-2</c:v>
                </c:pt>
                <c:pt idx="2373">
                  <c:v>3.1020409923909753E-2</c:v>
                </c:pt>
                <c:pt idx="2374">
                  <c:v>3.1019156858042018E-2</c:v>
                </c:pt>
                <c:pt idx="2375">
                  <c:v>3.1017939818137608E-2</c:v>
                </c:pt>
                <c:pt idx="2376">
                  <c:v>3.101675880419652E-2</c:v>
                </c:pt>
                <c:pt idx="2377">
                  <c:v>3.1015613816380849E-2</c:v>
                </c:pt>
                <c:pt idx="2378">
                  <c:v>3.1014504854852687E-2</c:v>
                </c:pt>
                <c:pt idx="2379">
                  <c:v>3.1013431919287848E-2</c:v>
                </c:pt>
                <c:pt idx="2380">
                  <c:v>3.1012395009524241E-2</c:v>
                </c:pt>
                <c:pt idx="2381">
                  <c:v>3.1011394126291281E-2</c:v>
                </c:pt>
                <c:pt idx="2382">
                  <c:v>3.1010429269021644E-2</c:v>
                </c:pt>
                <c:pt idx="2383">
                  <c:v>3.1009500437553239E-2</c:v>
                </c:pt>
                <c:pt idx="2384">
                  <c:v>3.1008607632453389E-2</c:v>
                </c:pt>
                <c:pt idx="2385">
                  <c:v>3.1007750853397908E-2</c:v>
                </c:pt>
                <c:pt idx="2386">
                  <c:v>3.1006930100386798E-2</c:v>
                </c:pt>
                <c:pt idx="2387">
                  <c:v>3.1006145373339011E-2</c:v>
                </c:pt>
                <c:pt idx="2388">
                  <c:v>3.1005396672335594E-2</c:v>
                </c:pt>
                <c:pt idx="2389">
                  <c:v>3.1004683997781779E-2</c:v>
                </c:pt>
                <c:pt idx="2390">
                  <c:v>3.1004007348948148E-2</c:v>
                </c:pt>
                <c:pt idx="2391">
                  <c:v>3.1003366726239934E-2</c:v>
                </c:pt>
                <c:pt idx="2392">
                  <c:v>3.1002762129657135E-2</c:v>
                </c:pt>
                <c:pt idx="2393">
                  <c:v>3.1002193559361846E-2</c:v>
                </c:pt>
                <c:pt idx="2394">
                  <c:v>3.1001661014786741E-2</c:v>
                </c:pt>
                <c:pt idx="2395">
                  <c:v>3.1001164496418099E-2</c:v>
                </c:pt>
                <c:pt idx="2396">
                  <c:v>3.1000704004174873E-2</c:v>
                </c:pt>
                <c:pt idx="2397">
                  <c:v>3.1000279538057063E-2</c:v>
                </c:pt>
                <c:pt idx="2398">
                  <c:v>3.099989109782153E-2</c:v>
                </c:pt>
                <c:pt idx="2399">
                  <c:v>3.099953868379246E-2</c:v>
                </c:pt>
                <c:pt idx="2400">
                  <c:v>3.0999222295969853E-2</c:v>
                </c:pt>
                <c:pt idx="2401">
                  <c:v>3.0998941934029522E-2</c:v>
                </c:pt>
                <c:pt idx="2402">
                  <c:v>3.0998697598214608E-2</c:v>
                </c:pt>
                <c:pt idx="2403">
                  <c:v>3.0998489288444064E-2</c:v>
                </c:pt>
                <c:pt idx="2404">
                  <c:v>3.0998317004879983E-2</c:v>
                </c:pt>
                <c:pt idx="2405">
                  <c:v>3.0998180747279225E-2</c:v>
                </c:pt>
                <c:pt idx="2406">
                  <c:v>3.099808051564179E-2</c:v>
                </c:pt>
                <c:pt idx="2407">
                  <c:v>3.0998016310372911E-2</c:v>
                </c:pt>
                <c:pt idx="2408">
                  <c:v>3.0997988131067356E-2</c:v>
                </c:pt>
                <c:pt idx="2409">
                  <c:v>3.0997995977644077E-2</c:v>
                </c:pt>
                <c:pt idx="2410">
                  <c:v>3.0998039850427261E-2</c:v>
                </c:pt>
                <c:pt idx="2411">
                  <c:v>3.0998119749416908E-2</c:v>
                </c:pt>
                <c:pt idx="2412">
                  <c:v>3.0998235674450925E-2</c:v>
                </c:pt>
                <c:pt idx="2413">
                  <c:v>3.1001096711037832E-2</c:v>
                </c:pt>
                <c:pt idx="2414">
                  <c:v>3.1001300162462057E-2</c:v>
                </c:pt>
                <c:pt idx="2415">
                  <c:v>3.1001539646063156E-2</c:v>
                </c:pt>
                <c:pt idx="2416">
                  <c:v>3.1001815161814109E-2</c:v>
                </c:pt>
                <c:pt idx="2417">
                  <c:v>3.100212670976895E-2</c:v>
                </c:pt>
                <c:pt idx="2418">
                  <c:v>3.1002474290008727E-2</c:v>
                </c:pt>
                <c:pt idx="2419">
                  <c:v>3.1002857902344326E-2</c:v>
                </c:pt>
                <c:pt idx="2420">
                  <c:v>3.1003277546937845E-2</c:v>
                </c:pt>
                <c:pt idx="2421">
                  <c:v>3.1003733223708238E-2</c:v>
                </c:pt>
                <c:pt idx="2422">
                  <c:v>3.1004224932709532E-2</c:v>
                </c:pt>
                <c:pt idx="2423">
                  <c:v>3.1004752673887696E-2</c:v>
                </c:pt>
                <c:pt idx="2424">
                  <c:v>3.1005316447215717E-2</c:v>
                </c:pt>
                <c:pt idx="2425">
                  <c:v>3.1005916252801656E-2</c:v>
                </c:pt>
                <c:pt idx="2426">
                  <c:v>3.1006552090537452E-2</c:v>
                </c:pt>
                <c:pt idx="2427">
                  <c:v>3.1004888908147121E-2</c:v>
                </c:pt>
                <c:pt idx="2428">
                  <c:v>3.1005612129820781E-2</c:v>
                </c:pt>
                <c:pt idx="2429">
                  <c:v>3.1006371377538811E-2</c:v>
                </c:pt>
                <c:pt idx="2430">
                  <c:v>3.1007166651463303E-2</c:v>
                </c:pt>
                <c:pt idx="2431">
                  <c:v>3.1007997951351118E-2</c:v>
                </c:pt>
                <c:pt idx="2432">
                  <c:v>3.1008865277283304E-2</c:v>
                </c:pt>
                <c:pt idx="2433">
                  <c:v>3.1009768629340906E-2</c:v>
                </c:pt>
                <c:pt idx="2434">
                  <c:v>3.1010708007523924E-2</c:v>
                </c:pt>
                <c:pt idx="2435">
                  <c:v>3.1011683411751312E-2</c:v>
                </c:pt>
                <c:pt idx="2436">
                  <c:v>3.1012694841942023E-2</c:v>
                </c:pt>
                <c:pt idx="2437">
                  <c:v>3.1013742298339197E-2</c:v>
                </c:pt>
                <c:pt idx="2438">
                  <c:v>3.1014825780861788E-2</c:v>
                </c:pt>
                <c:pt idx="2439">
                  <c:v>3.1015945289347702E-2</c:v>
                </c:pt>
                <c:pt idx="2440">
                  <c:v>3.1017100823959032E-2</c:v>
                </c:pt>
                <c:pt idx="2441">
                  <c:v>3.1018292384695778E-2</c:v>
                </c:pt>
                <c:pt idx="2442">
                  <c:v>3.1019519971476894E-2</c:v>
                </c:pt>
                <c:pt idx="2443">
                  <c:v>3.102078358430238E-2</c:v>
                </c:pt>
                <c:pt idx="2444">
                  <c:v>3.1022083223334329E-2</c:v>
                </c:pt>
                <c:pt idx="2445">
                  <c:v>3.1023418888329601E-2</c:v>
                </c:pt>
                <c:pt idx="2446">
                  <c:v>3.102479057945029E-2</c:v>
                </c:pt>
                <c:pt idx="2447">
                  <c:v>3.1026198296534302E-2</c:v>
                </c:pt>
                <c:pt idx="2448">
                  <c:v>3.1027642039986869E-2</c:v>
                </c:pt>
                <c:pt idx="2449">
                  <c:v>3.1029121809321714E-2</c:v>
                </c:pt>
                <c:pt idx="2450">
                  <c:v>3.1030637604619882E-2</c:v>
                </c:pt>
                <c:pt idx="2451">
                  <c:v>3.1032189426205559E-2</c:v>
                </c:pt>
                <c:pt idx="2452">
                  <c:v>3.1033777273916652E-2</c:v>
                </c:pt>
                <c:pt idx="2453">
                  <c:v>3.1035401147591068E-2</c:v>
                </c:pt>
                <c:pt idx="2454">
                  <c:v>3.1037061047309855E-2</c:v>
                </c:pt>
                <c:pt idx="2455">
                  <c:v>3.1038756973235104E-2</c:v>
                </c:pt>
                <c:pt idx="2456">
                  <c:v>3.1040488925123677E-2</c:v>
                </c:pt>
                <c:pt idx="2457">
                  <c:v>3.1042256903218712E-2</c:v>
                </c:pt>
                <c:pt idx="2458">
                  <c:v>3.1044060907439164E-2</c:v>
                </c:pt>
                <c:pt idx="2459">
                  <c:v>3.1045900937622939E-2</c:v>
                </c:pt>
                <c:pt idx="2460">
                  <c:v>3.1047776994013176E-2</c:v>
                </c:pt>
                <c:pt idx="2461">
                  <c:v>3.1049689076366738E-2</c:v>
                </c:pt>
                <c:pt idx="2462">
                  <c:v>3.1051637184845715E-2</c:v>
                </c:pt>
                <c:pt idx="2463">
                  <c:v>3.1053621319531155E-2</c:v>
                </c:pt>
                <c:pt idx="2464">
                  <c:v>3.1055641480098872E-2</c:v>
                </c:pt>
                <c:pt idx="2465">
                  <c:v>3.1057697666873052E-2</c:v>
                </c:pt>
                <c:pt idx="2466">
                  <c:v>3.1059789879853694E-2</c:v>
                </c:pt>
                <c:pt idx="2467">
                  <c:v>3.106191811879766E-2</c:v>
                </c:pt>
                <c:pt idx="2468">
                  <c:v>3.1064082383785996E-2</c:v>
                </c:pt>
                <c:pt idx="2469">
                  <c:v>3.1066282674980794E-2</c:v>
                </c:pt>
                <c:pt idx="2470">
                  <c:v>3.1068518992382055E-2</c:v>
                </c:pt>
                <c:pt idx="2471">
                  <c:v>3.1070791335584547E-2</c:v>
                </c:pt>
                <c:pt idx="2472">
                  <c:v>3.1073099704993501E-2</c:v>
                </c:pt>
                <c:pt idx="2473">
                  <c:v>3.1075444100689964E-2</c:v>
                </c:pt>
                <c:pt idx="2474">
                  <c:v>3.1077824522268704E-2</c:v>
                </c:pt>
                <c:pt idx="2475">
                  <c:v>3.1080240969891815E-2</c:v>
                </c:pt>
                <c:pt idx="2476">
                  <c:v>3.1082693443802434E-2</c:v>
                </c:pt>
                <c:pt idx="2477">
                  <c:v>3.1085181943757423E-2</c:v>
                </c:pt>
                <c:pt idx="2478">
                  <c:v>3.1087706469837828E-2</c:v>
                </c:pt>
                <c:pt idx="2479">
                  <c:v>3.1090267021962603E-2</c:v>
                </c:pt>
                <c:pt idx="2480">
                  <c:v>3.1092863600293841E-2</c:v>
                </c:pt>
                <c:pt idx="2481">
                  <c:v>3.1095496204507356E-2</c:v>
                </c:pt>
                <c:pt idx="2482">
                  <c:v>3.1098164835089426E-2</c:v>
                </c:pt>
                <c:pt idx="2483">
                  <c:v>3.1100869491472727E-2</c:v>
                </c:pt>
                <c:pt idx="2484">
                  <c:v>3.1103610174305629E-2</c:v>
                </c:pt>
                <c:pt idx="2485">
                  <c:v>3.1106386883020809E-2</c:v>
                </c:pt>
                <c:pt idx="2486">
                  <c:v>3.1109199617780359E-2</c:v>
                </c:pt>
                <c:pt idx="2487">
                  <c:v>3.1112048378827417E-2</c:v>
                </c:pt>
                <c:pt idx="2488">
                  <c:v>3.1114933165999892E-2</c:v>
                </c:pt>
                <c:pt idx="2489">
                  <c:v>3.1117853979216736E-2</c:v>
                </c:pt>
                <c:pt idx="2490">
                  <c:v>3.1120810818477951E-2</c:v>
                </c:pt>
                <c:pt idx="2491">
                  <c:v>3.1123803017826246E-2</c:v>
                </c:pt>
                <c:pt idx="2492">
                  <c:v>3.112681192502742E-2</c:v>
                </c:pt>
                <c:pt idx="2493">
                  <c:v>3.1129828880448462E-2</c:v>
                </c:pt>
                <c:pt idx="2494">
                  <c:v>3.1132853883765188E-2</c:v>
                </c:pt>
                <c:pt idx="2495">
                  <c:v>3.1135886935301782E-2</c:v>
                </c:pt>
                <c:pt idx="2496">
                  <c:v>3.1138928034896152E-2</c:v>
                </c:pt>
                <c:pt idx="2497">
                  <c:v>3.1141977182467251E-2</c:v>
                </c:pt>
                <c:pt idx="2498">
                  <c:v>3.1145034378339265E-2</c:v>
                </c:pt>
                <c:pt idx="2499">
                  <c:v>3.1148099622269054E-2</c:v>
                </c:pt>
                <c:pt idx="2500">
                  <c:v>3.115117291425662E-2</c:v>
                </c:pt>
                <c:pt idx="2501">
                  <c:v>3.1154254254139868E-2</c:v>
                </c:pt>
                <c:pt idx="2502">
                  <c:v>3.1157343642405078E-2</c:v>
                </c:pt>
                <c:pt idx="2503">
                  <c:v>3.116044107856597E-2</c:v>
                </c:pt>
                <c:pt idx="2504">
                  <c:v>3.1163546562784639E-2</c:v>
                </c:pt>
                <c:pt idx="2505">
                  <c:v>3.1166660095142129E-2</c:v>
                </c:pt>
                <c:pt idx="2506">
                  <c:v>3.1169781675800534E-2</c:v>
                </c:pt>
                <c:pt idx="2507">
                  <c:v>3.1172911304435669E-2</c:v>
                </c:pt>
                <c:pt idx="2508">
                  <c:v>3.1176048980966486E-2</c:v>
                </c:pt>
                <c:pt idx="2509">
                  <c:v>3.1179194705717173E-2</c:v>
                </c:pt>
                <c:pt idx="2510">
                  <c:v>3.1182348478606681E-2</c:v>
                </c:pt>
                <c:pt idx="2511">
                  <c:v>3.1185510299553965E-2</c:v>
                </c:pt>
                <c:pt idx="2512">
                  <c:v>3.1188680168559024E-2</c:v>
                </c:pt>
                <c:pt idx="2513">
                  <c:v>3.1191858085783952E-2</c:v>
                </c:pt>
                <c:pt idx="2514">
                  <c:v>3.1195044050904563E-2</c:v>
                </c:pt>
                <c:pt idx="2515">
                  <c:v>3.1198238064245043E-2</c:v>
                </c:pt>
                <c:pt idx="2516">
                  <c:v>3.1201440125562252E-2</c:v>
                </c:pt>
                <c:pt idx="2517">
                  <c:v>3.1204650235180376E-2</c:v>
                </c:pt>
                <c:pt idx="2518">
                  <c:v>3.1207868392694182E-2</c:v>
                </c:pt>
                <c:pt idx="2519">
                  <c:v>3.1211094598346811E-2</c:v>
                </c:pt>
                <c:pt idx="2520">
                  <c:v>3.1214328852138262E-2</c:v>
                </c:pt>
                <c:pt idx="2521">
                  <c:v>3.1217571154149582E-2</c:v>
                </c:pt>
                <c:pt idx="2522">
                  <c:v>3.1220821503975538E-2</c:v>
                </c:pt>
                <c:pt idx="2523">
                  <c:v>3.1224079901940316E-2</c:v>
                </c:pt>
                <c:pt idx="2524">
                  <c:v>3.1227346348206009E-2</c:v>
                </c:pt>
                <c:pt idx="2525">
                  <c:v>3.1230620842529477E-2</c:v>
                </c:pt>
                <c:pt idx="2526">
                  <c:v>3.1233903384748629E-2</c:v>
                </c:pt>
                <c:pt idx="2527">
                  <c:v>3.1237193975268696E-2</c:v>
                </c:pt>
                <c:pt idx="2528">
                  <c:v>3.1240492613765491E-2</c:v>
                </c:pt>
                <c:pt idx="2529">
                  <c:v>3.1243799300401109E-2</c:v>
                </c:pt>
                <c:pt idx="2530">
                  <c:v>3.1247114035094503E-2</c:v>
                </c:pt>
                <c:pt idx="2531">
                  <c:v>3.1250436817926719E-2</c:v>
                </c:pt>
                <c:pt idx="2532">
                  <c:v>3.125376764881671E-2</c:v>
                </c:pt>
                <c:pt idx="2533">
                  <c:v>3.1257106527764478E-2</c:v>
                </c:pt>
                <c:pt idx="2534">
                  <c:v>3.1260453454932113E-2</c:v>
                </c:pt>
                <c:pt idx="2535">
                  <c:v>3.1263808430238571E-2</c:v>
                </c:pt>
                <c:pt idx="2536">
                  <c:v>3.1267171453440712E-2</c:v>
                </c:pt>
                <c:pt idx="2537">
                  <c:v>3.1270542524700629E-2</c:v>
                </c:pt>
                <c:pt idx="2538">
                  <c:v>3.1273921644423552E-2</c:v>
                </c:pt>
                <c:pt idx="2539">
                  <c:v>3.1277308811961113E-2</c:v>
                </c:pt>
                <c:pt idx="2540">
                  <c:v>3.128070402755645E-2</c:v>
                </c:pt>
                <c:pt idx="2541">
                  <c:v>3.1284107291290608E-2</c:v>
                </c:pt>
                <c:pt idx="2542">
                  <c:v>3.1287518603406728E-2</c:v>
                </c:pt>
                <c:pt idx="2543">
                  <c:v>3.1290937963337484E-2</c:v>
                </c:pt>
                <c:pt idx="2544">
                  <c:v>3.1294365371326016E-2</c:v>
                </c:pt>
                <c:pt idx="2545">
                  <c:v>3.1297800827534417E-2</c:v>
                </c:pt>
                <c:pt idx="2546">
                  <c:v>3.1301244331800593E-2</c:v>
                </c:pt>
                <c:pt idx="2547">
                  <c:v>3.1304695884124545E-2</c:v>
                </c:pt>
                <c:pt idx="2548">
                  <c:v>3.1308155484587319E-2</c:v>
                </c:pt>
                <c:pt idx="2549">
                  <c:v>3.1311623133269961E-2</c:v>
                </c:pt>
                <c:pt idx="2550">
                  <c:v>3.1315098829929333E-2</c:v>
                </c:pt>
                <c:pt idx="2551">
                  <c:v>3.1318582574646481E-2</c:v>
                </c:pt>
                <c:pt idx="2552">
                  <c:v>3.1322074367421404E-2</c:v>
                </c:pt>
                <c:pt idx="2553">
                  <c:v>3.1325574208578288E-2</c:v>
                </c:pt>
                <c:pt idx="2554">
                  <c:v>3.1329082097630856E-2</c:v>
                </c:pt>
                <c:pt idx="2555">
                  <c:v>3.1332598034741199E-2</c:v>
                </c:pt>
                <c:pt idx="2556">
                  <c:v>3.1336122020152457E-2</c:v>
                </c:pt>
                <c:pt idx="2557">
                  <c:v>3.1339654053540444E-2</c:v>
                </c:pt>
                <c:pt idx="2558">
                  <c:v>3.1343194134905161E-2</c:v>
                </c:pt>
                <c:pt idx="2559">
                  <c:v>3.13467422644087E-2</c:v>
                </c:pt>
                <c:pt idx="2560">
                  <c:v>3.1350298442213154E-2</c:v>
                </c:pt>
                <c:pt idx="2561">
                  <c:v>3.1353862668075383E-2</c:v>
                </c:pt>
                <c:pt idx="2562">
                  <c:v>3.1357434941833295E-2</c:v>
                </c:pt>
                <c:pt idx="2563">
                  <c:v>3.1361015263811076E-2</c:v>
                </c:pt>
                <c:pt idx="2564">
                  <c:v>3.1364603634008725E-2</c:v>
                </c:pt>
                <c:pt idx="2565">
                  <c:v>3.136820005226415E-2</c:v>
                </c:pt>
                <c:pt idx="2566">
                  <c:v>3.1371804518496305E-2</c:v>
                </c:pt>
                <c:pt idx="2567">
                  <c:v>3.1375417032948327E-2</c:v>
                </c:pt>
                <c:pt idx="2568">
                  <c:v>3.1379037595377079E-2</c:v>
                </c:pt>
                <c:pt idx="2569">
                  <c:v>3.1383185236052435E-2</c:v>
                </c:pt>
                <c:pt idx="2570">
                  <c:v>3.1386823044481371E-2</c:v>
                </c:pt>
                <c:pt idx="2571">
                  <c:v>3.1390468900968083E-2</c:v>
                </c:pt>
                <c:pt idx="2572">
                  <c:v>3.1394122805674662E-2</c:v>
                </c:pt>
                <c:pt idx="2573">
                  <c:v>3.1397784758520064E-2</c:v>
                </c:pt>
                <c:pt idx="2574">
                  <c:v>3.1401454759261149E-2</c:v>
                </c:pt>
                <c:pt idx="2575">
                  <c:v>3.1405132808222103E-2</c:v>
                </c:pt>
                <c:pt idx="2576">
                  <c:v>3.1408818905402924E-2</c:v>
                </c:pt>
                <c:pt idx="2577">
                  <c:v>3.1412513050641522E-2</c:v>
                </c:pt>
                <c:pt idx="2578">
                  <c:v>3.1416215243856849E-2</c:v>
                </c:pt>
                <c:pt idx="2579">
                  <c:v>3.1419925485210998E-2</c:v>
                </c:pt>
                <c:pt idx="2580">
                  <c:v>3.1423643774785015E-2</c:v>
                </c:pt>
                <c:pt idx="2581">
                  <c:v>3.1427370112416808E-2</c:v>
                </c:pt>
                <c:pt idx="2582">
                  <c:v>3.1431104498025331E-2</c:v>
                </c:pt>
                <c:pt idx="2583">
                  <c:v>3.1434846931934768E-2</c:v>
                </c:pt>
                <c:pt idx="2584">
                  <c:v>3.1438597413901981E-2</c:v>
                </c:pt>
                <c:pt idx="2585">
                  <c:v>3.1442355943845923E-2</c:v>
                </c:pt>
                <c:pt idx="2586">
                  <c:v>3.1446122522171827E-2</c:v>
                </c:pt>
                <c:pt idx="2587">
                  <c:v>3.1449897148393413E-2</c:v>
                </c:pt>
                <c:pt idx="2588">
                  <c:v>3.1453679822834868E-2</c:v>
                </c:pt>
                <c:pt idx="2589">
                  <c:v>3.1457470545253052E-2</c:v>
                </c:pt>
                <c:pt idx="2590">
                  <c:v>3.1461269315891105E-2</c:v>
                </c:pt>
                <c:pt idx="2591">
                  <c:v>3.1465076134586933E-2</c:v>
                </c:pt>
                <c:pt idx="2592">
                  <c:v>3.1468891001421584E-2</c:v>
                </c:pt>
                <c:pt idx="2593">
                  <c:v>3.1472713916232964E-2</c:v>
                </c:pt>
                <c:pt idx="2594">
                  <c:v>3.1476544879345258E-2</c:v>
                </c:pt>
                <c:pt idx="2595">
                  <c:v>3.1480383890515329E-2</c:v>
                </c:pt>
                <c:pt idx="2596">
                  <c:v>3.1484230949743175E-2</c:v>
                </c:pt>
                <c:pt idx="2597">
                  <c:v>3.1488086057109843E-2</c:v>
                </c:pt>
                <c:pt idx="2598">
                  <c:v>3.1491949212615333E-2</c:v>
                </c:pt>
                <c:pt idx="2599">
                  <c:v>3.1495820416259646E-2</c:v>
                </c:pt>
                <c:pt idx="2600">
                  <c:v>3.1499699667880687E-2</c:v>
                </c:pt>
                <c:pt idx="2601">
                  <c:v>3.1503586967721597E-2</c:v>
                </c:pt>
                <c:pt idx="2602">
                  <c:v>3.150748231570133E-2</c:v>
                </c:pt>
                <c:pt idx="2603">
                  <c:v>3.1511385711657791E-2</c:v>
                </c:pt>
                <c:pt idx="2604">
                  <c:v>3.1515297155834121E-2</c:v>
                </c:pt>
                <c:pt idx="2605">
                  <c:v>3.1519216648230319E-2</c:v>
                </c:pt>
                <c:pt idx="2606">
                  <c:v>3.1523144188522201E-2</c:v>
                </c:pt>
                <c:pt idx="2607">
                  <c:v>3.1527079777033951E-2</c:v>
                </c:pt>
                <c:pt idx="2608">
                  <c:v>3.1531023413684522E-2</c:v>
                </c:pt>
                <c:pt idx="2609">
                  <c:v>3.1534975098473916E-2</c:v>
                </c:pt>
                <c:pt idx="2610">
                  <c:v>3.153893483124004E-2</c:v>
                </c:pt>
                <c:pt idx="2611">
                  <c:v>3.1542902612144985E-2</c:v>
                </c:pt>
                <c:pt idx="2612">
                  <c:v>3.1546878441269799E-2</c:v>
                </c:pt>
                <c:pt idx="2613">
                  <c:v>3.1550862318533435E-2</c:v>
                </c:pt>
                <c:pt idx="2614">
                  <c:v>3.1554854243692754E-2</c:v>
                </c:pt>
                <c:pt idx="2615">
                  <c:v>3.1558854217152987E-2</c:v>
                </c:pt>
                <c:pt idx="2616">
                  <c:v>3.1562862238752043E-2</c:v>
                </c:pt>
                <c:pt idx="2617">
                  <c:v>3.1566878308408874E-2</c:v>
                </c:pt>
                <c:pt idx="2618">
                  <c:v>3.1570902426123482E-2</c:v>
                </c:pt>
                <c:pt idx="2619">
                  <c:v>3.1574934592057957E-2</c:v>
                </c:pt>
                <c:pt idx="2620">
                  <c:v>3.1578974806131255E-2</c:v>
                </c:pt>
                <c:pt idx="2621">
                  <c:v>3.1583023068181282E-2</c:v>
                </c:pt>
                <c:pt idx="2622">
                  <c:v>3.1587079378370131E-2</c:v>
                </c:pt>
                <c:pt idx="2623">
                  <c:v>3.1591143736697802E-2</c:v>
                </c:pt>
                <c:pt idx="2624">
                  <c:v>3.1595216143245342E-2</c:v>
                </c:pt>
                <c:pt idx="2625">
                  <c:v>3.1599296597769611E-2</c:v>
                </c:pt>
                <c:pt idx="2626">
                  <c:v>3.1603385100594794E-2</c:v>
                </c:pt>
                <c:pt idx="2627">
                  <c:v>3.1607481651396707E-2</c:v>
                </c:pt>
                <c:pt idx="2628">
                  <c:v>3.1611586250337442E-2</c:v>
                </c:pt>
                <c:pt idx="2629">
                  <c:v>3.1615698897335953E-2</c:v>
                </c:pt>
                <c:pt idx="2630">
                  <c:v>3.1619819592635379E-2</c:v>
                </c:pt>
                <c:pt idx="2631">
                  <c:v>3.1623948335911534E-2</c:v>
                </c:pt>
                <c:pt idx="2632">
                  <c:v>3.1628085127326511E-2</c:v>
                </c:pt>
                <c:pt idx="2633">
                  <c:v>3.1632229966799263E-2</c:v>
                </c:pt>
                <c:pt idx="2634">
                  <c:v>3.1636382854572931E-2</c:v>
                </c:pt>
                <c:pt idx="2635">
                  <c:v>3.1640543790404374E-2</c:v>
                </c:pt>
                <c:pt idx="2636">
                  <c:v>3.1644712774212547E-2</c:v>
                </c:pt>
                <c:pt idx="2637">
                  <c:v>3.1648889806321634E-2</c:v>
                </c:pt>
                <c:pt idx="2638">
                  <c:v>3.1653074886488497E-2</c:v>
                </c:pt>
                <c:pt idx="2639">
                  <c:v>3.165726801463209E-2</c:v>
                </c:pt>
                <c:pt idx="2640">
                  <c:v>3.1661469191157643E-2</c:v>
                </c:pt>
                <c:pt idx="2641">
                  <c:v>3.1665678415740972E-2</c:v>
                </c:pt>
                <c:pt idx="2642">
                  <c:v>3.1669895688463123E-2</c:v>
                </c:pt>
                <c:pt idx="2643">
                  <c:v>3.1674121009162004E-2</c:v>
                </c:pt>
                <c:pt idx="2644">
                  <c:v>3.1678354377999707E-2</c:v>
                </c:pt>
                <c:pt idx="2645">
                  <c:v>3.1682595795138324E-2</c:v>
                </c:pt>
                <c:pt idx="2646">
                  <c:v>3.1686845260334717E-2</c:v>
                </c:pt>
                <c:pt idx="2647">
                  <c:v>3.1691102773426794E-2</c:v>
                </c:pt>
                <c:pt idx="2648">
                  <c:v>3.1695368334900831E-2</c:v>
                </c:pt>
                <c:pt idx="2649">
                  <c:v>3.169964194451369E-2</c:v>
                </c:pt>
                <c:pt idx="2650">
                  <c:v>3.1703923602103279E-2</c:v>
                </c:pt>
                <c:pt idx="2651">
                  <c:v>3.170821330783169E-2</c:v>
                </c:pt>
                <c:pt idx="2652">
                  <c:v>3.1712511061779969E-2</c:v>
                </c:pt>
                <c:pt idx="2653">
                  <c:v>3.171681686386707E-2</c:v>
                </c:pt>
                <c:pt idx="2654">
                  <c:v>3.1721130713849854E-2</c:v>
                </c:pt>
                <c:pt idx="2655">
                  <c:v>3.1725452612295646E-2</c:v>
                </c:pt>
                <c:pt idx="2656">
                  <c:v>3.1729782558718167E-2</c:v>
                </c:pt>
                <c:pt idx="2657">
                  <c:v>3.1734120553198464E-2</c:v>
                </c:pt>
                <c:pt idx="2658">
                  <c:v>3.1738466595817583E-2</c:v>
                </c:pt>
                <c:pt idx="2659">
                  <c:v>3.1742820686737616E-2</c:v>
                </c:pt>
                <c:pt idx="2660">
                  <c:v>3.1747182825634379E-2</c:v>
                </c:pt>
                <c:pt idx="2661">
                  <c:v>3.1751553012669964E-2</c:v>
                </c:pt>
                <c:pt idx="2662">
                  <c:v>3.1755931247763325E-2</c:v>
                </c:pt>
                <c:pt idx="2663">
                  <c:v>3.1760317531238647E-2</c:v>
                </c:pt>
                <c:pt idx="2664">
                  <c:v>3.1764711862609651E-2</c:v>
                </c:pt>
                <c:pt idx="2665">
                  <c:v>3.1769114242119478E-2</c:v>
                </c:pt>
                <c:pt idx="2666">
                  <c:v>3.1773524669849174E-2</c:v>
                </c:pt>
                <c:pt idx="2667">
                  <c:v>3.1777943145717691E-2</c:v>
                </c:pt>
                <c:pt idx="2668">
                  <c:v>3.1782369669562938E-2</c:v>
                </c:pt>
                <c:pt idx="2669">
                  <c:v>3.1786804241628053E-2</c:v>
                </c:pt>
                <c:pt idx="2670">
                  <c:v>3.1791246862075129E-2</c:v>
                </c:pt>
                <c:pt idx="2671">
                  <c:v>3.1795697530417888E-2</c:v>
                </c:pt>
                <c:pt idx="2672">
                  <c:v>3.1800156246737377E-2</c:v>
                </c:pt>
                <c:pt idx="2673">
                  <c:v>3.180526177753884E-2</c:v>
                </c:pt>
                <c:pt idx="2674">
                  <c:v>3.1809737740101651E-2</c:v>
                </c:pt>
                <c:pt idx="2675">
                  <c:v>3.1814221750803284E-2</c:v>
                </c:pt>
                <c:pt idx="2676">
                  <c:v>3.1818713809562693E-2</c:v>
                </c:pt>
                <c:pt idx="2677">
                  <c:v>3.1823213916379878E-2</c:v>
                </c:pt>
                <c:pt idx="2678">
                  <c:v>3.1827722071416931E-2</c:v>
                </c:pt>
                <c:pt idx="2679">
                  <c:v>3.1832238274592806E-2</c:v>
                </c:pt>
                <c:pt idx="2680">
                  <c:v>3.1836762525907503E-2</c:v>
                </c:pt>
                <c:pt idx="2681">
                  <c:v>3.1841294825279975E-2</c:v>
                </c:pt>
                <c:pt idx="2682">
                  <c:v>3.1845835172872317E-2</c:v>
                </c:pt>
                <c:pt idx="2683">
                  <c:v>3.185038356860348E-2</c:v>
                </c:pt>
                <c:pt idx="2684">
                  <c:v>3.1854940012311372E-2</c:v>
                </c:pt>
                <c:pt idx="2685">
                  <c:v>3.185950450432018E-2</c:v>
                </c:pt>
                <c:pt idx="2686">
                  <c:v>3.1864077044467809E-2</c:v>
                </c:pt>
                <c:pt idx="2687">
                  <c:v>3.1868657632673214E-2</c:v>
                </c:pt>
                <c:pt idx="2688">
                  <c:v>3.1880126491496075E-2</c:v>
                </c:pt>
                <c:pt idx="2689">
                  <c:v>3.1877842953581537E-2</c:v>
                </c:pt>
                <c:pt idx="2690">
                  <c:v>3.1882447686284454E-2</c:v>
                </c:pt>
                <c:pt idx="2691">
                  <c:v>3.1887060466964101E-2</c:v>
                </c:pt>
                <c:pt idx="2692">
                  <c:v>3.189168129578257E-2</c:v>
                </c:pt>
                <c:pt idx="2693">
                  <c:v>3.1896310173064046E-2</c:v>
                </c:pt>
                <c:pt idx="2694">
                  <c:v>3.1900947098241206E-2</c:v>
                </c:pt>
                <c:pt idx="2695">
                  <c:v>3.1905592071476141E-2</c:v>
                </c:pt>
                <c:pt idx="2696">
                  <c:v>3.1910245093011991E-2</c:v>
                </c:pt>
                <c:pt idx="2697">
                  <c:v>3.1914906162686663E-2</c:v>
                </c:pt>
                <c:pt idx="2698">
                  <c:v>3.191957528041911E-2</c:v>
                </c:pt>
                <c:pt idx="2699">
                  <c:v>3.1924252446209334E-2</c:v>
                </c:pt>
                <c:pt idx="2700">
                  <c:v>3.1928937660300472E-2</c:v>
                </c:pt>
                <c:pt idx="2701">
                  <c:v>3.1933630922530432E-2</c:v>
                </c:pt>
                <c:pt idx="2702">
                  <c:v>3.1938332232737121E-2</c:v>
                </c:pt>
                <c:pt idx="2703">
                  <c:v>3.1943041591244725E-2</c:v>
                </c:pt>
                <c:pt idx="2704">
                  <c:v>3.1947758997891151E-2</c:v>
                </c:pt>
                <c:pt idx="2705">
                  <c:v>3.19524844526764E-2</c:v>
                </c:pt>
                <c:pt idx="2706">
                  <c:v>3.1957217955519424E-2</c:v>
                </c:pt>
                <c:pt idx="2707">
                  <c:v>3.1961959506582316E-2</c:v>
                </c:pt>
                <c:pt idx="2708">
                  <c:v>3.196670910578403E-2</c:v>
                </c:pt>
                <c:pt idx="2709">
                  <c:v>3.1971466753124567E-2</c:v>
                </c:pt>
                <c:pt idx="2710">
                  <c:v>3.1976232448441833E-2</c:v>
                </c:pt>
                <c:pt idx="2711">
                  <c:v>3.1981006192141059E-2</c:v>
                </c:pt>
                <c:pt idx="2712">
                  <c:v>3.1985787983898062E-2</c:v>
                </c:pt>
                <c:pt idx="2713">
                  <c:v>3.199057782371284E-2</c:v>
                </c:pt>
                <c:pt idx="2714">
                  <c:v>3.1995375711666441E-2</c:v>
                </c:pt>
                <c:pt idx="2715">
                  <c:v>3.2000181648002002E-2</c:v>
                </c:pt>
                <c:pt idx="2716">
                  <c:v>3.2004995632314293E-2</c:v>
                </c:pt>
                <c:pt idx="2717">
                  <c:v>3.2009817664684359E-2</c:v>
                </c:pt>
                <c:pt idx="2718">
                  <c:v>3.2014647745436386E-2</c:v>
                </c:pt>
                <c:pt idx="2719">
                  <c:v>3.2019485874165143E-2</c:v>
                </c:pt>
                <c:pt idx="2720">
                  <c:v>3.2024332051032722E-2</c:v>
                </c:pt>
                <c:pt idx="2721">
                  <c:v>3.2029186276201216E-2</c:v>
                </c:pt>
                <c:pt idx="2722">
                  <c:v>3.2034048549346439E-2</c:v>
                </c:pt>
                <c:pt idx="2723">
                  <c:v>3.2038918870792576E-2</c:v>
                </c:pt>
                <c:pt idx="2724">
                  <c:v>3.2043797240134397E-2</c:v>
                </c:pt>
                <c:pt idx="2725">
                  <c:v>3.2052895660194723E-2</c:v>
                </c:pt>
                <c:pt idx="2726">
                  <c:v>3.2057793285592551E-2</c:v>
                </c:pt>
                <c:pt idx="2727">
                  <c:v>3.2062698960615053E-2</c:v>
                </c:pt>
                <c:pt idx="2728">
                  <c:v>3.2067612685343271E-2</c:v>
                </c:pt>
                <c:pt idx="2729">
                  <c:v>3.2072534459723176E-2</c:v>
                </c:pt>
                <c:pt idx="2730">
                  <c:v>3.2077464283862822E-2</c:v>
                </c:pt>
                <c:pt idx="2731">
                  <c:v>3.2082402157681177E-2</c:v>
                </c:pt>
                <c:pt idx="2732">
                  <c:v>3.2087348081205246E-2</c:v>
                </c:pt>
                <c:pt idx="2733">
                  <c:v>3.2092302054408016E-2</c:v>
                </c:pt>
                <c:pt idx="2734">
                  <c:v>3.2097264077316501E-2</c:v>
                </c:pt>
                <c:pt idx="2735">
                  <c:v>3.2102234149930707E-2</c:v>
                </c:pt>
                <c:pt idx="2736">
                  <c:v>3.2107212272223615E-2</c:v>
                </c:pt>
                <c:pt idx="2737">
                  <c:v>3.2112198444303283E-2</c:v>
                </c:pt>
                <c:pt idx="2738">
                  <c:v>3.2116509427571049E-2</c:v>
                </c:pt>
                <c:pt idx="2739">
                  <c:v>3.2121514268013129E-2</c:v>
                </c:pt>
                <c:pt idx="2740">
                  <c:v>3.2126527156675078E-2</c:v>
                </c:pt>
                <c:pt idx="2741">
                  <c:v>3.2131548093475848E-2</c:v>
                </c:pt>
                <c:pt idx="2742">
                  <c:v>3.2136577078253348E-2</c:v>
                </c:pt>
                <c:pt idx="2743">
                  <c:v>3.2141614111412808E-2</c:v>
                </c:pt>
                <c:pt idx="2744">
                  <c:v>3.2146659192548999E-2</c:v>
                </c:pt>
                <c:pt idx="2745">
                  <c:v>3.2151712321905057E-2</c:v>
                </c:pt>
                <c:pt idx="2746">
                  <c:v>3.2156773499399938E-2</c:v>
                </c:pt>
                <c:pt idx="2747">
                  <c:v>3.2161842725276779E-2</c:v>
                </c:pt>
                <c:pt idx="2748">
                  <c:v>3.2166919999049304E-2</c:v>
                </c:pt>
                <c:pt idx="2749">
                  <c:v>3.217200532096065E-2</c:v>
                </c:pt>
                <c:pt idx="2750">
                  <c:v>3.2177098691091865E-2</c:v>
                </c:pt>
                <c:pt idx="2751">
                  <c:v>3.2182200109442949E-2</c:v>
                </c:pt>
                <c:pt idx="2752">
                  <c:v>3.2187309575932854E-2</c:v>
                </c:pt>
                <c:pt idx="2753">
                  <c:v>3.2192427090399489E-2</c:v>
                </c:pt>
                <c:pt idx="2754">
                  <c:v>3.2197552653410177E-2</c:v>
                </c:pt>
                <c:pt idx="2755">
                  <c:v>3.2202686264316549E-2</c:v>
                </c:pt>
                <c:pt idx="2756">
                  <c:v>3.2207827923280696E-2</c:v>
                </c:pt>
                <c:pt idx="2757">
                  <c:v>3.2212977630626805E-2</c:v>
                </c:pt>
                <c:pt idx="2758">
                  <c:v>3.2218135386111735E-2</c:v>
                </c:pt>
                <c:pt idx="2759">
                  <c:v>3.2223301189654441E-2</c:v>
                </c:pt>
                <c:pt idx="2760">
                  <c:v>3.2228475041335969E-2</c:v>
                </c:pt>
                <c:pt idx="2761">
                  <c:v>3.2233656941318412E-2</c:v>
                </c:pt>
                <c:pt idx="2762">
                  <c:v>3.223884688935863E-2</c:v>
                </c:pt>
                <c:pt idx="2763">
                  <c:v>3.2244044885618717E-2</c:v>
                </c:pt>
                <c:pt idx="2764">
                  <c:v>3.2249250929936579E-2</c:v>
                </c:pt>
                <c:pt idx="2765">
                  <c:v>3.225446502247431E-2</c:v>
                </c:pt>
                <c:pt idx="2766">
                  <c:v>3.2259687163150863E-2</c:v>
                </c:pt>
                <c:pt idx="2767">
                  <c:v>3.2264917352047284E-2</c:v>
                </c:pt>
                <c:pt idx="2768">
                  <c:v>3.2270155589001481E-2</c:v>
                </c:pt>
                <c:pt idx="2769">
                  <c:v>3.2275401874418685E-2</c:v>
                </c:pt>
                <c:pt idx="2770">
                  <c:v>3.2280656207731573E-2</c:v>
                </c:pt>
                <c:pt idx="2771">
                  <c:v>3.2285918589183282E-2</c:v>
                </c:pt>
                <c:pt idx="2772">
                  <c:v>3.229118901885486E-2</c:v>
                </c:pt>
                <c:pt idx="2773">
                  <c:v>3.2296467496827352E-2</c:v>
                </c:pt>
                <c:pt idx="2774">
                  <c:v>3.2301754022695528E-2</c:v>
                </c:pt>
                <c:pt idx="2775">
                  <c:v>3.2307048596945664E-2</c:v>
                </c:pt>
                <c:pt idx="2776">
                  <c:v>3.2312351219334623E-2</c:v>
                </c:pt>
                <c:pt idx="2777">
                  <c:v>3.2317661889781357E-2</c:v>
                </c:pt>
                <c:pt idx="2778">
                  <c:v>3.232298060844796E-2</c:v>
                </c:pt>
                <c:pt idx="2779">
                  <c:v>3.2328307375334431E-2</c:v>
                </c:pt>
                <c:pt idx="2780">
                  <c:v>3.2333642190359724E-2</c:v>
                </c:pt>
                <c:pt idx="2781">
                  <c:v>3.2338985053604885E-2</c:v>
                </c:pt>
                <c:pt idx="2782">
                  <c:v>3.2344335964907822E-2</c:v>
                </c:pt>
                <c:pt idx="2783">
                  <c:v>3.2349694924430628E-2</c:v>
                </c:pt>
                <c:pt idx="2784">
                  <c:v>3.2355061932092255E-2</c:v>
                </c:pt>
                <c:pt idx="2785">
                  <c:v>3.2360436987892705E-2</c:v>
                </c:pt>
                <c:pt idx="2786">
                  <c:v>3.2365820091913022E-2</c:v>
                </c:pt>
                <c:pt idx="2787">
                  <c:v>3.2371211244234255E-2</c:v>
                </c:pt>
                <c:pt idx="2788">
                  <c:v>3.2376610444532217E-2</c:v>
                </c:pt>
                <c:pt idx="2789">
                  <c:v>3.2382017693050047E-2</c:v>
                </c:pt>
                <c:pt idx="2790">
                  <c:v>3.2387432989787746E-2</c:v>
                </c:pt>
                <c:pt idx="2791">
                  <c:v>3.2392856334745312E-2</c:v>
                </c:pt>
                <c:pt idx="2792">
                  <c:v>3.2398287727598563E-2</c:v>
                </c:pt>
                <c:pt idx="2793">
                  <c:v>3.240372716891482E-2</c:v>
                </c:pt>
                <c:pt idx="2794">
                  <c:v>3.2409174658369899E-2</c:v>
                </c:pt>
                <c:pt idx="2795">
                  <c:v>3.2414630195963801E-2</c:v>
                </c:pt>
                <c:pt idx="2796">
                  <c:v>3.2420093781696524E-2</c:v>
                </c:pt>
                <c:pt idx="2797">
                  <c:v>3.2425565415568069E-2</c:v>
                </c:pt>
                <c:pt idx="2798">
                  <c:v>3.243104509774053E-2</c:v>
                </c:pt>
                <c:pt idx="2799">
                  <c:v>3.2436532827970765E-2</c:v>
                </c:pt>
                <c:pt idx="2800">
                  <c:v>3.2442028606258777E-2</c:v>
                </c:pt>
                <c:pt idx="2801">
                  <c:v>3.2447532433009796E-2</c:v>
                </c:pt>
                <c:pt idx="2802">
                  <c:v>3.245304430781859E-2</c:v>
                </c:pt>
                <c:pt idx="2803">
                  <c:v>3.2458564230685161E-2</c:v>
                </c:pt>
                <c:pt idx="2804">
                  <c:v>3.2464092201852646E-2</c:v>
                </c:pt>
                <c:pt idx="2805">
                  <c:v>3.2469628221239999E-2</c:v>
                </c:pt>
                <c:pt idx="2806">
                  <c:v>3.2475172288766174E-2</c:v>
                </c:pt>
                <c:pt idx="2807">
                  <c:v>3.2480724404269079E-2</c:v>
                </c:pt>
                <c:pt idx="2808">
                  <c:v>3.2486284568234991E-2</c:v>
                </c:pt>
                <c:pt idx="2809">
                  <c:v>3.2491852780177632E-2</c:v>
                </c:pt>
                <c:pt idx="2810">
                  <c:v>3.2497429040340142E-2</c:v>
                </c:pt>
                <c:pt idx="2811">
                  <c:v>3.250301334872252E-2</c:v>
                </c:pt>
                <c:pt idx="2812">
                  <c:v>3.2508605705405813E-2</c:v>
                </c:pt>
                <c:pt idx="2813">
                  <c:v>3.2514206110146882E-2</c:v>
                </c:pt>
                <c:pt idx="2814">
                  <c:v>3.251981456286468E-2</c:v>
                </c:pt>
                <c:pt idx="2815">
                  <c:v>3.2525431063964438E-2</c:v>
                </c:pt>
                <c:pt idx="2816">
                  <c:v>3.2531055613446158E-2</c:v>
                </c:pt>
                <c:pt idx="2817">
                  <c:v>3.2536688210904607E-2</c:v>
                </c:pt>
                <c:pt idx="2818">
                  <c:v>3.2542328856420832E-2</c:v>
                </c:pt>
                <c:pt idx="2819">
                  <c:v>3.2547977550319018E-2</c:v>
                </c:pt>
                <c:pt idx="2820">
                  <c:v>3.255363429227498E-2</c:v>
                </c:pt>
                <c:pt idx="2821">
                  <c:v>3.2559299082369764E-2</c:v>
                </c:pt>
                <c:pt idx="2822">
                  <c:v>3.2564971920765462E-2</c:v>
                </c:pt>
                <c:pt idx="2823">
                  <c:v>3.2570652807299982E-2</c:v>
                </c:pt>
                <c:pt idx="2824">
                  <c:v>3.2576341742135417E-2</c:v>
                </c:pt>
                <c:pt idx="2825">
                  <c:v>3.2582038724866536E-2</c:v>
                </c:pt>
                <c:pt idx="2826">
                  <c:v>3.2587743756060661E-2</c:v>
                </c:pt>
                <c:pt idx="2827">
                  <c:v>3.2593456835393608E-2</c:v>
                </c:pt>
                <c:pt idx="2828">
                  <c:v>3.2599177962865378E-2</c:v>
                </c:pt>
                <c:pt idx="2829">
                  <c:v>3.2605726249246292E-2</c:v>
                </c:pt>
                <c:pt idx="2830">
                  <c:v>3.2611464622718245E-2</c:v>
                </c:pt>
                <c:pt idx="2831">
                  <c:v>3.2617211044491112E-2</c:v>
                </c:pt>
                <c:pt idx="2832">
                  <c:v>3.2622965514483848E-2</c:v>
                </c:pt>
                <c:pt idx="2833">
                  <c:v>3.262872803253436E-2</c:v>
                </c:pt>
                <c:pt idx="2834">
                  <c:v>3.263449859880474E-2</c:v>
                </c:pt>
                <c:pt idx="2835">
                  <c:v>3.2640277213457081E-2</c:v>
                </c:pt>
                <c:pt idx="2836">
                  <c:v>3.2646063876086151E-2</c:v>
                </c:pt>
                <c:pt idx="2837">
                  <c:v>3.265185858693509E-2</c:v>
                </c:pt>
                <c:pt idx="2838">
                  <c:v>3.2657661346003897E-2</c:v>
                </c:pt>
                <c:pt idx="2839">
                  <c:v>3.2663472153373618E-2</c:v>
                </c:pt>
                <c:pt idx="2840">
                  <c:v>3.2669291008882162E-2</c:v>
                </c:pt>
                <c:pt idx="2841">
                  <c:v>3.2675117912367435E-2</c:v>
                </c:pt>
                <c:pt idx="2842">
                  <c:v>3.2680952864396762E-2</c:v>
                </c:pt>
                <c:pt idx="2843">
                  <c:v>3.2686795864321772E-2</c:v>
                </c:pt>
                <c:pt idx="2844">
                  <c:v>3.269264691246665E-2</c:v>
                </c:pt>
                <c:pt idx="2845">
                  <c:v>3.269850600875035E-2</c:v>
                </c:pt>
                <c:pt idx="2846">
                  <c:v>3.2704373153578103E-2</c:v>
                </c:pt>
                <c:pt idx="2847">
                  <c:v>3.271024834630154E-2</c:v>
                </c:pt>
                <c:pt idx="2848">
                  <c:v>3.2716131587244845E-2</c:v>
                </c:pt>
                <c:pt idx="2849">
                  <c:v>3.2722022876489065E-2</c:v>
                </c:pt>
                <c:pt idx="2850">
                  <c:v>3.2727922213872107E-2</c:v>
                </c:pt>
                <c:pt idx="2851">
                  <c:v>3.2733829599393971E-2</c:v>
                </c:pt>
                <c:pt idx="2852">
                  <c:v>3.2739745033054657E-2</c:v>
                </c:pt>
                <c:pt idx="2853">
                  <c:v>3.2745668515097304E-2</c:v>
                </c:pt>
                <c:pt idx="2854">
                  <c:v>3.2751600045278773E-2</c:v>
                </c:pt>
                <c:pt idx="2855">
                  <c:v>3.2757539623599063E-2</c:v>
                </c:pt>
                <c:pt idx="2856">
                  <c:v>3.2763487250058176E-2</c:v>
                </c:pt>
                <c:pt idx="2857">
                  <c:v>3.276944292489925E-2</c:v>
                </c:pt>
                <c:pt idx="2858">
                  <c:v>3.27754066477981E-2</c:v>
                </c:pt>
                <c:pt idx="2859">
                  <c:v>3.2781378418916818E-2</c:v>
                </c:pt>
                <c:pt idx="2860">
                  <c:v>3.2787358238174358E-2</c:v>
                </c:pt>
                <c:pt idx="2861">
                  <c:v>3.2793346105732812E-2</c:v>
                </c:pt>
                <c:pt idx="2862">
                  <c:v>3.2799342021430089E-2</c:v>
                </c:pt>
                <c:pt idx="2863">
                  <c:v>3.2805345985347234E-2</c:v>
                </c:pt>
                <c:pt idx="2864">
                  <c:v>3.281135799764634E-2</c:v>
                </c:pt>
                <c:pt idx="2865">
                  <c:v>3.2817378057760083E-2</c:v>
                </c:pt>
                <c:pt idx="2866">
                  <c:v>3.2823406166336833E-2</c:v>
                </c:pt>
                <c:pt idx="2867">
                  <c:v>3.2829442322971358E-2</c:v>
                </c:pt>
                <c:pt idx="2868">
                  <c:v>3.2835486527987845E-2</c:v>
                </c:pt>
                <c:pt idx="2869">
                  <c:v>3.2841538781062107E-2</c:v>
                </c:pt>
                <c:pt idx="2870">
                  <c:v>3.2847599082275192E-2</c:v>
                </c:pt>
                <c:pt idx="2871">
                  <c:v>3.2853667431870237E-2</c:v>
                </c:pt>
                <c:pt idx="2872">
                  <c:v>3.2859743829685151E-2</c:v>
                </c:pt>
                <c:pt idx="2873">
                  <c:v>3.286582827555784E-2</c:v>
                </c:pt>
                <c:pt idx="2874">
                  <c:v>3.2871920769731444E-2</c:v>
                </c:pt>
                <c:pt idx="2875">
                  <c:v>3.2878021312124917E-2</c:v>
                </c:pt>
                <c:pt idx="2876">
                  <c:v>3.2884129902576165E-2</c:v>
                </c:pt>
                <c:pt idx="2877">
                  <c:v>3.2890246541166235E-2</c:v>
                </c:pt>
                <c:pt idx="2878">
                  <c:v>3.2896371228219312E-2</c:v>
                </c:pt>
                <c:pt idx="2879">
                  <c:v>3.2902503963411212E-2</c:v>
                </c:pt>
                <c:pt idx="2880">
                  <c:v>3.2908644746822979E-2</c:v>
                </c:pt>
                <c:pt idx="2881">
                  <c:v>3.2914793578211476E-2</c:v>
                </c:pt>
                <c:pt idx="2882">
                  <c:v>3.2920950458144027E-2</c:v>
                </c:pt>
                <c:pt idx="2883">
                  <c:v>3.2927115386134354E-2</c:v>
                </c:pt>
                <c:pt idx="2884">
                  <c:v>3.2933288362101409E-2</c:v>
                </c:pt>
                <c:pt idx="2885">
                  <c:v>3.2939469386531472E-2</c:v>
                </c:pt>
                <c:pt idx="2886">
                  <c:v>3.294565845926245E-2</c:v>
                </c:pt>
                <c:pt idx="2887">
                  <c:v>3.2951855579970157E-2</c:v>
                </c:pt>
                <c:pt idx="2888">
                  <c:v>3.2958060748897733E-2</c:v>
                </c:pt>
                <c:pt idx="2889">
                  <c:v>3.2964273966207269E-2</c:v>
                </c:pt>
                <c:pt idx="2890">
                  <c:v>3.2970495231736674E-2</c:v>
                </c:pt>
                <c:pt idx="2891">
                  <c:v>3.2976724545161762E-2</c:v>
                </c:pt>
                <c:pt idx="2892">
                  <c:v>3.2982961906968811E-2</c:v>
                </c:pt>
                <c:pt idx="2893">
                  <c:v>3.298920731715782E-2</c:v>
                </c:pt>
                <c:pt idx="2894">
                  <c:v>3.2995460775485652E-2</c:v>
                </c:pt>
                <c:pt idx="2895">
                  <c:v>3.300172228187126E-2</c:v>
                </c:pt>
                <c:pt idx="2896">
                  <c:v>3.3007991836557782E-2</c:v>
                </c:pt>
                <c:pt idx="2897">
                  <c:v>3.3014269439464172E-2</c:v>
                </c:pt>
                <c:pt idx="2898">
                  <c:v>3.3020555090590431E-2</c:v>
                </c:pt>
                <c:pt idx="2899">
                  <c:v>3.3026848789855512E-2</c:v>
                </c:pt>
                <c:pt idx="2900">
                  <c:v>3.3033150537421507E-2</c:v>
                </c:pt>
                <c:pt idx="2901">
                  <c:v>3.3039460333207371E-2</c:v>
                </c:pt>
                <c:pt idx="2902">
                  <c:v>3.3045778177213103E-2</c:v>
                </c:pt>
                <c:pt idx="2903">
                  <c:v>3.3052104069276611E-2</c:v>
                </c:pt>
                <c:pt idx="2904">
                  <c:v>3.3058438009803126E-2</c:v>
                </c:pt>
                <c:pt idx="2905">
                  <c:v>3.3064779998468463E-2</c:v>
                </c:pt>
                <c:pt idx="2906">
                  <c:v>3.3071130035191576E-2</c:v>
                </c:pt>
                <c:pt idx="2907">
                  <c:v>3.3077488120215603E-2</c:v>
                </c:pt>
                <c:pt idx="2908">
                  <c:v>3.3083854253621592E-2</c:v>
                </c:pt>
                <c:pt idx="2909">
                  <c:v>3.309022843500431E-2</c:v>
                </c:pt>
                <c:pt idx="2910">
                  <c:v>3.3096610664687942E-2</c:v>
                </c:pt>
                <c:pt idx="2911">
                  <c:v>3.3103000942672489E-2</c:v>
                </c:pt>
                <c:pt idx="2912">
                  <c:v>3.3109399268876905E-2</c:v>
                </c:pt>
                <c:pt idx="2913">
                  <c:v>3.3115805643058049E-2</c:v>
                </c:pt>
                <c:pt idx="2914">
                  <c:v>3.3122220065621155E-2</c:v>
                </c:pt>
                <c:pt idx="2915">
                  <c:v>3.3128642536485176E-2</c:v>
                </c:pt>
                <c:pt idx="2916">
                  <c:v>3.3135073055488018E-2</c:v>
                </c:pt>
                <c:pt idx="2917">
                  <c:v>3.3141511622548636E-2</c:v>
                </c:pt>
                <c:pt idx="2918">
                  <c:v>3.3147958238153308E-2</c:v>
                </c:pt>
                <c:pt idx="2919">
                  <c:v>3.3154412901815755E-2</c:v>
                </c:pt>
                <c:pt idx="2920">
                  <c:v>3.3160875613535978E-2</c:v>
                </c:pt>
                <c:pt idx="2921">
                  <c:v>3.3167346373800255E-2</c:v>
                </c:pt>
                <c:pt idx="2922">
                  <c:v>3.3173825182365446E-2</c:v>
                </c:pt>
                <c:pt idx="2923">
                  <c:v>3.3180312038745274E-2</c:v>
                </c:pt>
                <c:pt idx="2924">
                  <c:v>3.3186806943507063E-2</c:v>
                </c:pt>
                <c:pt idx="2925">
                  <c:v>3.3193309896488721E-2</c:v>
                </c:pt>
                <c:pt idx="2926">
                  <c:v>3.3199820897852339E-2</c:v>
                </c:pt>
                <c:pt idx="2927">
                  <c:v>3.3206339947273733E-2</c:v>
                </c:pt>
                <c:pt idx="2928">
                  <c:v>3.3212867044833949E-2</c:v>
                </c:pt>
                <c:pt idx="2929">
                  <c:v>3.3219402190857172E-2</c:v>
                </c:pt>
                <c:pt idx="2930">
                  <c:v>3.3225945385019218E-2</c:v>
                </c:pt>
                <c:pt idx="2931">
                  <c:v>3.3232496627239039E-2</c:v>
                </c:pt>
                <c:pt idx="2932">
                  <c:v>3.3239055917840821E-2</c:v>
                </c:pt>
                <c:pt idx="2933">
                  <c:v>3.3245623256743517E-2</c:v>
                </c:pt>
                <c:pt idx="2934">
                  <c:v>3.3252198643785036E-2</c:v>
                </c:pt>
                <c:pt idx="2935">
                  <c:v>3.3258782079046423E-2</c:v>
                </c:pt>
                <c:pt idx="2936">
                  <c:v>3.3265373562608724E-2</c:v>
                </c:pt>
                <c:pt idx="2937">
                  <c:v>3.3271973094309848E-2</c:v>
                </c:pt>
                <c:pt idx="2938">
                  <c:v>3.327858067423084E-2</c:v>
                </c:pt>
                <c:pt idx="2939">
                  <c:v>3.32851963023717E-2</c:v>
                </c:pt>
                <c:pt idx="2940">
                  <c:v>3.3291819978894521E-2</c:v>
                </c:pt>
                <c:pt idx="2941">
                  <c:v>3.3298451703556164E-2</c:v>
                </c:pt>
                <c:pt idx="2942">
                  <c:v>3.330509147635663E-2</c:v>
                </c:pt>
                <c:pt idx="2943">
                  <c:v>3.3311739297620102E-2</c:v>
                </c:pt>
                <c:pt idx="2944">
                  <c:v>3.331839516694135E-2</c:v>
                </c:pt>
                <c:pt idx="2945">
                  <c:v>3.3325059084482467E-2</c:v>
                </c:pt>
                <c:pt idx="2946">
                  <c:v>3.3331731050243452E-2</c:v>
                </c:pt>
                <c:pt idx="2947">
                  <c:v>3.3338411064386397E-2</c:v>
                </c:pt>
                <c:pt idx="2948">
                  <c:v>3.3345099126668165E-2</c:v>
                </c:pt>
                <c:pt idx="2949">
                  <c:v>3.3351795237088755E-2</c:v>
                </c:pt>
                <c:pt idx="2950">
                  <c:v>3.3358499395891306E-2</c:v>
                </c:pt>
                <c:pt idx="2951">
                  <c:v>3.3365211602994771E-2</c:v>
                </c:pt>
                <c:pt idx="2952">
                  <c:v>3.3371931858156012E-2</c:v>
                </c:pt>
                <c:pt idx="2953">
                  <c:v>3.3378660161537121E-2</c:v>
                </c:pt>
                <c:pt idx="2954">
                  <c:v>3.3385396513300192E-2</c:v>
                </c:pt>
                <c:pt idx="2955">
                  <c:v>3.3392140913202084E-2</c:v>
                </c:pt>
                <c:pt idx="2956">
                  <c:v>3.3398893361323845E-2</c:v>
                </c:pt>
                <c:pt idx="2957">
                  <c:v>3.340565385774652E-2</c:v>
                </c:pt>
                <c:pt idx="2958">
                  <c:v>3.341242240247011E-2</c:v>
                </c:pt>
                <c:pt idx="2959">
                  <c:v>3.3419198995251476E-2</c:v>
                </c:pt>
                <c:pt idx="2960">
                  <c:v>3.3425983636414802E-2</c:v>
                </c:pt>
                <c:pt idx="2961">
                  <c:v>3.3432776325797997E-2</c:v>
                </c:pt>
                <c:pt idx="2962">
                  <c:v>3.343957706340106E-2</c:v>
                </c:pt>
                <c:pt idx="2963">
                  <c:v>3.3446385849305038E-2</c:v>
                </c:pt>
                <c:pt idx="2964">
                  <c:v>3.3453202683266792E-2</c:v>
                </c:pt>
                <c:pt idx="2965">
                  <c:v>3.3460027565610506E-2</c:v>
                </c:pt>
                <c:pt idx="2966">
                  <c:v>3.3466860496336182E-2</c:v>
                </c:pt>
                <c:pt idx="2967">
                  <c:v>3.347370147495754E-2</c:v>
                </c:pt>
                <c:pt idx="2968">
                  <c:v>3.3480550502122952E-2</c:v>
                </c:pt>
                <c:pt idx="2969">
                  <c:v>3.3487407577427186E-2</c:v>
                </c:pt>
                <c:pt idx="2970">
                  <c:v>3.3494272700951289E-2</c:v>
                </c:pt>
                <c:pt idx="2971">
                  <c:v>3.3501145872695259E-2</c:v>
                </c:pt>
                <c:pt idx="2972">
                  <c:v>3.3508027092740145E-2</c:v>
                </c:pt>
                <c:pt idx="2973">
                  <c:v>3.3514916361004898E-2</c:v>
                </c:pt>
                <c:pt idx="2974">
                  <c:v>3.3521813677651613E-2</c:v>
                </c:pt>
                <c:pt idx="2975">
                  <c:v>3.3528719042356103E-2</c:v>
                </c:pt>
                <c:pt idx="2976">
                  <c:v>3.3535632455280462E-2</c:v>
                </c:pt>
                <c:pt idx="2977">
                  <c:v>3.3542553916667828E-2</c:v>
                </c:pt>
                <c:pt idx="2978">
                  <c:v>3.3549483426112969E-2</c:v>
                </c:pt>
                <c:pt idx="2979">
                  <c:v>3.3556420983777979E-2</c:v>
                </c:pt>
                <c:pt idx="2980">
                  <c:v>3.3563366589987043E-2</c:v>
                </c:pt>
                <c:pt idx="2981">
                  <c:v>3.3570320244253882E-2</c:v>
                </c:pt>
                <c:pt idx="2982">
                  <c:v>3.3577281946659543E-2</c:v>
                </c:pt>
                <c:pt idx="2983">
                  <c:v>3.3584251697447165E-2</c:v>
                </c:pt>
                <c:pt idx="2984">
                  <c:v>3.3591229496373609E-2</c:v>
                </c:pt>
                <c:pt idx="2985">
                  <c:v>3.3599213978934284E-2</c:v>
                </c:pt>
                <c:pt idx="2986">
                  <c:v>3.3606209024185096E-2</c:v>
                </c:pt>
                <c:pt idx="2987">
                  <c:v>3.3613212117493685E-2</c:v>
                </c:pt>
                <c:pt idx="2988">
                  <c:v>3.3620223259346327E-2</c:v>
                </c:pt>
                <c:pt idx="2989">
                  <c:v>3.3627242449337791E-2</c:v>
                </c:pt>
                <c:pt idx="2990">
                  <c:v>3.3634269687630169E-2</c:v>
                </c:pt>
                <c:pt idx="2991">
                  <c:v>3.364130497406137E-2</c:v>
                </c:pt>
                <c:pt idx="2992">
                  <c:v>3.3648348308874532E-2</c:v>
                </c:pt>
                <c:pt idx="2993">
                  <c:v>3.3655399691988608E-2</c:v>
                </c:pt>
                <c:pt idx="2994">
                  <c:v>3.3662459123241506E-2</c:v>
                </c:pt>
                <c:pt idx="2995">
                  <c:v>3.3669526602795319E-2</c:v>
                </c:pt>
                <c:pt idx="2996">
                  <c:v>3.3676602130569E-2</c:v>
                </c:pt>
                <c:pt idx="2997">
                  <c:v>3.3683685706643596E-2</c:v>
                </c:pt>
                <c:pt idx="2998">
                  <c:v>3.3690777330857014E-2</c:v>
                </c:pt>
                <c:pt idx="2999">
                  <c:v>3.3706130623059716E-2</c:v>
                </c:pt>
                <c:pt idx="3000">
                  <c:v>3.3704984724348686E-2</c:v>
                </c:pt>
                <c:pt idx="3001">
                  <c:v>3.3712100493383801E-2</c:v>
                </c:pt>
                <c:pt idx="3002">
                  <c:v>3.3719224310719831E-2</c:v>
                </c:pt>
                <c:pt idx="3003">
                  <c:v>3.3726356176356775E-2</c:v>
                </c:pt>
                <c:pt idx="3004">
                  <c:v>3.3733496090213588E-2</c:v>
                </c:pt>
                <c:pt idx="3005">
                  <c:v>3.374064405229027E-2</c:v>
                </c:pt>
                <c:pt idx="3006">
                  <c:v>3.3747800062829958E-2</c:v>
                </c:pt>
                <c:pt idx="3007">
                  <c:v>3.3754964121427422E-2</c:v>
                </c:pt>
                <c:pt idx="3008">
                  <c:v>3.3762136228163708E-2</c:v>
                </c:pt>
                <c:pt idx="3009">
                  <c:v>3.3769316383363002E-2</c:v>
                </c:pt>
                <c:pt idx="3010">
                  <c:v>3.3776504586944256E-2</c:v>
                </c:pt>
                <c:pt idx="3011">
                  <c:v>3.378370083850224E-2</c:v>
                </c:pt>
                <c:pt idx="3012">
                  <c:v>3.379089569963023E-2</c:v>
                </c:pt>
                <c:pt idx="3013">
                  <c:v>3.3798076832977086E-2</c:v>
                </c:pt>
                <c:pt idx="3014">
                  <c:v>3.3805244164304415E-2</c:v>
                </c:pt>
                <c:pt idx="3015">
                  <c:v>3.3812397693369078E-2</c:v>
                </c:pt>
                <c:pt idx="3016">
                  <c:v>3.3819537420090029E-2</c:v>
                </c:pt>
                <c:pt idx="3017">
                  <c:v>3.3826663344953545E-2</c:v>
                </c:pt>
                <c:pt idx="3018">
                  <c:v>3.3833775467635441E-2</c:v>
                </c:pt>
                <c:pt idx="3019">
                  <c:v>3.3840873787973624E-2</c:v>
                </c:pt>
                <c:pt idx="3020">
                  <c:v>3.3847958306292281E-2</c:v>
                </c:pt>
                <c:pt idx="3021">
                  <c:v>3.3855029022510363E-2</c:v>
                </c:pt>
                <c:pt idx="3022">
                  <c:v>3.386208593646578E-2</c:v>
                </c:pt>
                <c:pt idx="3023">
                  <c:v>3.3869129048239577E-2</c:v>
                </c:pt>
                <c:pt idx="3024">
                  <c:v>3.3876158358074893E-2</c:v>
                </c:pt>
                <c:pt idx="3025">
                  <c:v>3.3883173865566496E-2</c:v>
                </c:pt>
                <c:pt idx="3026">
                  <c:v>3.389017557087648E-2</c:v>
                </c:pt>
                <c:pt idx="3027">
                  <c:v>3.389716347408589E-2</c:v>
                </c:pt>
                <c:pt idx="3028">
                  <c:v>3.3904137575194726E-2</c:v>
                </c:pt>
                <c:pt idx="3029">
                  <c:v>3.3911097874121943E-2</c:v>
                </c:pt>
                <c:pt idx="3030">
                  <c:v>3.3918044370705447E-2</c:v>
                </c:pt>
                <c:pt idx="3031">
                  <c:v>3.3924977065269424E-2</c:v>
                </c:pt>
                <c:pt idx="3032">
                  <c:v>3.3931895957813873E-2</c:v>
                </c:pt>
                <c:pt idx="3033">
                  <c:v>3.3938801048014611E-2</c:v>
                </c:pt>
                <c:pt idx="3034">
                  <c:v>3.3945692336114774E-2</c:v>
                </c:pt>
                <c:pt idx="3035">
                  <c:v>3.3952569822033318E-2</c:v>
                </c:pt>
                <c:pt idx="3036">
                  <c:v>3.3959433505689196E-2</c:v>
                </c:pt>
                <c:pt idx="3037">
                  <c:v>3.3970191408512207E-2</c:v>
                </c:pt>
                <c:pt idx="3038">
                  <c:v>3.3977019601029168E-2</c:v>
                </c:pt>
                <c:pt idx="3039">
                  <c:v>3.3983833991202417E-2</c:v>
                </c:pt>
                <c:pt idx="3040">
                  <c:v>3.3990634579437184E-2</c:v>
                </c:pt>
                <c:pt idx="3041">
                  <c:v>3.3997421365409286E-2</c:v>
                </c:pt>
                <c:pt idx="3042">
                  <c:v>3.4004194349199768E-2</c:v>
                </c:pt>
                <c:pt idx="3043">
                  <c:v>3.4010953530727583E-2</c:v>
                </c:pt>
                <c:pt idx="3044">
                  <c:v>3.4017698910235872E-2</c:v>
                </c:pt>
                <c:pt idx="3045">
                  <c:v>3.402443048756254E-2</c:v>
                </c:pt>
                <c:pt idx="3046">
                  <c:v>3.4031148262707589E-2</c:v>
                </c:pt>
                <c:pt idx="3047">
                  <c:v>3.4037852235508925E-2</c:v>
                </c:pt>
                <c:pt idx="3048">
                  <c:v>3.4044542406371781E-2</c:v>
                </c:pt>
                <c:pt idx="3049">
                  <c:v>3.405121877497197E-2</c:v>
                </c:pt>
                <c:pt idx="3050">
                  <c:v>3.405883200980675E-2</c:v>
                </c:pt>
                <c:pt idx="3051">
                  <c:v>3.4065478802430826E-2</c:v>
                </c:pt>
                <c:pt idx="3052">
                  <c:v>3.4072111792549098E-2</c:v>
                </c:pt>
                <c:pt idx="3053">
                  <c:v>3.4078730980890981E-2</c:v>
                </c:pt>
                <c:pt idx="3054">
                  <c:v>3.4085336366808106E-2</c:v>
                </c:pt>
                <c:pt idx="3055">
                  <c:v>3.4091927950462564E-2</c:v>
                </c:pt>
                <c:pt idx="3056">
                  <c:v>3.4098505732097495E-2</c:v>
                </c:pt>
                <c:pt idx="3057">
                  <c:v>3.4105069711550806E-2</c:v>
                </c:pt>
                <c:pt idx="3058">
                  <c:v>3.4111619888822498E-2</c:v>
                </c:pt>
                <c:pt idx="3059">
                  <c:v>3.4118156263831523E-2</c:v>
                </c:pt>
                <c:pt idx="3060">
                  <c:v>3.4124678836739974E-2</c:v>
                </c:pt>
                <c:pt idx="3061">
                  <c:v>3.413118760738576E-2</c:v>
                </c:pt>
                <c:pt idx="3062">
                  <c:v>3.4137682575930972E-2</c:v>
                </c:pt>
                <c:pt idx="3063">
                  <c:v>3.4144163742132472E-2</c:v>
                </c:pt>
                <c:pt idx="3064">
                  <c:v>3.4150631106314444E-2</c:v>
                </c:pt>
                <c:pt idx="3065">
                  <c:v>3.4157084668395843E-2</c:v>
                </c:pt>
                <c:pt idx="3066">
                  <c:v>3.4163524427971437E-2</c:v>
                </c:pt>
                <c:pt idx="3067">
                  <c:v>3.4169950385527503E-2</c:v>
                </c:pt>
                <c:pt idx="3068">
                  <c:v>3.4176362540982996E-2</c:v>
                </c:pt>
                <c:pt idx="3069">
                  <c:v>3.4182760894175823E-2</c:v>
                </c:pt>
                <c:pt idx="3070">
                  <c:v>3.4189145445024938E-2</c:v>
                </c:pt>
                <c:pt idx="3071">
                  <c:v>3.4195516193935571E-2</c:v>
                </c:pt>
                <c:pt idx="3072">
                  <c:v>3.4201873140583539E-2</c:v>
                </c:pt>
                <c:pt idx="3073">
                  <c:v>3.420821628496884E-2</c:v>
                </c:pt>
                <c:pt idx="3074">
                  <c:v>3.4214545627091475E-2</c:v>
                </c:pt>
                <c:pt idx="3075">
                  <c:v>3.4220861167194583E-2</c:v>
                </c:pt>
                <c:pt idx="3076">
                  <c:v>3.4227162905035025E-2</c:v>
                </c:pt>
                <c:pt idx="3077">
                  <c:v>3.42334508406128E-2</c:v>
                </c:pt>
                <c:pt idx="3078">
                  <c:v>3.4239724974090002E-2</c:v>
                </c:pt>
                <c:pt idx="3079">
                  <c:v>3.4245985305385584E-2</c:v>
                </c:pt>
                <c:pt idx="3080">
                  <c:v>3.4252231834418501E-2</c:v>
                </c:pt>
                <c:pt idx="3081">
                  <c:v>3.4258464561107704E-2</c:v>
                </c:pt>
                <c:pt idx="3082">
                  <c:v>3.4264683485858427E-2</c:v>
                </c:pt>
                <c:pt idx="3083">
                  <c:v>3.4270888608265437E-2</c:v>
                </c:pt>
                <c:pt idx="3084">
                  <c:v>3.4277079928409782E-2</c:v>
                </c:pt>
                <c:pt idx="3085">
                  <c:v>3.4283257446534599E-2</c:v>
                </c:pt>
                <c:pt idx="3086">
                  <c:v>3.4289421162396749E-2</c:v>
                </c:pt>
                <c:pt idx="3087">
                  <c:v>3.4295571076158327E-2</c:v>
                </c:pt>
                <c:pt idx="3088">
                  <c:v>3.4301707187414099E-2</c:v>
                </c:pt>
                <c:pt idx="3089">
                  <c:v>3.430782949673139E-2</c:v>
                </c:pt>
                <c:pt idx="3090">
                  <c:v>3.4313938003867062E-2</c:v>
                </c:pt>
                <c:pt idx="3091">
                  <c:v>3.4320032708496928E-2</c:v>
                </c:pt>
                <c:pt idx="3092">
                  <c:v>3.4326113611107267E-2</c:v>
                </c:pt>
                <c:pt idx="3093">
                  <c:v>3.4332180711617033E-2</c:v>
                </c:pt>
                <c:pt idx="3094">
                  <c:v>3.4338234009783086E-2</c:v>
                </c:pt>
                <c:pt idx="3095">
                  <c:v>3.434427350576752E-2</c:v>
                </c:pt>
                <c:pt idx="3096">
                  <c:v>3.4350299199570333E-2</c:v>
                </c:pt>
                <c:pt idx="3097">
                  <c:v>3.4356311091110481E-2</c:v>
                </c:pt>
                <c:pt idx="3098">
                  <c:v>3.4362309180550055E-2</c:v>
                </c:pt>
                <c:pt idx="3099">
                  <c:v>3.436829346756487E-2</c:v>
                </c:pt>
                <c:pt idx="3100">
                  <c:v>3.4374263952560158E-2</c:v>
                </c:pt>
                <c:pt idx="3101">
                  <c:v>3.438022063529278E-2</c:v>
                </c:pt>
                <c:pt idx="3102">
                  <c:v>3.4386163515762735E-2</c:v>
                </c:pt>
                <c:pt idx="3103">
                  <c:v>3.4392092594051071E-2</c:v>
                </c:pt>
                <c:pt idx="3104">
                  <c:v>3.4398007870238834E-2</c:v>
                </c:pt>
                <c:pt idx="3105">
                  <c:v>3.4403909344082884E-2</c:v>
                </c:pt>
                <c:pt idx="3106">
                  <c:v>3.4409797015664267E-2</c:v>
                </c:pt>
                <c:pt idx="3107">
                  <c:v>3.4415670885145078E-2</c:v>
                </c:pt>
                <c:pt idx="3108">
                  <c:v>3.4421530952282176E-2</c:v>
                </c:pt>
                <c:pt idx="3109">
                  <c:v>3.4427377217237654E-2</c:v>
                </c:pt>
                <c:pt idx="3110">
                  <c:v>3.4433209680092558E-2</c:v>
                </c:pt>
                <c:pt idx="3111">
                  <c:v>3.4439028340684796E-2</c:v>
                </c:pt>
                <c:pt idx="3112">
                  <c:v>3.4444833199014369E-2</c:v>
                </c:pt>
                <c:pt idx="3113">
                  <c:v>3.4450624255081275E-2</c:v>
                </c:pt>
                <c:pt idx="3114">
                  <c:v>3.4456401509047607E-2</c:v>
                </c:pt>
                <c:pt idx="3115">
                  <c:v>3.4462164960751274E-2</c:v>
                </c:pt>
                <c:pt idx="3116">
                  <c:v>3.4467914610192274E-2</c:v>
                </c:pt>
                <c:pt idx="3117">
                  <c:v>3.4473650457289562E-2</c:v>
                </c:pt>
                <c:pt idx="3118">
                  <c:v>3.4479372502367323E-2</c:v>
                </c:pt>
                <c:pt idx="3119">
                  <c:v>3.4485080745182417E-2</c:v>
                </c:pt>
                <c:pt idx="3120">
                  <c:v>3.4490775185653799E-2</c:v>
                </c:pt>
                <c:pt idx="3121">
                  <c:v>3.4496455824024608E-2</c:v>
                </c:pt>
                <c:pt idx="3122">
                  <c:v>3.4502122660213796E-2</c:v>
                </c:pt>
                <c:pt idx="3123">
                  <c:v>3.4507775694140319E-2</c:v>
                </c:pt>
                <c:pt idx="3124">
                  <c:v>3.4513414925561037E-2</c:v>
                </c:pt>
                <c:pt idx="3125">
                  <c:v>3.451904035512432E-2</c:v>
                </c:pt>
                <c:pt idx="3126">
                  <c:v>3.4524651982262844E-2</c:v>
                </c:pt>
                <c:pt idx="3127">
                  <c:v>3.4530249807300795E-2</c:v>
                </c:pt>
                <c:pt idx="3128">
                  <c:v>3.4535833829913987E-2</c:v>
                </c:pt>
                <c:pt idx="3129">
                  <c:v>3.4541404050588698E-2</c:v>
                </c:pt>
                <c:pt idx="3130">
                  <c:v>3.4546960468757604E-2</c:v>
                </c:pt>
                <c:pt idx="3131">
                  <c:v>3.4552503084663844E-2</c:v>
                </c:pt>
                <c:pt idx="3132">
                  <c:v>3.455803189846951E-2</c:v>
                </c:pt>
                <c:pt idx="3133">
                  <c:v>3.4563546910255649E-2</c:v>
                </c:pt>
                <c:pt idx="3134">
                  <c:v>3.4569048119454937E-2</c:v>
                </c:pt>
                <c:pt idx="3135">
                  <c:v>3.4574535526553651E-2</c:v>
                </c:pt>
                <c:pt idx="3136">
                  <c:v>3.4580009131470746E-2</c:v>
                </c:pt>
                <c:pt idx="3137">
                  <c:v>3.4585468934044128E-2</c:v>
                </c:pt>
                <c:pt idx="3138">
                  <c:v>3.459091493443589E-2</c:v>
                </c:pt>
                <c:pt idx="3139">
                  <c:v>3.4596347132564986E-2</c:v>
                </c:pt>
                <c:pt idx="3140">
                  <c:v>3.4601765528512463E-2</c:v>
                </c:pt>
                <c:pt idx="3141">
                  <c:v>3.4607941080292415E-2</c:v>
                </c:pt>
                <c:pt idx="3142">
                  <c:v>3.461332990002064E-2</c:v>
                </c:pt>
                <c:pt idx="3143">
                  <c:v>3.4618704917405152E-2</c:v>
                </c:pt>
                <c:pt idx="3144">
                  <c:v>3.4624066132526998E-2</c:v>
                </c:pt>
                <c:pt idx="3145">
                  <c:v>3.4629413545710364E-2</c:v>
                </c:pt>
                <c:pt idx="3146">
                  <c:v>3.463474715646897E-2</c:v>
                </c:pt>
                <c:pt idx="3147">
                  <c:v>3.4640066964721772E-2</c:v>
                </c:pt>
                <c:pt idx="3148">
                  <c:v>3.4645372971198185E-2</c:v>
                </c:pt>
                <c:pt idx="3149">
                  <c:v>3.4650665175087747E-2</c:v>
                </c:pt>
                <c:pt idx="3150">
                  <c:v>3.4655943576876735E-2</c:v>
                </c:pt>
                <c:pt idx="3151">
                  <c:v>3.4661208176322011E-2</c:v>
                </c:pt>
                <c:pt idx="3152">
                  <c:v>3.4666458973666714E-2</c:v>
                </c:pt>
                <c:pt idx="3153">
                  <c:v>3.4671695968667704E-2</c:v>
                </c:pt>
                <c:pt idx="3154">
                  <c:v>3.4676919161243935E-2</c:v>
                </c:pt>
                <c:pt idx="3155">
                  <c:v>3.4682128551800639E-2</c:v>
                </c:pt>
                <c:pt idx="3156">
                  <c:v>3.468732414025677E-2</c:v>
                </c:pt>
                <c:pt idx="3157">
                  <c:v>3.4692505926369188E-2</c:v>
                </c:pt>
                <c:pt idx="3158">
                  <c:v>3.4697673909975801E-2</c:v>
                </c:pt>
                <c:pt idx="3159">
                  <c:v>3.4702828091643934E-2</c:v>
                </c:pt>
                <c:pt idx="3160">
                  <c:v>3.4707968470887307E-2</c:v>
                </c:pt>
                <c:pt idx="3161">
                  <c:v>3.4713095047868014E-2</c:v>
                </c:pt>
                <c:pt idx="3162">
                  <c:v>3.4718207822586056E-2</c:v>
                </c:pt>
                <c:pt idx="3163">
                  <c:v>3.472330679528457E-2</c:v>
                </c:pt>
                <c:pt idx="3164">
                  <c:v>3.4728391965477279E-2</c:v>
                </c:pt>
                <c:pt idx="3165">
                  <c:v>3.4733463333407322E-2</c:v>
                </c:pt>
                <c:pt idx="3166">
                  <c:v>3.4738520899236791E-2</c:v>
                </c:pt>
                <c:pt idx="3167">
                  <c:v>3.4743564662803594E-2</c:v>
                </c:pt>
                <c:pt idx="3168">
                  <c:v>3.4748594624107731E-2</c:v>
                </c:pt>
                <c:pt idx="3169">
                  <c:v>3.4753610783068156E-2</c:v>
                </c:pt>
                <c:pt idx="3170">
                  <c:v>3.4758613139846961E-2</c:v>
                </c:pt>
                <c:pt idx="3171">
                  <c:v>3.47636016943631E-2</c:v>
                </c:pt>
                <c:pt idx="3172">
                  <c:v>3.476857644645448E-2</c:v>
                </c:pt>
                <c:pt idx="3173">
                  <c:v>3.4773537396445287E-2</c:v>
                </c:pt>
                <c:pt idx="3174">
                  <c:v>3.477848454433552E-2</c:v>
                </c:pt>
                <c:pt idx="3175">
                  <c:v>3.4783417889800994E-2</c:v>
                </c:pt>
                <c:pt idx="3176">
                  <c:v>3.4788337432922756E-2</c:v>
                </c:pt>
                <c:pt idx="3177">
                  <c:v>3.4793243173943944E-2</c:v>
                </c:pt>
                <c:pt idx="3178">
                  <c:v>3.479813511262142E-2</c:v>
                </c:pt>
                <c:pt idx="3179">
                  <c:v>3.4803013248955184E-2</c:v>
                </c:pt>
                <c:pt idx="3180">
                  <c:v>3.4807877583107327E-2</c:v>
                </c:pt>
                <c:pt idx="3181">
                  <c:v>3.4812728115077851E-2</c:v>
                </c:pt>
                <c:pt idx="3182">
                  <c:v>3.4817564844704663E-2</c:v>
                </c:pt>
                <c:pt idx="3183">
                  <c:v>3.4822387772149854E-2</c:v>
                </c:pt>
                <c:pt idx="3184">
                  <c:v>3.4827196897089241E-2</c:v>
                </c:pt>
                <c:pt idx="3185">
                  <c:v>3.4831992220090147E-2</c:v>
                </c:pt>
                <c:pt idx="3186">
                  <c:v>3.4836773740585247E-2</c:v>
                </c:pt>
                <c:pt idx="3187">
                  <c:v>3.4841541458979775E-2</c:v>
                </c:pt>
                <c:pt idx="3188">
                  <c:v>3.4846295374949543E-2</c:v>
                </c:pt>
                <c:pt idx="3189">
                  <c:v>3.4851035488818738E-2</c:v>
                </c:pt>
                <c:pt idx="3190">
                  <c:v>3.4855761800263174E-2</c:v>
                </c:pt>
                <c:pt idx="3191">
                  <c:v>3.4860474309525991E-2</c:v>
                </c:pt>
                <c:pt idx="3192">
                  <c:v>3.4865173016607187E-2</c:v>
                </c:pt>
                <c:pt idx="3193">
                  <c:v>3.4869857921344671E-2</c:v>
                </c:pt>
                <c:pt idx="3194">
                  <c:v>3.4874529023657397E-2</c:v>
                </c:pt>
                <c:pt idx="3195">
                  <c:v>3.4879186323950595E-2</c:v>
                </c:pt>
                <c:pt idx="3196">
                  <c:v>3.4883829821900081E-2</c:v>
                </c:pt>
                <c:pt idx="3197">
                  <c:v>3.4888459517424808E-2</c:v>
                </c:pt>
                <c:pt idx="3198">
                  <c:v>3.4893075410767915E-2</c:v>
                </c:pt>
                <c:pt idx="3199">
                  <c:v>3.4897677502010449E-2</c:v>
                </c:pt>
                <c:pt idx="3200">
                  <c:v>3.4902265790828224E-2</c:v>
                </c:pt>
                <c:pt idx="3201">
                  <c:v>3.4906840277302287E-2</c:v>
                </c:pt>
                <c:pt idx="3202">
                  <c:v>3.491140096159473E-2</c:v>
                </c:pt>
                <c:pt idx="3203">
                  <c:v>3.4915947843624506E-2</c:v>
                </c:pt>
                <c:pt idx="3204">
                  <c:v>3.4920480923391617E-2</c:v>
                </c:pt>
                <c:pt idx="3205">
                  <c:v>3.4925000200652923E-2</c:v>
                </c:pt>
                <c:pt idx="3206">
                  <c:v>3.4929505676056793E-2</c:v>
                </c:pt>
                <c:pt idx="3207">
                  <c:v>3.4933997348873813E-2</c:v>
                </c:pt>
                <c:pt idx="3208">
                  <c:v>3.4938475219509213E-2</c:v>
                </c:pt>
                <c:pt idx="3209">
                  <c:v>3.4942939287881947E-2</c:v>
                </c:pt>
                <c:pt idx="3210">
                  <c:v>3.4947389553992014E-2</c:v>
                </c:pt>
                <c:pt idx="3211">
                  <c:v>3.4951826017839416E-2</c:v>
                </c:pt>
                <c:pt idx="3212">
                  <c:v>3.4956248679262059E-2</c:v>
                </c:pt>
                <c:pt idx="3213">
                  <c:v>3.4960657538584128E-2</c:v>
                </c:pt>
                <c:pt idx="3214">
                  <c:v>3.4965052595400392E-2</c:v>
                </c:pt>
                <c:pt idx="3215">
                  <c:v>3.4969433850116083E-2</c:v>
                </c:pt>
                <c:pt idx="3216">
                  <c:v>3.4973801302488061E-2</c:v>
                </c:pt>
                <c:pt idx="3217">
                  <c:v>3.4978154952759466E-2</c:v>
                </c:pt>
                <c:pt idx="3218">
                  <c:v>3.4982494800525066E-2</c:v>
                </c:pt>
                <c:pt idx="3219">
                  <c:v>3.4986820846109046E-2</c:v>
                </c:pt>
                <c:pt idx="3220">
                  <c:v>3.4991133089349313E-2</c:v>
                </c:pt>
                <c:pt idx="3221">
                  <c:v>3.4995431530407961E-2</c:v>
                </c:pt>
                <c:pt idx="3222">
                  <c:v>3.499971616904185E-2</c:v>
                </c:pt>
                <c:pt idx="3223">
                  <c:v>3.5003987005494119E-2</c:v>
                </c:pt>
                <c:pt idx="3224">
                  <c:v>3.5008244039683722E-2</c:v>
                </c:pt>
                <c:pt idx="3225">
                  <c:v>3.5012487271529613E-2</c:v>
                </c:pt>
                <c:pt idx="3226">
                  <c:v>3.5016716701031791E-2</c:v>
                </c:pt>
                <c:pt idx="3227">
                  <c:v>3.502093232835235E-2</c:v>
                </c:pt>
                <c:pt idx="3228">
                  <c:v>3.5025134153491289E-2</c:v>
                </c:pt>
                <c:pt idx="3229">
                  <c:v>3.5029322176124422E-2</c:v>
                </c:pt>
                <c:pt idx="3230">
                  <c:v>3.503349639649489E-2</c:v>
                </c:pt>
                <c:pt idx="3231">
                  <c:v>3.5037656814521645E-2</c:v>
                </c:pt>
                <c:pt idx="3232">
                  <c:v>3.5041803430528873E-2</c:v>
                </c:pt>
                <c:pt idx="3233">
                  <c:v>3.5045936244111342E-2</c:v>
                </c:pt>
                <c:pt idx="3234">
                  <c:v>3.5050055255350099E-2</c:v>
                </c:pt>
                <c:pt idx="3235">
                  <c:v>3.5054160464407236E-2</c:v>
                </c:pt>
                <c:pt idx="3236">
                  <c:v>3.5058251871039614E-2</c:v>
                </c:pt>
                <c:pt idx="3237">
                  <c:v>3.5062329475409326E-2</c:v>
                </c:pt>
                <c:pt idx="3238">
                  <c:v>3.5066393277597419E-2</c:v>
                </c:pt>
                <c:pt idx="3239">
                  <c:v>3.5070443277522845E-2</c:v>
                </c:pt>
                <c:pt idx="3240">
                  <c:v>3.5074479475104559E-2</c:v>
                </c:pt>
                <c:pt idx="3241">
                  <c:v>3.5078501870099421E-2</c:v>
                </c:pt>
                <c:pt idx="3242">
                  <c:v>3.5082510463155803E-2</c:v>
                </c:pt>
                <c:pt idx="3243">
                  <c:v>3.5086505253787426E-2</c:v>
                </c:pt>
                <c:pt idx="3244">
                  <c:v>3.5090486242156382E-2</c:v>
                </c:pt>
                <c:pt idx="3245">
                  <c:v>3.509501904239487E-2</c:v>
                </c:pt>
                <c:pt idx="3246">
                  <c:v>3.5098970454301437E-2</c:v>
                </c:pt>
                <c:pt idx="3247">
                  <c:v>3.5102908064188476E-2</c:v>
                </c:pt>
                <c:pt idx="3248">
                  <c:v>3.510683187156971E-2</c:v>
                </c:pt>
                <c:pt idx="3249">
                  <c:v>3.5110741876769325E-2</c:v>
                </c:pt>
                <c:pt idx="3250">
                  <c:v>3.5114638079463134E-2</c:v>
                </c:pt>
                <c:pt idx="3251">
                  <c:v>3.5118520480137416E-2</c:v>
                </c:pt>
                <c:pt idx="3252">
                  <c:v>3.5122389078305893E-2</c:v>
                </c:pt>
                <c:pt idx="3253">
                  <c:v>3.5126243874211704E-2</c:v>
                </c:pt>
                <c:pt idx="3254">
                  <c:v>3.5130084867854849E-2</c:v>
                </c:pt>
                <c:pt idx="3255">
                  <c:v>3.5133912059235328E-2</c:v>
                </c:pt>
                <c:pt idx="3256">
                  <c:v>3.5137725448353141E-2</c:v>
                </c:pt>
                <c:pt idx="3257">
                  <c:v>3.5141525035046195E-2</c:v>
                </c:pt>
                <c:pt idx="3258">
                  <c:v>3.5145310819557629E-2</c:v>
                </c:pt>
                <c:pt idx="3259">
                  <c:v>3.5149082801725351E-2</c:v>
                </c:pt>
                <c:pt idx="3260">
                  <c:v>3.5160684075874471E-2</c:v>
                </c:pt>
                <c:pt idx="3261">
                  <c:v>3.5156585359029657E-2</c:v>
                </c:pt>
                <c:pt idx="3262">
                  <c:v>3.5160315934490427E-2</c:v>
                </c:pt>
                <c:pt idx="3263">
                  <c:v>3.5164032707364345E-2</c:v>
                </c:pt>
                <c:pt idx="3264">
                  <c:v>3.5167735677813505E-2</c:v>
                </c:pt>
                <c:pt idx="3265">
                  <c:v>3.5171424846324184E-2</c:v>
                </c:pt>
                <c:pt idx="3266">
                  <c:v>3.5175100212329058E-2</c:v>
                </c:pt>
                <c:pt idx="3267">
                  <c:v>3.5178761776071266E-2</c:v>
                </c:pt>
                <c:pt idx="3268">
                  <c:v>3.5182409537388715E-2</c:v>
                </c:pt>
                <c:pt idx="3269">
                  <c:v>3.5186043496524544E-2</c:v>
                </c:pt>
                <c:pt idx="3270">
                  <c:v>3.5189663653478753E-2</c:v>
                </c:pt>
                <c:pt idx="3271">
                  <c:v>3.5193270007846111E-2</c:v>
                </c:pt>
                <c:pt idx="3272">
                  <c:v>3.519686256003185E-2</c:v>
                </c:pt>
                <c:pt idx="3273">
                  <c:v>3.5200441310117014E-2</c:v>
                </c:pt>
                <c:pt idx="3274">
                  <c:v>3.5204006257696374E-2</c:v>
                </c:pt>
                <c:pt idx="3275">
                  <c:v>3.5207557402850975E-2</c:v>
                </c:pt>
                <c:pt idx="3276">
                  <c:v>3.5211094745905003E-2</c:v>
                </c:pt>
                <c:pt idx="3277">
                  <c:v>3.5214618286615318E-2</c:v>
                </c:pt>
                <c:pt idx="3278">
                  <c:v>3.5218128024981921E-2</c:v>
                </c:pt>
                <c:pt idx="3279">
                  <c:v>3.5221623960923765E-2</c:v>
                </c:pt>
                <c:pt idx="3280">
                  <c:v>3.5225106094927128E-2</c:v>
                </c:pt>
                <c:pt idx="3281">
                  <c:v>3.522857442634364E-2</c:v>
                </c:pt>
                <c:pt idx="3282">
                  <c:v>3.5232028955335393E-2</c:v>
                </c:pt>
                <c:pt idx="3283">
                  <c:v>3.5235469682145526E-2</c:v>
                </c:pt>
                <c:pt idx="3284">
                  <c:v>3.5238896606774039E-2</c:v>
                </c:pt>
                <c:pt idx="3285">
                  <c:v>3.5242309728896748E-2</c:v>
                </c:pt>
                <c:pt idx="3286">
                  <c:v>3.524570904875679E-2</c:v>
                </c:pt>
                <c:pt idx="3287">
                  <c:v>3.5249094566516259E-2</c:v>
                </c:pt>
                <c:pt idx="3288">
                  <c:v>3.5252466281769923E-2</c:v>
                </c:pt>
                <c:pt idx="3289">
                  <c:v>3.5255824194679874E-2</c:v>
                </c:pt>
                <c:pt idx="3290">
                  <c:v>3.5259168305246114E-2</c:v>
                </c:pt>
                <c:pt idx="3291">
                  <c:v>3.5262498613549687E-2</c:v>
                </c:pt>
                <c:pt idx="3292">
                  <c:v>3.526581511967164E-2</c:v>
                </c:pt>
                <c:pt idx="3293">
                  <c:v>3.5269117823287788E-2</c:v>
                </c:pt>
                <c:pt idx="3294">
                  <c:v>3.5272406724722316E-2</c:v>
                </c:pt>
                <c:pt idx="3295">
                  <c:v>3.5275681823894178E-2</c:v>
                </c:pt>
                <c:pt idx="3296">
                  <c:v>3.5278943120641282E-2</c:v>
                </c:pt>
                <c:pt idx="3297">
                  <c:v>3.528652663164452E-2</c:v>
                </c:pt>
                <c:pt idx="3298">
                  <c:v>3.5289757004642874E-2</c:v>
                </c:pt>
                <c:pt idx="3299">
                  <c:v>3.5292973572866135E-2</c:v>
                </c:pt>
                <c:pt idx="3300">
                  <c:v>3.5296176336071149E-2</c:v>
                </c:pt>
                <c:pt idx="3301">
                  <c:v>3.5299365294365989E-2</c:v>
                </c:pt>
                <c:pt idx="3302">
                  <c:v>3.5302540447750649E-2</c:v>
                </c:pt>
                <c:pt idx="3303">
                  <c:v>3.5305701796198116E-2</c:v>
                </c:pt>
                <c:pt idx="3304">
                  <c:v>3.530884933968137E-2</c:v>
                </c:pt>
                <c:pt idx="3305">
                  <c:v>3.5311983078227437E-2</c:v>
                </c:pt>
                <c:pt idx="3306">
                  <c:v>3.5315103011863323E-2</c:v>
                </c:pt>
                <c:pt idx="3307">
                  <c:v>3.5318209140562017E-2</c:v>
                </c:pt>
                <c:pt idx="3308">
                  <c:v>3.5321301464323517E-2</c:v>
                </c:pt>
                <c:pt idx="3309">
                  <c:v>3.5324379983147823E-2</c:v>
                </c:pt>
                <c:pt idx="3310">
                  <c:v>3.5325335056132223E-2</c:v>
                </c:pt>
                <c:pt idx="3311">
                  <c:v>3.5328379459172998E-2</c:v>
                </c:pt>
                <c:pt idx="3312">
                  <c:v>3.53314100601132E-2</c:v>
                </c:pt>
                <c:pt idx="3313">
                  <c:v>3.5334426858709689E-2</c:v>
                </c:pt>
                <c:pt idx="3314">
                  <c:v>3.5337429854881419E-2</c:v>
                </c:pt>
                <c:pt idx="3315">
                  <c:v>3.5340419048790483E-2</c:v>
                </c:pt>
                <c:pt idx="3316">
                  <c:v>3.5343394440517928E-2</c:v>
                </c:pt>
                <c:pt idx="3317">
                  <c:v>3.5346356029739567E-2</c:v>
                </c:pt>
                <c:pt idx="3318">
                  <c:v>3.5349303816617494E-2</c:v>
                </c:pt>
                <c:pt idx="3319">
                  <c:v>3.5352237801313802E-2</c:v>
                </c:pt>
                <c:pt idx="3320">
                  <c:v>3.5355157983423258E-2</c:v>
                </c:pt>
                <c:pt idx="3321">
                  <c:v>3.5358064363513186E-2</c:v>
                </c:pt>
                <c:pt idx="3322">
                  <c:v>3.5360956941016264E-2</c:v>
                </c:pt>
                <c:pt idx="3323">
                  <c:v>3.5363835716499814E-2</c:v>
                </c:pt>
                <c:pt idx="3324">
                  <c:v>3.5366700689558606E-2</c:v>
                </c:pt>
                <c:pt idx="3325">
                  <c:v>3.5369551860030546E-2</c:v>
                </c:pt>
                <c:pt idx="3326">
                  <c:v>3.5372389228401913E-2</c:v>
                </c:pt>
                <c:pt idx="3327">
                  <c:v>3.5375212794510613E-2</c:v>
                </c:pt>
                <c:pt idx="3328">
                  <c:v>3.5378022558194555E-2</c:v>
                </c:pt>
                <c:pt idx="3329">
                  <c:v>3.5380818519534785E-2</c:v>
                </c:pt>
                <c:pt idx="3330">
                  <c:v>3.5383600678693394E-2</c:v>
                </c:pt>
                <c:pt idx="3331">
                  <c:v>3.5386369035184106E-2</c:v>
                </c:pt>
                <c:pt idx="3332">
                  <c:v>3.5389123589655291E-2</c:v>
                </c:pt>
                <c:pt idx="3333">
                  <c:v>3.5391864341701718E-2</c:v>
                </c:pt>
                <c:pt idx="3334">
                  <c:v>3.5394591291485478E-2</c:v>
                </c:pt>
                <c:pt idx="3335">
                  <c:v>3.5397304438925525E-2</c:v>
                </c:pt>
                <c:pt idx="3336">
                  <c:v>3.5400003783859768E-2</c:v>
                </c:pt>
                <c:pt idx="3337">
                  <c:v>3.5402689326612391E-2</c:v>
                </c:pt>
                <c:pt idx="3338">
                  <c:v>3.5405361067102348E-2</c:v>
                </c:pt>
                <c:pt idx="3339">
                  <c:v>3.5408019005248592E-2</c:v>
                </c:pt>
                <c:pt idx="3340">
                  <c:v>3.5410663140807985E-2</c:v>
                </c:pt>
                <c:pt idx="3341">
                  <c:v>3.5413293474266805E-2</c:v>
                </c:pt>
                <c:pt idx="3342">
                  <c:v>3.5415910005544005E-2</c:v>
                </c:pt>
                <c:pt idx="3343">
                  <c:v>3.5418512734072261E-2</c:v>
                </c:pt>
                <c:pt idx="3344">
                  <c:v>3.5421101660662035E-2</c:v>
                </c:pt>
                <c:pt idx="3345">
                  <c:v>3.5423676784746005E-2</c:v>
                </c:pt>
                <c:pt idx="3346">
                  <c:v>3.5426238106567309E-2</c:v>
                </c:pt>
                <c:pt idx="3347">
                  <c:v>3.5428785625882808E-2</c:v>
                </c:pt>
                <c:pt idx="3348">
                  <c:v>3.543131934317878E-2</c:v>
                </c:pt>
                <c:pt idx="3349">
                  <c:v>3.54338392578879E-2</c:v>
                </c:pt>
                <c:pt idx="3350">
                  <c:v>3.5436345370253308E-2</c:v>
                </c:pt>
                <c:pt idx="3351">
                  <c:v>3.5438837680275004E-2</c:v>
                </c:pt>
                <c:pt idx="3352">
                  <c:v>3.5441316188196126E-2</c:v>
                </c:pt>
                <c:pt idx="3353">
                  <c:v>3.5443780893692489E-2</c:v>
                </c:pt>
                <c:pt idx="3354">
                  <c:v>3.5446231796683048E-2</c:v>
                </c:pt>
                <c:pt idx="3355">
                  <c:v>3.5448668897491986E-2</c:v>
                </c:pt>
                <c:pt idx="3356">
                  <c:v>3.5451092195957212E-2</c:v>
                </c:pt>
                <c:pt idx="3357">
                  <c:v>3.545350169199768E-2</c:v>
                </c:pt>
                <c:pt idx="3358">
                  <c:v>3.5455897385694435E-2</c:v>
                </c:pt>
                <c:pt idx="3359">
                  <c:v>3.545827927720957E-2</c:v>
                </c:pt>
                <c:pt idx="3360">
                  <c:v>3.5460647366299947E-2</c:v>
                </c:pt>
                <c:pt idx="3361">
                  <c:v>3.5463001652965565E-2</c:v>
                </c:pt>
                <c:pt idx="3362">
                  <c:v>3.5465342137449563E-2</c:v>
                </c:pt>
                <c:pt idx="3363">
                  <c:v>3.5467668819670894E-2</c:v>
                </c:pt>
                <c:pt idx="3364">
                  <c:v>3.5469981699305375E-2</c:v>
                </c:pt>
                <c:pt idx="3365">
                  <c:v>3.547228077667719E-2</c:v>
                </c:pt>
                <c:pt idx="3366">
                  <c:v>3.5474566051786338E-2</c:v>
                </c:pt>
                <c:pt idx="3367">
                  <c:v>3.547683752463282E-2</c:v>
                </c:pt>
                <c:pt idx="3368">
                  <c:v>3.5479095194973498E-2</c:v>
                </c:pt>
                <c:pt idx="3369">
                  <c:v>3.5481339062970463E-2</c:v>
                </c:pt>
                <c:pt idx="3370">
                  <c:v>3.5483569128785808E-2</c:v>
                </c:pt>
                <c:pt idx="3371">
                  <c:v>3.5485785392095348E-2</c:v>
                </c:pt>
                <c:pt idx="3372">
                  <c:v>3.5487987853061176E-2</c:v>
                </c:pt>
                <c:pt idx="3373">
                  <c:v>3.5490176511764338E-2</c:v>
                </c:pt>
                <c:pt idx="3374">
                  <c:v>3.5492351368285879E-2</c:v>
                </c:pt>
                <c:pt idx="3375">
                  <c:v>3.5494512422301616E-2</c:v>
                </c:pt>
                <c:pt idx="3376">
                  <c:v>3.5496659673892594E-2</c:v>
                </c:pt>
                <c:pt idx="3377">
                  <c:v>3.5498793123301953E-2</c:v>
                </c:pt>
                <c:pt idx="3378">
                  <c:v>3.5500912770367599E-2</c:v>
                </c:pt>
                <c:pt idx="3379">
                  <c:v>3.5503018615089532E-2</c:v>
                </c:pt>
                <c:pt idx="3380">
                  <c:v>3.5505110657224614E-2</c:v>
                </c:pt>
                <c:pt idx="3381">
                  <c:v>3.5507188897340169E-2</c:v>
                </c:pt>
                <c:pt idx="3382">
                  <c:v>3.5509253335112012E-2</c:v>
                </c:pt>
                <c:pt idx="3383">
                  <c:v>3.5511303970215957E-2</c:v>
                </c:pt>
                <c:pt idx="3384">
                  <c:v>3.5513340803219329E-2</c:v>
                </c:pt>
                <c:pt idx="3385">
                  <c:v>3.5515363833960034E-2</c:v>
                </c:pt>
                <c:pt idx="3386">
                  <c:v>3.5517373062275981E-2</c:v>
                </c:pt>
                <c:pt idx="3387">
                  <c:v>3.5519368488086123E-2</c:v>
                </c:pt>
                <c:pt idx="3388">
                  <c:v>3.5521350111714645E-2</c:v>
                </c:pt>
                <c:pt idx="3389">
                  <c:v>3.5523317932999454E-2</c:v>
                </c:pt>
                <c:pt idx="3390">
                  <c:v>3.5525271951778459E-2</c:v>
                </c:pt>
                <c:pt idx="3391">
                  <c:v>3.5527212168294797E-2</c:v>
                </c:pt>
                <c:pt idx="3392">
                  <c:v>3.5529138582629516E-2</c:v>
                </c:pt>
                <c:pt idx="3393">
                  <c:v>3.553105119445843E-2</c:v>
                </c:pt>
                <c:pt idx="3394">
                  <c:v>3.5532950003943631E-2</c:v>
                </c:pt>
                <c:pt idx="3395">
                  <c:v>3.5534835011328259E-2</c:v>
                </c:pt>
                <c:pt idx="3396">
                  <c:v>3.5536706216044989E-2</c:v>
                </c:pt>
                <c:pt idx="3397">
                  <c:v>3.5538563618580099E-2</c:v>
                </c:pt>
                <c:pt idx="3398">
                  <c:v>3.5540407218690451E-2</c:v>
                </c:pt>
                <c:pt idx="3399">
                  <c:v>3.5542237016619183E-2</c:v>
                </c:pt>
                <c:pt idx="3400">
                  <c:v>3.5544053012042109E-2</c:v>
                </c:pt>
                <c:pt idx="3401">
                  <c:v>3.5545855205040278E-2</c:v>
                </c:pt>
                <c:pt idx="3402">
                  <c:v>3.5547643595937872E-2</c:v>
                </c:pt>
                <c:pt idx="3403">
                  <c:v>3.5549418184410708E-2</c:v>
                </c:pt>
                <c:pt idx="3404">
                  <c:v>3.5551178970458785E-2</c:v>
                </c:pt>
                <c:pt idx="3405">
                  <c:v>3.5552925954082104E-2</c:v>
                </c:pt>
                <c:pt idx="3406">
                  <c:v>3.5554659135604849E-2</c:v>
                </c:pt>
                <c:pt idx="3407">
                  <c:v>3.5556378514783882E-2</c:v>
                </c:pt>
                <c:pt idx="3408">
                  <c:v>3.5558084091213971E-2</c:v>
                </c:pt>
                <c:pt idx="3409">
                  <c:v>3.5559775865624532E-2</c:v>
                </c:pt>
                <c:pt idx="3410">
                  <c:v>3.5561453837772428E-2</c:v>
                </c:pt>
                <c:pt idx="3411">
                  <c:v>3.5563118007414518E-2</c:v>
                </c:pt>
                <c:pt idx="3412">
                  <c:v>3.556476837463185E-2</c:v>
                </c:pt>
                <c:pt idx="3413">
                  <c:v>3.5566404939667562E-2</c:v>
                </c:pt>
                <c:pt idx="3414">
                  <c:v>3.5568027702278515E-2</c:v>
                </c:pt>
                <c:pt idx="3415">
                  <c:v>3.5569636662545756E-2</c:v>
                </c:pt>
                <c:pt idx="3416">
                  <c:v>3.5571231820307192E-2</c:v>
                </c:pt>
                <c:pt idx="3417">
                  <c:v>3.5572813175968054E-2</c:v>
                </c:pt>
                <c:pt idx="3418">
                  <c:v>3.5574380729204158E-2</c:v>
                </c:pt>
                <c:pt idx="3419">
                  <c:v>3.5575934480015503E-2</c:v>
                </c:pt>
                <c:pt idx="3420">
                  <c:v>3.5577474428564182E-2</c:v>
                </c:pt>
                <c:pt idx="3421">
                  <c:v>3.5579000574850195E-2</c:v>
                </c:pt>
                <c:pt idx="3422">
                  <c:v>3.5580512918630403E-2</c:v>
                </c:pt>
                <c:pt idx="3423">
                  <c:v>3.5582011459985852E-2</c:v>
                </c:pt>
                <c:pt idx="3424">
                  <c:v>3.5583496199240727E-2</c:v>
                </c:pt>
                <c:pt idx="3425">
                  <c:v>3.5584967135989798E-2</c:v>
                </c:pt>
                <c:pt idx="3426">
                  <c:v>3.5586424270395156E-2</c:v>
                </c:pt>
                <c:pt idx="3427">
                  <c:v>3.5587867602375756E-2</c:v>
                </c:pt>
                <c:pt idx="3428">
                  <c:v>3.5589297132174735E-2</c:v>
                </c:pt>
                <c:pt idx="3429">
                  <c:v>3.5590712859711049E-2</c:v>
                </c:pt>
                <c:pt idx="3430">
                  <c:v>3.5592114784579465E-2</c:v>
                </c:pt>
                <c:pt idx="3431">
                  <c:v>3.5593502907185215E-2</c:v>
                </c:pt>
                <c:pt idx="3432">
                  <c:v>3.5594877227528299E-2</c:v>
                </c:pt>
                <c:pt idx="3433">
                  <c:v>3.559623774552767E-2</c:v>
                </c:pt>
                <c:pt idx="3434">
                  <c:v>3.5597584461183329E-2</c:v>
                </c:pt>
                <c:pt idx="3435">
                  <c:v>3.559891737441423E-2</c:v>
                </c:pt>
                <c:pt idx="3436">
                  <c:v>3.560023648546351E-2</c:v>
                </c:pt>
                <c:pt idx="3437">
                  <c:v>3.5601541793925939E-2</c:v>
                </c:pt>
                <c:pt idx="3438">
                  <c:v>3.5602833300206749E-2</c:v>
                </c:pt>
                <c:pt idx="3439">
                  <c:v>3.5604111004143846E-2</c:v>
                </c:pt>
                <c:pt idx="3440">
                  <c:v>3.5605374905575138E-2</c:v>
                </c:pt>
                <c:pt idx="3441">
                  <c:v>3.5606625004662718E-2</c:v>
                </c:pt>
                <c:pt idx="3442">
                  <c:v>3.5607861301487631E-2</c:v>
                </c:pt>
                <c:pt idx="3443">
                  <c:v>3.5609083796049879E-2</c:v>
                </c:pt>
                <c:pt idx="3444">
                  <c:v>3.5610292488106321E-2</c:v>
                </c:pt>
                <c:pt idx="3445">
                  <c:v>3.5611487377738005E-2</c:v>
                </c:pt>
                <c:pt idx="3446">
                  <c:v>3.5612668465350161E-2</c:v>
                </c:pt>
                <c:pt idx="3447">
                  <c:v>3.5613835750213374E-2</c:v>
                </c:pt>
                <c:pt idx="3448">
                  <c:v>3.5614989232976013E-2</c:v>
                </c:pt>
                <c:pt idx="3449">
                  <c:v>3.5616128913232847E-2</c:v>
                </c:pt>
                <c:pt idx="3450">
                  <c:v>3.5617254791308062E-2</c:v>
                </c:pt>
                <c:pt idx="3451">
                  <c:v>3.5618366866958517E-2</c:v>
                </c:pt>
                <c:pt idx="3452">
                  <c:v>3.5619465140103168E-2</c:v>
                </c:pt>
                <c:pt idx="3453">
                  <c:v>3.5620703408784093E-2</c:v>
                </c:pt>
                <c:pt idx="3454">
                  <c:v>3.5621772105466354E-2</c:v>
                </c:pt>
                <c:pt idx="3455">
                  <c:v>3.5622827000129087E-2</c:v>
                </c:pt>
                <c:pt idx="3456">
                  <c:v>3.5623868092123923E-2</c:v>
                </c:pt>
                <c:pt idx="3457">
                  <c:v>3.5624895381775046E-2</c:v>
                </c:pt>
                <c:pt idx="3458">
                  <c:v>3.5625908869244549E-2</c:v>
                </c:pt>
                <c:pt idx="3459">
                  <c:v>3.5626908554208248E-2</c:v>
                </c:pt>
                <c:pt idx="3460">
                  <c:v>3.5627894436828234E-2</c:v>
                </c:pt>
                <c:pt idx="3461">
                  <c:v>3.5628866517185553E-2</c:v>
                </c:pt>
                <c:pt idx="3462">
                  <c:v>3.5629824795280207E-2</c:v>
                </c:pt>
                <c:pt idx="3463">
                  <c:v>3.5630769270869056E-2</c:v>
                </c:pt>
                <c:pt idx="3464">
                  <c:v>3.5631699944033146E-2</c:v>
                </c:pt>
                <c:pt idx="3465">
                  <c:v>3.5632616815015616E-2</c:v>
                </c:pt>
                <c:pt idx="3466">
                  <c:v>3.5633519883492282E-2</c:v>
                </c:pt>
                <c:pt idx="3467">
                  <c:v>3.5634409149787327E-2</c:v>
                </c:pt>
                <c:pt idx="3468">
                  <c:v>3.5635284613657614E-2</c:v>
                </c:pt>
                <c:pt idx="3469">
                  <c:v>3.5636146275103142E-2</c:v>
                </c:pt>
                <c:pt idx="3470">
                  <c:v>3.5636994134204958E-2</c:v>
                </c:pt>
                <c:pt idx="3471">
                  <c:v>3.5637828190882015E-2</c:v>
                </c:pt>
                <c:pt idx="3472">
                  <c:v>3.5638648445296406E-2</c:v>
                </c:pt>
                <c:pt idx="3473">
                  <c:v>3.5639454897448131E-2</c:v>
                </c:pt>
                <c:pt idx="3474">
                  <c:v>3.5640247547175097E-2</c:v>
                </c:pt>
                <c:pt idx="3475">
                  <c:v>3.5641026394477304E-2</c:v>
                </c:pt>
                <c:pt idx="3476">
                  <c:v>3.5641791439435799E-2</c:v>
                </c:pt>
                <c:pt idx="3477">
                  <c:v>3.5642542682131628E-2</c:v>
                </c:pt>
                <c:pt idx="3478">
                  <c:v>3.5643280122402698E-2</c:v>
                </c:pt>
                <c:pt idx="3479">
                  <c:v>3.5644003760167964E-2</c:v>
                </c:pt>
                <c:pt idx="3480">
                  <c:v>3.5644713595751609E-2</c:v>
                </c:pt>
                <c:pt idx="3481">
                  <c:v>3.5645409628910496E-2</c:v>
                </c:pt>
                <c:pt idx="3482">
                  <c:v>3.5646091859806717E-2</c:v>
                </c:pt>
                <c:pt idx="3483">
                  <c:v>3.5646760288278179E-2</c:v>
                </c:pt>
                <c:pt idx="3484">
                  <c:v>3.5647414914486975E-2</c:v>
                </c:pt>
                <c:pt idx="3485">
                  <c:v>3.5648055738352058E-2</c:v>
                </c:pt>
                <c:pt idx="3486">
                  <c:v>3.5648682759549244E-2</c:v>
                </c:pt>
                <c:pt idx="3487">
                  <c:v>3.5649295978807949E-2</c:v>
                </c:pt>
                <c:pt idx="3488">
                  <c:v>3.5649895395479803E-2</c:v>
                </c:pt>
                <c:pt idx="3489">
                  <c:v>3.5650481009726898E-2</c:v>
                </c:pt>
                <c:pt idx="3490">
                  <c:v>3.5651052821711327E-2</c:v>
                </c:pt>
                <c:pt idx="3491">
                  <c:v>3.5651610831352043E-2</c:v>
                </c:pt>
                <c:pt idx="3492">
                  <c:v>3.5652155038649047E-2</c:v>
                </c:pt>
                <c:pt idx="3493">
                  <c:v>3.5652685443440246E-2</c:v>
                </c:pt>
                <c:pt idx="3494">
                  <c:v>3.5653202046211918E-2</c:v>
                </c:pt>
                <c:pt idx="3495">
                  <c:v>3.5653704846396739E-2</c:v>
                </c:pt>
                <c:pt idx="3496">
                  <c:v>3.5654193844237847E-2</c:v>
                </c:pt>
                <c:pt idx="3497">
                  <c:v>3.5654669039654197E-2</c:v>
                </c:pt>
                <c:pt idx="3498">
                  <c:v>3.5655130432888926E-2</c:v>
                </c:pt>
                <c:pt idx="3499">
                  <c:v>3.5655578023617851E-2</c:v>
                </c:pt>
                <c:pt idx="3500">
                  <c:v>3.5656011811840971E-2</c:v>
                </c:pt>
                <c:pt idx="3501">
                  <c:v>3.5656431797963517E-2</c:v>
                </c:pt>
                <c:pt idx="3502">
                  <c:v>3.5656837981742351E-2</c:v>
                </c:pt>
                <c:pt idx="3503">
                  <c:v>3.5657230363096426E-2</c:v>
                </c:pt>
                <c:pt idx="3504">
                  <c:v>3.5657608942025742E-2</c:v>
                </c:pt>
                <c:pt idx="3505">
                  <c:v>3.5657973718692393E-2</c:v>
                </c:pt>
                <c:pt idx="3506">
                  <c:v>3.5658324692853238E-2</c:v>
                </c:pt>
                <c:pt idx="3507">
                  <c:v>3.5658661864751418E-2</c:v>
                </c:pt>
                <c:pt idx="3508">
                  <c:v>3.5658985234305884E-2</c:v>
                </c:pt>
                <c:pt idx="3509">
                  <c:v>3.5659294801516639E-2</c:v>
                </c:pt>
                <c:pt idx="3510">
                  <c:v>3.5659590566383681E-2</c:v>
                </c:pt>
                <c:pt idx="3511">
                  <c:v>3.5659872528744918E-2</c:v>
                </c:pt>
                <c:pt idx="3512">
                  <c:v>3.5660140688924535E-2</c:v>
                </c:pt>
                <c:pt idx="3513">
                  <c:v>3.566039504676044E-2</c:v>
                </c:pt>
                <c:pt idx="3514">
                  <c:v>3.566063560209054E-2</c:v>
                </c:pt>
                <c:pt idx="3515">
                  <c:v>3.5660862354995881E-2</c:v>
                </c:pt>
                <c:pt idx="3516">
                  <c:v>3.5661075305881695E-2</c:v>
                </c:pt>
                <c:pt idx="3517">
                  <c:v>3.5661274454099612E-2</c:v>
                </c:pt>
                <c:pt idx="3518">
                  <c:v>3.5661459799973816E-2</c:v>
                </c:pt>
                <c:pt idx="3519">
                  <c:v>3.5661631343585354E-2</c:v>
                </c:pt>
                <c:pt idx="3520">
                  <c:v>3.5661789084934226E-2</c:v>
                </c:pt>
                <c:pt idx="3521">
                  <c:v>3.5661933023858339E-2</c:v>
                </c:pt>
                <c:pt idx="3522">
                  <c:v>3.5662063160357693E-2</c:v>
                </c:pt>
                <c:pt idx="3523">
                  <c:v>3.5662179494513335E-2</c:v>
                </c:pt>
                <c:pt idx="3524">
                  <c:v>3.5662282026406311E-2</c:v>
                </c:pt>
                <c:pt idx="3525">
                  <c:v>3.5662370755793482E-2</c:v>
                </c:pt>
                <c:pt idx="3526">
                  <c:v>3.5662445682755894E-2</c:v>
                </c:pt>
                <c:pt idx="3527">
                  <c:v>3.5662506807698779E-2</c:v>
                </c:pt>
                <c:pt idx="3528">
                  <c:v>3.5662554129973767E-2</c:v>
                </c:pt>
                <c:pt idx="3529">
                  <c:v>3.5662587649986088E-2</c:v>
                </c:pt>
                <c:pt idx="3530">
                  <c:v>3.5662607367492605E-2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500416"/>
        <c:axId val="379514880"/>
      </c:lineChart>
      <c:dateAx>
        <c:axId val="379500416"/>
        <c:scaling>
          <c:orientation val="minMax"/>
          <c:max val="4254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14880"/>
        <c:crosses val="autoZero"/>
        <c:auto val="1"/>
        <c:lblOffset val="100"/>
        <c:baseTimeUnit val="days"/>
        <c:majorUnit val="3"/>
        <c:majorTimeUnit val="months"/>
      </c:dateAx>
      <c:valAx>
        <c:axId val="379514880"/>
        <c:scaling>
          <c:orientation val="minMax"/>
          <c:max val="2.5000000000000001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7950041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158115</xdr:colOff>
      <xdr:row>38</xdr:row>
      <xdr:rowOff>76200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158115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YC3MBootstrapp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RAs"/>
      <sheetName val="Futures"/>
      <sheetName val="SwapsFromBasis"/>
      <sheetName val="Monitor"/>
    </sheetNames>
    <definedNames>
      <definedName name="FRADates" refersTo="='Monitor'!$O$19:$O$24"/>
      <definedName name="FRASeries" refersTo="#REF!"/>
      <definedName name="grphUpdate"/>
      <definedName name="IMMFutDates" refersTo="='Monitor'!$O$27:$O$60"/>
      <definedName name="IMMFutSeries" refersTo="#REF!"/>
      <definedName name="SerialFutDates" refersTo="='Monitor'!$O$63:$O$70"/>
      <definedName name="SerialFutSeries" refersTo="#REF!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8">
          <cell r="Z18" t="str">
            <v>3M Fwd</v>
          </cell>
        </row>
        <row r="19">
          <cell r="O19">
            <v>41848</v>
          </cell>
          <cell r="Y19">
            <v>41817</v>
          </cell>
          <cell r="Z19">
            <v>5.5249999999991443E-3</v>
          </cell>
          <cell r="AA19">
            <v>5.0162903890719574E-3</v>
          </cell>
        </row>
        <row r="20">
          <cell r="O20">
            <v>41878</v>
          </cell>
          <cell r="Y20">
            <v>41820</v>
          </cell>
          <cell r="Z20">
            <v>5.5472439178035488E-3</v>
          </cell>
          <cell r="AA20">
            <v>5.018977489344989E-3</v>
          </cell>
        </row>
        <row r="21">
          <cell r="O21">
            <v>41911</v>
          </cell>
          <cell r="Y21">
            <v>41821</v>
          </cell>
          <cell r="Z21">
            <v>5.5586519676012226E-3</v>
          </cell>
          <cell r="AA21">
            <v>5.0213398085074967E-3</v>
          </cell>
        </row>
        <row r="22">
          <cell r="O22">
            <v>41939</v>
          </cell>
          <cell r="Y22">
            <v>41822</v>
          </cell>
          <cell r="Z22">
            <v>5.5701381688836116E-3</v>
          </cell>
          <cell r="AA22">
            <v>5.0242927073795851E-3</v>
          </cell>
        </row>
        <row r="23">
          <cell r="O23">
            <v>41970</v>
          </cell>
          <cell r="Y23">
            <v>41823</v>
          </cell>
          <cell r="Z23">
            <v>5.5816983352852479E-3</v>
          </cell>
          <cell r="AA23">
            <v>5.0278361860423004E-3</v>
          </cell>
        </row>
        <row r="24">
          <cell r="O24">
            <v>42002</v>
          </cell>
          <cell r="Y24">
            <v>41824</v>
          </cell>
          <cell r="Z24">
            <v>5.6045406302512634E-3</v>
          </cell>
          <cell r="AA24">
            <v>5.036961250823869E-3</v>
          </cell>
        </row>
        <row r="25">
          <cell r="Y25">
            <v>41827</v>
          </cell>
          <cell r="Z25">
            <v>5.6285949232614246E-3</v>
          </cell>
          <cell r="AA25">
            <v>5.0479158993288475E-3</v>
          </cell>
        </row>
        <row r="26">
          <cell r="Y26">
            <v>41828</v>
          </cell>
          <cell r="Z26">
            <v>5.6404621182347342E-3</v>
          </cell>
          <cell r="AA26">
            <v>5.0544122774309752E-3</v>
          </cell>
        </row>
        <row r="27">
          <cell r="O27">
            <v>41899</v>
          </cell>
          <cell r="Y27">
            <v>41829</v>
          </cell>
          <cell r="Z27">
            <v>5.6523781591901086E-3</v>
          </cell>
          <cell r="AA27">
            <v>5.0614992354047761E-3</v>
          </cell>
        </row>
        <row r="28">
          <cell r="O28">
            <v>41990</v>
          </cell>
          <cell r="Y28">
            <v>41830</v>
          </cell>
          <cell r="Z28">
            <v>5.6643388594378955E-3</v>
          </cell>
          <cell r="AA28">
            <v>5.0691767734123427E-3</v>
          </cell>
        </row>
        <row r="29">
          <cell r="O29">
            <v>42081</v>
          </cell>
          <cell r="Y29">
            <v>41831</v>
          </cell>
          <cell r="Z29">
            <v>5.6874420352152752E-3</v>
          </cell>
          <cell r="AA29">
            <v>5.0865713333466313E-3</v>
          </cell>
        </row>
        <row r="30">
          <cell r="O30">
            <v>42172</v>
          </cell>
          <cell r="Y30">
            <v>41834</v>
          </cell>
          <cell r="Z30">
            <v>5.7125445178633823E-3</v>
          </cell>
          <cell r="AA30">
            <v>5.1057927261044522E-3</v>
          </cell>
        </row>
        <row r="31">
          <cell r="O31">
            <v>42263</v>
          </cell>
          <cell r="Y31">
            <v>41835</v>
          </cell>
          <cell r="Z31">
            <v>5.7246657125193919E-3</v>
          </cell>
          <cell r="AA31">
            <v>5.1164231646860792E-3</v>
          </cell>
        </row>
        <row r="32">
          <cell r="O32">
            <v>42354</v>
          </cell>
          <cell r="Y32">
            <v>41836</v>
          </cell>
          <cell r="Z32">
            <v>5.7368064452965458E-3</v>
          </cell>
          <cell r="AA32">
            <v>5.1276441834635644E-3</v>
          </cell>
        </row>
        <row r="33">
          <cell r="O33">
            <v>42445</v>
          </cell>
          <cell r="Y33">
            <v>41837</v>
          </cell>
          <cell r="Z33">
            <v>5.7489625291545767E-3</v>
          </cell>
          <cell r="AA33">
            <v>5.1394557825990006E-3</v>
          </cell>
        </row>
        <row r="34">
          <cell r="O34">
            <v>42536</v>
          </cell>
          <cell r="Y34">
            <v>41838</v>
          </cell>
          <cell r="Z34">
            <v>5.7722987190917318E-3</v>
          </cell>
          <cell r="AA34">
            <v>5.16512067205747E-3</v>
          </cell>
        </row>
        <row r="35">
          <cell r="O35">
            <v>42634</v>
          </cell>
          <cell r="Y35">
            <v>41841</v>
          </cell>
          <cell r="Z35">
            <v>5.7976566328511543E-3</v>
          </cell>
          <cell r="AA35">
            <v>5.1926079835307171E-3</v>
          </cell>
        </row>
        <row r="36">
          <cell r="O36">
            <v>42725</v>
          </cell>
          <cell r="Y36">
            <v>41842</v>
          </cell>
          <cell r="Z36">
            <v>5.8098266647529685E-3</v>
          </cell>
          <cell r="AA36">
            <v>5.207372485104278E-3</v>
          </cell>
        </row>
        <row r="37">
          <cell r="O37">
            <v>42809</v>
          </cell>
          <cell r="Y37">
            <v>41843</v>
          </cell>
          <cell r="Z37">
            <v>5.8219869244307623E-3</v>
          </cell>
          <cell r="AA37">
            <v>5.2227275674410212E-3</v>
          </cell>
        </row>
        <row r="38">
          <cell r="O38">
            <v>42907</v>
          </cell>
          <cell r="Y38">
            <v>41844</v>
          </cell>
          <cell r="Z38">
            <v>5.8341332244866073E-3</v>
          </cell>
          <cell r="AA38">
            <v>5.2386732304599004E-3</v>
          </cell>
        </row>
        <row r="39">
          <cell r="O39">
            <v>42998</v>
          </cell>
          <cell r="Y39">
            <v>41845</v>
          </cell>
          <cell r="Z39">
            <v>5.8577050682554104E-3</v>
          </cell>
          <cell r="AA39">
            <v>5.2726093229863808E-3</v>
          </cell>
        </row>
        <row r="40">
          <cell r="O40">
            <v>43089</v>
          </cell>
          <cell r="Y40">
            <v>41848</v>
          </cell>
          <cell r="Z40">
            <v>5.8824950787806285E-3</v>
          </cell>
          <cell r="AA40">
            <v>5.3082195409070998E-3</v>
          </cell>
        </row>
        <row r="41">
          <cell r="O41">
            <v>43180</v>
          </cell>
          <cell r="Y41">
            <v>41849</v>
          </cell>
          <cell r="Z41">
            <v>5.8945103153914252E-3</v>
          </cell>
          <cell r="AA41">
            <v>5.3262652019692158E-3</v>
          </cell>
        </row>
        <row r="42">
          <cell r="O42">
            <v>43271</v>
          </cell>
          <cell r="Y42">
            <v>41850</v>
          </cell>
          <cell r="Z42">
            <v>5.90649575133851E-3</v>
          </cell>
          <cell r="AA42">
            <v>5.3440485370492841E-3</v>
          </cell>
        </row>
        <row r="43">
          <cell r="O43">
            <v>43362</v>
          </cell>
          <cell r="Y43">
            <v>41851</v>
          </cell>
          <cell r="Z43">
            <v>5.9184564833802238E-3</v>
          </cell>
          <cell r="AA43">
            <v>5.3615695461473045E-3</v>
          </cell>
        </row>
        <row r="44">
          <cell r="O44">
            <v>43453</v>
          </cell>
          <cell r="Y44">
            <v>41852</v>
          </cell>
          <cell r="Z44">
            <v>5.9423522772115373E-3</v>
          </cell>
          <cell r="AA44">
            <v>5.3958169085588379E-3</v>
          </cell>
        </row>
        <row r="45">
          <cell r="O45">
            <v>43544</v>
          </cell>
          <cell r="Y45">
            <v>41855</v>
          </cell>
          <cell r="Z45">
            <v>5.9661543098149762E-3</v>
          </cell>
          <cell r="AA45">
            <v>5.4290303216653069E-3</v>
          </cell>
        </row>
        <row r="46">
          <cell r="O46">
            <v>43635</v>
          </cell>
          <cell r="Y46">
            <v>41856</v>
          </cell>
          <cell r="Z46">
            <v>5.9780679758579709E-3</v>
          </cell>
          <cell r="AA46">
            <v>5.4452397002047181E-3</v>
          </cell>
        </row>
        <row r="47">
          <cell r="O47">
            <v>43726</v>
          </cell>
          <cell r="Y47">
            <v>41857</v>
          </cell>
          <cell r="Z47">
            <v>5.9899875198353375E-3</v>
          </cell>
          <cell r="AA47">
            <v>5.4611867525189428E-3</v>
          </cell>
        </row>
        <row r="48">
          <cell r="O48" t="e">
            <v>#VALUE!</v>
          </cell>
          <cell r="Y48">
            <v>41858</v>
          </cell>
          <cell r="Z48">
            <v>6.0019180389344323E-3</v>
          </cell>
          <cell r="AA48">
            <v>5.4768714785269346E-3</v>
          </cell>
        </row>
        <row r="49">
          <cell r="O49" t="e">
            <v>#VALUE!</v>
          </cell>
          <cell r="Y49">
            <v>41859</v>
          </cell>
          <cell r="Z49">
            <v>6.0265595910374481E-3</v>
          </cell>
          <cell r="AA49">
            <v>5.5074496087592637E-3</v>
          </cell>
        </row>
        <row r="50">
          <cell r="O50" t="e">
            <v>#VALUE!</v>
          </cell>
          <cell r="Y50">
            <v>41862</v>
          </cell>
          <cell r="Z50">
            <v>6.0498518124553298E-3</v>
          </cell>
          <cell r="AA50">
            <v>5.5369871195776188E-3</v>
          </cell>
        </row>
        <row r="51">
          <cell r="O51" t="e">
            <v>#VALUE!</v>
          </cell>
          <cell r="Y51">
            <v>41863</v>
          </cell>
          <cell r="Z51">
            <v>6.0619136671335033E-3</v>
          </cell>
          <cell r="AA51">
            <v>5.5513602139733997E-3</v>
          </cell>
        </row>
        <row r="52">
          <cell r="O52" t="e">
            <v>#VALUE!</v>
          </cell>
          <cell r="Y52">
            <v>41864</v>
          </cell>
          <cell r="Z52">
            <v>6.0740170813534155E-3</v>
          </cell>
          <cell r="AA52">
            <v>5.5654709817387626E-3</v>
          </cell>
        </row>
        <row r="53">
          <cell r="O53" t="e">
            <v>#VALUE!</v>
          </cell>
          <cell r="Y53">
            <v>41865</v>
          </cell>
          <cell r="Z53">
            <v>6.0861671527393689E-3</v>
          </cell>
          <cell r="AA53">
            <v>5.5793194231168464E-3</v>
          </cell>
        </row>
        <row r="54">
          <cell r="O54" t="e">
            <v>#VALUE!</v>
          </cell>
          <cell r="Y54">
            <v>41866</v>
          </cell>
          <cell r="Z54">
            <v>6.1119973100461347E-3</v>
          </cell>
          <cell r="AA54">
            <v>5.606227990798315E-3</v>
          </cell>
        </row>
        <row r="55">
          <cell r="O55" t="e">
            <v>#VALUE!</v>
          </cell>
          <cell r="Y55">
            <v>41869</v>
          </cell>
          <cell r="Z55">
            <v>6.1353359646408165E-3</v>
          </cell>
          <cell r="AA55">
            <v>5.63208992321651E-3</v>
          </cell>
        </row>
        <row r="56">
          <cell r="O56" t="e">
            <v>#VALUE!</v>
          </cell>
          <cell r="Y56">
            <v>41870</v>
          </cell>
          <cell r="Z56">
            <v>6.1477957884538232E-3</v>
          </cell>
          <cell r="AA56">
            <v>5.644626731847735E-3</v>
          </cell>
        </row>
        <row r="57">
          <cell r="O57" t="e">
            <v>#VALUE!</v>
          </cell>
          <cell r="Y57">
            <v>41871</v>
          </cell>
          <cell r="Z57">
            <v>6.1603328565318118E-3</v>
          </cell>
          <cell r="AA57">
            <v>5.6569012136864494E-3</v>
          </cell>
        </row>
        <row r="58">
          <cell r="O58" t="e">
            <v>#VALUE!</v>
          </cell>
          <cell r="Y58">
            <v>41872</v>
          </cell>
          <cell r="Z58">
            <v>6.1729522669624589E-3</v>
          </cell>
          <cell r="AA58">
            <v>5.6689133688947457E-3</v>
          </cell>
        </row>
        <row r="59">
          <cell r="O59" t="e">
            <v>#VALUE!</v>
          </cell>
          <cell r="Y59">
            <v>41873</v>
          </cell>
          <cell r="Z59">
            <v>6.2003767774192284E-3</v>
          </cell>
          <cell r="AA59">
            <v>5.6977655342285716E-3</v>
          </cell>
        </row>
        <row r="60">
          <cell r="O60" t="e">
            <v>#VALUE!</v>
          </cell>
          <cell r="Y60">
            <v>41877</v>
          </cell>
          <cell r="Z60">
            <v>6.2374628923176521E-3</v>
          </cell>
          <cell r="AA60">
            <v>5.7250392441021702E-3</v>
          </cell>
        </row>
        <row r="61">
          <cell r="Y61">
            <v>41878</v>
          </cell>
          <cell r="Z61">
            <v>6.2506834206309189E-3</v>
          </cell>
          <cell r="AA61">
            <v>5.7355145400839191E-3</v>
          </cell>
        </row>
        <row r="62">
          <cell r="Y62">
            <v>41879</v>
          </cell>
          <cell r="Z62">
            <v>6.2640215760020757E-3</v>
          </cell>
          <cell r="AA62">
            <v>5.7459130160242289E-3</v>
          </cell>
        </row>
        <row r="63">
          <cell r="O63" t="e">
            <v>#NUM!</v>
          </cell>
          <cell r="Y63">
            <v>41880</v>
          </cell>
          <cell r="Z63">
            <v>6.2696163789341484E-3</v>
          </cell>
          <cell r="AA63">
            <v>5.7666686776614027E-3</v>
          </cell>
        </row>
        <row r="64">
          <cell r="O64" t="e">
            <v>#NUM!</v>
          </cell>
          <cell r="Y64">
            <v>41883</v>
          </cell>
          <cell r="Z64">
            <v>6.3104722125833885E-3</v>
          </cell>
          <cell r="AA64">
            <v>5.7871097323058951E-3</v>
          </cell>
        </row>
        <row r="65">
          <cell r="O65" t="e">
            <v>#NUM!</v>
          </cell>
          <cell r="Y65">
            <v>41884</v>
          </cell>
          <cell r="Z65">
            <v>6.3243483797765709E-3</v>
          </cell>
          <cell r="AA65">
            <v>5.797309614384849E-3</v>
          </cell>
        </row>
        <row r="66">
          <cell r="O66" t="e">
            <v>#NUM!</v>
          </cell>
          <cell r="Y66">
            <v>41885</v>
          </cell>
          <cell r="Z66">
            <v>6.3383578328803777E-3</v>
          </cell>
          <cell r="AA66">
            <v>5.8074697778698336E-3</v>
          </cell>
        </row>
        <row r="67">
          <cell r="O67" t="e">
            <v>#NUM!</v>
          </cell>
          <cell r="Y67">
            <v>41886</v>
          </cell>
          <cell r="Z67">
            <v>6.3525032767209142E-3</v>
          </cell>
          <cell r="AA67">
            <v>5.8175902225177101E-3</v>
          </cell>
        </row>
        <row r="68">
          <cell r="O68" t="e">
            <v>#NUM!</v>
          </cell>
          <cell r="Y68">
            <v>41887</v>
          </cell>
          <cell r="Z68">
            <v>6.3667874161777247E-3</v>
          </cell>
          <cell r="AA68">
            <v>5.8377920827882663E-3</v>
          </cell>
        </row>
        <row r="69">
          <cell r="O69" t="e">
            <v>#NUM!</v>
          </cell>
          <cell r="Y69">
            <v>41890</v>
          </cell>
          <cell r="Z69">
            <v>6.4104990578427948E-3</v>
          </cell>
          <cell r="AA69">
            <v>5.8576748135485968E-3</v>
          </cell>
        </row>
        <row r="70">
          <cell r="O70" t="e">
            <v>#NUM!</v>
          </cell>
          <cell r="Y70">
            <v>41891</v>
          </cell>
          <cell r="Z70">
            <v>6.425365029631553E-3</v>
          </cell>
          <cell r="AA70">
            <v>5.8675966643351174E-3</v>
          </cell>
        </row>
        <row r="71">
          <cell r="Y71">
            <v>41892</v>
          </cell>
          <cell r="Z71">
            <v>6.4403832222429853E-3</v>
          </cell>
          <cell r="AA71">
            <v>5.8774787963655761E-3</v>
          </cell>
        </row>
        <row r="72">
          <cell r="Y72">
            <v>41893</v>
          </cell>
          <cell r="Z72">
            <v>6.4555563408888366E-3</v>
          </cell>
          <cell r="AA72">
            <v>5.8873212097210192E-3</v>
          </cell>
        </row>
        <row r="73">
          <cell r="Y73">
            <v>41894</v>
          </cell>
          <cell r="Z73">
            <v>6.4708870908360703E-3</v>
          </cell>
          <cell r="AA73">
            <v>5.9069692328295184E-3</v>
          </cell>
        </row>
        <row r="74">
          <cell r="Y74">
            <v>41897</v>
          </cell>
          <cell r="Z74">
            <v>6.5178521820748077E-3</v>
          </cell>
          <cell r="AA74">
            <v>5.9262936747717099E-3</v>
          </cell>
        </row>
        <row r="75">
          <cell r="Y75">
            <v>41898</v>
          </cell>
          <cell r="Z75">
            <v>6.5338405111235775E-3</v>
          </cell>
          <cell r="AA75">
            <v>5.9359374941037046E-3</v>
          </cell>
        </row>
        <row r="76">
          <cell r="Y76">
            <v>41899</v>
          </cell>
          <cell r="Z76">
            <v>6.5499999987321152E-3</v>
          </cell>
          <cell r="AA76">
            <v>5.9455415945175449E-3</v>
          </cell>
        </row>
        <row r="77">
          <cell r="Y77">
            <v>41900</v>
          </cell>
          <cell r="Z77">
            <v>6.5663329478171297E-3</v>
          </cell>
          <cell r="AA77">
            <v>5.9551059762563696E-3</v>
          </cell>
        </row>
        <row r="78">
          <cell r="Y78">
            <v>41901</v>
          </cell>
          <cell r="Z78">
            <v>6.5828400504408281E-3</v>
          </cell>
          <cell r="AA78">
            <v>5.974200124543306E-3</v>
          </cell>
        </row>
        <row r="79">
          <cell r="Y79">
            <v>41904</v>
          </cell>
          <cell r="Z79">
            <v>6.6334091733584837E-3</v>
          </cell>
          <cell r="AA79">
            <v>5.9929663148405865E-3</v>
          </cell>
        </row>
        <row r="80">
          <cell r="Y80">
            <v>41905</v>
          </cell>
          <cell r="Z80">
            <v>6.6506157840867481E-3</v>
          </cell>
          <cell r="AA80">
            <v>6.0023321023938703E-3</v>
          </cell>
        </row>
        <row r="81">
          <cell r="Y81">
            <v>41906</v>
          </cell>
          <cell r="Z81">
            <v>6.6679979954671021E-3</v>
          </cell>
          <cell r="AA81">
            <v>6.0116581711910921E-3</v>
          </cell>
        </row>
        <row r="82">
          <cell r="Y82">
            <v>41907</v>
          </cell>
          <cell r="Z82">
            <v>6.7275548218422914E-3</v>
          </cell>
          <cell r="AA82">
            <v>6.0209445211512058E-3</v>
          </cell>
        </row>
        <row r="83">
          <cell r="Y83">
            <v>41908</v>
          </cell>
          <cell r="Z83">
            <v>6.7349608545477961E-3</v>
          </cell>
          <cell r="AA83">
            <v>6.0394847546877779E-3</v>
          </cell>
        </row>
        <row r="84">
          <cell r="Y84">
            <v>41911</v>
          </cell>
          <cell r="Z84">
            <v>6.7575531958173661E-3</v>
          </cell>
          <cell r="AA84">
            <v>6.0577336705558427E-3</v>
          </cell>
        </row>
        <row r="85">
          <cell r="Y85">
            <v>41912</v>
          </cell>
          <cell r="Z85">
            <v>6.7868146370320482E-3</v>
          </cell>
          <cell r="AA85">
            <v>6.0670670538609528E-3</v>
          </cell>
        </row>
        <row r="86">
          <cell r="Y86">
            <v>41913</v>
          </cell>
          <cell r="Z86">
            <v>6.8164347806618699E-3</v>
          </cell>
          <cell r="AA86">
            <v>6.0766063460215847E-3</v>
          </cell>
        </row>
        <row r="87">
          <cell r="Y87">
            <v>41914</v>
          </cell>
          <cell r="Z87">
            <v>6.8243627804763325E-3</v>
          </cell>
          <cell r="AA87">
            <v>6.0863515467135532E-3</v>
          </cell>
        </row>
        <row r="88">
          <cell r="Y88">
            <v>41915</v>
          </cell>
          <cell r="Z88">
            <v>6.8655584516353375E-3</v>
          </cell>
          <cell r="AA88">
            <v>6.106630474892091E-3</v>
          </cell>
        </row>
        <row r="89">
          <cell r="Y89">
            <v>41918</v>
          </cell>
          <cell r="Z89">
            <v>6.9014572222464545E-3</v>
          </cell>
          <cell r="AA89">
            <v>6.1273914376314131E-3</v>
          </cell>
        </row>
        <row r="90">
          <cell r="Y90">
            <v>41919</v>
          </cell>
          <cell r="Z90">
            <v>6.9211331853405314E-3</v>
          </cell>
          <cell r="AA90">
            <v>6.1381661824388978E-3</v>
          </cell>
        </row>
        <row r="91">
          <cell r="Y91">
            <v>41920</v>
          </cell>
          <cell r="Z91">
            <v>6.9409653135187703E-3</v>
          </cell>
          <cell r="AA91">
            <v>6.1491468359398116E-3</v>
          </cell>
        </row>
        <row r="92">
          <cell r="Y92">
            <v>41921</v>
          </cell>
          <cell r="Z92">
            <v>6.9609512187436967E-3</v>
          </cell>
          <cell r="AA92">
            <v>6.1603333984583397E-3</v>
          </cell>
        </row>
        <row r="93">
          <cell r="Y93">
            <v>41922</v>
          </cell>
          <cell r="Z93">
            <v>7.0040779965699291E-3</v>
          </cell>
          <cell r="AA93">
            <v>6.1834976384219278E-3</v>
          </cell>
        </row>
        <row r="94">
          <cell r="Y94">
            <v>41925</v>
          </cell>
          <cell r="Z94">
            <v>7.0423848482931263E-3</v>
          </cell>
          <cell r="AA94">
            <v>6.2071387372497622E-3</v>
          </cell>
        </row>
        <row r="95">
          <cell r="Y95">
            <v>41926</v>
          </cell>
          <cell r="Z95">
            <v>7.0631038171049638E-3</v>
          </cell>
          <cell r="AA95">
            <v>6.2193548442890378E-3</v>
          </cell>
        </row>
        <row r="96">
          <cell r="Y96">
            <v>41927</v>
          </cell>
          <cell r="Z96">
            <v>7.0839622340761847E-3</v>
          </cell>
          <cell r="AA96">
            <v>6.2317768603459278E-3</v>
          </cell>
        </row>
        <row r="97">
          <cell r="Y97">
            <v>41928</v>
          </cell>
          <cell r="Z97">
            <v>7.1049577109385115E-3</v>
          </cell>
          <cell r="AA97">
            <v>6.2444047854204321E-3</v>
          </cell>
        </row>
        <row r="98">
          <cell r="Y98">
            <v>41929</v>
          </cell>
          <cell r="Z98">
            <v>7.1497295921632269E-3</v>
          </cell>
          <cell r="AA98">
            <v>6.2704547178974819E-3</v>
          </cell>
        </row>
        <row r="99">
          <cell r="Y99">
            <v>41932</v>
          </cell>
          <cell r="Z99">
            <v>7.1902624506850112E-3</v>
          </cell>
          <cell r="AA99">
            <v>6.2969755760566848E-3</v>
          </cell>
        </row>
        <row r="100">
          <cell r="Y100">
            <v>41933</v>
          </cell>
          <cell r="Z100">
            <v>7.2119074017092527E-3</v>
          </cell>
          <cell r="AA100">
            <v>6.3106330464623994E-3</v>
          </cell>
        </row>
        <row r="101">
          <cell r="Y101">
            <v>41934</v>
          </cell>
          <cell r="Z101">
            <v>7.2336750822361781E-3</v>
          </cell>
          <cell r="AA101">
            <v>6.3244964259667746E-3</v>
          </cell>
        </row>
        <row r="102">
          <cell r="Y102">
            <v>41935</v>
          </cell>
          <cell r="Z102">
            <v>7.2555631037305853E-3</v>
          </cell>
          <cell r="AA102">
            <v>6.3385657146508567E-3</v>
          </cell>
        </row>
        <row r="103">
          <cell r="Y103">
            <v>41936</v>
          </cell>
          <cell r="Z103">
            <v>7.3017114844077672E-3</v>
          </cell>
          <cell r="AA103">
            <v>6.3675017349851268E-3</v>
          </cell>
        </row>
        <row r="104">
          <cell r="Y104">
            <v>41939</v>
          </cell>
          <cell r="Z104">
            <v>7.3442708271734382E-3</v>
          </cell>
          <cell r="AA104">
            <v>6.3969019614273925E-3</v>
          </cell>
        </row>
        <row r="105">
          <cell r="Y105">
            <v>41940</v>
          </cell>
          <cell r="Z105">
            <v>7.3667247239725632E-3</v>
          </cell>
          <cell r="AA105">
            <v>6.4120007963341941E-3</v>
          </cell>
        </row>
        <row r="106">
          <cell r="Y106">
            <v>41941</v>
          </cell>
          <cell r="Z106">
            <v>7.3892846296205851E-3</v>
          </cell>
          <cell r="AA106">
            <v>6.4273055405017487E-3</v>
          </cell>
        </row>
        <row r="107">
          <cell r="Y107">
            <v>41942</v>
          </cell>
          <cell r="Z107">
            <v>7.4119481552757356E-3</v>
          </cell>
          <cell r="AA107">
            <v>6.4428161939300566E-3</v>
          </cell>
        </row>
        <row r="108">
          <cell r="Y108">
            <v>41943</v>
          </cell>
          <cell r="Z108">
            <v>7.4224669389938739E-3</v>
          </cell>
          <cell r="AA108">
            <v>6.474638713782622E-3</v>
          </cell>
        </row>
        <row r="109">
          <cell r="Y109">
            <v>41946</v>
          </cell>
          <cell r="Z109">
            <v>7.5035906794936828E-3</v>
          </cell>
          <cell r="AA109">
            <v>6.5069179017096523E-3</v>
          </cell>
        </row>
        <row r="110">
          <cell r="Y110">
            <v>41947</v>
          </cell>
          <cell r="Z110">
            <v>7.5267364709105779E-3</v>
          </cell>
          <cell r="AA110">
            <v>6.523458102333235E-3</v>
          </cell>
        </row>
        <row r="111">
          <cell r="Y111">
            <v>41948</v>
          </cell>
          <cell r="Z111">
            <v>7.5499715482876453E-3</v>
          </cell>
          <cell r="AA111">
            <v>6.5402042123796633E-3</v>
          </cell>
        </row>
        <row r="112">
          <cell r="Y112">
            <v>41949</v>
          </cell>
          <cell r="Z112">
            <v>7.5732935224474759E-3</v>
          </cell>
          <cell r="AA112">
            <v>6.5571562320110299E-3</v>
          </cell>
        </row>
        <row r="113">
          <cell r="Y113">
            <v>41950</v>
          </cell>
          <cell r="Z113">
            <v>7.6214586719288973E-3</v>
          </cell>
          <cell r="AA113">
            <v>6.5918656809812095E-3</v>
          </cell>
        </row>
        <row r="114">
          <cell r="Y114">
            <v>41953</v>
          </cell>
          <cell r="Z114">
            <v>7.6674026015630349E-3</v>
          </cell>
          <cell r="AA114">
            <v>6.6270234061427402E-3</v>
          </cell>
        </row>
        <row r="115">
          <cell r="Y115">
            <v>41954</v>
          </cell>
          <cell r="Z115">
            <v>7.6911232201740719E-3</v>
          </cell>
          <cell r="AA115">
            <v>6.6450049737798444E-3</v>
          </cell>
        </row>
        <row r="116">
          <cell r="Y116">
            <v>41955</v>
          </cell>
          <cell r="Z116">
            <v>7.7149163994216421E-3</v>
          </cell>
          <cell r="AA116">
            <v>6.6631924510829332E-3</v>
          </cell>
        </row>
        <row r="117">
          <cell r="Y117">
            <v>41956</v>
          </cell>
          <cell r="Z117">
            <v>7.7387797497645103E-3</v>
          </cell>
          <cell r="AA117">
            <v>6.6815858382140991E-3</v>
          </cell>
        </row>
        <row r="118">
          <cell r="Y118">
            <v>41957</v>
          </cell>
          <cell r="Z118">
            <v>7.7876199532694989E-3</v>
          </cell>
          <cell r="AA118">
            <v>6.7191826657035198E-3</v>
          </cell>
        </row>
        <row r="119">
          <cell r="Y119">
            <v>41960</v>
          </cell>
          <cell r="Z119">
            <v>7.8348870693755682E-3</v>
          </cell>
          <cell r="AA119">
            <v>6.7572184844522099E-3</v>
          </cell>
        </row>
        <row r="120">
          <cell r="Y120">
            <v>41961</v>
          </cell>
          <cell r="Z120">
            <v>7.8590654301850492E-3</v>
          </cell>
          <cell r="AA120">
            <v>6.7766414207237613E-3</v>
          </cell>
        </row>
        <row r="121">
          <cell r="Y121">
            <v>41962</v>
          </cell>
          <cell r="Z121">
            <v>7.8832996237033735E-3</v>
          </cell>
          <cell r="AA121">
            <v>6.7962702668233899E-3</v>
          </cell>
        </row>
        <row r="122">
          <cell r="Y122">
            <v>41963</v>
          </cell>
          <cell r="Z122">
            <v>7.9075872600052177E-3</v>
          </cell>
          <cell r="AA122">
            <v>6.8161050229131881E-3</v>
          </cell>
        </row>
        <row r="123">
          <cell r="Y123">
            <v>41964</v>
          </cell>
          <cell r="Z123">
            <v>7.9569034838951492E-3</v>
          </cell>
          <cell r="AA123">
            <v>6.8565896996656646E-3</v>
          </cell>
        </row>
        <row r="124">
          <cell r="Y124">
            <v>41967</v>
          </cell>
          <cell r="Z124">
            <v>8.0052244325838923E-3</v>
          </cell>
          <cell r="AA124">
            <v>6.8975031475793092E-3</v>
          </cell>
        </row>
        <row r="125">
          <cell r="Y125">
            <v>41968</v>
          </cell>
          <cell r="Z125">
            <v>8.029743431958121E-3</v>
          </cell>
          <cell r="AA125">
            <v>6.9183674539441409E-3</v>
          </cell>
        </row>
        <row r="126">
          <cell r="Y126">
            <v>41969</v>
          </cell>
          <cell r="Z126">
            <v>8.0543015333764279E-3</v>
          </cell>
          <cell r="AA126">
            <v>6.9394376705422811E-3</v>
          </cell>
        </row>
        <row r="127">
          <cell r="Y127">
            <v>41970</v>
          </cell>
          <cell r="Z127">
            <v>8.0788963465170671E-3</v>
          </cell>
          <cell r="AA127">
            <v>6.9607137972926836E-3</v>
          </cell>
        </row>
        <row r="128">
          <cell r="Y128">
            <v>41971</v>
          </cell>
          <cell r="Z128">
            <v>8.0910297672692807E-3</v>
          </cell>
          <cell r="AA128">
            <v>7.0040868170151436E-3</v>
          </cell>
        </row>
        <row r="129">
          <cell r="Y129">
            <v>41974</v>
          </cell>
          <cell r="Z129">
            <v>8.165105693366051E-3</v>
          </cell>
          <cell r="AA129">
            <v>7.0478774071136563E-3</v>
          </cell>
        </row>
        <row r="130">
          <cell r="Y130">
            <v>41975</v>
          </cell>
          <cell r="Z130">
            <v>8.1773614422485288E-3</v>
          </cell>
          <cell r="AA130">
            <v>7.0701830854358327E-3</v>
          </cell>
        </row>
        <row r="131">
          <cell r="Y131">
            <v>41976</v>
          </cell>
          <cell r="Z131">
            <v>8.2021331249147646E-3</v>
          </cell>
          <cell r="AA131">
            <v>7.0926946741534103E-3</v>
          </cell>
        </row>
        <row r="132">
          <cell r="Y132">
            <v>41977</v>
          </cell>
          <cell r="Z132">
            <v>8.2269255249906026E-3</v>
          </cell>
          <cell r="AA132">
            <v>7.1154121733474351E-3</v>
          </cell>
        </row>
        <row r="133">
          <cell r="Y133">
            <v>41978</v>
          </cell>
          <cell r="Z133">
            <v>8.2517361986776342E-3</v>
          </cell>
          <cell r="AA133">
            <v>7.1616740544659203E-3</v>
          </cell>
        </row>
        <row r="134">
          <cell r="Y134">
            <v>41981</v>
          </cell>
          <cell r="Z134">
            <v>8.3387179359026252E-3</v>
          </cell>
          <cell r="AA134">
            <v>7.2083412755363785E-3</v>
          </cell>
        </row>
        <row r="135">
          <cell r="Y135">
            <v>41982</v>
          </cell>
          <cell r="Z135">
            <v>8.3511127514478544E-3</v>
          </cell>
          <cell r="AA135">
            <v>7.2320883276799641E-3</v>
          </cell>
        </row>
        <row r="136">
          <cell r="Y136">
            <v>41983</v>
          </cell>
          <cell r="Z136">
            <v>8.3759781341047838E-3</v>
          </cell>
          <cell r="AA136">
            <v>7.2560412903810434E-3</v>
          </cell>
        </row>
        <row r="137">
          <cell r="Y137">
            <v>41984</v>
          </cell>
          <cell r="Z137">
            <v>8.4008471263208196E-3</v>
          </cell>
          <cell r="AA137">
            <v>7.2802001639638014E-3</v>
          </cell>
        </row>
        <row r="138">
          <cell r="Y138">
            <v>41985</v>
          </cell>
          <cell r="Z138">
            <v>8.4257172838779152E-3</v>
          </cell>
          <cell r="AA138">
            <v>7.3293514512173816E-3</v>
          </cell>
        </row>
        <row r="139">
          <cell r="Y139">
            <v>41988</v>
          </cell>
          <cell r="Z139">
            <v>8.5127348043686889E-3</v>
          </cell>
          <cell r="AA139">
            <v>7.3788947662201121E-3</v>
          </cell>
        </row>
        <row r="140">
          <cell r="Y140">
            <v>41989</v>
          </cell>
          <cell r="Z140">
            <v>8.5251606810873917E-3</v>
          </cell>
          <cell r="AA140">
            <v>7.4040831939681251E-3</v>
          </cell>
        </row>
        <row r="141">
          <cell r="Y141">
            <v>41990</v>
          </cell>
          <cell r="Z141">
            <v>8.5499999999997366E-3</v>
          </cell>
          <cell r="AA141">
            <v>7.4294409438491193E-3</v>
          </cell>
        </row>
        <row r="142">
          <cell r="Y142">
            <v>41991</v>
          </cell>
          <cell r="Z142">
            <v>8.5748263170732919E-3</v>
          </cell>
          <cell r="AA142">
            <v>7.4548216598957495E-3</v>
          </cell>
        </row>
        <row r="143">
          <cell r="Y143">
            <v>41992</v>
          </cell>
          <cell r="Z143">
            <v>8.5996396846000182E-3</v>
          </cell>
          <cell r="AA143">
            <v>7.5056920206217912E-3</v>
          </cell>
        </row>
        <row r="144">
          <cell r="Y144">
            <v>41995</v>
          </cell>
          <cell r="Z144">
            <v>8.6863971209294819E-3</v>
          </cell>
          <cell r="AA144">
            <v>7.5562082966307287E-3</v>
          </cell>
        </row>
        <row r="145">
          <cell r="Y145">
            <v>41996</v>
          </cell>
          <cell r="Z145">
            <v>8.6987746930152644E-3</v>
          </cell>
          <cell r="AA145">
            <v>7.5815208990326344E-3</v>
          </cell>
        </row>
        <row r="146">
          <cell r="Y146">
            <v>41997</v>
          </cell>
          <cell r="Z146">
            <v>8.7235315882616682E-3</v>
          </cell>
          <cell r="AA146">
            <v>7.6576846404790011E-3</v>
          </cell>
        </row>
        <row r="147">
          <cell r="Y147">
            <v>42002</v>
          </cell>
          <cell r="Z147">
            <v>8.8595616873553204E-3</v>
          </cell>
          <cell r="AA147">
            <v>7.7331104349853685E-3</v>
          </cell>
        </row>
        <row r="148">
          <cell r="Y148">
            <v>42003</v>
          </cell>
          <cell r="Z148">
            <v>8.8718898471654966E-3</v>
          </cell>
          <cell r="AA148">
            <v>7.7583276779280563E-3</v>
          </cell>
        </row>
        <row r="149">
          <cell r="Y149">
            <v>42004</v>
          </cell>
          <cell r="Z149">
            <v>8.8965908549651432E-3</v>
          </cell>
          <cell r="AA149">
            <v>7.7962095562633671E-3</v>
          </cell>
        </row>
        <row r="150">
          <cell r="Y150">
            <v>42006</v>
          </cell>
          <cell r="Z150">
            <v>8.9459760924273223E-3</v>
          </cell>
          <cell r="AA150">
            <v>7.8592251001582038E-3</v>
          </cell>
        </row>
        <row r="151">
          <cell r="Y151">
            <v>42009</v>
          </cell>
          <cell r="Z151">
            <v>9.0448092571044046E-3</v>
          </cell>
          <cell r="AA151">
            <v>7.9093450572875756E-3</v>
          </cell>
        </row>
        <row r="152">
          <cell r="Y152">
            <v>42010</v>
          </cell>
          <cell r="Z152">
            <v>9.0570906236065868E-3</v>
          </cell>
          <cell r="AA152">
            <v>7.9344669406899992E-3</v>
          </cell>
        </row>
        <row r="153">
          <cell r="Y153">
            <v>42011</v>
          </cell>
          <cell r="Z153">
            <v>9.0693670677724682E-3</v>
          </cell>
          <cell r="AA153">
            <v>7.959575201428315E-3</v>
          </cell>
        </row>
        <row r="154">
          <cell r="Y154">
            <v>42012</v>
          </cell>
          <cell r="Z154">
            <v>9.0940373149425158E-3</v>
          </cell>
          <cell r="AA154">
            <v>7.984669839259384E-3</v>
          </cell>
        </row>
        <row r="155">
          <cell r="Y155">
            <v>42013</v>
          </cell>
          <cell r="Z155">
            <v>9.1187062006611187E-3</v>
          </cell>
          <cell r="AA155">
            <v>8.0349905782295394E-3</v>
          </cell>
        </row>
        <row r="156">
          <cell r="Y156">
            <v>42016</v>
          </cell>
          <cell r="Z156">
            <v>9.2051364015247328E-3</v>
          </cell>
          <cell r="AA156">
            <v>8.0849121626458409E-3</v>
          </cell>
        </row>
        <row r="157">
          <cell r="Y157">
            <v>42017</v>
          </cell>
          <cell r="Z157">
            <v>9.21737916846916E-3</v>
          </cell>
          <cell r="AA157">
            <v>8.1099386865080003E-3</v>
          </cell>
        </row>
        <row r="158">
          <cell r="Y158">
            <v>42018</v>
          </cell>
          <cell r="Z158">
            <v>9.2420495266302884E-3</v>
          </cell>
          <cell r="AA158">
            <v>8.1349515875439593E-3</v>
          </cell>
        </row>
        <row r="159">
          <cell r="Y159">
            <v>42019</v>
          </cell>
          <cell r="Z159">
            <v>9.2667218353142469E-3</v>
          </cell>
          <cell r="AA159">
            <v>8.1599508656726716E-3</v>
          </cell>
        </row>
        <row r="160">
          <cell r="Y160">
            <v>42020</v>
          </cell>
          <cell r="Z160">
            <v>9.2913966465623735E-3</v>
          </cell>
          <cell r="AA160">
            <v>8.2100886779460751E-3</v>
          </cell>
        </row>
        <row r="161">
          <cell r="Y161">
            <v>42023</v>
          </cell>
          <cell r="Z161">
            <v>9.3779210173396688E-3</v>
          </cell>
          <cell r="AA161">
            <v>8.2598117502497015E-3</v>
          </cell>
        </row>
        <row r="162">
          <cell r="Y162">
            <v>42024</v>
          </cell>
          <cell r="Z162">
            <v>9.3901319585114121E-3</v>
          </cell>
          <cell r="AA162">
            <v>8.2847429142474116E-3</v>
          </cell>
        </row>
        <row r="163">
          <cell r="Y163">
            <v>42025</v>
          </cell>
          <cell r="Z163">
            <v>9.4148275636849344E-3</v>
          </cell>
          <cell r="AA163">
            <v>8.3096604554999676E-3</v>
          </cell>
        </row>
        <row r="164">
          <cell r="Y164">
            <v>42026</v>
          </cell>
          <cell r="Z164">
            <v>9.4395289839597218E-3</v>
          </cell>
          <cell r="AA164">
            <v>8.3345643739263231E-3</v>
          </cell>
        </row>
        <row r="165">
          <cell r="Y165">
            <v>42027</v>
          </cell>
          <cell r="Z165">
            <v>9.464236771468966E-3</v>
          </cell>
          <cell r="AA165">
            <v>8.3845193964441726E-3</v>
          </cell>
        </row>
        <row r="166">
          <cell r="Y166">
            <v>42030</v>
          </cell>
          <cell r="Z166">
            <v>9.550953504697238E-3</v>
          </cell>
          <cell r="AA166">
            <v>8.4340438189645095E-3</v>
          </cell>
        </row>
        <row r="167">
          <cell r="Y167">
            <v>42031</v>
          </cell>
          <cell r="Z167">
            <v>9.5631426370726361E-3</v>
          </cell>
          <cell r="AA167">
            <v>8.4588796230977703E-3</v>
          </cell>
        </row>
        <row r="168">
          <cell r="Y168">
            <v>42032</v>
          </cell>
          <cell r="Z168">
            <v>9.5878905432806253E-3</v>
          </cell>
          <cell r="AA168">
            <v>8.4837018044048307E-3</v>
          </cell>
        </row>
        <row r="169">
          <cell r="Y169">
            <v>42033</v>
          </cell>
          <cell r="Z169">
            <v>9.6126481298256898E-3</v>
          </cell>
          <cell r="AA169">
            <v>8.5085103628046443E-3</v>
          </cell>
        </row>
        <row r="170">
          <cell r="Y170">
            <v>42034</v>
          </cell>
          <cell r="Z170">
            <v>9.6374159489400757E-3</v>
          </cell>
          <cell r="AA170">
            <v>8.5582827308331826E-3</v>
          </cell>
        </row>
        <row r="171">
          <cell r="Y171">
            <v>42037</v>
          </cell>
          <cell r="Z171">
            <v>9.737067001653537E-3</v>
          </cell>
          <cell r="AA171">
            <v>8.6076083679798021E-3</v>
          </cell>
        </row>
        <row r="172">
          <cell r="Y172">
            <v>42038</v>
          </cell>
          <cell r="Z172">
            <v>9.74924872344274E-3</v>
          </cell>
          <cell r="AA172">
            <v>8.6323488120054748E-3</v>
          </cell>
        </row>
        <row r="173">
          <cell r="Y173">
            <v>42039</v>
          </cell>
          <cell r="Z173">
            <v>9.761427862046812E-3</v>
          </cell>
          <cell r="AA173">
            <v>8.6570756332859933E-3</v>
          </cell>
        </row>
        <row r="174">
          <cell r="Y174">
            <v>42040</v>
          </cell>
          <cell r="Z174">
            <v>9.7736045035533934E-3</v>
          </cell>
          <cell r="AA174">
            <v>8.6817888315782188E-3</v>
          </cell>
        </row>
        <row r="175">
          <cell r="Y175">
            <v>42041</v>
          </cell>
          <cell r="Z175">
            <v>9.7984454969343125E-3</v>
          </cell>
          <cell r="AA175">
            <v>8.7313786782494685E-3</v>
          </cell>
        </row>
        <row r="176">
          <cell r="Y176">
            <v>42044</v>
          </cell>
          <cell r="Z176">
            <v>9.8985113849154437E-3</v>
          </cell>
          <cell r="AA176">
            <v>8.7805053962419777E-3</v>
          </cell>
        </row>
        <row r="177">
          <cell r="Y177">
            <v>42045</v>
          </cell>
          <cell r="Z177">
            <v>9.9106952602178791E-3</v>
          </cell>
          <cell r="AA177">
            <v>8.8051504800790159E-3</v>
          </cell>
        </row>
        <row r="178">
          <cell r="Y178">
            <v>42046</v>
          </cell>
          <cell r="Z178">
            <v>9.9228777351545068E-3</v>
          </cell>
          <cell r="AA178">
            <v>8.8297819410898537E-3</v>
          </cell>
        </row>
        <row r="179">
          <cell r="Y179">
            <v>42047</v>
          </cell>
          <cell r="Z179">
            <v>9.9478135469788474E-3</v>
          </cell>
          <cell r="AA179">
            <v>8.8543997792744911E-3</v>
          </cell>
        </row>
        <row r="180">
          <cell r="Y180">
            <v>42048</v>
          </cell>
          <cell r="Z180">
            <v>9.9727671168974852E-3</v>
          </cell>
          <cell r="AA180">
            <v>8.9038072358834288E-3</v>
          </cell>
        </row>
        <row r="181">
          <cell r="Y181">
            <v>42051</v>
          </cell>
          <cell r="Z181">
            <v>1.0073411504536481E-2</v>
          </cell>
          <cell r="AA181">
            <v>8.9527349027784808E-3</v>
          </cell>
        </row>
        <row r="182">
          <cell r="Y182">
            <v>42052</v>
          </cell>
          <cell r="Z182">
            <v>1.0085616086375137E-2</v>
          </cell>
          <cell r="AA182">
            <v>8.9772846264268846E-3</v>
          </cell>
        </row>
        <row r="183">
          <cell r="Y183">
            <v>42053</v>
          </cell>
          <cell r="Z183">
            <v>1.0097820889909653E-2</v>
          </cell>
          <cell r="AA183">
            <v>9.0018207270869954E-3</v>
          </cell>
        </row>
        <row r="184">
          <cell r="Y184">
            <v>42054</v>
          </cell>
          <cell r="Z184">
            <v>1.012289273978584E-2</v>
          </cell>
          <cell r="AA184">
            <v>9.0263432047588132E-3</v>
          </cell>
        </row>
        <row r="185">
          <cell r="Y185">
            <v>42055</v>
          </cell>
          <cell r="Z185">
            <v>1.014798625834956E-2</v>
          </cell>
          <cell r="AA185">
            <v>9.0755684008714272E-3</v>
          </cell>
        </row>
        <row r="186">
          <cell r="Y186">
            <v>42058</v>
          </cell>
          <cell r="Z186">
            <v>1.0262281023250721E-2</v>
          </cell>
          <cell r="AA186">
            <v>9.1242968866978025E-3</v>
          </cell>
        </row>
        <row r="187">
          <cell r="Y187">
            <v>42059</v>
          </cell>
          <cell r="Z187">
            <v>1.027452949998744E-2</v>
          </cell>
          <cell r="AA187">
            <v>9.1487512498333867E-3</v>
          </cell>
        </row>
        <row r="188">
          <cell r="Y188">
            <v>42060</v>
          </cell>
          <cell r="Z188">
            <v>1.0286780308322445E-2</v>
          </cell>
          <cell r="AA188">
            <v>9.1731919900617243E-3</v>
          </cell>
        </row>
        <row r="189">
          <cell r="Y189">
            <v>42061</v>
          </cell>
          <cell r="Z189">
            <v>1.0299033700964572E-2</v>
          </cell>
          <cell r="AA189">
            <v>9.1976191073828151E-3</v>
          </cell>
        </row>
        <row r="190">
          <cell r="Y190">
            <v>42062</v>
          </cell>
          <cell r="Z190">
            <v>1.0350341689844217E-2</v>
          </cell>
          <cell r="AA190">
            <v>9.2466621703768421E-3</v>
          </cell>
        </row>
        <row r="191">
          <cell r="Y191">
            <v>42065</v>
          </cell>
          <cell r="Z191">
            <v>1.0439487756392458E-2</v>
          </cell>
          <cell r="AA191">
            <v>9.2951913471084335E-3</v>
          </cell>
        </row>
        <row r="192">
          <cell r="Y192">
            <v>42066</v>
          </cell>
          <cell r="Z192">
            <v>1.046491106635777E-2</v>
          </cell>
          <cell r="AA192">
            <v>9.3195503496501519E-3</v>
          </cell>
        </row>
        <row r="193">
          <cell r="Y193">
            <v>42067</v>
          </cell>
          <cell r="Z193">
            <v>1.0490363014057235E-2</v>
          </cell>
          <cell r="AA193">
            <v>9.3438957292846236E-3</v>
          </cell>
        </row>
        <row r="194">
          <cell r="Y194">
            <v>42068</v>
          </cell>
          <cell r="Z194">
            <v>1.0515844140241329E-2</v>
          </cell>
          <cell r="AA194">
            <v>9.3682274860118486E-3</v>
          </cell>
        </row>
        <row r="195">
          <cell r="Y195">
            <v>42069</v>
          </cell>
          <cell r="Z195">
            <v>1.0567733120815936E-2</v>
          </cell>
          <cell r="AA195">
            <v>9.4170885415900702E-3</v>
          </cell>
        </row>
        <row r="196">
          <cell r="Y196">
            <v>42072</v>
          </cell>
          <cell r="Z196">
            <v>1.0618071245325947E-2</v>
          </cell>
          <cell r="AA196">
            <v>9.4654182830378186E-3</v>
          </cell>
        </row>
        <row r="197">
          <cell r="Y197">
            <v>42073</v>
          </cell>
          <cell r="Z197">
            <v>1.0643706375687168E-2</v>
          </cell>
          <cell r="AA197">
            <v>9.4896819248235786E-3</v>
          </cell>
        </row>
        <row r="198">
          <cell r="Y198">
            <v>42074</v>
          </cell>
          <cell r="Z198">
            <v>1.0669373929338035E-2</v>
          </cell>
          <cell r="AA198">
            <v>9.5139319437020919E-3</v>
          </cell>
        </row>
        <row r="199">
          <cell r="Y199">
            <v>42075</v>
          </cell>
          <cell r="Z199">
            <v>1.069507444713033E-2</v>
          </cell>
          <cell r="AA199">
            <v>9.5381683396733585E-3</v>
          </cell>
        </row>
        <row r="200">
          <cell r="Y200">
            <v>42076</v>
          </cell>
          <cell r="Z200">
            <v>1.0747448116798012E-2</v>
          </cell>
          <cell r="AA200">
            <v>9.5868475117285214E-3</v>
          </cell>
        </row>
        <row r="201">
          <cell r="Y201">
            <v>42079</v>
          </cell>
          <cell r="Z201">
            <v>1.0798216977264817E-2</v>
          </cell>
          <cell r="AA201">
            <v>9.6349776934323561E-3</v>
          </cell>
        </row>
        <row r="202">
          <cell r="Y202">
            <v>42080</v>
          </cell>
          <cell r="Z202">
            <v>1.0824090429059883E-2</v>
          </cell>
          <cell r="AA202">
            <v>9.6591542359147908E-3</v>
          </cell>
        </row>
        <row r="203">
          <cell r="Y203">
            <v>42081</v>
          </cell>
          <cell r="Z203">
            <v>1.0850000000378274E-2</v>
          </cell>
          <cell r="AA203">
            <v>9.6833584624289593E-3</v>
          </cell>
        </row>
        <row r="204">
          <cell r="Y204">
            <v>42082</v>
          </cell>
          <cell r="Z204">
            <v>1.0875945636827367E-2</v>
          </cell>
          <cell r="AA204">
            <v>9.7075986345085408E-3</v>
          </cell>
        </row>
        <row r="205">
          <cell r="Y205">
            <v>42083</v>
          </cell>
          <cell r="Z205">
            <v>1.0928822455894573E-2</v>
          </cell>
          <cell r="AA205">
            <v>9.756459575541351E-3</v>
          </cell>
        </row>
        <row r="206">
          <cell r="Y206">
            <v>42086</v>
          </cell>
          <cell r="Z206">
            <v>1.098007288240704E-2</v>
          </cell>
          <cell r="AA206">
            <v>9.804918778562044E-3</v>
          </cell>
        </row>
        <row r="207">
          <cell r="Y207">
            <v>42087</v>
          </cell>
          <cell r="Z207">
            <v>1.1006186517835461E-2</v>
          </cell>
          <cell r="AA207">
            <v>9.8293386785497372E-3</v>
          </cell>
        </row>
        <row r="208">
          <cell r="Y208">
            <v>42088</v>
          </cell>
          <cell r="Z208">
            <v>1.1032331142433424E-2</v>
          </cell>
          <cell r="AA208">
            <v>9.8537945241028435E-3</v>
          </cell>
        </row>
        <row r="209">
          <cell r="Y209">
            <v>42089</v>
          </cell>
          <cell r="Z209">
            <v>1.1058505885941818E-2</v>
          </cell>
          <cell r="AA209">
            <v>9.8782863153024092E-3</v>
          </cell>
        </row>
        <row r="210">
          <cell r="Y210">
            <v>42090</v>
          </cell>
          <cell r="Z210">
            <v>1.1111794942414504E-2</v>
          </cell>
          <cell r="AA210">
            <v>9.9276597266380797E-3</v>
          </cell>
        </row>
        <row r="211">
          <cell r="Y211">
            <v>42093</v>
          </cell>
          <cell r="Z211">
            <v>1.116348864310652E-2</v>
          </cell>
          <cell r="AA211">
            <v>9.9766129361600342E-3</v>
          </cell>
        </row>
        <row r="212">
          <cell r="Y212">
            <v>42094</v>
          </cell>
          <cell r="Z212">
            <v>1.1176225751434414E-2</v>
          </cell>
          <cell r="AA212">
            <v>1.0001284455429804E-2</v>
          </cell>
        </row>
        <row r="213">
          <cell r="Y213">
            <v>42095</v>
          </cell>
          <cell r="Z213">
            <v>1.1202554588325871E-2</v>
          </cell>
          <cell r="AA213">
            <v>1.0025991920346033E-2</v>
          </cell>
        </row>
        <row r="214">
          <cell r="Y214">
            <v>42096</v>
          </cell>
          <cell r="Z214">
            <v>1.1228908195339581E-2</v>
          </cell>
          <cell r="AA214">
            <v>1.0100924948002632E-2</v>
          </cell>
        </row>
        <row r="215">
          <cell r="Y215">
            <v>42101</v>
          </cell>
          <cell r="Z215">
            <v>1.1361016982482125E-2</v>
          </cell>
          <cell r="AA215">
            <v>1.017499156898638E-2</v>
          </cell>
        </row>
        <row r="216">
          <cell r="Y216">
            <v>42102</v>
          </cell>
          <cell r="Z216">
            <v>1.1387500730056409E-2</v>
          </cell>
          <cell r="AA216">
            <v>1.0199950653670964E-2</v>
          </cell>
        </row>
        <row r="217">
          <cell r="Y217">
            <v>42103</v>
          </cell>
          <cell r="Z217">
            <v>1.1414003087481254E-2</v>
          </cell>
          <cell r="AA217">
            <v>1.0224945684083053E-2</v>
          </cell>
        </row>
        <row r="218">
          <cell r="Y218">
            <v>42104</v>
          </cell>
          <cell r="Z218">
            <v>1.1440523174628781E-2</v>
          </cell>
          <cell r="AA218">
            <v>1.0275344817391638E-2</v>
          </cell>
        </row>
        <row r="219">
          <cell r="Y219">
            <v>42107</v>
          </cell>
          <cell r="Z219">
            <v>1.1520181012756436E-2</v>
          </cell>
          <cell r="AA219">
            <v>1.0325285262763328E-2</v>
          </cell>
        </row>
        <row r="220">
          <cell r="Y220">
            <v>42108</v>
          </cell>
          <cell r="Z220">
            <v>1.1546763217030558E-2</v>
          </cell>
          <cell r="AA220">
            <v>1.03504600217319E-2</v>
          </cell>
        </row>
        <row r="221">
          <cell r="Y221">
            <v>42109</v>
          </cell>
          <cell r="Z221">
            <v>1.1573358750030851E-2</v>
          </cell>
          <cell r="AA221">
            <v>1.0375670726509023E-2</v>
          </cell>
        </row>
        <row r="222">
          <cell r="Y222">
            <v>42110</v>
          </cell>
          <cell r="Z222">
            <v>1.159996673148961E-2</v>
          </cell>
          <cell r="AA222">
            <v>1.0400917377013652E-2</v>
          </cell>
        </row>
        <row r="223">
          <cell r="Y223">
            <v>42111</v>
          </cell>
          <cell r="Z223">
            <v>1.1626586281114196E-2</v>
          </cell>
          <cell r="AA223">
            <v>1.0451829772123075E-2</v>
          </cell>
        </row>
        <row r="224">
          <cell r="Y224">
            <v>42114</v>
          </cell>
          <cell r="Z224">
            <v>1.1706505535723426E-2</v>
          </cell>
          <cell r="AA224">
            <v>1.0502263436793502E-2</v>
          </cell>
        </row>
        <row r="225">
          <cell r="Y225">
            <v>42115</v>
          </cell>
          <cell r="Z225">
            <v>1.1733162554632488E-2</v>
          </cell>
          <cell r="AA225">
            <v>1.0527689816259844E-2</v>
          </cell>
        </row>
        <row r="226">
          <cell r="Y226">
            <v>42116</v>
          </cell>
          <cell r="Z226">
            <v>1.175982673990218E-2</v>
          </cell>
          <cell r="AA226">
            <v>1.0553152141453692E-2</v>
          </cell>
        </row>
        <row r="227">
          <cell r="Y227">
            <v>42117</v>
          </cell>
          <cell r="Z227">
            <v>1.1786497211100927E-2</v>
          </cell>
          <cell r="AA227">
            <v>1.0578650412537138E-2</v>
          </cell>
        </row>
        <row r="228">
          <cell r="Y228">
            <v>42118</v>
          </cell>
          <cell r="Z228">
            <v>1.1813173087773996E-2</v>
          </cell>
          <cell r="AA228">
            <v>1.0630076343356814E-2</v>
          </cell>
        </row>
        <row r="229">
          <cell r="Y229">
            <v>42121</v>
          </cell>
          <cell r="Z229">
            <v>1.1893224345742691E-2</v>
          </cell>
          <cell r="AA229">
            <v>1.0681002954875396E-2</v>
          </cell>
        </row>
        <row r="230">
          <cell r="Y230">
            <v>42122</v>
          </cell>
          <cell r="Z230">
            <v>1.1919913039301714E-2</v>
          </cell>
          <cell r="AA230">
            <v>1.0706680955082648E-2</v>
          </cell>
        </row>
        <row r="231">
          <cell r="Y231">
            <v>42123</v>
          </cell>
          <cell r="Z231">
            <v>1.1946602735712273E-2</v>
          </cell>
          <cell r="AA231">
            <v>1.0732394901098452E-2</v>
          </cell>
        </row>
        <row r="232">
          <cell r="Y232">
            <v>42124</v>
          </cell>
          <cell r="Z232">
            <v>1.198683323577714E-2</v>
          </cell>
          <cell r="AA232">
            <v>1.0758144793084901E-2</v>
          </cell>
        </row>
        <row r="233">
          <cell r="Y233">
            <v>42125</v>
          </cell>
          <cell r="Z233">
            <v>1.2040544147687706E-2</v>
          </cell>
          <cell r="AA233">
            <v>1.0823180620075923E-2</v>
          </cell>
        </row>
        <row r="234">
          <cell r="Y234">
            <v>42129</v>
          </cell>
          <cell r="Z234">
            <v>1.2120199756650138E-2</v>
          </cell>
          <cell r="AA234">
            <v>1.0887433440793792E-2</v>
          </cell>
        </row>
        <row r="235">
          <cell r="Y235">
            <v>42130</v>
          </cell>
          <cell r="Z235">
            <v>1.2146859801343991E-2</v>
          </cell>
          <cell r="AA235">
            <v>1.0913399008036784E-2</v>
          </cell>
        </row>
        <row r="236">
          <cell r="Y236">
            <v>42131</v>
          </cell>
          <cell r="Z236">
            <v>1.2173513393404294E-2</v>
          </cell>
          <cell r="AA236">
            <v>1.0939400521169373E-2</v>
          </cell>
        </row>
        <row r="237">
          <cell r="Y237">
            <v>42132</v>
          </cell>
          <cell r="Z237">
            <v>1.2227025059436533E-2</v>
          </cell>
          <cell r="AA237">
            <v>1.0991854366101766E-2</v>
          </cell>
        </row>
        <row r="238">
          <cell r="Y238">
            <v>42135</v>
          </cell>
          <cell r="Z238">
            <v>1.2280045809927115E-2</v>
          </cell>
          <cell r="AA238">
            <v>1.1043766033163038E-2</v>
          </cell>
        </row>
        <row r="239">
          <cell r="Y239">
            <v>42136</v>
          </cell>
          <cell r="Z239">
            <v>1.2306654069585385E-2</v>
          </cell>
          <cell r="AA239">
            <v>1.1069947276067804E-2</v>
          </cell>
        </row>
        <row r="240">
          <cell r="Y240">
            <v>42137</v>
          </cell>
          <cell r="Z240">
            <v>1.2333250648756761E-2</v>
          </cell>
          <cell r="AA240">
            <v>1.1096164464862168E-2</v>
          </cell>
        </row>
        <row r="241">
          <cell r="Y241">
            <v>42138</v>
          </cell>
          <cell r="Z241">
            <v>1.2359834676049253E-2</v>
          </cell>
          <cell r="AA241">
            <v>1.1122417599627177E-2</v>
          </cell>
        </row>
        <row r="242">
          <cell r="Y242">
            <v>42139</v>
          </cell>
          <cell r="Z242">
            <v>1.2413067306750677E-2</v>
          </cell>
          <cell r="AA242">
            <v>1.1175385833389988E-2</v>
          </cell>
        </row>
        <row r="243">
          <cell r="Y243">
            <v>42142</v>
          </cell>
          <cell r="Z243">
            <v>1.2466027837836454E-2</v>
          </cell>
          <cell r="AA243">
            <v>1.1227789598717841E-2</v>
          </cell>
        </row>
        <row r="244">
          <cell r="Y244">
            <v>42143</v>
          </cell>
          <cell r="Z244">
            <v>1.2492536034082059E-2</v>
          </cell>
          <cell r="AA244">
            <v>1.1254222463417118E-2</v>
          </cell>
        </row>
        <row r="245">
          <cell r="Y245">
            <v>42144</v>
          </cell>
          <cell r="Z245">
            <v>1.2519026449625523E-2</v>
          </cell>
          <cell r="AA245">
            <v>1.1280691274168086E-2</v>
          </cell>
        </row>
        <row r="246">
          <cell r="Y246">
            <v>42145</v>
          </cell>
          <cell r="Z246">
            <v>1.2545498212913642E-2</v>
          </cell>
          <cell r="AA246">
            <v>1.1307196031051792E-2</v>
          </cell>
        </row>
        <row r="247">
          <cell r="Y247">
            <v>42146</v>
          </cell>
          <cell r="Z247">
            <v>1.2598378340205312E-2</v>
          </cell>
          <cell r="AA247">
            <v>1.1374169277955926E-2</v>
          </cell>
        </row>
        <row r="248">
          <cell r="Y248">
            <v>42150</v>
          </cell>
          <cell r="Z248">
            <v>1.2677546739638799E-2</v>
          </cell>
          <cell r="AA248">
            <v>1.1440259005678355E-2</v>
          </cell>
        </row>
        <row r="249">
          <cell r="Y249">
            <v>42151</v>
          </cell>
          <cell r="Z249">
            <v>1.2703888285540733E-2</v>
          </cell>
          <cell r="AA249">
            <v>1.1466979438710112E-2</v>
          </cell>
        </row>
        <row r="250">
          <cell r="Y250">
            <v>42152</v>
          </cell>
          <cell r="Z250">
            <v>1.273020507768855E-2</v>
          </cell>
          <cell r="AA250">
            <v>1.1493735817955653E-2</v>
          </cell>
        </row>
        <row r="251">
          <cell r="Y251">
            <v>42153</v>
          </cell>
          <cell r="Z251">
            <v>1.274339136656291E-2</v>
          </cell>
          <cell r="AA251">
            <v>1.1547733719618666E-2</v>
          </cell>
        </row>
        <row r="252">
          <cell r="Y252">
            <v>42156</v>
          </cell>
          <cell r="Z252">
            <v>1.2835207273730585E-2</v>
          </cell>
          <cell r="AA252">
            <v>1.1601120795697861E-2</v>
          </cell>
        </row>
        <row r="253">
          <cell r="Y253">
            <v>42157</v>
          </cell>
          <cell r="Z253">
            <v>1.2861387220655105E-2</v>
          </cell>
          <cell r="AA253">
            <v>1.1628056905444994E-2</v>
          </cell>
        </row>
        <row r="254">
          <cell r="Y254">
            <v>42158</v>
          </cell>
          <cell r="Z254">
            <v>1.2887537183087976E-2</v>
          </cell>
          <cell r="AA254">
            <v>1.1655028961243818E-2</v>
          </cell>
        </row>
        <row r="255">
          <cell r="Y255">
            <v>42159</v>
          </cell>
          <cell r="Z255">
            <v>1.2913656289160613E-2</v>
          </cell>
          <cell r="AA255">
            <v>1.1682036963256426E-2</v>
          </cell>
        </row>
        <row r="256">
          <cell r="Y256">
            <v>42160</v>
          </cell>
          <cell r="Z256">
            <v>1.29656362918345E-2</v>
          </cell>
          <cell r="AA256">
            <v>1.1736550154714347E-2</v>
          </cell>
        </row>
        <row r="257">
          <cell r="Y257">
            <v>42163</v>
          </cell>
          <cell r="Z257">
            <v>1.3017806711716991E-2</v>
          </cell>
          <cell r="AA257">
            <v>1.1790428432634226E-2</v>
          </cell>
        </row>
        <row r="258">
          <cell r="Y258">
            <v>42164</v>
          </cell>
          <cell r="Z258">
            <v>1.3043758457196875E-2</v>
          </cell>
          <cell r="AA258">
            <v>1.1817616165391565E-2</v>
          </cell>
        </row>
        <row r="259">
          <cell r="Y259">
            <v>42165</v>
          </cell>
          <cell r="Z259">
            <v>1.3069674114646962E-2</v>
          </cell>
          <cell r="AA259">
            <v>1.1844839844362687E-2</v>
          </cell>
        </row>
        <row r="260">
          <cell r="Y260">
            <v>42166</v>
          </cell>
          <cell r="Z260">
            <v>1.3095552812044506E-2</v>
          </cell>
          <cell r="AA260">
            <v>1.1872099469466546E-2</v>
          </cell>
        </row>
        <row r="261">
          <cell r="Y261">
            <v>42167</v>
          </cell>
          <cell r="Z261">
            <v>1.3146997837362645E-2</v>
          </cell>
          <cell r="AA261">
            <v>1.192712826207217E-2</v>
          </cell>
        </row>
        <row r="262">
          <cell r="Y262">
            <v>42170</v>
          </cell>
          <cell r="Z262">
            <v>1.3198680559928486E-2</v>
          </cell>
          <cell r="AA262">
            <v>1.1981497432100863E-2</v>
          </cell>
        </row>
        <row r="263">
          <cell r="Y263">
            <v>42171</v>
          </cell>
          <cell r="Z263">
            <v>1.3224361375988336E-2</v>
          </cell>
          <cell r="AA263">
            <v>1.2008936788354685E-2</v>
          </cell>
        </row>
        <row r="264">
          <cell r="Y264">
            <v>42172</v>
          </cell>
          <cell r="Z264">
            <v>1.324999999941519E-2</v>
          </cell>
          <cell r="AA264">
            <v>1.203641209082229E-2</v>
          </cell>
        </row>
        <row r="265">
          <cell r="Y265">
            <v>42173</v>
          </cell>
          <cell r="Z265">
            <v>1.3275595641595257E-2</v>
          </cell>
          <cell r="AA265">
            <v>1.2063910022870328E-2</v>
          </cell>
        </row>
        <row r="266">
          <cell r="Y266">
            <v>42174</v>
          </cell>
          <cell r="Z266">
            <v>1.3326462802205901E-2</v>
          </cell>
          <cell r="AA266">
            <v>1.2119188381855736E-2</v>
          </cell>
        </row>
        <row r="267">
          <cell r="Y267">
            <v>42177</v>
          </cell>
          <cell r="Z267">
            <v>1.3377549439958357E-2</v>
          </cell>
          <cell r="AA267">
            <v>1.2173515481651576E-2</v>
          </cell>
        </row>
        <row r="268">
          <cell r="Y268">
            <v>42178</v>
          </cell>
          <cell r="Z268">
            <v>1.3402933054404105E-2</v>
          </cell>
          <cell r="AA268">
            <v>1.2200806962320287E-2</v>
          </cell>
        </row>
        <row r="269">
          <cell r="Y269">
            <v>42179</v>
          </cell>
          <cell r="Z269">
            <v>1.3428275735910386E-2</v>
          </cell>
          <cell r="AA269">
            <v>1.2228054489240581E-2</v>
          </cell>
        </row>
        <row r="270">
          <cell r="Y270">
            <v>42180</v>
          </cell>
          <cell r="Z270">
            <v>1.3453577985059556E-2</v>
          </cell>
          <cell r="AA270">
            <v>1.2255258062574548E-2</v>
          </cell>
        </row>
        <row r="271">
          <cell r="Y271">
            <v>42181</v>
          </cell>
          <cell r="Z271">
            <v>1.3503903885614789E-2</v>
          </cell>
          <cell r="AA271">
            <v>1.2309933835924493E-2</v>
          </cell>
        </row>
        <row r="272">
          <cell r="Y272">
            <v>42184</v>
          </cell>
          <cell r="Z272">
            <v>1.3554392670244006E-2</v>
          </cell>
          <cell r="AA272">
            <v>1.2363632819155645E-2</v>
          </cell>
        </row>
        <row r="273">
          <cell r="Y273">
            <v>42185</v>
          </cell>
          <cell r="Z273">
            <v>1.3579500266847693E-2</v>
          </cell>
          <cell r="AA273">
            <v>1.2390616624071704E-2</v>
          </cell>
        </row>
        <row r="274">
          <cell r="Y274">
            <v>42186</v>
          </cell>
          <cell r="Z274">
            <v>1.3604570434887026E-2</v>
          </cell>
          <cell r="AA274">
            <v>1.2417556475239344E-2</v>
          </cell>
        </row>
        <row r="275">
          <cell r="Y275">
            <v>42187</v>
          </cell>
          <cell r="Z275">
            <v>1.3629603675043022E-2</v>
          </cell>
          <cell r="AA275">
            <v>1.2444452372658565E-2</v>
          </cell>
        </row>
        <row r="276">
          <cell r="Y276">
            <v>42188</v>
          </cell>
          <cell r="Z276">
            <v>1.367945622732906E-2</v>
          </cell>
          <cell r="AA276">
            <v>1.2498525611243096E-2</v>
          </cell>
        </row>
        <row r="277">
          <cell r="Y277">
            <v>42191</v>
          </cell>
          <cell r="Z277">
            <v>1.372937737090418E-2</v>
          </cell>
          <cell r="AA277">
            <v>1.2551596425013356E-2</v>
          </cell>
        </row>
        <row r="278">
          <cell r="Y278">
            <v>42192</v>
          </cell>
          <cell r="Z278">
            <v>1.3754233482318624E-2</v>
          </cell>
          <cell r="AA278">
            <v>1.257827255377153E-2</v>
          </cell>
        </row>
        <row r="279">
          <cell r="Y279">
            <v>42193</v>
          </cell>
          <cell r="Z279">
            <v>1.377905567021598E-2</v>
          </cell>
          <cell r="AA279">
            <v>1.2604904728700239E-2</v>
          </cell>
        </row>
        <row r="280">
          <cell r="Y280">
            <v>42194</v>
          </cell>
          <cell r="Z280">
            <v>1.3803844435370647E-2</v>
          </cell>
          <cell r="AA280">
            <v>1.2631492949718437E-2</v>
          </cell>
        </row>
        <row r="281">
          <cell r="Y281">
            <v>42195</v>
          </cell>
          <cell r="Z281">
            <v>1.3853287911007442E-2</v>
          </cell>
          <cell r="AA281">
            <v>1.2684963697788822E-2</v>
          </cell>
        </row>
        <row r="282">
          <cell r="Y282">
            <v>42198</v>
          </cell>
          <cell r="Z282">
            <v>1.3902675284525202E-2</v>
          </cell>
          <cell r="AA282">
            <v>1.2737406296144949E-2</v>
          </cell>
        </row>
        <row r="283">
          <cell r="Y283">
            <v>42199</v>
          </cell>
          <cell r="Z283">
            <v>1.3927304448054571E-2</v>
          </cell>
          <cell r="AA283">
            <v>1.2763774748096868E-2</v>
          </cell>
        </row>
        <row r="284">
          <cell r="Y284">
            <v>42200</v>
          </cell>
          <cell r="Z284">
            <v>1.3951903193769538E-2</v>
          </cell>
          <cell r="AA284">
            <v>1.2790099246300368E-2</v>
          </cell>
        </row>
        <row r="285">
          <cell r="Y285">
            <v>42201</v>
          </cell>
          <cell r="Z285">
            <v>1.3976472022536999E-2</v>
          </cell>
          <cell r="AA285">
            <v>1.2816379790593357E-2</v>
          </cell>
        </row>
        <row r="286">
          <cell r="Y286">
            <v>42202</v>
          </cell>
          <cell r="Z286">
            <v>1.4025567052784082E-2</v>
          </cell>
          <cell r="AA286">
            <v>1.2869248085674025E-2</v>
          </cell>
        </row>
        <row r="287">
          <cell r="Y287">
            <v>42205</v>
          </cell>
          <cell r="Z287">
            <v>1.4074458185937482E-2</v>
          </cell>
          <cell r="AA287">
            <v>1.2921062428984387E-2</v>
          </cell>
        </row>
        <row r="288">
          <cell r="Y288">
            <v>42206</v>
          </cell>
          <cell r="Z288">
            <v>1.4098884943434227E-2</v>
          </cell>
          <cell r="AA288">
            <v>1.2947123203886912E-2</v>
          </cell>
        </row>
        <row r="289">
          <cell r="Y289">
            <v>42207</v>
          </cell>
          <cell r="Z289">
            <v>1.4123284789461461E-2</v>
          </cell>
          <cell r="AA289">
            <v>1.297314002479788E-2</v>
          </cell>
        </row>
        <row r="290">
          <cell r="Y290">
            <v>42208</v>
          </cell>
          <cell r="Z290">
            <v>1.4147658224975931E-2</v>
          </cell>
          <cell r="AA290">
            <v>1.2999112891798337E-2</v>
          </cell>
        </row>
        <row r="291">
          <cell r="Y291">
            <v>42209</v>
          </cell>
          <cell r="Z291">
            <v>1.4196461800558098E-2</v>
          </cell>
          <cell r="AA291">
            <v>1.305137876511912E-2</v>
          </cell>
        </row>
        <row r="292">
          <cell r="Y292">
            <v>42212</v>
          </cell>
          <cell r="Z292">
            <v>1.4244897881522219E-2</v>
          </cell>
          <cell r="AA292">
            <v>1.3102564820532958E-2</v>
          </cell>
        </row>
        <row r="293">
          <cell r="Y293">
            <v>42213</v>
          </cell>
          <cell r="Z293">
            <v>1.4269146779293697E-2</v>
          </cell>
          <cell r="AA293">
            <v>1.312831791773772E-2</v>
          </cell>
        </row>
        <row r="294">
          <cell r="Y294">
            <v>42214</v>
          </cell>
          <cell r="Z294">
            <v>1.4293372272569538E-2</v>
          </cell>
          <cell r="AA294">
            <v>1.315402706103197E-2</v>
          </cell>
        </row>
        <row r="295">
          <cell r="Y295">
            <v>42215</v>
          </cell>
          <cell r="Z295">
            <v>1.431757486239635E-2</v>
          </cell>
          <cell r="AA295">
            <v>1.3179692250334663E-2</v>
          </cell>
        </row>
        <row r="296">
          <cell r="Y296">
            <v>42216</v>
          </cell>
          <cell r="Z296">
            <v>1.4329561644424919E-2</v>
          </cell>
          <cell r="AA296">
            <v>1.3231355726398554E-2</v>
          </cell>
        </row>
        <row r="297">
          <cell r="Y297">
            <v>42219</v>
          </cell>
          <cell r="Z297">
            <v>1.4414166208594745E-2</v>
          </cell>
          <cell r="AA297">
            <v>1.3281913467305673E-2</v>
          </cell>
        </row>
        <row r="298">
          <cell r="Y298">
            <v>42220</v>
          </cell>
          <cell r="Z298">
            <v>1.4438261797322164E-2</v>
          </cell>
          <cell r="AA298">
            <v>1.3307358886569531E-2</v>
          </cell>
        </row>
        <row r="299">
          <cell r="Y299">
            <v>42221</v>
          </cell>
          <cell r="Z299">
            <v>1.4462337489145362E-2</v>
          </cell>
          <cell r="AA299">
            <v>1.333276035167974E-2</v>
          </cell>
        </row>
        <row r="300">
          <cell r="Y300">
            <v>42222</v>
          </cell>
          <cell r="Z300">
            <v>1.4486393785201683E-2</v>
          </cell>
          <cell r="AA300">
            <v>1.3358117862798391E-2</v>
          </cell>
        </row>
        <row r="301">
          <cell r="Y301">
            <v>42223</v>
          </cell>
          <cell r="Z301">
            <v>1.453477086079401E-2</v>
          </cell>
          <cell r="AA301">
            <v>1.3409178960029912E-2</v>
          </cell>
        </row>
        <row r="302">
          <cell r="Y302">
            <v>42226</v>
          </cell>
          <cell r="Z302">
            <v>1.4582435034862746E-2</v>
          </cell>
          <cell r="AA302">
            <v>1.3459108366384864E-2</v>
          </cell>
        </row>
        <row r="303">
          <cell r="Y303">
            <v>42227</v>
          </cell>
          <cell r="Z303">
            <v>1.4606401869528055E-2</v>
          </cell>
          <cell r="AA303">
            <v>1.348424610705945E-2</v>
          </cell>
        </row>
        <row r="304">
          <cell r="Y304">
            <v>42228</v>
          </cell>
          <cell r="Z304">
            <v>1.4630352315491049E-2</v>
          </cell>
          <cell r="AA304">
            <v>1.3509339893661432E-2</v>
          </cell>
        </row>
        <row r="305">
          <cell r="Y305">
            <v>42229</v>
          </cell>
          <cell r="Z305">
            <v>1.4654286873974522E-2</v>
          </cell>
          <cell r="AA305">
            <v>1.3534389726109763E-2</v>
          </cell>
        </row>
        <row r="306">
          <cell r="Y306">
            <v>42230</v>
          </cell>
          <cell r="Z306">
            <v>1.4702521622543725E-2</v>
          </cell>
          <cell r="AA306">
            <v>1.3584848456530779E-2</v>
          </cell>
        </row>
        <row r="307">
          <cell r="Y307">
            <v>42233</v>
          </cell>
          <cell r="Z307">
            <v>1.4749876257954963E-2</v>
          </cell>
          <cell r="AA307">
            <v>1.3634149514528682E-2</v>
          </cell>
        </row>
        <row r="308">
          <cell r="Y308">
            <v>42234</v>
          </cell>
          <cell r="Z308">
            <v>1.4773738897780945E-2</v>
          </cell>
          <cell r="AA308">
            <v>1.3658979576208763E-2</v>
          </cell>
        </row>
        <row r="309">
          <cell r="Y309">
            <v>42235</v>
          </cell>
          <cell r="Z309">
            <v>1.4797588657708197E-2</v>
          </cell>
          <cell r="AA309">
            <v>1.368376568381624E-2</v>
          </cell>
        </row>
        <row r="310">
          <cell r="Y310">
            <v>42236</v>
          </cell>
          <cell r="Z310">
            <v>1.4821426039044967E-2</v>
          </cell>
          <cell r="AA310">
            <v>1.3708507837107975E-2</v>
          </cell>
        </row>
        <row r="311">
          <cell r="Y311">
            <v>42237</v>
          </cell>
          <cell r="Z311">
            <v>1.4869560887958551E-2</v>
          </cell>
          <cell r="AA311">
            <v>1.3758364206580833E-2</v>
          </cell>
        </row>
        <row r="312">
          <cell r="Y312">
            <v>42240</v>
          </cell>
          <cell r="Z312">
            <v>1.4916661805030051E-2</v>
          </cell>
          <cell r="AA312">
            <v>1.380703690857632E-2</v>
          </cell>
        </row>
        <row r="313">
          <cell r="Y313">
            <v>42241</v>
          </cell>
          <cell r="Z313">
            <v>1.4940444813430112E-2</v>
          </cell>
          <cell r="AA313">
            <v>1.3831559290937712E-2</v>
          </cell>
        </row>
        <row r="314">
          <cell r="Y314">
            <v>42242</v>
          </cell>
          <cell r="Z314">
            <v>1.4964218451330542E-2</v>
          </cell>
          <cell r="AA314">
            <v>1.3856037718983361E-2</v>
          </cell>
        </row>
        <row r="315">
          <cell r="Y315">
            <v>42243</v>
          </cell>
          <cell r="Z315">
            <v>1.4987983220123277E-2</v>
          </cell>
          <cell r="AA315">
            <v>1.3880472192794313E-2</v>
          </cell>
        </row>
        <row r="316">
          <cell r="Y316">
            <v>42244</v>
          </cell>
          <cell r="Z316">
            <v>1.503605695571128E-2</v>
          </cell>
          <cell r="AA316">
            <v>1.3942137369013785E-2</v>
          </cell>
        </row>
        <row r="317">
          <cell r="Y317">
            <v>42248</v>
          </cell>
          <cell r="Z317">
            <v>1.5094530562430646E-2</v>
          </cell>
          <cell r="AA317">
            <v>1.4001985248085491E-2</v>
          </cell>
        </row>
        <row r="318">
          <cell r="Y318">
            <v>42249</v>
          </cell>
          <cell r="Z318">
            <v>1.5118251246620988E-2</v>
          </cell>
          <cell r="AA318">
            <v>1.4026155996326173E-2</v>
          </cell>
        </row>
        <row r="319">
          <cell r="Y319">
            <v>42250</v>
          </cell>
          <cell r="Z319">
            <v>1.5141966487798333E-2</v>
          </cell>
          <cell r="AA319">
            <v>1.4050282790170066E-2</v>
          </cell>
        </row>
        <row r="320">
          <cell r="Y320">
            <v>42251</v>
          </cell>
          <cell r="Z320">
            <v>1.5165676792941897E-2</v>
          </cell>
          <cell r="AA320">
            <v>1.4098934430560503E-2</v>
          </cell>
        </row>
        <row r="321">
          <cell r="Y321">
            <v>42254</v>
          </cell>
          <cell r="Z321">
            <v>1.5236783162093929E-2</v>
          </cell>
          <cell r="AA321">
            <v>1.4146350422469256E-2</v>
          </cell>
        </row>
        <row r="322">
          <cell r="Y322">
            <v>42255</v>
          </cell>
          <cell r="Z322">
            <v>1.5260478793091406E-2</v>
          </cell>
          <cell r="AA322">
            <v>1.4170257444734435E-2</v>
          </cell>
        </row>
        <row r="323">
          <cell r="Y323">
            <v>42256</v>
          </cell>
          <cell r="Z323">
            <v>1.52841720231133E-2</v>
          </cell>
          <cell r="AA323">
            <v>1.4194120512602826E-2</v>
          </cell>
        </row>
        <row r="324">
          <cell r="Y324">
            <v>42257</v>
          </cell>
          <cell r="Z324">
            <v>1.5307863359205625E-2</v>
          </cell>
          <cell r="AA324">
            <v>1.4217939626074427E-2</v>
          </cell>
        </row>
        <row r="325">
          <cell r="Y325">
            <v>42258</v>
          </cell>
          <cell r="Z325">
            <v>1.533155330842865E-2</v>
          </cell>
          <cell r="AA325">
            <v>1.42659888864168E-2</v>
          </cell>
        </row>
        <row r="326">
          <cell r="Y326">
            <v>42261</v>
          </cell>
          <cell r="Z326">
            <v>1.5402619905654696E-2</v>
          </cell>
          <cell r="AA326">
            <v>1.4312776536236083E-2</v>
          </cell>
        </row>
        <row r="327">
          <cell r="Y327">
            <v>42262</v>
          </cell>
          <cell r="Z327">
            <v>1.5426309378234748E-2</v>
          </cell>
          <cell r="AA327">
            <v>1.4336375877804786E-2</v>
          </cell>
        </row>
        <row r="328">
          <cell r="Y328">
            <v>42263</v>
          </cell>
          <cell r="Z328">
            <v>1.5449999999421394E-2</v>
          </cell>
          <cell r="AA328">
            <v>1.43599312649767E-2</v>
          </cell>
        </row>
        <row r="329">
          <cell r="Y329">
            <v>42264</v>
          </cell>
          <cell r="Z329">
            <v>1.5473692190333781E-2</v>
          </cell>
          <cell r="AA329">
            <v>1.4383450359543026E-2</v>
          </cell>
        </row>
        <row r="330">
          <cell r="Y330">
            <v>42265</v>
          </cell>
          <cell r="Z330">
            <v>1.5497385943525448E-2</v>
          </cell>
          <cell r="AA330">
            <v>1.4431050473392068E-2</v>
          </cell>
        </row>
        <row r="331">
          <cell r="Y331">
            <v>42268</v>
          </cell>
          <cell r="Z331">
            <v>1.5568471923239404E-2</v>
          </cell>
          <cell r="AA331">
            <v>1.4477516263143864E-2</v>
          </cell>
        </row>
        <row r="332">
          <cell r="Y332">
            <v>42269</v>
          </cell>
          <cell r="Z332">
            <v>1.5592167102915971E-2</v>
          </cell>
          <cell r="AA332">
            <v>1.450103778220968E-2</v>
          </cell>
        </row>
        <row r="333">
          <cell r="Y333">
            <v>42270</v>
          </cell>
          <cell r="Z333">
            <v>1.5615861348978572E-2</v>
          </cell>
          <cell r="AA333">
            <v>1.4524561318598472E-2</v>
          </cell>
        </row>
        <row r="334">
          <cell r="Y334">
            <v>42271</v>
          </cell>
          <cell r="Z334">
            <v>1.5639554145305785E-2</v>
          </cell>
          <cell r="AA334">
            <v>1.454808687231024E-2</v>
          </cell>
        </row>
        <row r="335">
          <cell r="Y335">
            <v>42272</v>
          </cell>
          <cell r="Z335">
            <v>1.5711965642889694E-2</v>
          </cell>
          <cell r="AA335">
            <v>1.45957283227612E-2</v>
          </cell>
        </row>
        <row r="336">
          <cell r="Y336">
            <v>42275</v>
          </cell>
          <cell r="Z336">
            <v>1.5746475661711414E-2</v>
          </cell>
          <cell r="AA336">
            <v>1.4642209259738692E-2</v>
          </cell>
        </row>
        <row r="337">
          <cell r="Y337">
            <v>42276</v>
          </cell>
          <cell r="Z337">
            <v>1.5757978315923953E-2</v>
          </cell>
          <cell r="AA337">
            <v>1.4665744899741151E-2</v>
          </cell>
        </row>
        <row r="338">
          <cell r="Y338">
            <v>42277</v>
          </cell>
          <cell r="Z338">
            <v>1.5793818096261791E-2</v>
          </cell>
          <cell r="AA338">
            <v>1.4689282557147632E-2</v>
          </cell>
        </row>
        <row r="339">
          <cell r="Y339">
            <v>42278</v>
          </cell>
          <cell r="Z339">
            <v>1.5853934362366998E-2</v>
          </cell>
          <cell r="AA339">
            <v>1.4712822231796041E-2</v>
          </cell>
        </row>
        <row r="340">
          <cell r="Y340">
            <v>42279</v>
          </cell>
          <cell r="Z340">
            <v>1.5865434331706927E-2</v>
          </cell>
          <cell r="AA340">
            <v>1.4760505175538398E-2</v>
          </cell>
        </row>
        <row r="341">
          <cell r="Y341">
            <v>42282</v>
          </cell>
          <cell r="Z341">
            <v>1.5912069107048215E-2</v>
          </cell>
          <cell r="AA341">
            <v>1.4807001103052109E-2</v>
          </cell>
        </row>
        <row r="342">
          <cell r="Y342">
            <v>42283</v>
          </cell>
          <cell r="Z342">
            <v>1.5935697210972939E-2</v>
          </cell>
          <cell r="AA342">
            <v>1.4830550864153302E-2</v>
          </cell>
        </row>
        <row r="343">
          <cell r="Y343">
            <v>42284</v>
          </cell>
          <cell r="Z343">
            <v>1.5959316757218234E-2</v>
          </cell>
          <cell r="AA343">
            <v>1.4854102642496425E-2</v>
          </cell>
        </row>
        <row r="344">
          <cell r="Y344">
            <v>42285</v>
          </cell>
          <cell r="Z344">
            <v>1.59829272350736E-2</v>
          </cell>
          <cell r="AA344">
            <v>1.4877656438162523E-2</v>
          </cell>
        </row>
        <row r="345">
          <cell r="Y345">
            <v>42286</v>
          </cell>
          <cell r="Z345">
            <v>1.603071919368125E-2</v>
          </cell>
          <cell r="AA345">
            <v>1.492538103207486E-2</v>
          </cell>
        </row>
        <row r="346">
          <cell r="Y346">
            <v>42289</v>
          </cell>
          <cell r="Z346">
            <v>1.6077268247956859E-2</v>
          </cell>
          <cell r="AA346">
            <v>1.4971891793408298E-2</v>
          </cell>
        </row>
        <row r="347">
          <cell r="Y347">
            <v>42290</v>
          </cell>
          <cell r="Z347">
            <v>1.6100825722779658E-2</v>
          </cell>
          <cell r="AA347">
            <v>1.4995455675527181E-2</v>
          </cell>
        </row>
        <row r="348">
          <cell r="Y348">
            <v>42291</v>
          </cell>
          <cell r="Z348">
            <v>1.6124371064695848E-2</v>
          </cell>
          <cell r="AA348">
            <v>1.5019021574887992E-2</v>
          </cell>
        </row>
        <row r="349">
          <cell r="Y349">
            <v>42292</v>
          </cell>
          <cell r="Z349">
            <v>1.6147903762910358E-2</v>
          </cell>
          <cell r="AA349">
            <v>1.5042589491490732E-2</v>
          </cell>
        </row>
        <row r="350">
          <cell r="Y350">
            <v>42293</v>
          </cell>
          <cell r="Z350">
            <v>1.6195473542837444E-2</v>
          </cell>
          <cell r="AA350">
            <v>1.5090355892802833E-2</v>
          </cell>
        </row>
        <row r="351">
          <cell r="Y351">
            <v>42296</v>
          </cell>
          <cell r="Z351">
            <v>1.6241897902443316E-2</v>
          </cell>
          <cell r="AA351">
            <v>1.5136881330969354E-2</v>
          </cell>
        </row>
        <row r="352">
          <cell r="Y352">
            <v>42297</v>
          </cell>
          <cell r="Z352">
            <v>1.6265359719812057E-2</v>
          </cell>
          <cell r="AA352">
            <v>1.5160459334024878E-2</v>
          </cell>
        </row>
        <row r="353">
          <cell r="Y353">
            <v>42298</v>
          </cell>
          <cell r="Z353">
            <v>1.6288805828462063E-2</v>
          </cell>
          <cell r="AA353">
            <v>1.5184039354403378E-2</v>
          </cell>
        </row>
        <row r="354">
          <cell r="Y354">
            <v>42299</v>
          </cell>
          <cell r="Z354">
            <v>1.6312235717512818E-2</v>
          </cell>
          <cell r="AA354">
            <v>1.5207621392023807E-2</v>
          </cell>
        </row>
        <row r="355">
          <cell r="Y355">
            <v>42300</v>
          </cell>
          <cell r="Z355">
            <v>1.6359525884827173E-2</v>
          </cell>
          <cell r="AA355">
            <v>1.5255429758100535E-2</v>
          </cell>
        </row>
        <row r="356">
          <cell r="Y356">
            <v>42303</v>
          </cell>
          <cell r="Z356">
            <v>1.6405782859765034E-2</v>
          </cell>
          <cell r="AA356">
            <v>1.5301969715654229E-2</v>
          </cell>
        </row>
        <row r="357">
          <cell r="Y357">
            <v>42304</v>
          </cell>
          <cell r="Z357">
            <v>1.6429123987244436E-2</v>
          </cell>
          <cell r="AA357">
            <v>1.5325561839808488E-2</v>
          </cell>
        </row>
        <row r="358">
          <cell r="Y358">
            <v>42305</v>
          </cell>
          <cell r="Z358">
            <v>1.6452445829608919E-2</v>
          </cell>
          <cell r="AA358">
            <v>1.5349155981204676E-2</v>
          </cell>
        </row>
        <row r="359">
          <cell r="Y359">
            <v>42306</v>
          </cell>
          <cell r="Z359">
            <v>1.6475747875901326E-2</v>
          </cell>
          <cell r="AA359">
            <v>1.537275213992384E-2</v>
          </cell>
        </row>
        <row r="360">
          <cell r="Y360">
            <v>42307</v>
          </cell>
          <cell r="Z360">
            <v>1.6487174315714854E-2</v>
          </cell>
          <cell r="AA360">
            <v>1.5420602628400209E-2</v>
          </cell>
        </row>
        <row r="361">
          <cell r="Y361">
            <v>42310</v>
          </cell>
          <cell r="Z361">
            <v>1.6568747880721633E-2</v>
          </cell>
          <cell r="AA361">
            <v>1.5467156947787108E-2</v>
          </cell>
        </row>
        <row r="362">
          <cell r="Y362">
            <v>42311</v>
          </cell>
          <cell r="Z362">
            <v>1.6591943281834672E-2</v>
          </cell>
          <cell r="AA362">
            <v>1.549076319287801E-2</v>
          </cell>
        </row>
        <row r="363">
          <cell r="Y363">
            <v>42312</v>
          </cell>
          <cell r="Z363">
            <v>1.6615115820869289E-2</v>
          </cell>
          <cell r="AA363">
            <v>1.5514371455372933E-2</v>
          </cell>
        </row>
        <row r="364">
          <cell r="Y364">
            <v>42313</v>
          </cell>
          <cell r="Z364">
            <v>1.663826498678463E-2</v>
          </cell>
          <cell r="AA364">
            <v>1.5537981735190831E-2</v>
          </cell>
        </row>
        <row r="365">
          <cell r="Y365">
            <v>42314</v>
          </cell>
          <cell r="Z365">
            <v>1.6684838427630268E-2</v>
          </cell>
          <cell r="AA365">
            <v>1.5585874504053059E-2</v>
          </cell>
        </row>
        <row r="366">
          <cell r="Y366">
            <v>42317</v>
          </cell>
          <cell r="Z366">
            <v>1.673061769801611E-2</v>
          </cell>
          <cell r="AA366">
            <v>1.5632443027286946E-2</v>
          </cell>
        </row>
        <row r="367">
          <cell r="Y367">
            <v>42318</v>
          </cell>
          <cell r="Z367">
            <v>1.6753642332310976E-2</v>
          </cell>
          <cell r="AA367">
            <v>1.5656063393638675E-2</v>
          </cell>
        </row>
        <row r="368">
          <cell r="Y368">
            <v>42319</v>
          </cell>
          <cell r="Z368">
            <v>1.6776640526999231E-2</v>
          </cell>
          <cell r="AA368">
            <v>1.5679685777151287E-2</v>
          </cell>
        </row>
        <row r="369">
          <cell r="Y369">
            <v>42320</v>
          </cell>
          <cell r="Z369">
            <v>1.6799611770958092E-2</v>
          </cell>
          <cell r="AA369">
            <v>1.5703310177986873E-2</v>
          </cell>
        </row>
        <row r="370">
          <cell r="Y370">
            <v>42321</v>
          </cell>
          <cell r="Z370">
            <v>1.6845755498586766E-2</v>
          </cell>
          <cell r="AA370">
            <v>1.5751245385518347E-2</v>
          </cell>
        </row>
        <row r="371">
          <cell r="Y371">
            <v>42324</v>
          </cell>
          <cell r="Z371">
            <v>1.6891217016703233E-2</v>
          </cell>
          <cell r="AA371">
            <v>1.5797827954558974E-2</v>
          </cell>
        </row>
        <row r="372">
          <cell r="Y372">
            <v>42325</v>
          </cell>
          <cell r="Z372">
            <v>1.6914045839817628E-2</v>
          </cell>
          <cell r="AA372">
            <v>1.5821462441928391E-2</v>
          </cell>
        </row>
        <row r="373">
          <cell r="Y373">
            <v>42326</v>
          </cell>
          <cell r="Z373">
            <v>1.6936844645242231E-2</v>
          </cell>
          <cell r="AA373">
            <v>1.5845098946620784E-2</v>
          </cell>
        </row>
        <row r="374">
          <cell r="Y374">
            <v>42327</v>
          </cell>
          <cell r="Z374">
            <v>1.6959612921781143E-2</v>
          </cell>
          <cell r="AA374">
            <v>1.5868737468636152E-2</v>
          </cell>
        </row>
        <row r="375">
          <cell r="Y375">
            <v>42328</v>
          </cell>
          <cell r="Z375">
            <v>1.7005284303577849E-2</v>
          </cell>
          <cell r="AA375">
            <v>1.5916715273147274E-2</v>
          </cell>
        </row>
        <row r="376">
          <cell r="Y376">
            <v>42331</v>
          </cell>
          <cell r="Z376">
            <v>1.7050370514707511E-2</v>
          </cell>
          <cell r="AA376">
            <v>1.5963311729603191E-2</v>
          </cell>
        </row>
        <row r="377">
          <cell r="Y377">
            <v>42332</v>
          </cell>
          <cell r="Z377">
            <v>1.7072978478447944E-2</v>
          </cell>
          <cell r="AA377">
            <v>1.5986960338071343E-2</v>
          </cell>
        </row>
        <row r="378">
          <cell r="Y378">
            <v>42333</v>
          </cell>
          <cell r="Z378">
            <v>1.7095552845878909E-2</v>
          </cell>
          <cell r="AA378">
            <v>1.6010610963862471E-2</v>
          </cell>
        </row>
        <row r="379">
          <cell r="Y379">
            <v>42334</v>
          </cell>
          <cell r="Z379">
            <v>1.7118093105726991E-2</v>
          </cell>
          <cell r="AA379">
            <v>1.6034263606976573E-2</v>
          </cell>
        </row>
        <row r="380">
          <cell r="Y380">
            <v>42335</v>
          </cell>
          <cell r="Z380">
            <v>1.7163253209853149E-2</v>
          </cell>
          <cell r="AA380">
            <v>1.6082284167372084E-2</v>
          </cell>
        </row>
        <row r="381">
          <cell r="Y381">
            <v>42338</v>
          </cell>
          <cell r="Z381">
            <v>1.7196616448851714E-2</v>
          </cell>
          <cell r="AA381">
            <v>1.6128894352419598E-2</v>
          </cell>
        </row>
        <row r="382">
          <cell r="Y382">
            <v>42339</v>
          </cell>
          <cell r="Z382">
            <v>1.7218999193504291E-2</v>
          </cell>
          <cell r="AA382">
            <v>1.6152557082148578E-2</v>
          </cell>
        </row>
        <row r="383">
          <cell r="Y383">
            <v>42340</v>
          </cell>
          <cell r="Z383">
            <v>1.7241344847613239E-2</v>
          </cell>
          <cell r="AA383">
            <v>1.617622182903844E-2</v>
          </cell>
        </row>
        <row r="384">
          <cell r="Y384">
            <v>42341</v>
          </cell>
          <cell r="Z384">
            <v>1.7263652894252021E-2</v>
          </cell>
          <cell r="AA384">
            <v>1.6199888593332323E-2</v>
          </cell>
        </row>
        <row r="385">
          <cell r="Y385">
            <v>42342</v>
          </cell>
          <cell r="Z385">
            <v>1.7285922816481628E-2</v>
          </cell>
          <cell r="AA385">
            <v>1.6247952068598009E-2</v>
          </cell>
        </row>
        <row r="386">
          <cell r="Y386">
            <v>42345</v>
          </cell>
          <cell r="Z386">
            <v>1.7352498667188191E-2</v>
          </cell>
          <cell r="AA386">
            <v>1.6294575823413426E-2</v>
          </cell>
        </row>
        <row r="387">
          <cell r="Y387">
            <v>42346</v>
          </cell>
          <cell r="Z387">
            <v>1.7374610922198667E-2</v>
          </cell>
          <cell r="AA387">
            <v>1.631825267424114E-2</v>
          </cell>
        </row>
        <row r="388">
          <cell r="Y388">
            <v>42347</v>
          </cell>
          <cell r="Z388">
            <v>1.739668246795709E-2</v>
          </cell>
          <cell r="AA388">
            <v>1.634193154239183E-2</v>
          </cell>
        </row>
        <row r="389">
          <cell r="Y389">
            <v>42348</v>
          </cell>
          <cell r="Z389">
            <v>1.7418712787463896E-2</v>
          </cell>
          <cell r="AA389">
            <v>1.6365612427784448E-2</v>
          </cell>
        </row>
        <row r="390">
          <cell r="Y390">
            <v>42349</v>
          </cell>
          <cell r="Z390">
            <v>1.7440701363709718E-2</v>
          </cell>
          <cell r="AA390">
            <v>1.6413718977230284E-2</v>
          </cell>
        </row>
        <row r="391">
          <cell r="Y391">
            <v>42352</v>
          </cell>
          <cell r="Z391">
            <v>1.7506411462637993E-2</v>
          </cell>
          <cell r="AA391">
            <v>1.6460356142584676E-2</v>
          </cell>
        </row>
        <row r="392">
          <cell r="Y392">
            <v>42353</v>
          </cell>
          <cell r="Z392">
            <v>1.7528227895546721E-2</v>
          </cell>
          <cell r="AA392">
            <v>1.6484047114592171E-2</v>
          </cell>
        </row>
        <row r="393">
          <cell r="Y393">
            <v>42354</v>
          </cell>
          <cell r="Z393">
            <v>1.7549999999999791E-2</v>
          </cell>
          <cell r="AA393">
            <v>1.6507732306378919E-2</v>
          </cell>
        </row>
        <row r="394">
          <cell r="Y394">
            <v>42355</v>
          </cell>
          <cell r="Z394">
            <v>1.7571727471566892E-2</v>
          </cell>
          <cell r="AA394">
            <v>1.6531380528175266E-2</v>
          </cell>
        </row>
        <row r="395">
          <cell r="Y395">
            <v>42356</v>
          </cell>
          <cell r="Z395">
            <v>1.7593410856369032E-2</v>
          </cell>
          <cell r="AA395">
            <v>1.6579280764290605E-2</v>
          </cell>
        </row>
        <row r="396">
          <cell r="Y396">
            <v>42359</v>
          </cell>
          <cell r="Z396">
            <v>1.7658204078042212E-2</v>
          </cell>
          <cell r="AA396">
            <v>1.6625525739289992E-2</v>
          </cell>
        </row>
        <row r="397">
          <cell r="Y397">
            <v>42360</v>
          </cell>
          <cell r="Z397">
            <v>1.7679718703726525E-2</v>
          </cell>
          <cell r="AA397">
            <v>1.6648950123091533E-2</v>
          </cell>
        </row>
        <row r="398">
          <cell r="Y398">
            <v>42361</v>
          </cell>
          <cell r="Z398">
            <v>1.770119303670372E-2</v>
          </cell>
          <cell r="AA398">
            <v>1.6672329739196856E-2</v>
          </cell>
        </row>
        <row r="399">
          <cell r="Y399">
            <v>42362</v>
          </cell>
          <cell r="Z399">
            <v>1.7722627835838622E-2</v>
          </cell>
          <cell r="AA399">
            <v>1.6743691172457886E-2</v>
          </cell>
        </row>
        <row r="400">
          <cell r="Y400">
            <v>42367</v>
          </cell>
          <cell r="Z400">
            <v>1.7829235385318842E-2</v>
          </cell>
          <cell r="AA400">
            <v>1.6811667315991263E-2</v>
          </cell>
        </row>
        <row r="401">
          <cell r="Y401">
            <v>42368</v>
          </cell>
          <cell r="Z401">
            <v>1.78504489185063E-2</v>
          </cell>
          <cell r="AA401">
            <v>1.6834733558628301E-2</v>
          </cell>
        </row>
        <row r="402">
          <cell r="Y402">
            <v>42369</v>
          </cell>
          <cell r="Z402">
            <v>1.7871628230380843E-2</v>
          </cell>
          <cell r="AA402">
            <v>1.6893348015181442E-2</v>
          </cell>
        </row>
        <row r="403">
          <cell r="Y403">
            <v>42373</v>
          </cell>
          <cell r="Z403">
            <v>1.7956018445013062E-2</v>
          </cell>
          <cell r="AA403">
            <v>1.6949393256451284E-2</v>
          </cell>
        </row>
        <row r="404">
          <cell r="Y404">
            <v>42374</v>
          </cell>
          <cell r="Z404">
            <v>1.7977038035668042E-2</v>
          </cell>
          <cell r="AA404">
            <v>1.6972190892911021E-2</v>
          </cell>
        </row>
        <row r="405">
          <cell r="Y405">
            <v>42375</v>
          </cell>
          <cell r="Z405">
            <v>1.7998027959265146E-2</v>
          </cell>
          <cell r="AA405">
            <v>1.6994943761593495E-2</v>
          </cell>
        </row>
        <row r="406">
          <cell r="Y406">
            <v>42376</v>
          </cell>
          <cell r="Z406">
            <v>1.8018988974905205E-2</v>
          </cell>
          <cell r="AA406">
            <v>1.7017651862579752E-2</v>
          </cell>
        </row>
        <row r="407">
          <cell r="Y407">
            <v>42377</v>
          </cell>
          <cell r="Z407">
            <v>1.8039921841704203E-2</v>
          </cell>
          <cell r="AA407">
            <v>1.7063716503174696E-2</v>
          </cell>
        </row>
        <row r="408">
          <cell r="Y408">
            <v>42380</v>
          </cell>
          <cell r="Z408">
            <v>1.8102559140476496E-2</v>
          </cell>
          <cell r="AA408">
            <v>1.7108036588833198E-2</v>
          </cell>
        </row>
        <row r="409">
          <cell r="Y409">
            <v>42381</v>
          </cell>
          <cell r="Z409">
            <v>1.8123387003412171E-2</v>
          </cell>
          <cell r="AA409">
            <v>1.713052085093314E-2</v>
          </cell>
        </row>
        <row r="410">
          <cell r="Y410">
            <v>42382</v>
          </cell>
          <cell r="Z410">
            <v>1.8144190513337852E-2</v>
          </cell>
          <cell r="AA410">
            <v>1.7152960345255819E-2</v>
          </cell>
        </row>
        <row r="411">
          <cell r="Y411">
            <v>42383</v>
          </cell>
          <cell r="Z411">
            <v>1.8164970429467481E-2</v>
          </cell>
          <cell r="AA411">
            <v>1.7175355071801235E-2</v>
          </cell>
        </row>
        <row r="412">
          <cell r="Y412">
            <v>42384</v>
          </cell>
          <cell r="Z412">
            <v>1.8185727511032822E-2</v>
          </cell>
          <cell r="AA412">
            <v>1.7220807717314528E-2</v>
          </cell>
        </row>
        <row r="413">
          <cell r="Y413">
            <v>42387</v>
          </cell>
          <cell r="Z413">
            <v>1.8247869340886055E-2</v>
          </cell>
          <cell r="AA413">
            <v>1.7264486299805037E-2</v>
          </cell>
        </row>
        <row r="414">
          <cell r="Y414">
            <v>42388</v>
          </cell>
          <cell r="Z414">
            <v>1.8268542676819124E-2</v>
          </cell>
          <cell r="AA414">
            <v>1.7286657187221E-2</v>
          </cell>
        </row>
        <row r="415">
          <cell r="Y415">
            <v>42389</v>
          </cell>
          <cell r="Z415">
            <v>1.8289196974580944E-2</v>
          </cell>
          <cell r="AA415">
            <v>1.7308783306778652E-2</v>
          </cell>
        </row>
        <row r="416">
          <cell r="Y416">
            <v>42390</v>
          </cell>
          <cell r="Z416">
            <v>1.8309832993497688E-2</v>
          </cell>
          <cell r="AA416">
            <v>1.7330864658559042E-2</v>
          </cell>
        </row>
        <row r="417">
          <cell r="Y417">
            <v>42391</v>
          </cell>
          <cell r="Z417">
            <v>1.8330451492911546E-2</v>
          </cell>
          <cell r="AA417">
            <v>1.7375705234401094E-2</v>
          </cell>
        </row>
        <row r="418">
          <cell r="Y418">
            <v>42394</v>
          </cell>
          <cell r="Z418">
            <v>1.8392209467794726E-2</v>
          </cell>
          <cell r="AA418">
            <v>1.741874238661123E-2</v>
          </cell>
        </row>
        <row r="419">
          <cell r="Y419">
            <v>42395</v>
          </cell>
          <cell r="Z419">
            <v>1.8412765482935214E-2</v>
          </cell>
          <cell r="AA419">
            <v>1.7440599899019027E-2</v>
          </cell>
        </row>
        <row r="420">
          <cell r="Y420">
            <v>42396</v>
          </cell>
          <cell r="Z420">
            <v>1.8433307775518937E-2</v>
          </cell>
          <cell r="AA420">
            <v>1.7462412643325376E-2</v>
          </cell>
        </row>
        <row r="421">
          <cell r="Y421">
            <v>42397</v>
          </cell>
          <cell r="Z421">
            <v>1.8453837104985167E-2</v>
          </cell>
          <cell r="AA421">
            <v>1.7484180619854461E-2</v>
          </cell>
        </row>
        <row r="422">
          <cell r="Y422">
            <v>42398</v>
          </cell>
          <cell r="Z422">
            <v>1.8474354230782981E-2</v>
          </cell>
          <cell r="AA422">
            <v>1.7528409046113635E-2</v>
          </cell>
        </row>
        <row r="423">
          <cell r="Y423">
            <v>42401</v>
          </cell>
          <cell r="Z423">
            <v>1.8546487386778939E-2</v>
          </cell>
          <cell r="AA423">
            <v>1.7570804846577248E-2</v>
          </cell>
        </row>
        <row r="424">
          <cell r="Y424">
            <v>42402</v>
          </cell>
          <cell r="Z424">
            <v>1.8556315886893163E-2</v>
          </cell>
          <cell r="AA424">
            <v>1.7592348983409556E-2</v>
          </cell>
        </row>
        <row r="425">
          <cell r="Y425">
            <v>42403</v>
          </cell>
          <cell r="Z425">
            <v>1.8566131775829098E-2</v>
          </cell>
          <cell r="AA425">
            <v>1.7613848352221462E-2</v>
          </cell>
        </row>
        <row r="426">
          <cell r="Y426">
            <v>42404</v>
          </cell>
          <cell r="Z426">
            <v>1.8586585729769026E-2</v>
          </cell>
          <cell r="AA426">
            <v>1.7635302953094012E-2</v>
          </cell>
        </row>
        <row r="427">
          <cell r="Y427">
            <v>42405</v>
          </cell>
          <cell r="Z427">
            <v>1.860703244976197E-2</v>
          </cell>
          <cell r="AA427">
            <v>1.7678919144185439E-2</v>
          </cell>
        </row>
        <row r="428">
          <cell r="Y428">
            <v>42408</v>
          </cell>
          <cell r="Z428">
            <v>1.8679021377658939E-2</v>
          </cell>
          <cell r="AA428">
            <v>1.7720673676785426E-2</v>
          </cell>
        </row>
        <row r="429">
          <cell r="Y429">
            <v>42409</v>
          </cell>
          <cell r="Z429">
            <v>1.868876234994251E-2</v>
          </cell>
          <cell r="AA429">
            <v>1.7741904437718059E-2</v>
          </cell>
        </row>
        <row r="430">
          <cell r="Y430">
            <v>42410</v>
          </cell>
          <cell r="Z430">
            <v>1.8709184420092766E-2</v>
          </cell>
          <cell r="AA430">
            <v>1.7763090430630291E-2</v>
          </cell>
        </row>
        <row r="431">
          <cell r="Y431">
            <v>42411</v>
          </cell>
          <cell r="Z431">
            <v>1.8729603864360636E-2</v>
          </cell>
          <cell r="AA431">
            <v>1.778423165552212E-2</v>
          </cell>
        </row>
        <row r="432">
          <cell r="Y432">
            <v>42412</v>
          </cell>
          <cell r="Z432">
            <v>1.8750021450810915E-2</v>
          </cell>
          <cell r="AA432">
            <v>1.7827235520457844E-2</v>
          </cell>
        </row>
        <row r="433">
          <cell r="Y433">
            <v>42415</v>
          </cell>
          <cell r="Z433">
            <v>1.8822014192601023E-2</v>
          </cell>
          <cell r="AA433">
            <v>1.7868348874642281E-2</v>
          </cell>
        </row>
        <row r="434">
          <cell r="Y434">
            <v>42416</v>
          </cell>
          <cell r="Z434">
            <v>1.8831688580264259E-2</v>
          </cell>
          <cell r="AA434">
            <v>1.7889266259351055E-2</v>
          </cell>
        </row>
        <row r="435">
          <cell r="Y435">
            <v>42417</v>
          </cell>
          <cell r="Z435">
            <v>1.8852108399132539E-2</v>
          </cell>
          <cell r="AA435">
            <v>1.7910138875877335E-2</v>
          </cell>
        </row>
        <row r="436">
          <cell r="Y436">
            <v>42418</v>
          </cell>
          <cell r="Z436">
            <v>1.8872530968895296E-2</v>
          </cell>
          <cell r="AA436">
            <v>1.7930966724383213E-2</v>
          </cell>
        </row>
        <row r="437">
          <cell r="Y437">
            <v>42419</v>
          </cell>
          <cell r="Z437">
            <v>1.8892957057722686E-2</v>
          </cell>
          <cell r="AA437">
            <v>1.7973358166907264E-2</v>
          </cell>
        </row>
        <row r="438">
          <cell r="Y438">
            <v>42422</v>
          </cell>
          <cell r="Z438">
            <v>1.8965078997435509E-2</v>
          </cell>
          <cell r="AA438">
            <v>1.8013830437473288E-2</v>
          </cell>
        </row>
        <row r="439">
          <cell r="Y439">
            <v>42423</v>
          </cell>
          <cell r="Z439">
            <v>1.8974711967676947E-2</v>
          </cell>
          <cell r="AA439">
            <v>1.8034434445471925E-2</v>
          </cell>
        </row>
        <row r="440">
          <cell r="Y440">
            <v>42424</v>
          </cell>
          <cell r="Z440">
            <v>1.8995167174957986E-2</v>
          </cell>
          <cell r="AA440">
            <v>1.8054993685369114E-2</v>
          </cell>
        </row>
        <row r="441">
          <cell r="Y441">
            <v>42425</v>
          </cell>
          <cell r="Z441">
            <v>1.9015630510663191E-2</v>
          </cell>
          <cell r="AA441">
            <v>1.8075508157083808E-2</v>
          </cell>
        </row>
        <row r="442">
          <cell r="Y442">
            <v>42426</v>
          </cell>
          <cell r="Z442">
            <v>1.9036102743073487E-2</v>
          </cell>
          <cell r="AA442">
            <v>1.8117287075672211E-2</v>
          </cell>
        </row>
        <row r="443">
          <cell r="Y443">
            <v>42429</v>
          </cell>
          <cell r="Z443">
            <v>1.9119381356474396E-2</v>
          </cell>
          <cell r="AA443">
            <v>1.8157118362603919E-2</v>
          </cell>
        </row>
        <row r="444">
          <cell r="Y444">
            <v>42430</v>
          </cell>
          <cell r="Z444">
            <v>1.9139921262251856E-2</v>
          </cell>
          <cell r="AA444">
            <v>1.817740899364928E-2</v>
          </cell>
        </row>
        <row r="445">
          <cell r="Y445">
            <v>42431</v>
          </cell>
          <cell r="Z445">
            <v>1.916047416081142E-2</v>
          </cell>
          <cell r="AA445">
            <v>1.8197654856350054E-2</v>
          </cell>
        </row>
        <row r="446">
          <cell r="Y446">
            <v>42432</v>
          </cell>
          <cell r="Z446">
            <v>1.918104080392077E-2</v>
          </cell>
          <cell r="AA446">
            <v>1.8217855951030426E-2</v>
          </cell>
        </row>
        <row r="447">
          <cell r="Y447">
            <v>42433</v>
          </cell>
          <cell r="Z447">
            <v>1.922355844937752E-2</v>
          </cell>
          <cell r="AA447">
            <v>1.8259022238891202E-2</v>
          </cell>
        </row>
        <row r="448">
          <cell r="Y448">
            <v>42436</v>
          </cell>
          <cell r="Z448">
            <v>1.9263459857693302E-2</v>
          </cell>
          <cell r="AA448">
            <v>1.8298212647521739E-2</v>
          </cell>
        </row>
        <row r="449">
          <cell r="Y449">
            <v>42437</v>
          </cell>
          <cell r="Z449">
            <v>1.9284106500569827E-2</v>
          </cell>
          <cell r="AA449">
            <v>1.8318189901127546E-2</v>
          </cell>
        </row>
        <row r="450">
          <cell r="Y450">
            <v>42438</v>
          </cell>
          <cell r="Z450">
            <v>1.9304771398916721E-2</v>
          </cell>
          <cell r="AA450">
            <v>1.8338122386550859E-2</v>
          </cell>
        </row>
        <row r="451">
          <cell r="Y451">
            <v>42439</v>
          </cell>
          <cell r="Z451">
            <v>1.9325455304606505E-2</v>
          </cell>
          <cell r="AA451">
            <v>1.8358010103629585E-2</v>
          </cell>
        </row>
        <row r="452">
          <cell r="Y452">
            <v>42440</v>
          </cell>
          <cell r="Z452">
            <v>1.9368276355713358E-2</v>
          </cell>
          <cell r="AA452">
            <v>1.8398563648972893E-2</v>
          </cell>
        </row>
        <row r="453">
          <cell r="Y453">
            <v>42443</v>
          </cell>
          <cell r="Z453">
            <v>1.9408396038873746E-2</v>
          </cell>
          <cell r="AA453">
            <v>1.8437113289633267E-2</v>
          </cell>
        </row>
        <row r="454">
          <cell r="Y454">
            <v>42444</v>
          </cell>
          <cell r="Z454">
            <v>1.9429186259971743E-2</v>
          </cell>
          <cell r="AA454">
            <v>1.8456777165475335E-2</v>
          </cell>
        </row>
        <row r="455">
          <cell r="Y455">
            <v>42445</v>
          </cell>
          <cell r="Z455">
            <v>1.9450000000000082E-2</v>
          </cell>
          <cell r="AA455">
            <v>1.8476407742237244E-2</v>
          </cell>
        </row>
        <row r="456">
          <cell r="Y456">
            <v>42446</v>
          </cell>
          <cell r="Z456">
            <v>1.9470837626119557E-2</v>
          </cell>
          <cell r="AA456">
            <v>1.8496050896247285E-2</v>
          </cell>
        </row>
        <row r="457">
          <cell r="Y457">
            <v>42447</v>
          </cell>
          <cell r="Z457">
            <v>1.9513986227343443E-2</v>
          </cell>
          <cell r="AA457">
            <v>1.8536358640080706E-2</v>
          </cell>
        </row>
        <row r="458">
          <cell r="Y458">
            <v>42450</v>
          </cell>
          <cell r="Z458">
            <v>1.9554399699968372E-2</v>
          </cell>
          <cell r="AA458">
            <v>1.857486397798036E-2</v>
          </cell>
        </row>
        <row r="459">
          <cell r="Y459">
            <v>42451</v>
          </cell>
          <cell r="Z459">
            <v>1.9575335325548615E-2</v>
          </cell>
          <cell r="AA459">
            <v>1.8594627364796334E-2</v>
          </cell>
        </row>
        <row r="460">
          <cell r="Y460">
            <v>42452</v>
          </cell>
          <cell r="Z460">
            <v>1.9596285879772735E-2</v>
          </cell>
          <cell r="AA460">
            <v>1.8614414798124868E-2</v>
          </cell>
        </row>
        <row r="461">
          <cell r="Y461">
            <v>42453</v>
          </cell>
          <cell r="Z461">
            <v>1.9617249805483565E-2</v>
          </cell>
          <cell r="AA461">
            <v>1.8675856294653181E-2</v>
          </cell>
        </row>
        <row r="462">
          <cell r="Y462">
            <v>42458</v>
          </cell>
          <cell r="Z462">
            <v>1.9722215503493238E-2</v>
          </cell>
          <cell r="AA462">
            <v>1.8733644375994452E-2</v>
          </cell>
        </row>
        <row r="463">
          <cell r="Y463">
            <v>42459</v>
          </cell>
          <cell r="Z463">
            <v>1.9743226955962343E-2</v>
          </cell>
          <cell r="AA463">
            <v>1.8753600135235082E-2</v>
          </cell>
        </row>
        <row r="464">
          <cell r="Y464">
            <v>42460</v>
          </cell>
          <cell r="Z464">
            <v>1.9753087067761313E-2</v>
          </cell>
          <cell r="AA464">
            <v>1.8773579941150365E-2</v>
          </cell>
        </row>
        <row r="465">
          <cell r="Y465">
            <v>42461</v>
          </cell>
          <cell r="Z465">
            <v>1.977411019203414E-2</v>
          </cell>
          <cell r="AA465">
            <v>1.8814589456813694E-2</v>
          </cell>
        </row>
        <row r="466">
          <cell r="Y466">
            <v>42464</v>
          </cell>
          <cell r="Z466">
            <v>1.9837177197977032E-2</v>
          </cell>
          <cell r="AA466">
            <v>1.8853739630585453E-2</v>
          </cell>
        </row>
        <row r="467">
          <cell r="Y467">
            <v>42465</v>
          </cell>
          <cell r="Z467">
            <v>1.9858193495919347E-2</v>
          </cell>
          <cell r="AA467">
            <v>1.8873839669468762E-2</v>
          </cell>
        </row>
        <row r="468">
          <cell r="Y468">
            <v>42466</v>
          </cell>
          <cell r="Z468">
            <v>1.9879204150886107E-2</v>
          </cell>
          <cell r="AA468">
            <v>1.8893963754945675E-2</v>
          </cell>
        </row>
        <row r="469">
          <cell r="Y469">
            <v>42467</v>
          </cell>
          <cell r="Z469">
            <v>1.990020758825585E-2</v>
          </cell>
          <cell r="AA469">
            <v>1.8914111886935148E-2</v>
          </cell>
        </row>
        <row r="470">
          <cell r="Y470">
            <v>42468</v>
          </cell>
          <cell r="Z470">
            <v>1.9921202233372366E-2</v>
          </cell>
          <cell r="AA470">
            <v>1.8955472631730922E-2</v>
          </cell>
        </row>
        <row r="471">
          <cell r="Y471">
            <v>42471</v>
          </cell>
          <cell r="Z471">
            <v>1.9984117668162243E-2</v>
          </cell>
          <cell r="AA471">
            <v>1.8994944881396414E-2</v>
          </cell>
        </row>
        <row r="472">
          <cell r="Y472">
            <v>42472</v>
          </cell>
          <cell r="Z472">
            <v>2.0005061397060778E-2</v>
          </cell>
          <cell r="AA472">
            <v>1.9015213246597051E-2</v>
          </cell>
        </row>
        <row r="473">
          <cell r="Y473">
            <v>42473</v>
          </cell>
          <cell r="Z473">
            <v>2.0025988459938783E-2</v>
          </cell>
          <cell r="AA473">
            <v>1.9035505658391294E-2</v>
          </cell>
        </row>
        <row r="474">
          <cell r="Y474">
            <v>42474</v>
          </cell>
          <cell r="Z474">
            <v>2.0046897281945898E-2</v>
          </cell>
          <cell r="AA474">
            <v>1.9055822116860188E-2</v>
          </cell>
        </row>
        <row r="475">
          <cell r="Y475">
            <v>42475</v>
          </cell>
          <cell r="Z475">
            <v>2.0067786288198809E-2</v>
          </cell>
          <cell r="AA475">
            <v>1.9097534323148094E-2</v>
          </cell>
        </row>
        <row r="476">
          <cell r="Y476">
            <v>42478</v>
          </cell>
          <cell r="Z476">
            <v>2.0130318663111147E-2</v>
          </cell>
          <cell r="AA476">
            <v>1.9137328417077049E-2</v>
          </cell>
        </row>
        <row r="477">
          <cell r="Y477">
            <v>42479</v>
          </cell>
          <cell r="Z477">
            <v>2.015111265686486E-2</v>
          </cell>
          <cell r="AA477">
            <v>1.9157765108838154E-2</v>
          </cell>
        </row>
        <row r="478">
          <cell r="Y478">
            <v>42480</v>
          </cell>
          <cell r="Z478">
            <v>2.0171878959962419E-2</v>
          </cell>
          <cell r="AA478">
            <v>1.9178225847192865E-2</v>
          </cell>
        </row>
        <row r="479">
          <cell r="Y479">
            <v>42481</v>
          </cell>
          <cell r="Z479">
            <v>2.0192615997327249E-2</v>
          </cell>
          <cell r="AA479">
            <v>1.9198710632222227E-2</v>
          </cell>
        </row>
        <row r="480">
          <cell r="Y480">
            <v>42482</v>
          </cell>
          <cell r="Z480">
            <v>2.0213322193851597E-2</v>
          </cell>
          <cell r="AA480">
            <v>1.9240774535171555E-2</v>
          </cell>
        </row>
        <row r="481">
          <cell r="Y481">
            <v>42485</v>
          </cell>
          <cell r="Z481">
            <v>2.0275239986826017E-2</v>
          </cell>
          <cell r="AA481">
            <v>1.928089023908619E-2</v>
          </cell>
        </row>
        <row r="482">
          <cell r="Y482">
            <v>42486</v>
          </cell>
          <cell r="Z482">
            <v>2.0295807068274167E-2</v>
          </cell>
          <cell r="AA482">
            <v>1.9301495257407764E-2</v>
          </cell>
        </row>
        <row r="483">
          <cell r="Y483">
            <v>42487</v>
          </cell>
          <cell r="Z483">
            <v>2.0316335432869287E-2</v>
          </cell>
          <cell r="AA483">
            <v>1.9322124322566081E-2</v>
          </cell>
        </row>
        <row r="484">
          <cell r="Y484">
            <v>42488</v>
          </cell>
          <cell r="Z484">
            <v>2.033682350531392E-2</v>
          </cell>
          <cell r="AA484">
            <v>1.9342777434318004E-2</v>
          </cell>
        </row>
        <row r="485">
          <cell r="Y485">
            <v>42489</v>
          </cell>
          <cell r="Z485">
            <v>2.035726971028123E-2</v>
          </cell>
          <cell r="AA485">
            <v>1.9396076314308064E-2</v>
          </cell>
        </row>
        <row r="486">
          <cell r="Y486">
            <v>42493</v>
          </cell>
          <cell r="Z486">
            <v>2.04488912388926E-2</v>
          </cell>
          <cell r="AA486">
            <v>1.9446403693926806E-2</v>
          </cell>
        </row>
        <row r="487">
          <cell r="Y487">
            <v>42494</v>
          </cell>
          <cell r="Z487">
            <v>2.0469062279462564E-2</v>
          </cell>
          <cell r="AA487">
            <v>1.9467201085969776E-2</v>
          </cell>
        </row>
        <row r="488">
          <cell r="Y488">
            <v>42495</v>
          </cell>
          <cell r="Z488">
            <v>2.0489181261562652E-2</v>
          </cell>
          <cell r="AA488">
            <v>1.9488022524768445E-2</v>
          </cell>
        </row>
        <row r="489">
          <cell r="Y489">
            <v>42496</v>
          </cell>
          <cell r="Z489">
            <v>2.0529459588298323E-2</v>
          </cell>
          <cell r="AA489">
            <v>1.9530790537813928E-2</v>
          </cell>
        </row>
        <row r="490">
          <cell r="Y490">
            <v>42499</v>
          </cell>
          <cell r="Z490">
            <v>2.0569105434214488E-2</v>
          </cell>
          <cell r="AA490">
            <v>1.9571548747114864E-2</v>
          </cell>
        </row>
        <row r="491">
          <cell r="Y491">
            <v>42500</v>
          </cell>
          <cell r="Z491">
            <v>2.0588940745428146E-2</v>
          </cell>
          <cell r="AA491">
            <v>1.9592490419610975E-2</v>
          </cell>
        </row>
        <row r="492">
          <cell r="Y492">
            <v>42501</v>
          </cell>
          <cell r="Z492">
            <v>2.0608714646556076E-2</v>
          </cell>
          <cell r="AA492">
            <v>1.9613456138781737E-2</v>
          </cell>
        </row>
        <row r="493">
          <cell r="Y493">
            <v>42502</v>
          </cell>
          <cell r="Z493">
            <v>2.0628425578897713E-2</v>
          </cell>
          <cell r="AA493">
            <v>1.9634445904708198E-2</v>
          </cell>
        </row>
        <row r="494">
          <cell r="Y494">
            <v>42503</v>
          </cell>
          <cell r="Z494">
            <v>2.0667630731599142E-2</v>
          </cell>
          <cell r="AA494">
            <v>1.9677566336834634E-2</v>
          </cell>
        </row>
        <row r="495">
          <cell r="Y495">
            <v>42506</v>
          </cell>
          <cell r="Z495">
            <v>2.0706608445379415E-2</v>
          </cell>
          <cell r="AA495">
            <v>1.9718645436133109E-2</v>
          </cell>
        </row>
        <row r="496">
          <cell r="Y496">
            <v>42507</v>
          </cell>
          <cell r="Z496">
            <v>2.0725981152288169E-2</v>
          </cell>
          <cell r="AA496">
            <v>1.9739755435919104E-2</v>
          </cell>
        </row>
        <row r="497">
          <cell r="Y497">
            <v>42508</v>
          </cell>
          <cell r="Z497">
            <v>2.0745281537621375E-2</v>
          </cell>
          <cell r="AA497">
            <v>1.9760889482460797E-2</v>
          </cell>
        </row>
        <row r="498">
          <cell r="Y498">
            <v>42509</v>
          </cell>
          <cell r="Z498">
            <v>2.0764508042486411E-2</v>
          </cell>
          <cell r="AA498">
            <v>1.9782047575758188E-2</v>
          </cell>
        </row>
        <row r="499">
          <cell r="Y499">
            <v>42510</v>
          </cell>
          <cell r="Z499">
            <v>2.0802508089732087E-2</v>
          </cell>
          <cell r="AA499">
            <v>1.9825520673319257E-2</v>
          </cell>
        </row>
        <row r="500">
          <cell r="Y500">
            <v>42513</v>
          </cell>
          <cell r="Z500">
            <v>2.0840644078539534E-2</v>
          </cell>
          <cell r="AA500">
            <v>1.9866920416991007E-2</v>
          </cell>
        </row>
        <row r="501">
          <cell r="Y501">
            <v>42514</v>
          </cell>
          <cell r="Z501">
            <v>2.0859477796794427E-2</v>
          </cell>
          <cell r="AA501">
            <v>1.9888198744310026E-2</v>
          </cell>
        </row>
        <row r="502">
          <cell r="Y502">
            <v>42515</v>
          </cell>
          <cell r="Z502">
            <v>2.0878228280696888E-2</v>
          </cell>
          <cell r="AA502">
            <v>1.9909501118465789E-2</v>
          </cell>
        </row>
        <row r="503">
          <cell r="Y503">
            <v>42516</v>
          </cell>
          <cell r="Z503">
            <v>2.0896893971178998E-2</v>
          </cell>
          <cell r="AA503">
            <v>1.9930827539296203E-2</v>
          </cell>
        </row>
        <row r="504">
          <cell r="Y504">
            <v>42517</v>
          </cell>
          <cell r="Z504">
            <v>2.0942558369043383E-2</v>
          </cell>
          <cell r="AA504">
            <v>1.9985905134676241E-2</v>
          </cell>
        </row>
        <row r="505">
          <cell r="Y505">
            <v>42521</v>
          </cell>
          <cell r="Z505">
            <v>2.0988895953290419E-2</v>
          </cell>
          <cell r="AA505">
            <v>2.0037820346161528E-2</v>
          </cell>
        </row>
        <row r="506">
          <cell r="Y506">
            <v>42522</v>
          </cell>
          <cell r="Z506">
            <v>2.1007020141530809E-2</v>
          </cell>
          <cell r="AA506">
            <v>2.0059291048093453E-2</v>
          </cell>
        </row>
        <row r="507">
          <cell r="Y507">
            <v>42523</v>
          </cell>
          <cell r="Z507">
            <v>2.1025048622232301E-2</v>
          </cell>
          <cell r="AA507">
            <v>2.0080785796781075E-2</v>
          </cell>
        </row>
        <row r="508">
          <cell r="Y508">
            <v>42524</v>
          </cell>
          <cell r="Z508">
            <v>2.1060287814167716E-2</v>
          </cell>
          <cell r="AA508">
            <v>2.0124964975916097E-2</v>
          </cell>
        </row>
        <row r="509">
          <cell r="Y509">
            <v>42527</v>
          </cell>
          <cell r="Z509">
            <v>2.1096174284380334E-2</v>
          </cell>
          <cell r="AA509">
            <v>2.0167005260061099E-2</v>
          </cell>
        </row>
        <row r="510">
          <cell r="Y510">
            <v>42528</v>
          </cell>
          <cell r="Z510">
            <v>2.1113700838253487E-2</v>
          </cell>
          <cell r="AA510">
            <v>2.0188620243013489E-2</v>
          </cell>
        </row>
        <row r="511">
          <cell r="Y511">
            <v>42529</v>
          </cell>
          <cell r="Z511">
            <v>2.1131122328792728E-2</v>
          </cell>
          <cell r="AA511">
            <v>2.0210259272883668E-2</v>
          </cell>
        </row>
        <row r="512">
          <cell r="Y512">
            <v>42530</v>
          </cell>
          <cell r="Z512">
            <v>2.1148437196629732E-2</v>
          </cell>
          <cell r="AA512">
            <v>2.0231922349590592E-2</v>
          </cell>
        </row>
        <row r="513">
          <cell r="Y513">
            <v>42531</v>
          </cell>
          <cell r="Z513">
            <v>2.1182143217788201E-2</v>
          </cell>
          <cell r="AA513">
            <v>2.0276454950754291E-2</v>
          </cell>
        </row>
        <row r="514">
          <cell r="Y514">
            <v>42534</v>
          </cell>
          <cell r="Z514">
            <v>2.1216599252951114E-2</v>
          </cell>
          <cell r="AA514">
            <v>2.0318815125190959E-2</v>
          </cell>
        </row>
        <row r="515">
          <cell r="Y515">
            <v>42535</v>
          </cell>
          <cell r="Z515">
            <v>2.1233357616118692E-2</v>
          </cell>
          <cell r="AA515">
            <v>2.0340598436243695E-2</v>
          </cell>
        </row>
        <row r="516">
          <cell r="Y516">
            <v>42536</v>
          </cell>
          <cell r="Z516">
            <v>2.1250000000000577E-2</v>
          </cell>
          <cell r="AA516">
            <v>2.0362405794295269E-2</v>
          </cell>
        </row>
        <row r="517">
          <cell r="Y517">
            <v>42537</v>
          </cell>
          <cell r="Z517">
            <v>2.12665250573204E-2</v>
          </cell>
          <cell r="AA517">
            <v>2.0384213435360454E-2</v>
          </cell>
        </row>
        <row r="518">
          <cell r="Y518">
            <v>42538</v>
          </cell>
          <cell r="Z518">
            <v>2.1298624471057286E-2</v>
          </cell>
          <cell r="AA518">
            <v>2.042862438367932E-2</v>
          </cell>
        </row>
        <row r="519">
          <cell r="Y519">
            <v>42541</v>
          </cell>
          <cell r="Z519">
            <v>2.1331460793949108E-2</v>
          </cell>
          <cell r="AA519">
            <v>2.0470353692758625E-2</v>
          </cell>
        </row>
        <row r="520">
          <cell r="Y520">
            <v>42542</v>
          </cell>
          <cell r="Z520">
            <v>2.1347409704697718E-2</v>
          </cell>
          <cell r="AA520">
            <v>2.04915924164073E-2</v>
          </cell>
        </row>
        <row r="521">
          <cell r="Y521">
            <v>42543</v>
          </cell>
          <cell r="Z521">
            <v>2.1363247149960126E-2</v>
          </cell>
          <cell r="AA521">
            <v>2.0512712603791838E-2</v>
          </cell>
        </row>
        <row r="522">
          <cell r="Y522">
            <v>42544</v>
          </cell>
          <cell r="Z522">
            <v>2.1378974401725995E-2</v>
          </cell>
          <cell r="AA522">
            <v>2.0533714254750146E-2</v>
          </cell>
        </row>
        <row r="523">
          <cell r="Y523">
            <v>42545</v>
          </cell>
          <cell r="Z523">
            <v>2.1409573962503623E-2</v>
          </cell>
          <cell r="AA523">
            <v>2.0576482303320914E-2</v>
          </cell>
        </row>
        <row r="524">
          <cell r="Y524">
            <v>42548</v>
          </cell>
          <cell r="Z524">
            <v>2.1440806914663924E-2</v>
          </cell>
          <cell r="AA524">
            <v>2.0616535495131538E-2</v>
          </cell>
        </row>
        <row r="525">
          <cell r="Y525">
            <v>42549</v>
          </cell>
          <cell r="Z525">
            <v>2.1456002279823635E-2</v>
          </cell>
          <cell r="AA525">
            <v>2.0636944464201834E-2</v>
          </cell>
        </row>
        <row r="526">
          <cell r="Y526">
            <v>42550</v>
          </cell>
          <cell r="Z526">
            <v>2.1471095084035278E-2</v>
          </cell>
          <cell r="AA526">
            <v>2.06572348968459E-2</v>
          </cell>
        </row>
        <row r="527">
          <cell r="Y527">
            <v>42551</v>
          </cell>
          <cell r="Z527">
            <v>2.1486086599486729E-2</v>
          </cell>
          <cell r="AA527">
            <v>2.0677406792982689E-2</v>
          </cell>
        </row>
        <row r="528">
          <cell r="Y528">
            <v>42552</v>
          </cell>
          <cell r="Z528">
            <v>2.1515358226261775E-2</v>
          </cell>
          <cell r="AA528">
            <v>2.0718531400010974E-2</v>
          </cell>
        </row>
        <row r="529">
          <cell r="Y529">
            <v>42555</v>
          </cell>
          <cell r="Z529">
            <v>2.1545065218391567E-2</v>
          </cell>
          <cell r="AA529">
            <v>2.0756909012376035E-2</v>
          </cell>
        </row>
        <row r="530">
          <cell r="Y530">
            <v>42556</v>
          </cell>
          <cell r="Z530">
            <v>2.1559569373798364E-2</v>
          </cell>
          <cell r="AA530">
            <v>2.0776488225814349E-2</v>
          </cell>
        </row>
        <row r="531">
          <cell r="Y531">
            <v>42557</v>
          </cell>
          <cell r="Z531">
            <v>2.1573979874131611E-2</v>
          </cell>
          <cell r="AA531">
            <v>2.0795948902745387E-2</v>
          </cell>
        </row>
        <row r="532">
          <cell r="Y532">
            <v>42558</v>
          </cell>
          <cell r="Z532">
            <v>2.1588297991758893E-2</v>
          </cell>
          <cell r="AA532">
            <v>2.0815291043007056E-2</v>
          </cell>
        </row>
        <row r="533">
          <cell r="Y533">
            <v>42559</v>
          </cell>
          <cell r="Z533">
            <v>2.1616404373982077E-2</v>
          </cell>
          <cell r="AA533">
            <v>2.0854771653433895E-2</v>
          </cell>
        </row>
        <row r="534">
          <cell r="Y534">
            <v>42562</v>
          </cell>
          <cell r="Z534">
            <v>2.1644672083488581E-2</v>
          </cell>
          <cell r="AA534">
            <v>2.0891474237684227E-2</v>
          </cell>
        </row>
        <row r="535">
          <cell r="Y535">
            <v>42563</v>
          </cell>
          <cell r="Z535">
            <v>2.165854737400278E-2</v>
          </cell>
          <cell r="AA535">
            <v>2.0910223694599051E-2</v>
          </cell>
        </row>
        <row r="536">
          <cell r="Y536">
            <v>42564</v>
          </cell>
          <cell r="Z536">
            <v>2.1672337916545971E-2</v>
          </cell>
          <cell r="AA536">
            <v>2.0928854614925552E-2</v>
          </cell>
        </row>
        <row r="537">
          <cell r="Y537">
            <v>42571</v>
          </cell>
          <cell r="Z537">
            <v>2.1766605667104567E-2</v>
          </cell>
          <cell r="AA537">
            <v>2.1055952026902691E-2</v>
          </cell>
        </row>
        <row r="538">
          <cell r="Y538">
            <v>42578</v>
          </cell>
          <cell r="Z538">
            <v>2.1857219636449973E-2</v>
          </cell>
          <cell r="AA538">
            <v>2.1177241132760427E-2</v>
          </cell>
        </row>
        <row r="539">
          <cell r="Y539">
            <v>42585</v>
          </cell>
          <cell r="Z539">
            <v>2.1944616385793234E-2</v>
          </cell>
          <cell r="AA539">
            <v>2.1292721926663427E-2</v>
          </cell>
        </row>
        <row r="540">
          <cell r="Y540">
            <v>42592</v>
          </cell>
          <cell r="Z540">
            <v>2.2029232523165482E-2</v>
          </cell>
          <cell r="AA540">
            <v>2.1402394403100544E-2</v>
          </cell>
        </row>
        <row r="541">
          <cell r="Y541">
            <v>42599</v>
          </cell>
          <cell r="Z541">
            <v>2.2111504700124105E-2</v>
          </cell>
          <cell r="AA541">
            <v>2.150625855680377E-2</v>
          </cell>
        </row>
        <row r="542">
          <cell r="Y542">
            <v>42606</v>
          </cell>
          <cell r="Z542">
            <v>2.2191869608956645E-2</v>
          </cell>
          <cell r="AA542">
            <v>2.1604314382829282E-2</v>
          </cell>
        </row>
        <row r="543">
          <cell r="Y543">
            <v>42613</v>
          </cell>
          <cell r="Z543">
            <v>2.2264571928008806E-2</v>
          </cell>
          <cell r="AA543">
            <v>2.1696561876557441E-2</v>
          </cell>
        </row>
        <row r="544">
          <cell r="Y544">
            <v>42620</v>
          </cell>
          <cell r="Z544">
            <v>2.2342441441386883E-2</v>
          </cell>
          <cell r="AA544">
            <v>2.1783001033449656E-2</v>
          </cell>
        </row>
        <row r="545">
          <cell r="Y545">
            <v>42627</v>
          </cell>
          <cell r="Z545">
            <v>2.2419708522211371E-2</v>
          </cell>
          <cell r="AA545">
            <v>2.1863631849534659E-2</v>
          </cell>
        </row>
        <row r="546">
          <cell r="Y546">
            <v>42634</v>
          </cell>
          <cell r="Z546">
            <v>2.2496768426914865E-2</v>
          </cell>
          <cell r="AA546">
            <v>2.1940920755378901E-2</v>
          </cell>
        </row>
        <row r="547">
          <cell r="Y547">
            <v>42641</v>
          </cell>
          <cell r="Z547">
            <v>2.2573730376480108E-2</v>
          </cell>
          <cell r="AA547">
            <v>2.2018091593406508E-2</v>
          </cell>
        </row>
        <row r="548">
          <cell r="Y548">
            <v>42648</v>
          </cell>
          <cell r="Z548">
            <v>2.2656767541921304E-2</v>
          </cell>
          <cell r="AA548">
            <v>2.209516378425147E-2</v>
          </cell>
        </row>
        <row r="549">
          <cell r="Y549">
            <v>42655</v>
          </cell>
          <cell r="Z549">
            <v>2.2733531770004065E-2</v>
          </cell>
          <cell r="AA549">
            <v>2.2172137327832742E-2</v>
          </cell>
        </row>
        <row r="550">
          <cell r="Y550">
            <v>42662</v>
          </cell>
          <cell r="Z550">
            <v>2.2810198250169049E-2</v>
          </cell>
          <cell r="AA550">
            <v>2.2249012223988229E-2</v>
          </cell>
        </row>
        <row r="551">
          <cell r="Y551">
            <v>42669</v>
          </cell>
          <cell r="Z551">
            <v>2.2886766976725394E-2</v>
          </cell>
          <cell r="AA551">
            <v>2.232578847279898E-2</v>
          </cell>
        </row>
        <row r="552">
          <cell r="Y552">
            <v>42676</v>
          </cell>
          <cell r="Z552">
            <v>2.296323794398929E-2</v>
          </cell>
          <cell r="AA552">
            <v>2.2402466074183947E-2</v>
          </cell>
        </row>
        <row r="553">
          <cell r="Y553">
            <v>42683</v>
          </cell>
          <cell r="Z553">
            <v>2.3039611146283976E-2</v>
          </cell>
          <cell r="AA553">
            <v>2.2479045027981037E-2</v>
          </cell>
        </row>
        <row r="554">
          <cell r="Y554">
            <v>42690</v>
          </cell>
          <cell r="Z554">
            <v>2.3115886577939733E-2</v>
          </cell>
          <cell r="AA554">
            <v>2.2555525334271298E-2</v>
          </cell>
        </row>
        <row r="555">
          <cell r="Y555">
            <v>42697</v>
          </cell>
          <cell r="Z555">
            <v>2.3192064233293893E-2</v>
          </cell>
          <cell r="AA555">
            <v>2.2631906992892636E-2</v>
          </cell>
        </row>
        <row r="556">
          <cell r="Y556">
            <v>42704</v>
          </cell>
          <cell r="Z556">
            <v>2.3255833281182057E-2</v>
          </cell>
          <cell r="AA556">
            <v>2.2708190003764006E-2</v>
          </cell>
        </row>
        <row r="557">
          <cell r="Y557">
            <v>42711</v>
          </cell>
          <cell r="Z557">
            <v>2.3331819665990405E-2</v>
          </cell>
          <cell r="AA557">
            <v>2.2784374366885407E-2</v>
          </cell>
        </row>
        <row r="558">
          <cell r="Y558">
            <v>42718</v>
          </cell>
          <cell r="Z558">
            <v>2.3407708239406782E-2</v>
          </cell>
          <cell r="AA558">
            <v>2.2860460082175793E-2</v>
          </cell>
        </row>
        <row r="559">
          <cell r="Y559">
            <v>42725</v>
          </cell>
          <cell r="Z559">
            <v>2.3483498995920036E-2</v>
          </cell>
          <cell r="AA559">
            <v>2.2936447149554118E-2</v>
          </cell>
        </row>
        <row r="560">
          <cell r="Y560">
            <v>42732</v>
          </cell>
          <cell r="Z560">
            <v>2.3559191930024426E-2</v>
          </cell>
          <cell r="AA560">
            <v>2.3012335568939335E-2</v>
          </cell>
        </row>
        <row r="561">
          <cell r="Y561">
            <v>42739</v>
          </cell>
          <cell r="Z561">
            <v>2.3634787036223213E-2</v>
          </cell>
          <cell r="AA561">
            <v>2.3088125340412491E-2</v>
          </cell>
        </row>
        <row r="562">
          <cell r="Y562">
            <v>42746</v>
          </cell>
          <cell r="Z562">
            <v>2.3710284309024162E-2</v>
          </cell>
          <cell r="AA562">
            <v>2.3163816463730447E-2</v>
          </cell>
        </row>
        <row r="563">
          <cell r="Y563">
            <v>42753</v>
          </cell>
          <cell r="Z563">
            <v>2.3785683742943136E-2</v>
          </cell>
          <cell r="AA563">
            <v>2.3239408938974249E-2</v>
          </cell>
        </row>
        <row r="564">
          <cell r="Y564">
            <v>42760</v>
          </cell>
          <cell r="Z564">
            <v>2.3860985332504112E-2</v>
          </cell>
          <cell r="AA564">
            <v>2.3314902765981804E-2</v>
          </cell>
        </row>
        <row r="565">
          <cell r="Y565">
            <v>42767</v>
          </cell>
          <cell r="Z565">
            <v>2.3936189072237369E-2</v>
          </cell>
          <cell r="AA565">
            <v>2.3390297944672067E-2</v>
          </cell>
        </row>
        <row r="566">
          <cell r="Y566">
            <v>42774</v>
          </cell>
          <cell r="Z566">
            <v>2.4005160739581248E-2</v>
          </cell>
          <cell r="AA566">
            <v>2.3465594475126084E-2</v>
          </cell>
        </row>
        <row r="567">
          <cell r="Y567">
            <v>42781</v>
          </cell>
          <cell r="Z567">
            <v>2.4080170827115083E-2</v>
          </cell>
          <cell r="AA567">
            <v>2.3540792357181761E-2</v>
          </cell>
        </row>
        <row r="568">
          <cell r="Y568">
            <v>42788</v>
          </cell>
          <cell r="Z568">
            <v>2.4155083039974833E-2</v>
          </cell>
          <cell r="AA568">
            <v>2.3615891590758054E-2</v>
          </cell>
        </row>
        <row r="569">
          <cell r="Y569">
            <v>42795</v>
          </cell>
          <cell r="Z569">
            <v>2.4248281742796252E-2</v>
          </cell>
          <cell r="AA569">
            <v>2.3690892175854961E-2</v>
          </cell>
        </row>
        <row r="570">
          <cell r="Y570">
            <v>42802</v>
          </cell>
          <cell r="Z570">
            <v>2.4322992079033344E-2</v>
          </cell>
          <cell r="AA570">
            <v>2.376579411231039E-2</v>
          </cell>
        </row>
        <row r="571">
          <cell r="Y571">
            <v>42809</v>
          </cell>
          <cell r="Z571">
            <v>2.4397604549350155E-2</v>
          </cell>
          <cell r="AA571">
            <v>2.3840597400205388E-2</v>
          </cell>
        </row>
        <row r="572">
          <cell r="Y572">
            <v>42816</v>
          </cell>
          <cell r="Z572">
            <v>2.4472119148204702E-2</v>
          </cell>
          <cell r="AA572">
            <v>2.3915302039377861E-2</v>
          </cell>
        </row>
        <row r="573">
          <cell r="Y573">
            <v>42823</v>
          </cell>
          <cell r="Z573">
            <v>2.4546535620351414E-2</v>
          </cell>
          <cell r="AA573">
            <v>2.3989908029908857E-2</v>
          </cell>
        </row>
        <row r="574">
          <cell r="Y574">
            <v>42830</v>
          </cell>
          <cell r="Z574">
            <v>2.4614720452448242E-2</v>
          </cell>
          <cell r="AA574">
            <v>2.406441537147419E-2</v>
          </cell>
        </row>
        <row r="575">
          <cell r="Y575">
            <v>42837</v>
          </cell>
          <cell r="Z575">
            <v>2.4688853052743216E-2</v>
          </cell>
          <cell r="AA575">
            <v>2.4138824064316999E-2</v>
          </cell>
        </row>
        <row r="576">
          <cell r="Y576">
            <v>42844</v>
          </cell>
          <cell r="Z576">
            <v>2.4762748582810384E-2</v>
          </cell>
          <cell r="AA576">
            <v>2.4213134108113099E-2</v>
          </cell>
        </row>
        <row r="577">
          <cell r="Y577">
            <v>42851</v>
          </cell>
          <cell r="Z577">
            <v>2.483634208455443E-2</v>
          </cell>
          <cell r="AA577">
            <v>2.4287345502943536E-2</v>
          </cell>
        </row>
        <row r="578">
          <cell r="Y578">
            <v>42858</v>
          </cell>
          <cell r="Z578">
            <v>2.4915569893007243E-2</v>
          </cell>
          <cell r="AA578">
            <v>2.4361458248727264E-2</v>
          </cell>
        </row>
        <row r="579">
          <cell r="Y579">
            <v>42865</v>
          </cell>
          <cell r="Z579">
            <v>2.4988321231620519E-2</v>
          </cell>
          <cell r="AA579">
            <v>2.4435472345464282E-2</v>
          </cell>
        </row>
        <row r="580">
          <cell r="Y580">
            <v>42872</v>
          </cell>
          <cell r="Z580">
            <v>2.5060570776587403E-2</v>
          </cell>
          <cell r="AA580">
            <v>2.4509387792911452E-2</v>
          </cell>
        </row>
        <row r="581">
          <cell r="Y581">
            <v>42879</v>
          </cell>
          <cell r="Z581">
            <v>2.513225425241241E-2</v>
          </cell>
          <cell r="AA581">
            <v>2.4583204591230867E-2</v>
          </cell>
        </row>
        <row r="582">
          <cell r="Y582">
            <v>42886</v>
          </cell>
          <cell r="Z582">
            <v>2.5203307379205946E-2</v>
          </cell>
          <cell r="AA582">
            <v>2.4656922740260434E-2</v>
          </cell>
        </row>
        <row r="583">
          <cell r="Y583">
            <v>42893</v>
          </cell>
          <cell r="Z583">
            <v>2.5273665872787357E-2</v>
          </cell>
          <cell r="AA583">
            <v>2.473054223983806E-2</v>
          </cell>
        </row>
        <row r="584">
          <cell r="Y584">
            <v>42900</v>
          </cell>
          <cell r="Z584">
            <v>2.5343265444787141E-2</v>
          </cell>
          <cell r="AA584">
            <v>2.4804063090125839E-2</v>
          </cell>
        </row>
        <row r="585">
          <cell r="Y585">
            <v>42907</v>
          </cell>
          <cell r="Z585">
            <v>2.5412041802764976E-2</v>
          </cell>
          <cell r="AA585">
            <v>2.487748529088063E-2</v>
          </cell>
        </row>
        <row r="586">
          <cell r="Y586">
            <v>42914</v>
          </cell>
          <cell r="Z586">
            <v>2.5479930681557895E-2</v>
          </cell>
          <cell r="AA586">
            <v>2.49507888624112E-2</v>
          </cell>
        </row>
        <row r="587">
          <cell r="Y587">
            <v>42921</v>
          </cell>
          <cell r="Z587">
            <v>2.5546883672979109E-2</v>
          </cell>
          <cell r="AA587">
            <v>2.5023414373200881E-2</v>
          </cell>
        </row>
        <row r="588">
          <cell r="Y588">
            <v>42928</v>
          </cell>
          <cell r="Z588">
            <v>2.5612893985845375E-2</v>
          </cell>
          <cell r="AA588">
            <v>2.509510208685839E-2</v>
          </cell>
        </row>
        <row r="589">
          <cell r="Y589">
            <v>42935</v>
          </cell>
          <cell r="Z589">
            <v>2.5677961573368321E-2</v>
          </cell>
          <cell r="AA589">
            <v>2.5165852002735356E-2</v>
          </cell>
        </row>
        <row r="590">
          <cell r="Y590">
            <v>42942</v>
          </cell>
          <cell r="Z590">
            <v>2.5742086389425562E-2</v>
          </cell>
          <cell r="AA590">
            <v>2.5235664120345502E-2</v>
          </cell>
        </row>
        <row r="591">
          <cell r="Y591">
            <v>42949</v>
          </cell>
          <cell r="Z591">
            <v>2.5805268388564236E-2</v>
          </cell>
          <cell r="AA591">
            <v>2.5304538439202551E-2</v>
          </cell>
        </row>
        <row r="592">
          <cell r="Y592">
            <v>42956</v>
          </cell>
          <cell r="Z592">
            <v>2.5867507525997455E-2</v>
          </cell>
          <cell r="AA592">
            <v>2.5372474958577085E-2</v>
          </cell>
        </row>
        <row r="593">
          <cell r="Y593">
            <v>42963</v>
          </cell>
          <cell r="Z593">
            <v>2.5928803757608743E-2</v>
          </cell>
          <cell r="AA593">
            <v>2.5439473678225966E-2</v>
          </cell>
        </row>
        <row r="594">
          <cell r="Y594">
            <v>42970</v>
          </cell>
          <cell r="Z594">
            <v>2.5989157039945834E-2</v>
          </cell>
          <cell r="AA594">
            <v>2.550553459733873E-2</v>
          </cell>
        </row>
        <row r="595">
          <cell r="Y595">
            <v>42977</v>
          </cell>
          <cell r="Z595">
            <v>2.6048567330227746E-2</v>
          </cell>
          <cell r="AA595">
            <v>2.5570657715591194E-2</v>
          </cell>
        </row>
        <row r="596">
          <cell r="Y596">
            <v>42984</v>
          </cell>
          <cell r="Z596">
            <v>2.610210519471113E-2</v>
          </cell>
          <cell r="AA596">
            <v>2.5634843032497079E-2</v>
          </cell>
        </row>
        <row r="597">
          <cell r="Y597">
            <v>42991</v>
          </cell>
          <cell r="Z597">
            <v>2.6159692631683627E-2</v>
          </cell>
          <cell r="AA597">
            <v>2.5698090547408015E-2</v>
          </cell>
        </row>
        <row r="598">
          <cell r="Y598">
            <v>42998</v>
          </cell>
          <cell r="Z598">
            <v>2.6216337013610858E-2</v>
          </cell>
          <cell r="AA598">
            <v>2.5760400259999816E-2</v>
          </cell>
        </row>
        <row r="599">
          <cell r="Y599">
            <v>43005</v>
          </cell>
          <cell r="Z599">
            <v>2.627203830077213E-2</v>
          </cell>
          <cell r="AA599">
            <v>2.5821772169705159E-2</v>
          </cell>
        </row>
        <row r="600">
          <cell r="Y600">
            <v>43012</v>
          </cell>
          <cell r="Z600">
            <v>2.6331472450195733E-2</v>
          </cell>
          <cell r="AA600">
            <v>2.5882206276118813E-2</v>
          </cell>
        </row>
        <row r="601">
          <cell r="Y601">
            <v>43019</v>
          </cell>
          <cell r="Z601">
            <v>2.6385223927132911E-2</v>
          </cell>
          <cell r="AA601">
            <v>2.5941702578673453E-2</v>
          </cell>
        </row>
        <row r="602">
          <cell r="Y602">
            <v>43026</v>
          </cell>
          <cell r="Z602">
            <v>2.6438032131246809E-2</v>
          </cell>
          <cell r="AA602">
            <v>2.6000261076963849E-2</v>
          </cell>
        </row>
        <row r="603">
          <cell r="Y603">
            <v>43033</v>
          </cell>
          <cell r="Z603">
            <v>2.6489897025101974E-2</v>
          </cell>
          <cell r="AA603">
            <v>2.6057881770503721E-2</v>
          </cell>
        </row>
        <row r="604">
          <cell r="Y604">
            <v>43040</v>
          </cell>
          <cell r="Z604">
            <v>2.6540818571928058E-2</v>
          </cell>
          <cell r="AA604">
            <v>2.6114564658968886E-2</v>
          </cell>
        </row>
        <row r="605">
          <cell r="Y605">
            <v>43047</v>
          </cell>
          <cell r="Z605">
            <v>2.6590796735627757E-2</v>
          </cell>
          <cell r="AA605">
            <v>2.6170309741710973E-2</v>
          </cell>
        </row>
        <row r="606">
          <cell r="Y606">
            <v>43054</v>
          </cell>
          <cell r="Z606">
            <v>2.6639831480767984E-2</v>
          </cell>
          <cell r="AA606">
            <v>2.6225117018567889E-2</v>
          </cell>
        </row>
        <row r="607">
          <cell r="Y607">
            <v>43061</v>
          </cell>
          <cell r="Z607">
            <v>2.6687922772586053E-2</v>
          </cell>
          <cell r="AA607">
            <v>2.6278986488891265E-2</v>
          </cell>
        </row>
        <row r="608">
          <cell r="Y608">
            <v>43068</v>
          </cell>
          <cell r="Z608">
            <v>2.6730904394488126E-2</v>
          </cell>
          <cell r="AA608">
            <v>2.6331918152356915E-2</v>
          </cell>
        </row>
        <row r="609">
          <cell r="Y609">
            <v>43075</v>
          </cell>
          <cell r="Z609">
            <v>2.6773064614689979E-2</v>
          </cell>
          <cell r="AA609">
            <v>2.6383912008559607E-2</v>
          </cell>
        </row>
        <row r="610">
          <cell r="Y610">
            <v>43082</v>
          </cell>
          <cell r="Z610">
            <v>2.6818453500489024E-2</v>
          </cell>
          <cell r="AA610">
            <v>2.6434968057175157E-2</v>
          </cell>
        </row>
        <row r="611">
          <cell r="Y611">
            <v>43089</v>
          </cell>
          <cell r="Z611">
            <v>2.6862898932283986E-2</v>
          </cell>
          <cell r="AA611">
            <v>2.6485086297555194E-2</v>
          </cell>
        </row>
        <row r="612">
          <cell r="Y612">
            <v>43096</v>
          </cell>
          <cell r="Z612">
            <v>2.6906400879252064E-2</v>
          </cell>
          <cell r="AA612">
            <v>2.6534266729618672E-2</v>
          </cell>
        </row>
        <row r="613">
          <cell r="Y613">
            <v>43103</v>
          </cell>
          <cell r="Z613">
            <v>2.694895931121883E-2</v>
          </cell>
          <cell r="AA613">
            <v>2.6582509352798267E-2</v>
          </cell>
        </row>
        <row r="614">
          <cell r="Y614">
            <v>43110</v>
          </cell>
          <cell r="Z614">
            <v>2.699057419867083E-2</v>
          </cell>
          <cell r="AA614">
            <v>2.6629814166769794E-2</v>
          </cell>
        </row>
        <row r="615">
          <cell r="Y615">
            <v>43117</v>
          </cell>
          <cell r="Z615">
            <v>2.7031245512742979E-2</v>
          </cell>
          <cell r="AA615">
            <v>2.6676181171209068E-2</v>
          </cell>
        </row>
        <row r="616">
          <cell r="Y616">
            <v>43124</v>
          </cell>
          <cell r="Z616">
            <v>2.7070973225226669E-2</v>
          </cell>
          <cell r="AA616">
            <v>2.6721610365710857E-2</v>
          </cell>
        </row>
        <row r="617">
          <cell r="Y617">
            <v>43131</v>
          </cell>
          <cell r="Z617">
            <v>2.7106157687699053E-2</v>
          </cell>
          <cell r="AA617">
            <v>2.6766101749869931E-2</v>
          </cell>
        </row>
        <row r="618">
          <cell r="Y618">
            <v>43138</v>
          </cell>
          <cell r="Z618">
            <v>2.7147597735866714E-2</v>
          </cell>
          <cell r="AA618">
            <v>2.6809655323443149E-2</v>
          </cell>
        </row>
        <row r="619">
          <cell r="Y619">
            <v>43145</v>
          </cell>
          <cell r="Z619">
            <v>2.7181024124879067E-2</v>
          </cell>
          <cell r="AA619">
            <v>2.6852271086187374E-2</v>
          </cell>
        </row>
        <row r="620">
          <cell r="Y620">
            <v>43152</v>
          </cell>
          <cell r="Z620">
            <v>2.7217041896610145E-2</v>
          </cell>
          <cell r="AA620">
            <v>2.6893949037454234E-2</v>
          </cell>
        </row>
        <row r="621">
          <cell r="Y621">
            <v>43159</v>
          </cell>
          <cell r="Z621">
            <v>2.7262120383634278E-2</v>
          </cell>
          <cell r="AA621">
            <v>2.6934689177243731E-2</v>
          </cell>
        </row>
        <row r="622">
          <cell r="Y622">
            <v>43166</v>
          </cell>
          <cell r="Z622">
            <v>2.7296056158828744E-2</v>
          </cell>
          <cell r="AA622">
            <v>2.6974491505069587E-2</v>
          </cell>
        </row>
        <row r="623">
          <cell r="Y623">
            <v>43173</v>
          </cell>
          <cell r="Z623">
            <v>2.7329048015451354E-2</v>
          </cell>
          <cell r="AA623">
            <v>2.7013356020688661E-2</v>
          </cell>
        </row>
        <row r="624">
          <cell r="Y624">
            <v>43180</v>
          </cell>
          <cell r="Z624">
            <v>2.7361095930108804E-2</v>
          </cell>
          <cell r="AA624">
            <v>2.7051282723776771E-2</v>
          </cell>
        </row>
        <row r="625">
          <cell r="Y625">
            <v>43187</v>
          </cell>
          <cell r="Z625">
            <v>2.7392199918071271E-2</v>
          </cell>
          <cell r="AA625">
            <v>2.7088271614009729E-2</v>
          </cell>
        </row>
        <row r="626">
          <cell r="Y626">
            <v>43194</v>
          </cell>
          <cell r="Z626">
            <v>2.7419369394889967E-2</v>
          </cell>
          <cell r="AA626">
            <v>2.7124322691225444E-2</v>
          </cell>
        </row>
        <row r="627">
          <cell r="Y627">
            <v>43201</v>
          </cell>
          <cell r="Z627">
            <v>2.7448742804848391E-2</v>
          </cell>
          <cell r="AA627">
            <v>2.7159435954937639E-2</v>
          </cell>
        </row>
        <row r="628">
          <cell r="Y628">
            <v>43208</v>
          </cell>
          <cell r="Z628">
            <v>2.7477330344999339E-2</v>
          </cell>
          <cell r="AA628">
            <v>2.7193611405065266E-2</v>
          </cell>
        </row>
        <row r="629">
          <cell r="Y629">
            <v>43215</v>
          </cell>
          <cell r="Z629">
            <v>2.7505211043112557E-2</v>
          </cell>
          <cell r="AA629">
            <v>2.7226849041365186E-2</v>
          </cell>
        </row>
        <row r="630">
          <cell r="Y630">
            <v>43222</v>
          </cell>
          <cell r="Z630">
            <v>2.7535332060462377E-2</v>
          </cell>
          <cell r="AA630">
            <v>2.725914886343217E-2</v>
          </cell>
        </row>
        <row r="631">
          <cell r="Y631">
            <v>43229</v>
          </cell>
          <cell r="Z631">
            <v>2.756201994407886E-2</v>
          </cell>
          <cell r="AA631">
            <v>2.7290510871023077E-2</v>
          </cell>
        </row>
        <row r="632">
          <cell r="Y632">
            <v>43236</v>
          </cell>
          <cell r="Z632">
            <v>2.7588244064888474E-2</v>
          </cell>
          <cell r="AA632">
            <v>2.7320935063975815E-2</v>
          </cell>
        </row>
        <row r="633">
          <cell r="Y633">
            <v>43243</v>
          </cell>
          <cell r="Z633">
            <v>2.7614082607019974E-2</v>
          </cell>
          <cell r="AA633">
            <v>2.7350421442128292E-2</v>
          </cell>
        </row>
        <row r="634">
          <cell r="Y634">
            <v>43250</v>
          </cell>
          <cell r="Z634">
            <v>2.7639613756755117E-2</v>
          </cell>
          <cell r="AA634">
            <v>2.737897000499423E-2</v>
          </cell>
        </row>
        <row r="635">
          <cell r="Y635">
            <v>43257</v>
          </cell>
          <cell r="Z635">
            <v>2.7664915702455561E-2</v>
          </cell>
          <cell r="AA635">
            <v>2.7406580752573628E-2</v>
          </cell>
        </row>
        <row r="636">
          <cell r="Y636">
            <v>43264</v>
          </cell>
          <cell r="Z636">
            <v>2.7690066634518805E-2</v>
          </cell>
          <cell r="AA636">
            <v>2.7433253684704395E-2</v>
          </cell>
        </row>
        <row r="637">
          <cell r="Y637">
            <v>43271</v>
          </cell>
          <cell r="Z637">
            <v>2.771514474533239E-2</v>
          </cell>
          <cell r="AA637">
            <v>2.7458988800981299E-2</v>
          </cell>
        </row>
        <row r="638">
          <cell r="Y638">
            <v>43278</v>
          </cell>
          <cell r="Z638">
            <v>2.7740228229257157E-2</v>
          </cell>
          <cell r="AA638">
            <v>2.7483789572940731E-2</v>
          </cell>
        </row>
        <row r="639">
          <cell r="Y639">
            <v>43285</v>
          </cell>
          <cell r="Z639">
            <v>2.7765382249914875E-2</v>
          </cell>
          <cell r="AA639">
            <v>2.7508232289320533E-2</v>
          </cell>
        </row>
        <row r="640">
          <cell r="Y640">
            <v>43292</v>
          </cell>
          <cell r="Z640">
            <v>2.7790619841420377E-2</v>
          </cell>
          <cell r="AA640">
            <v>2.7532757845859512E-2</v>
          </cell>
        </row>
        <row r="641">
          <cell r="Y641">
            <v>43299</v>
          </cell>
          <cell r="Z641">
            <v>2.781594100535846E-2</v>
          </cell>
          <cell r="AA641">
            <v>2.7557366242476622E-2</v>
          </cell>
        </row>
        <row r="642">
          <cell r="Y642">
            <v>43306</v>
          </cell>
          <cell r="Z642">
            <v>2.7841345743313935E-2</v>
          </cell>
          <cell r="AA642">
            <v>2.7582057479333955E-2</v>
          </cell>
        </row>
        <row r="643">
          <cell r="Y643">
            <v>43313</v>
          </cell>
          <cell r="Z643">
            <v>2.7866834056879539E-2</v>
          </cell>
          <cell r="AA643">
            <v>2.760683155643151E-2</v>
          </cell>
        </row>
        <row r="644">
          <cell r="Y644">
            <v>43320</v>
          </cell>
          <cell r="Z644">
            <v>2.7892405947653295E-2</v>
          </cell>
          <cell r="AA644">
            <v>2.7631688473688243E-2</v>
          </cell>
        </row>
        <row r="645">
          <cell r="Y645">
            <v>43327</v>
          </cell>
          <cell r="Z645">
            <v>2.7918061417237624E-2</v>
          </cell>
          <cell r="AA645">
            <v>2.7656628231104152E-2</v>
          </cell>
        </row>
        <row r="646">
          <cell r="Y646">
            <v>43334</v>
          </cell>
          <cell r="Z646">
            <v>2.7943800467240237E-2</v>
          </cell>
          <cell r="AA646">
            <v>2.7681650828841331E-2</v>
          </cell>
        </row>
        <row r="647">
          <cell r="Y647">
            <v>43341</v>
          </cell>
          <cell r="Z647">
            <v>2.796962309927414E-2</v>
          </cell>
          <cell r="AA647">
            <v>2.7706756266818733E-2</v>
          </cell>
        </row>
        <row r="648">
          <cell r="Y648">
            <v>43348</v>
          </cell>
          <cell r="Z648">
            <v>2.7992592175083014E-2</v>
          </cell>
          <cell r="AA648">
            <v>2.7731944545117404E-2</v>
          </cell>
        </row>
        <row r="649">
          <cell r="Y649">
            <v>43355</v>
          </cell>
          <cell r="Z649">
            <v>2.8018574018852362E-2</v>
          </cell>
          <cell r="AA649">
            <v>2.7757215663656298E-2</v>
          </cell>
        </row>
        <row r="650">
          <cell r="Y650">
            <v>43362</v>
          </cell>
          <cell r="Z650">
            <v>2.8044639441172171E-2</v>
          </cell>
          <cell r="AA650">
            <v>2.7782569622516462E-2</v>
          </cell>
        </row>
        <row r="651">
          <cell r="Y651">
            <v>43369</v>
          </cell>
          <cell r="Z651">
            <v>2.8073749480176328E-2</v>
          </cell>
          <cell r="AA651">
            <v>2.7808006421697895E-2</v>
          </cell>
        </row>
        <row r="652">
          <cell r="Y652">
            <v>43376</v>
          </cell>
          <cell r="Z652">
            <v>2.8099990046751889E-2</v>
          </cell>
          <cell r="AA652">
            <v>2.7833526061200597E-2</v>
          </cell>
        </row>
        <row r="653">
          <cell r="Y653">
            <v>43383</v>
          </cell>
          <cell r="Z653">
            <v>2.8126314205147714E-2</v>
          </cell>
          <cell r="AA653">
            <v>2.7859128541105616E-2</v>
          </cell>
        </row>
        <row r="654">
          <cell r="Y654">
            <v>43390</v>
          </cell>
          <cell r="Z654">
            <v>2.8152721957015566E-2</v>
          </cell>
          <cell r="AA654">
            <v>2.7884813861412949E-2</v>
          </cell>
        </row>
        <row r="655">
          <cell r="Y655">
            <v>43397</v>
          </cell>
          <cell r="Z655">
            <v>2.8179213304008958E-2</v>
          </cell>
          <cell r="AA655">
            <v>2.7910582022041552E-2</v>
          </cell>
        </row>
        <row r="656">
          <cell r="Y656">
            <v>43404</v>
          </cell>
          <cell r="Z656">
            <v>2.8205788247790225E-2</v>
          </cell>
          <cell r="AA656">
            <v>2.7936433023153517E-2</v>
          </cell>
        </row>
        <row r="657">
          <cell r="Y657">
            <v>43411</v>
          </cell>
          <cell r="Z657">
            <v>2.8232446790023458E-2</v>
          </cell>
          <cell r="AA657">
            <v>2.7962366864586752E-2</v>
          </cell>
        </row>
        <row r="658">
          <cell r="Y658">
            <v>43418</v>
          </cell>
          <cell r="Z658">
            <v>2.8259188932380677E-2</v>
          </cell>
          <cell r="AA658">
            <v>2.7988383546584394E-2</v>
          </cell>
        </row>
        <row r="659">
          <cell r="Y659">
            <v>43425</v>
          </cell>
          <cell r="Z659">
            <v>2.8286014676537422E-2</v>
          </cell>
          <cell r="AA659">
            <v>2.8014483069065399E-2</v>
          </cell>
        </row>
        <row r="660">
          <cell r="Y660">
            <v>43432</v>
          </cell>
          <cell r="Z660">
            <v>2.8312924024173645E-2</v>
          </cell>
          <cell r="AA660">
            <v>2.8040665432029765E-2</v>
          </cell>
        </row>
        <row r="661">
          <cell r="Y661">
            <v>43439</v>
          </cell>
          <cell r="Z661">
            <v>2.8333835422409033E-2</v>
          </cell>
          <cell r="AA661">
            <v>2.8066930635396448E-2</v>
          </cell>
        </row>
        <row r="662">
          <cell r="Y662">
            <v>43446</v>
          </cell>
          <cell r="Z662">
            <v>2.8360895849013863E-2</v>
          </cell>
          <cell r="AA662">
            <v>2.8093278679327538E-2</v>
          </cell>
        </row>
        <row r="663">
          <cell r="Y663">
            <v>43453</v>
          </cell>
          <cell r="Z663">
            <v>2.8388039866988644E-2</v>
          </cell>
          <cell r="AA663">
            <v>2.8119709563823037E-2</v>
          </cell>
        </row>
        <row r="664">
          <cell r="Y664">
            <v>43461</v>
          </cell>
          <cell r="Z664">
            <v>2.8419163960730548E-2</v>
          </cell>
          <cell r="AA664">
            <v>2.8150017726381593E-2</v>
          </cell>
        </row>
        <row r="665">
          <cell r="Y665">
            <v>43468</v>
          </cell>
          <cell r="Z665">
            <v>2.8446487108680092E-2</v>
          </cell>
          <cell r="AA665">
            <v>2.817662612638383E-2</v>
          </cell>
        </row>
        <row r="666">
          <cell r="Y666">
            <v>43475</v>
          </cell>
          <cell r="Z666">
            <v>2.8473893853248687E-2</v>
          </cell>
          <cell r="AA666">
            <v>2.8203317366950476E-2</v>
          </cell>
        </row>
        <row r="667">
          <cell r="Y667">
            <v>43482</v>
          </cell>
          <cell r="Z667">
            <v>2.8501384196114886E-2</v>
          </cell>
          <cell r="AA667">
            <v>2.8230091448162575E-2</v>
          </cell>
        </row>
        <row r="668">
          <cell r="Y668">
            <v>43489</v>
          </cell>
          <cell r="Z668">
            <v>2.8528958138965353E-2</v>
          </cell>
          <cell r="AA668">
            <v>2.825694837002013E-2</v>
          </cell>
        </row>
        <row r="669">
          <cell r="Y669">
            <v>43496</v>
          </cell>
          <cell r="Z669">
            <v>2.8553510375972722E-2</v>
          </cell>
          <cell r="AA669">
            <v>2.8283888132442092E-2</v>
          </cell>
        </row>
        <row r="670">
          <cell r="Y670">
            <v>43503</v>
          </cell>
          <cell r="Z670">
            <v>2.8581243388925925E-2</v>
          </cell>
          <cell r="AA670">
            <v>2.8310910735590555E-2</v>
          </cell>
        </row>
        <row r="671">
          <cell r="Y671">
            <v>43510</v>
          </cell>
          <cell r="Z671">
            <v>2.8609059998205569E-2</v>
          </cell>
          <cell r="AA671">
            <v>2.8338016179465519E-2</v>
          </cell>
        </row>
        <row r="672">
          <cell r="Y672">
            <v>43517</v>
          </cell>
          <cell r="Z672">
            <v>2.8636960205499967E-2</v>
          </cell>
          <cell r="AA672">
            <v>2.8365204463985938E-2</v>
          </cell>
        </row>
        <row r="673">
          <cell r="Y673">
            <v>43524</v>
          </cell>
          <cell r="Z673">
            <v>2.8674360539876001E-2</v>
          </cell>
          <cell r="AA673">
            <v>2.8392475589313904E-2</v>
          </cell>
        </row>
        <row r="674">
          <cell r="Y674">
            <v>43531</v>
          </cell>
          <cell r="Z674">
            <v>2.8702452462678652E-2</v>
          </cell>
          <cell r="AA674">
            <v>2.8419829555287324E-2</v>
          </cell>
        </row>
        <row r="675">
          <cell r="Y675">
            <v>43538</v>
          </cell>
          <cell r="Z675">
            <v>2.8730628015064732E-2</v>
          </cell>
          <cell r="AA675">
            <v>2.8447266362068291E-2</v>
          </cell>
        </row>
        <row r="676">
          <cell r="Y676">
            <v>43545</v>
          </cell>
          <cell r="Z676">
            <v>2.8758887198802281E-2</v>
          </cell>
          <cell r="AA676">
            <v>2.8474786009575759E-2</v>
          </cell>
        </row>
        <row r="677">
          <cell r="Y677">
            <v>43552</v>
          </cell>
          <cell r="Z677">
            <v>2.8787230011997282E-2</v>
          </cell>
          <cell r="AA677">
            <v>2.850238849797182E-2</v>
          </cell>
        </row>
        <row r="678">
          <cell r="Y678">
            <v>43559</v>
          </cell>
          <cell r="Z678">
            <v>2.8812474458571588E-2</v>
          </cell>
          <cell r="AA678">
            <v>2.8530073827175428E-2</v>
          </cell>
        </row>
        <row r="679">
          <cell r="Y679">
            <v>43566</v>
          </cell>
          <cell r="Z679">
            <v>2.8840967434455588E-2</v>
          </cell>
          <cell r="AA679">
            <v>2.8557841997186584E-2</v>
          </cell>
        </row>
        <row r="680">
          <cell r="Y680">
            <v>43573</v>
          </cell>
          <cell r="Z680">
            <v>2.886952879054909E-2</v>
          </cell>
          <cell r="AA680">
            <v>2.8598147684951503E-2</v>
          </cell>
        </row>
        <row r="681">
          <cell r="Y681">
            <v>43580</v>
          </cell>
          <cell r="Z681">
            <v>2.8898150903643376E-2</v>
          </cell>
          <cell r="AA681">
            <v>2.8613626859712582E-2</v>
          </cell>
        </row>
        <row r="682">
          <cell r="Y682">
            <v>43587</v>
          </cell>
          <cell r="Z682">
            <v>2.8930027668043295E-2</v>
          </cell>
          <cell r="AA682">
            <v>2.8641643552389517E-2</v>
          </cell>
        </row>
        <row r="683">
          <cell r="Y683">
            <v>43594</v>
          </cell>
          <cell r="Z683">
            <v>2.89587519223179E-2</v>
          </cell>
          <cell r="AA683">
            <v>2.8669743085955046E-2</v>
          </cell>
        </row>
        <row r="684">
          <cell r="Y684">
            <v>43601</v>
          </cell>
          <cell r="Z684">
            <v>2.8987513487769252E-2</v>
          </cell>
          <cell r="AA684">
            <v>2.8697925460409168E-2</v>
          </cell>
        </row>
        <row r="685">
          <cell r="Y685">
            <v>43608</v>
          </cell>
          <cell r="Z685">
            <v>2.9016304822606614E-2</v>
          </cell>
          <cell r="AA685">
            <v>2.872619067583293E-2</v>
          </cell>
        </row>
        <row r="686">
          <cell r="Y686">
            <v>43615</v>
          </cell>
          <cell r="Z686">
            <v>2.9045118384822554E-2</v>
          </cell>
          <cell r="AA686">
            <v>2.8754538732307378E-2</v>
          </cell>
        </row>
        <row r="687">
          <cell r="Y687">
            <v>43622</v>
          </cell>
          <cell r="Z687">
            <v>2.9073946632188506E-2</v>
          </cell>
          <cell r="AA687">
            <v>2.8782969629670418E-2</v>
          </cell>
        </row>
        <row r="688">
          <cell r="Y688">
            <v>43629</v>
          </cell>
          <cell r="Z688">
            <v>2.9102782022263615E-2</v>
          </cell>
          <cell r="AA688">
            <v>2.8811483368003099E-2</v>
          </cell>
        </row>
        <row r="689">
          <cell r="Y689">
            <v>43636</v>
          </cell>
          <cell r="Z689">
            <v>2.9131617012386778E-2</v>
          </cell>
          <cell r="AA689">
            <v>2.8840079947467512E-2</v>
          </cell>
        </row>
        <row r="690">
          <cell r="Y690">
            <v>43643</v>
          </cell>
          <cell r="Z690">
            <v>2.9160444059679311E-2</v>
          </cell>
          <cell r="AA690">
            <v>2.8868759033180424E-2</v>
          </cell>
        </row>
        <row r="691">
          <cell r="Y691">
            <v>43650</v>
          </cell>
          <cell r="Z691">
            <v>2.9189256878198719E-2</v>
          </cell>
          <cell r="AA691">
            <v>2.8897465055192084E-2</v>
          </cell>
        </row>
        <row r="692">
          <cell r="Y692">
            <v>43657</v>
          </cell>
          <cell r="Z692">
            <v>2.9218054210471432E-2</v>
          </cell>
          <cell r="AA692">
            <v>2.892615549889288E-2</v>
          </cell>
        </row>
        <row r="693">
          <cell r="Y693">
            <v>43664</v>
          </cell>
          <cell r="Z693">
            <v>2.9246836056160054E-2</v>
          </cell>
          <cell r="AA693">
            <v>2.8954830364363859E-2</v>
          </cell>
        </row>
        <row r="694">
          <cell r="Y694">
            <v>43671</v>
          </cell>
          <cell r="Z694">
            <v>2.9275602414927188E-2</v>
          </cell>
          <cell r="AA694">
            <v>2.8983489651686067E-2</v>
          </cell>
        </row>
        <row r="695">
          <cell r="Y695">
            <v>43678</v>
          </cell>
          <cell r="Z695">
            <v>2.9304353286435426E-2</v>
          </cell>
          <cell r="AA695">
            <v>2.9012133360859504E-2</v>
          </cell>
        </row>
        <row r="696">
          <cell r="Y696">
            <v>43685</v>
          </cell>
          <cell r="Z696">
            <v>2.9333088670347375E-2</v>
          </cell>
          <cell r="AA696">
            <v>2.9040761491641032E-2</v>
          </cell>
        </row>
        <row r="697">
          <cell r="Y697">
            <v>43692</v>
          </cell>
          <cell r="Z697">
            <v>2.9361808566325639E-2</v>
          </cell>
          <cell r="AA697">
            <v>2.9069374044273788E-2</v>
          </cell>
        </row>
        <row r="698">
          <cell r="Y698">
            <v>43699</v>
          </cell>
          <cell r="Z698">
            <v>2.9390512974033691E-2</v>
          </cell>
          <cell r="AA698">
            <v>2.9097971018595681E-2</v>
          </cell>
        </row>
        <row r="699">
          <cell r="Y699">
            <v>43706</v>
          </cell>
          <cell r="Z699">
            <v>2.941920189313502E-2</v>
          </cell>
          <cell r="AA699">
            <v>2.9126552414768803E-2</v>
          </cell>
        </row>
        <row r="700">
          <cell r="Y700">
            <v>43713</v>
          </cell>
          <cell r="Z700">
            <v>2.9444645387307976E-2</v>
          </cell>
          <cell r="AA700">
            <v>2.9155118232712107E-2</v>
          </cell>
        </row>
        <row r="701">
          <cell r="Y701">
            <v>43720</v>
          </cell>
          <cell r="Z701">
            <v>2.9473302130079777E-2</v>
          </cell>
          <cell r="AA701">
            <v>2.9183668472344548E-2</v>
          </cell>
        </row>
        <row r="702">
          <cell r="Y702">
            <v>43727</v>
          </cell>
          <cell r="Z702">
            <v>2.9501943382273757E-2</v>
          </cell>
          <cell r="AA702">
            <v>2.9212203133747172E-2</v>
          </cell>
        </row>
        <row r="703">
          <cell r="Y703">
            <v>43734</v>
          </cell>
          <cell r="Z703">
            <v>2.9533802676744471E-2</v>
          </cell>
          <cell r="AA703">
            <v>2.9240722216838932E-2</v>
          </cell>
        </row>
        <row r="704">
          <cell r="Y704">
            <v>43741</v>
          </cell>
          <cell r="Z704">
            <v>2.9562414147768799E-2</v>
          </cell>
          <cell r="AA704">
            <v>2.9269225721781922E-2</v>
          </cell>
        </row>
        <row r="705">
          <cell r="Y705">
            <v>43748</v>
          </cell>
          <cell r="Z705">
            <v>2.9591010128169056E-2</v>
          </cell>
          <cell r="AA705">
            <v>2.9297713648495094E-2</v>
          </cell>
        </row>
        <row r="706">
          <cell r="Y706">
            <v>43755</v>
          </cell>
          <cell r="Z706">
            <v>2.9619590617610485E-2</v>
          </cell>
          <cell r="AA706">
            <v>2.9326185996816356E-2</v>
          </cell>
        </row>
        <row r="707">
          <cell r="Y707">
            <v>43762</v>
          </cell>
          <cell r="Z707">
            <v>2.9648155615759206E-2</v>
          </cell>
          <cell r="AA707">
            <v>2.9354642766907801E-2</v>
          </cell>
        </row>
        <row r="708">
          <cell r="Y708">
            <v>43769</v>
          </cell>
          <cell r="Z708">
            <v>2.9676705122277824E-2</v>
          </cell>
          <cell r="AA708">
            <v>2.9383083958769429E-2</v>
          </cell>
        </row>
        <row r="709">
          <cell r="Y709">
            <v>43776</v>
          </cell>
          <cell r="Z709">
            <v>2.9705239136834226E-2</v>
          </cell>
          <cell r="AA709">
            <v>2.9411509572320194E-2</v>
          </cell>
        </row>
        <row r="710">
          <cell r="Y710">
            <v>43783</v>
          </cell>
          <cell r="Z710">
            <v>2.9733757659091888E-2</v>
          </cell>
          <cell r="AA710">
            <v>2.9439919607560094E-2</v>
          </cell>
        </row>
        <row r="711">
          <cell r="Y711">
            <v>43790</v>
          </cell>
          <cell r="Z711">
            <v>2.9762260688716059E-2</v>
          </cell>
          <cell r="AA711">
            <v>2.9468314064570178E-2</v>
          </cell>
        </row>
        <row r="712">
          <cell r="Y712">
            <v>43797</v>
          </cell>
          <cell r="Z712">
            <v>2.9790748225373743E-2</v>
          </cell>
          <cell r="AA712">
            <v>2.9496692943269398E-2</v>
          </cell>
        </row>
        <row r="713">
          <cell r="Y713">
            <v>43804</v>
          </cell>
          <cell r="Z713">
            <v>2.9815974683354719E-2</v>
          </cell>
          <cell r="AA713">
            <v>2.9525056243657755E-2</v>
          </cell>
        </row>
        <row r="714">
          <cell r="Y714">
            <v>43811</v>
          </cell>
          <cell r="Z714">
            <v>2.9844430022745075E-2</v>
          </cell>
          <cell r="AA714">
            <v>2.9553403965816294E-2</v>
          </cell>
        </row>
        <row r="715">
          <cell r="Y715">
            <v>43818</v>
          </cell>
          <cell r="Z715">
            <v>2.987286986725236E-2</v>
          </cell>
          <cell r="AA715">
            <v>2.958173610966397E-2</v>
          </cell>
        </row>
        <row r="716">
          <cell r="Y716">
            <v>43826</v>
          </cell>
          <cell r="Z716">
            <v>2.9905353572936957E-2</v>
          </cell>
          <cell r="AA716">
            <v>2.962054360157914E-2</v>
          </cell>
        </row>
        <row r="717">
          <cell r="Y717">
            <v>43833</v>
          </cell>
          <cell r="Z717">
            <v>2.9933760213011001E-2</v>
          </cell>
          <cell r="AA717">
            <v>2.9648844732527161E-2</v>
          </cell>
        </row>
        <row r="718">
          <cell r="Y718">
            <v>43840</v>
          </cell>
          <cell r="Z718">
            <v>2.9975160390508293E-2</v>
          </cell>
          <cell r="AA718">
            <v>2.9677130287001367E-2</v>
          </cell>
        </row>
        <row r="719">
          <cell r="Y719">
            <v>43847</v>
          </cell>
          <cell r="Z719">
            <v>2.9990527005065857E-2</v>
          </cell>
          <cell r="AA719">
            <v>2.9705400265028773E-2</v>
          </cell>
        </row>
        <row r="720">
          <cell r="Y720">
            <v>43854</v>
          </cell>
          <cell r="Z720">
            <v>3.0018887156390287E-2</v>
          </cell>
          <cell r="AA720">
            <v>2.9733654666582364E-2</v>
          </cell>
        </row>
        <row r="721">
          <cell r="Y721">
            <v>43861</v>
          </cell>
          <cell r="Z721">
            <v>3.0043976636833412E-2</v>
          </cell>
          <cell r="AA721">
            <v>2.9761893491608113E-2</v>
          </cell>
        </row>
        <row r="722">
          <cell r="Y722">
            <v>43868</v>
          </cell>
          <cell r="Z722">
            <v>3.0072304576656515E-2</v>
          </cell>
          <cell r="AA722">
            <v>2.9790116740160043E-2</v>
          </cell>
        </row>
        <row r="723">
          <cell r="Y723">
            <v>43875</v>
          </cell>
          <cell r="Z723">
            <v>3.0100617018028158E-2</v>
          </cell>
          <cell r="AA723">
            <v>2.9818324412211147E-2</v>
          </cell>
        </row>
        <row r="724">
          <cell r="Y724">
            <v>43882</v>
          </cell>
          <cell r="Z724">
            <v>3.0128913960623255E-2</v>
          </cell>
          <cell r="AA724">
            <v>2.9846516507734403E-2</v>
          </cell>
        </row>
        <row r="725">
          <cell r="Y725">
            <v>43889</v>
          </cell>
          <cell r="Z725">
            <v>3.0160455452811073E-2</v>
          </cell>
          <cell r="AA725">
            <v>2.9874693026729814E-2</v>
          </cell>
        </row>
        <row r="726">
          <cell r="Y726">
            <v>43896</v>
          </cell>
          <cell r="Z726">
            <v>3.0198508196245196E-2</v>
          </cell>
          <cell r="AA726">
            <v>2.9902853969170366E-2</v>
          </cell>
        </row>
        <row r="727">
          <cell r="Y727">
            <v>43903</v>
          </cell>
          <cell r="Z727">
            <v>3.0226763529458838E-2</v>
          </cell>
          <cell r="AA727">
            <v>2.9930999335083072E-2</v>
          </cell>
        </row>
        <row r="728">
          <cell r="Y728">
            <v>43910</v>
          </cell>
          <cell r="Z728">
            <v>3.025500336606661E-2</v>
          </cell>
          <cell r="AA728">
            <v>2.99591291244139E-2</v>
          </cell>
        </row>
        <row r="729">
          <cell r="Y729">
            <v>43917</v>
          </cell>
          <cell r="Z729">
            <v>3.0283227705731403E-2</v>
          </cell>
          <cell r="AA729">
            <v>2.998724333718987E-2</v>
          </cell>
        </row>
        <row r="730">
          <cell r="Y730">
            <v>43924</v>
          </cell>
          <cell r="Z730">
            <v>3.0301636275405539E-2</v>
          </cell>
          <cell r="AA730">
            <v>3.0015341973383961E-2</v>
          </cell>
        </row>
        <row r="731">
          <cell r="Y731">
            <v>43935</v>
          </cell>
          <cell r="Z731">
            <v>3.0345926843827486E-2</v>
          </cell>
          <cell r="AA731">
            <v>3.0052981429244952E-2</v>
          </cell>
        </row>
        <row r="732">
          <cell r="Y732">
            <v>43942</v>
          </cell>
          <cell r="Z732">
            <v>3.0374091009083781E-2</v>
          </cell>
          <cell r="AA732">
            <v>3.0081037614072548E-2</v>
          </cell>
        </row>
        <row r="733">
          <cell r="Y733">
            <v>43949</v>
          </cell>
          <cell r="Z733">
            <v>3.0402238655984983E-2</v>
          </cell>
          <cell r="AA733">
            <v>3.0109078220508234E-2</v>
          </cell>
        </row>
        <row r="734">
          <cell r="Y734">
            <v>43956</v>
          </cell>
          <cell r="Z734">
            <v>3.0433640984995743E-2</v>
          </cell>
          <cell r="AA734">
            <v>3.0137103248633057E-2</v>
          </cell>
        </row>
        <row r="735">
          <cell r="Y735">
            <v>43963</v>
          </cell>
          <cell r="Z735">
            <v>3.0461755646784258E-2</v>
          </cell>
          <cell r="AA735">
            <v>3.016511269836597E-2</v>
          </cell>
        </row>
        <row r="736">
          <cell r="Y736">
            <v>43970</v>
          </cell>
          <cell r="Z736">
            <v>3.0489852794612443E-2</v>
          </cell>
          <cell r="AA736">
            <v>3.0193106569706973E-2</v>
          </cell>
        </row>
        <row r="737">
          <cell r="Y737">
            <v>43977</v>
          </cell>
          <cell r="Z737">
            <v>3.0517932107899971E-2</v>
          </cell>
          <cell r="AA737">
            <v>3.0221084862656067E-2</v>
          </cell>
        </row>
        <row r="738">
          <cell r="Y738">
            <v>43984</v>
          </cell>
          <cell r="Z738">
            <v>3.0545993266060351E-2</v>
          </cell>
          <cell r="AA738">
            <v>3.0249047577213251E-2</v>
          </cell>
        </row>
        <row r="739">
          <cell r="Y739">
            <v>43991</v>
          </cell>
          <cell r="Z739">
            <v>3.057403594849652E-2</v>
          </cell>
          <cell r="AA739">
            <v>3.0276994713378524E-2</v>
          </cell>
        </row>
        <row r="740">
          <cell r="Y740">
            <v>43998</v>
          </cell>
          <cell r="Z740">
            <v>3.0602059834605247E-2</v>
          </cell>
          <cell r="AA740">
            <v>3.0304926271232935E-2</v>
          </cell>
        </row>
        <row r="741">
          <cell r="Y741">
            <v>44005</v>
          </cell>
          <cell r="Z741">
            <v>3.0630064603770969E-2</v>
          </cell>
          <cell r="AA741">
            <v>3.0332842250695435E-2</v>
          </cell>
        </row>
        <row r="742">
          <cell r="Y742">
            <v>44012</v>
          </cell>
          <cell r="Z742">
            <v>3.0658049935528765E-2</v>
          </cell>
          <cell r="AA742">
            <v>3.0360742552241193E-2</v>
          </cell>
        </row>
        <row r="743">
          <cell r="Y743">
            <v>44019</v>
          </cell>
          <cell r="Z743">
            <v>3.0686015588444408E-2</v>
          </cell>
          <cell r="AA743">
            <v>3.0388624391525232E-2</v>
          </cell>
        </row>
        <row r="744">
          <cell r="Y744">
            <v>44026</v>
          </cell>
          <cell r="Z744">
            <v>3.0713961528495193E-2</v>
          </cell>
          <cell r="AA744">
            <v>3.041648647569728E-2</v>
          </cell>
        </row>
        <row r="745">
          <cell r="Y745">
            <v>44033</v>
          </cell>
          <cell r="Z745">
            <v>3.074188775526444E-2</v>
          </cell>
          <cell r="AA745">
            <v>3.0444328804919429E-2</v>
          </cell>
        </row>
        <row r="746">
          <cell r="Y746">
            <v>44040</v>
          </cell>
          <cell r="Z746">
            <v>3.0769794268336349E-2</v>
          </cell>
          <cell r="AA746">
            <v>3.0472151379029588E-2</v>
          </cell>
        </row>
        <row r="747">
          <cell r="Y747">
            <v>44047</v>
          </cell>
          <cell r="Z747">
            <v>3.079768106729423E-2</v>
          </cell>
          <cell r="AA747">
            <v>3.0499954198027757E-2</v>
          </cell>
        </row>
        <row r="748">
          <cell r="Y748">
            <v>44054</v>
          </cell>
          <cell r="Z748">
            <v>3.0825548151724048E-2</v>
          </cell>
          <cell r="AA748">
            <v>3.052773726199498E-2</v>
          </cell>
        </row>
        <row r="749">
          <cell r="Y749">
            <v>44061</v>
          </cell>
          <cell r="Z749">
            <v>3.0853395521210875E-2</v>
          </cell>
          <cell r="AA749">
            <v>3.055550057093126E-2</v>
          </cell>
        </row>
        <row r="750">
          <cell r="Y750">
            <v>44068</v>
          </cell>
          <cell r="Z750">
            <v>3.0881223175339794E-2</v>
          </cell>
          <cell r="AA750">
            <v>3.0583244124674502E-2</v>
          </cell>
        </row>
        <row r="751">
          <cell r="Y751">
            <v>44075</v>
          </cell>
          <cell r="Z751">
            <v>3.0905743450244525E-2</v>
          </cell>
          <cell r="AA751">
            <v>3.06109679233868E-2</v>
          </cell>
        </row>
        <row r="752">
          <cell r="Y752">
            <v>44082</v>
          </cell>
          <cell r="Z752">
            <v>3.0933530735778033E-2</v>
          </cell>
          <cell r="AA752">
            <v>3.0638671966987108E-2</v>
          </cell>
        </row>
        <row r="753">
          <cell r="Y753">
            <v>44089</v>
          </cell>
          <cell r="Z753">
            <v>3.0961298304309114E-2</v>
          </cell>
          <cell r="AA753">
            <v>3.0666356255475424E-2</v>
          </cell>
        </row>
        <row r="754">
          <cell r="Y754">
            <v>44096</v>
          </cell>
          <cell r="Z754">
            <v>3.0989046155426303E-2</v>
          </cell>
          <cell r="AA754">
            <v>3.0694020788932797E-2</v>
          </cell>
        </row>
        <row r="755">
          <cell r="Y755">
            <v>44103</v>
          </cell>
          <cell r="Z755">
            <v>3.1016774288721696E-2</v>
          </cell>
          <cell r="AA755">
            <v>3.0721665567197132E-2</v>
          </cell>
        </row>
        <row r="756">
          <cell r="Y756">
            <v>44110</v>
          </cell>
          <cell r="Z756">
            <v>3.1047775054413581E-2</v>
          </cell>
          <cell r="AA756">
            <v>3.0749290590349476E-2</v>
          </cell>
        </row>
        <row r="757">
          <cell r="Y757">
            <v>44117</v>
          </cell>
          <cell r="Z757">
            <v>3.1075464689451045E-2</v>
          </cell>
          <cell r="AA757">
            <v>3.077689585838983E-2</v>
          </cell>
        </row>
        <row r="758">
          <cell r="Y758">
            <v>44124</v>
          </cell>
          <cell r="Z758">
            <v>3.1103134605824437E-2</v>
          </cell>
          <cell r="AA758">
            <v>3.0804481371399239E-2</v>
          </cell>
        </row>
        <row r="759">
          <cell r="Y759">
            <v>44131</v>
          </cell>
          <cell r="Z759">
            <v>3.1130784803120603E-2</v>
          </cell>
          <cell r="AA759">
            <v>3.0832047129215612E-2</v>
          </cell>
        </row>
        <row r="760">
          <cell r="Y760">
            <v>44138</v>
          </cell>
          <cell r="Z760">
            <v>3.1158415280929903E-2</v>
          </cell>
          <cell r="AA760">
            <v>3.0859593131919993E-2</v>
          </cell>
        </row>
        <row r="761">
          <cell r="Y761">
            <v>44145</v>
          </cell>
          <cell r="Z761">
            <v>3.1186026038837415E-2</v>
          </cell>
          <cell r="AA761">
            <v>3.0887119379512384E-2</v>
          </cell>
        </row>
        <row r="762">
          <cell r="Y762">
            <v>44152</v>
          </cell>
          <cell r="Z762">
            <v>3.121361707643527E-2</v>
          </cell>
          <cell r="AA762">
            <v>3.0914625871911738E-2</v>
          </cell>
        </row>
        <row r="763">
          <cell r="Y763">
            <v>44159</v>
          </cell>
          <cell r="Z763">
            <v>3.1241188393311182E-2</v>
          </cell>
          <cell r="AA763">
            <v>3.0942112609199102E-2</v>
          </cell>
        </row>
        <row r="764">
          <cell r="Y764">
            <v>44166</v>
          </cell>
          <cell r="Z764">
            <v>3.1262140525913626E-2</v>
          </cell>
          <cell r="AA764">
            <v>3.0969579591293428E-2</v>
          </cell>
        </row>
        <row r="765">
          <cell r="Y765">
            <v>44173</v>
          </cell>
          <cell r="Z765">
            <v>3.1289670517296676E-2</v>
          </cell>
          <cell r="AA765">
            <v>3.0997026818275764E-2</v>
          </cell>
        </row>
        <row r="766">
          <cell r="Y766">
            <v>44180</v>
          </cell>
          <cell r="Z766">
            <v>3.1317180786033974E-2</v>
          </cell>
          <cell r="AA766">
            <v>3.1024454290065062E-2</v>
          </cell>
        </row>
        <row r="767">
          <cell r="Y767">
            <v>44187</v>
          </cell>
          <cell r="Z767">
            <v>3.1344671331727497E-2</v>
          </cell>
          <cell r="AA767">
            <v>3.1051862006823416E-2</v>
          </cell>
        </row>
        <row r="768">
          <cell r="Y768">
            <v>44194</v>
          </cell>
          <cell r="Z768">
            <v>3.1372142153975609E-2</v>
          </cell>
          <cell r="AA768">
            <v>3.1079249968307687E-2</v>
          </cell>
        </row>
        <row r="769">
          <cell r="Y769">
            <v>44201</v>
          </cell>
          <cell r="Z769">
            <v>3.1402897555419848E-2</v>
          </cell>
          <cell r="AA769">
            <v>3.1106618174679967E-2</v>
          </cell>
        </row>
        <row r="770">
          <cell r="Y770">
            <v>44208</v>
          </cell>
          <cell r="Z770">
            <v>3.1427024626534503E-2</v>
          </cell>
          <cell r="AA770">
            <v>3.1133966625778164E-2</v>
          </cell>
        </row>
        <row r="771">
          <cell r="Y771">
            <v>44215</v>
          </cell>
          <cell r="Z771">
            <v>3.1454436276044717E-2</v>
          </cell>
          <cell r="AA771">
            <v>3.1161295321764371E-2</v>
          </cell>
        </row>
        <row r="772">
          <cell r="Y772">
            <v>44222</v>
          </cell>
          <cell r="Z772">
            <v>3.1481828200512915E-2</v>
          </cell>
          <cell r="AA772">
            <v>3.118860426255754E-2</v>
          </cell>
        </row>
        <row r="773">
          <cell r="Y773">
            <v>44229</v>
          </cell>
          <cell r="Z773">
            <v>3.1512508476378424E-2</v>
          </cell>
          <cell r="AA773">
            <v>3.1215893448157672E-2</v>
          </cell>
        </row>
        <row r="774">
          <cell r="Y774">
            <v>44236</v>
          </cell>
          <cell r="Z774">
            <v>3.1536552872716742E-2</v>
          </cell>
          <cell r="AA774">
            <v>3.1243162878564767E-2</v>
          </cell>
        </row>
        <row r="775">
          <cell r="Y775">
            <v>44243</v>
          </cell>
          <cell r="Z775">
            <v>3.1563885619656312E-2</v>
          </cell>
          <cell r="AA775">
            <v>3.1270412553778826E-2</v>
          </cell>
        </row>
        <row r="776">
          <cell r="Y776">
            <v>44250</v>
          </cell>
          <cell r="Z776">
            <v>3.159119863995815E-2</v>
          </cell>
          <cell r="AA776">
            <v>3.1297642473799847E-2</v>
          </cell>
        </row>
        <row r="777">
          <cell r="Y777">
            <v>44257</v>
          </cell>
          <cell r="Z777">
            <v>3.1625115924405825E-2</v>
          </cell>
          <cell r="AA777">
            <v>3.1324852638627831E-2</v>
          </cell>
        </row>
        <row r="778">
          <cell r="Y778">
            <v>44264</v>
          </cell>
          <cell r="Z778">
            <v>3.1652391381350932E-2</v>
          </cell>
          <cell r="AA778">
            <v>3.1352043048181732E-2</v>
          </cell>
        </row>
        <row r="779">
          <cell r="Y779">
            <v>44271</v>
          </cell>
          <cell r="Z779">
            <v>3.1679647111041064E-2</v>
          </cell>
          <cell r="AA779">
            <v>3.1379213702623643E-2</v>
          </cell>
        </row>
        <row r="780">
          <cell r="Y780">
            <v>44278</v>
          </cell>
          <cell r="Z780">
            <v>3.1706883113069233E-2</v>
          </cell>
          <cell r="AA780">
            <v>3.140636460179147E-2</v>
          </cell>
        </row>
        <row r="781">
          <cell r="Y781">
            <v>44285</v>
          </cell>
          <cell r="Z781">
            <v>3.173409933872133E-2</v>
          </cell>
          <cell r="AA781">
            <v>3.1433495745685214E-2</v>
          </cell>
        </row>
        <row r="782">
          <cell r="Y782">
            <v>44292</v>
          </cell>
          <cell r="Z782">
            <v>3.1757975940244917E-2</v>
          </cell>
          <cell r="AA782">
            <v>3.1460607134466967E-2</v>
          </cell>
        </row>
        <row r="783">
          <cell r="Y783">
            <v>44299</v>
          </cell>
          <cell r="Z783">
            <v>3.1785134332706057E-2</v>
          </cell>
          <cell r="AA783">
            <v>3.1487698767974637E-2</v>
          </cell>
        </row>
        <row r="784">
          <cell r="Y784">
            <v>44306</v>
          </cell>
          <cell r="Z784">
            <v>3.1812246074561033E-2</v>
          </cell>
          <cell r="AA784">
            <v>3.1514770646208223E-2</v>
          </cell>
        </row>
        <row r="785">
          <cell r="Y785">
            <v>44313</v>
          </cell>
          <cell r="Z785">
            <v>3.1839298601734851E-2</v>
          </cell>
          <cell r="AA785">
            <v>3.1541822769248773E-2</v>
          </cell>
        </row>
        <row r="786">
          <cell r="Y786">
            <v>44320</v>
          </cell>
          <cell r="Z786">
            <v>3.1869578940808295E-2</v>
          </cell>
          <cell r="AA786">
            <v>3.1568855137015239E-2</v>
          </cell>
        </row>
        <row r="787">
          <cell r="Y787">
            <v>44327</v>
          </cell>
          <cell r="Z787">
            <v>3.189646831029052E-2</v>
          </cell>
          <cell r="AA787">
            <v>3.1595867749507622E-2</v>
          </cell>
        </row>
        <row r="788">
          <cell r="Y788">
            <v>44334</v>
          </cell>
          <cell r="Z788">
            <v>3.1923259827736042E-2</v>
          </cell>
          <cell r="AA788">
            <v>3.1622860606725922E-2</v>
          </cell>
        </row>
        <row r="789">
          <cell r="Y789">
            <v>44341</v>
          </cell>
          <cell r="Z789">
            <v>3.1949941063179846E-2</v>
          </cell>
          <cell r="AA789">
            <v>3.1649833708751185E-2</v>
          </cell>
        </row>
        <row r="790">
          <cell r="Y790">
            <v>44348</v>
          </cell>
          <cell r="Z790">
            <v>3.1976499586329206E-2</v>
          </cell>
          <cell r="AA790">
            <v>3.1676787055502365E-2</v>
          </cell>
        </row>
        <row r="791">
          <cell r="Y791">
            <v>44355</v>
          </cell>
          <cell r="Z791">
            <v>3.2002922966576024E-2</v>
          </cell>
          <cell r="AA791">
            <v>3.1703720646979461E-2</v>
          </cell>
        </row>
        <row r="792">
          <cell r="Y792">
            <v>44362</v>
          </cell>
          <cell r="Z792">
            <v>3.2029198772993296E-2</v>
          </cell>
          <cell r="AA792">
            <v>3.1730634483182474E-2</v>
          </cell>
        </row>
        <row r="793">
          <cell r="Y793">
            <v>44369</v>
          </cell>
          <cell r="Z793">
            <v>3.205531457434569E-2</v>
          </cell>
          <cell r="AA793">
            <v>3.175752856419245E-2</v>
          </cell>
        </row>
        <row r="794">
          <cell r="Y794">
            <v>44376</v>
          </cell>
          <cell r="Z794">
            <v>3.2081257945126618E-2</v>
          </cell>
          <cell r="AA794">
            <v>3.1784399031477006E-2</v>
          </cell>
        </row>
        <row r="795">
          <cell r="Y795">
            <v>44383</v>
          </cell>
          <cell r="Z795">
            <v>3.2107019527401276E-2</v>
          </cell>
          <cell r="AA795">
            <v>3.1811137852856275E-2</v>
          </cell>
        </row>
        <row r="796">
          <cell r="Y796">
            <v>44390</v>
          </cell>
          <cell r="Z796">
            <v>3.213259801319808E-2</v>
          </cell>
          <cell r="AA796">
            <v>3.1837694870245903E-2</v>
          </cell>
        </row>
        <row r="797">
          <cell r="Y797">
            <v>44397</v>
          </cell>
          <cell r="Z797">
            <v>3.2157993399000342E-2</v>
          </cell>
          <cell r="AA797">
            <v>3.1864070083564844E-2</v>
          </cell>
        </row>
        <row r="798">
          <cell r="Y798">
            <v>44404</v>
          </cell>
          <cell r="Z798">
            <v>3.2183205681319535E-2</v>
          </cell>
          <cell r="AA798">
            <v>3.1890263492894144E-2</v>
          </cell>
        </row>
        <row r="799">
          <cell r="Y799">
            <v>44411</v>
          </cell>
          <cell r="Z799">
            <v>3.2208234856691817E-2</v>
          </cell>
          <cell r="AA799">
            <v>3.1916275098233804E-2</v>
          </cell>
        </row>
        <row r="800">
          <cell r="Y800">
            <v>44418</v>
          </cell>
          <cell r="Z800">
            <v>3.2233080921674484E-2</v>
          </cell>
          <cell r="AA800">
            <v>3.1942104899340684E-2</v>
          </cell>
        </row>
        <row r="801">
          <cell r="Y801">
            <v>44425</v>
          </cell>
          <cell r="Z801">
            <v>3.2257743872857417E-2</v>
          </cell>
          <cell r="AA801">
            <v>3.1967752896376878E-2</v>
          </cell>
        </row>
        <row r="802">
          <cell r="Y802">
            <v>44432</v>
          </cell>
          <cell r="Z802">
            <v>3.228222370684726E-2</v>
          </cell>
          <cell r="AA802">
            <v>3.1993219089099245E-2</v>
          </cell>
        </row>
        <row r="803">
          <cell r="Y803">
            <v>44439</v>
          </cell>
          <cell r="Z803">
            <v>3.2303393848276553E-2</v>
          </cell>
          <cell r="AA803">
            <v>3.201850347766988E-2</v>
          </cell>
        </row>
        <row r="804">
          <cell r="Y804">
            <v>44446</v>
          </cell>
          <cell r="Z804">
            <v>3.2327518390962026E-2</v>
          </cell>
          <cell r="AA804">
            <v>3.2043606062007735E-2</v>
          </cell>
        </row>
        <row r="805">
          <cell r="Y805">
            <v>44453</v>
          </cell>
          <cell r="Z805">
            <v>3.2351459821259178E-2</v>
          </cell>
          <cell r="AA805">
            <v>3.2068526841950717E-2</v>
          </cell>
        </row>
        <row r="806">
          <cell r="Y806">
            <v>44460</v>
          </cell>
          <cell r="Z806">
            <v>3.2375218135911002E-2</v>
          </cell>
          <cell r="AA806">
            <v>3.2093265817660921E-2</v>
          </cell>
        </row>
        <row r="807">
          <cell r="Y807">
            <v>44467</v>
          </cell>
          <cell r="Z807">
            <v>3.2401876002062055E-2</v>
          </cell>
          <cell r="AA807">
            <v>3.2117822988895206E-2</v>
          </cell>
        </row>
        <row r="808">
          <cell r="Y808">
            <v>44474</v>
          </cell>
          <cell r="Z808">
            <v>3.2425257063136231E-2</v>
          </cell>
          <cell r="AA808">
            <v>3.2142198355734619E-2</v>
          </cell>
        </row>
        <row r="809">
          <cell r="Y809">
            <v>44481</v>
          </cell>
          <cell r="Z809">
            <v>3.2448454983999286E-2</v>
          </cell>
          <cell r="AA809">
            <v>3.216639191817916E-2</v>
          </cell>
        </row>
        <row r="810">
          <cell r="Y810">
            <v>44488</v>
          </cell>
          <cell r="Z810">
            <v>3.2471469761461334E-2</v>
          </cell>
          <cell r="AA810">
            <v>3.2190403676066737E-2</v>
          </cell>
        </row>
        <row r="811">
          <cell r="Y811">
            <v>44495</v>
          </cell>
          <cell r="Z811">
            <v>3.2494301392359821E-2</v>
          </cell>
          <cell r="AA811">
            <v>3.2214233629397349E-2</v>
          </cell>
        </row>
        <row r="812">
          <cell r="Y812">
            <v>44502</v>
          </cell>
          <cell r="Z812">
            <v>3.2516949873557723E-2</v>
          </cell>
          <cell r="AA812">
            <v>3.2237881778252042E-2</v>
          </cell>
        </row>
        <row r="813">
          <cell r="Y813">
            <v>44509</v>
          </cell>
          <cell r="Z813">
            <v>3.2539415201941806E-2</v>
          </cell>
          <cell r="AA813">
            <v>3.2261348122468725E-2</v>
          </cell>
        </row>
        <row r="814">
          <cell r="Y814">
            <v>44516</v>
          </cell>
          <cell r="Z814">
            <v>3.2561697374424374E-2</v>
          </cell>
          <cell r="AA814">
            <v>3.2284632662047397E-2</v>
          </cell>
        </row>
        <row r="815">
          <cell r="Y815">
            <v>44523</v>
          </cell>
          <cell r="Z815">
            <v>3.2583796387944175E-2</v>
          </cell>
          <cell r="AA815">
            <v>3.2307735396988058E-2</v>
          </cell>
        </row>
        <row r="816">
          <cell r="Y816">
            <v>44530</v>
          </cell>
          <cell r="Z816">
            <v>3.2599745320611953E-2</v>
          </cell>
          <cell r="AA816">
            <v>3.2330656327128615E-2</v>
          </cell>
        </row>
        <row r="817">
          <cell r="Y817">
            <v>44537</v>
          </cell>
          <cell r="Z817">
            <v>3.2621500301881406E-2</v>
          </cell>
          <cell r="AA817">
            <v>3.2353395452712208E-2</v>
          </cell>
        </row>
        <row r="818">
          <cell r="Y818">
            <v>44544</v>
          </cell>
          <cell r="Z818">
            <v>3.2643072145628414E-2</v>
          </cell>
          <cell r="AA818">
            <v>3.2375952773333605E-2</v>
          </cell>
        </row>
        <row r="819">
          <cell r="Y819">
            <v>44551</v>
          </cell>
          <cell r="Z819">
            <v>3.2664460848955121E-2</v>
          </cell>
          <cell r="AA819">
            <v>3.2398328289316991E-2</v>
          </cell>
        </row>
        <row r="820">
          <cell r="Y820">
            <v>44559</v>
          </cell>
          <cell r="Z820">
            <v>3.2688680824063794E-2</v>
          </cell>
          <cell r="AA820">
            <v>3.2423677689242814E-2</v>
          </cell>
        </row>
        <row r="821">
          <cell r="Y821">
            <v>44566</v>
          </cell>
          <cell r="Z821">
            <v>3.2709677073978184E-2</v>
          </cell>
          <cell r="AA821">
            <v>3.2445663623372756E-2</v>
          </cell>
        </row>
        <row r="822">
          <cell r="Y822">
            <v>44573</v>
          </cell>
          <cell r="Z822">
            <v>3.2730490174517554E-2</v>
          </cell>
          <cell r="AA822">
            <v>3.2467467752459456E-2</v>
          </cell>
        </row>
        <row r="823">
          <cell r="Y823">
            <v>44580</v>
          </cell>
          <cell r="Z823">
            <v>3.275112012288222E-2</v>
          </cell>
          <cell r="AA823">
            <v>3.2489090076746052E-2</v>
          </cell>
        </row>
        <row r="824">
          <cell r="Y824">
            <v>44587</v>
          </cell>
          <cell r="Z824">
            <v>3.2771566916299497E-2</v>
          </cell>
          <cell r="AA824">
            <v>3.2510530595989406E-2</v>
          </cell>
        </row>
        <row r="825">
          <cell r="Y825">
            <v>44594</v>
          </cell>
          <cell r="Z825">
            <v>3.2791830552019202E-2</v>
          </cell>
          <cell r="AA825">
            <v>3.2531789310270565E-2</v>
          </cell>
        </row>
        <row r="826">
          <cell r="Y826">
            <v>44601</v>
          </cell>
          <cell r="Z826">
            <v>3.280903998290767E-2</v>
          </cell>
          <cell r="AA826">
            <v>3.2552866219427434E-2</v>
          </cell>
        </row>
        <row r="827">
          <cell r="Y827">
            <v>44608</v>
          </cell>
          <cell r="Z827">
            <v>3.2828948595350349E-2</v>
          </cell>
          <cell r="AA827">
            <v>3.2573761323622108E-2</v>
          </cell>
        </row>
        <row r="828">
          <cell r="Y828">
            <v>44615</v>
          </cell>
          <cell r="Z828">
            <v>3.2848674057526318E-2</v>
          </cell>
          <cell r="AA828">
            <v>3.2594474622692493E-2</v>
          </cell>
        </row>
        <row r="829">
          <cell r="Y829">
            <v>44622</v>
          </cell>
          <cell r="Z829">
            <v>3.2876724915954635E-2</v>
          </cell>
          <cell r="AA829">
            <v>3.2615006116557543E-2</v>
          </cell>
        </row>
        <row r="830">
          <cell r="Y830">
            <v>44629</v>
          </cell>
          <cell r="Z830">
            <v>3.2896050022744136E-2</v>
          </cell>
          <cell r="AA830">
            <v>3.2635355805298305E-2</v>
          </cell>
        </row>
        <row r="831">
          <cell r="Y831">
            <v>44636</v>
          </cell>
          <cell r="Z831">
            <v>3.2915191924618503E-2</v>
          </cell>
          <cell r="AA831">
            <v>3.2655523688833732E-2</v>
          </cell>
        </row>
        <row r="832">
          <cell r="Y832">
            <v>44643</v>
          </cell>
          <cell r="Z832">
            <v>3.293415061894639E-2</v>
          </cell>
          <cell r="AA832">
            <v>3.2675509767163824E-2</v>
          </cell>
        </row>
        <row r="833">
          <cell r="Y833">
            <v>44650</v>
          </cell>
          <cell r="Z833">
            <v>3.2952926173185598E-2</v>
          </cell>
          <cell r="AA833">
            <v>3.2695314040288581E-2</v>
          </cell>
        </row>
        <row r="834">
          <cell r="Y834">
            <v>44657</v>
          </cell>
          <cell r="Z834">
            <v>3.2968741929715023E-2</v>
          </cell>
          <cell r="AA834">
            <v>3.2714936508126957E-2</v>
          </cell>
        </row>
        <row r="835">
          <cell r="Y835">
            <v>44664</v>
          </cell>
          <cell r="Z835">
            <v>3.2987171247699475E-2</v>
          </cell>
          <cell r="AA835">
            <v>3.2734377170597906E-2</v>
          </cell>
        </row>
        <row r="836">
          <cell r="Y836">
            <v>44671</v>
          </cell>
          <cell r="Z836">
            <v>3.3005429703366132E-2</v>
          </cell>
          <cell r="AA836">
            <v>3.2753636027782473E-2</v>
          </cell>
        </row>
        <row r="837">
          <cell r="Y837">
            <v>44678</v>
          </cell>
          <cell r="Z837">
            <v>3.3023522693028405E-2</v>
          </cell>
          <cell r="AA837">
            <v>3.2772713079599614E-2</v>
          </cell>
        </row>
        <row r="838">
          <cell r="Y838">
            <v>44685</v>
          </cell>
          <cell r="Z838">
            <v>3.3044197673624383E-2</v>
          </cell>
          <cell r="AA838">
            <v>3.279160832596828E-2</v>
          </cell>
        </row>
        <row r="839">
          <cell r="Y839">
            <v>44692</v>
          </cell>
          <cell r="Z839">
            <v>3.3061967920170569E-2</v>
          </cell>
          <cell r="AA839">
            <v>3.2810321766969519E-2</v>
          </cell>
        </row>
        <row r="840">
          <cell r="Y840">
            <v>44699</v>
          </cell>
          <cell r="Z840">
            <v>3.3079589271639911E-2</v>
          </cell>
          <cell r="AA840">
            <v>3.2828853402522284E-2</v>
          </cell>
        </row>
        <row r="841">
          <cell r="Y841">
            <v>44706</v>
          </cell>
          <cell r="Z841">
            <v>3.309706706659056E-2</v>
          </cell>
          <cell r="AA841">
            <v>3.2847203232464484E-2</v>
          </cell>
        </row>
        <row r="842">
          <cell r="Y842">
            <v>44713</v>
          </cell>
          <cell r="Z842">
            <v>3.3114406643686395E-2</v>
          </cell>
          <cell r="AA842">
            <v>3.2865371257039255E-2</v>
          </cell>
        </row>
        <row r="843">
          <cell r="Y843">
            <v>44720</v>
          </cell>
          <cell r="Z843">
            <v>3.3131613341700519E-2</v>
          </cell>
          <cell r="AA843">
            <v>3.2883357476084507E-2</v>
          </cell>
        </row>
        <row r="844">
          <cell r="Y844">
            <v>44727</v>
          </cell>
          <cell r="Z844">
            <v>3.3148692499510864E-2</v>
          </cell>
          <cell r="AA844">
            <v>3.2901161889438146E-2</v>
          </cell>
        </row>
        <row r="845">
          <cell r="Y845">
            <v>44734</v>
          </cell>
          <cell r="Z845">
            <v>3.3165649456101093E-2</v>
          </cell>
          <cell r="AA845">
            <v>3.2918784497343312E-2</v>
          </cell>
        </row>
        <row r="846">
          <cell r="Y846">
            <v>44741</v>
          </cell>
          <cell r="Z846">
            <v>3.3182489529791574E-2</v>
          </cell>
          <cell r="AA846">
            <v>3.2936229798516958E-2</v>
          </cell>
        </row>
        <row r="847">
          <cell r="Y847">
            <v>44748</v>
          </cell>
          <cell r="Z847">
            <v>3.3199216230242162E-2</v>
          </cell>
          <cell r="AA847">
            <v>3.2953548465363136E-2</v>
          </cell>
        </row>
        <row r="848">
          <cell r="Y848">
            <v>44755</v>
          </cell>
          <cell r="Z848">
            <v>3.3215829880415243E-2</v>
          </cell>
          <cell r="AA848">
            <v>3.2970754941950009E-2</v>
          </cell>
        </row>
        <row r="849">
          <cell r="Y849">
            <v>44762</v>
          </cell>
          <cell r="Z849">
            <v>3.3232330478901319E-2</v>
          </cell>
          <cell r="AA849">
            <v>3.2987849228196531E-2</v>
          </cell>
        </row>
        <row r="850">
          <cell r="Y850">
            <v>44769</v>
          </cell>
          <cell r="Z850">
            <v>3.3248718024300565E-2</v>
          </cell>
          <cell r="AA850">
            <v>3.3004831324102701E-2</v>
          </cell>
        </row>
        <row r="851">
          <cell r="Y851">
            <v>44776</v>
          </cell>
          <cell r="Z851">
            <v>3.3264992515224641E-2</v>
          </cell>
          <cell r="AA851">
            <v>3.3021701229587475E-2</v>
          </cell>
        </row>
        <row r="852">
          <cell r="Y852">
            <v>44783</v>
          </cell>
          <cell r="Z852">
            <v>3.3281153950292228E-2</v>
          </cell>
          <cell r="AA852">
            <v>3.3038458944731897E-2</v>
          </cell>
        </row>
        <row r="853">
          <cell r="Y853">
            <v>44790</v>
          </cell>
          <cell r="Z853">
            <v>3.3297202328132589E-2</v>
          </cell>
          <cell r="AA853">
            <v>3.3055104469373875E-2</v>
          </cell>
        </row>
        <row r="854">
          <cell r="Y854">
            <v>44797</v>
          </cell>
          <cell r="Z854">
            <v>3.3313137647384666E-2</v>
          </cell>
          <cell r="AA854">
            <v>3.3071637803675502E-2</v>
          </cell>
        </row>
        <row r="855">
          <cell r="Y855">
            <v>44804</v>
          </cell>
          <cell r="Z855">
            <v>3.332633381760669E-2</v>
          </cell>
          <cell r="AA855">
            <v>3.3088058947636778E-2</v>
          </cell>
        </row>
        <row r="856">
          <cell r="Y856">
            <v>44811</v>
          </cell>
          <cell r="Z856">
            <v>3.3342049662149105E-2</v>
          </cell>
          <cell r="AA856">
            <v>3.3104367901014564E-2</v>
          </cell>
        </row>
        <row r="857">
          <cell r="Y857">
            <v>44818</v>
          </cell>
          <cell r="Z857">
            <v>3.3357652453792533E-2</v>
          </cell>
          <cell r="AA857">
            <v>3.3120564664051999E-2</v>
          </cell>
        </row>
        <row r="858">
          <cell r="Y858">
            <v>44825</v>
          </cell>
          <cell r="Z858">
            <v>3.3373142191224191E-2</v>
          </cell>
          <cell r="AA858">
            <v>3.3136649236505944E-2</v>
          </cell>
        </row>
        <row r="859">
          <cell r="Y859">
            <v>44832</v>
          </cell>
          <cell r="Z859">
            <v>3.3388518873148226E-2</v>
          </cell>
          <cell r="AA859">
            <v>3.3152621618538491E-2</v>
          </cell>
        </row>
        <row r="860">
          <cell r="Y860">
            <v>44839</v>
          </cell>
          <cell r="Z860">
            <v>3.3406375257541192E-2</v>
          </cell>
          <cell r="AA860">
            <v>3.3168481810068595E-2</v>
          </cell>
        </row>
        <row r="861">
          <cell r="Y861">
            <v>44846</v>
          </cell>
          <cell r="Z861">
            <v>3.3421519129372024E-2</v>
          </cell>
          <cell r="AA861">
            <v>3.3184229811096255E-2</v>
          </cell>
        </row>
        <row r="862">
          <cell r="Y862">
            <v>44853</v>
          </cell>
          <cell r="Z862">
            <v>3.3436549932072401E-2</v>
          </cell>
          <cell r="AA862">
            <v>3.3199865621459379E-2</v>
          </cell>
        </row>
        <row r="863">
          <cell r="Y863">
            <v>44860</v>
          </cell>
          <cell r="Z863">
            <v>3.3451467664365839E-2</v>
          </cell>
          <cell r="AA863">
            <v>3.3215389241401105E-2</v>
          </cell>
        </row>
        <row r="864">
          <cell r="Y864">
            <v>44867</v>
          </cell>
          <cell r="Z864">
            <v>3.3466272324987306E-2</v>
          </cell>
          <cell r="AA864">
            <v>3.3230800670678295E-2</v>
          </cell>
        </row>
        <row r="865">
          <cell r="Y865">
            <v>44874</v>
          </cell>
          <cell r="Z865">
            <v>3.3480963912683237E-2</v>
          </cell>
          <cell r="AA865">
            <v>3.3246099909534088E-2</v>
          </cell>
        </row>
        <row r="866">
          <cell r="Y866">
            <v>44881</v>
          </cell>
          <cell r="Z866">
            <v>3.3495542426204464E-2</v>
          </cell>
          <cell r="AA866">
            <v>3.3261286957725344E-2</v>
          </cell>
        </row>
        <row r="867">
          <cell r="Y867">
            <v>44888</v>
          </cell>
          <cell r="Z867">
            <v>3.3510007864315898E-2</v>
          </cell>
          <cell r="AA867">
            <v>3.3276361815171018E-2</v>
          </cell>
        </row>
        <row r="868">
          <cell r="Y868">
            <v>44895</v>
          </cell>
          <cell r="Z868">
            <v>3.3519281887945979E-2</v>
          </cell>
          <cell r="AA868">
            <v>3.3291324482195295E-2</v>
          </cell>
        </row>
        <row r="869">
          <cell r="Y869">
            <v>44902</v>
          </cell>
          <cell r="Z869">
            <v>3.3533534717934979E-2</v>
          </cell>
          <cell r="AA869">
            <v>3.3306174958555035E-2</v>
          </cell>
        </row>
        <row r="870">
          <cell r="Y870">
            <v>44909</v>
          </cell>
          <cell r="Z870">
            <v>3.3547674488627922E-2</v>
          </cell>
          <cell r="AA870">
            <v>3.3320913244169192E-2</v>
          </cell>
        </row>
        <row r="871">
          <cell r="Y871">
            <v>44916</v>
          </cell>
          <cell r="Z871">
            <v>3.3561701198851428E-2</v>
          </cell>
          <cell r="AA871">
            <v>3.3335539339280906E-2</v>
          </cell>
        </row>
        <row r="872">
          <cell r="Y872">
            <v>44923</v>
          </cell>
          <cell r="Z872">
            <v>3.3575614847443848E-2</v>
          </cell>
          <cell r="AA872">
            <v>3.3350053243565991E-2</v>
          </cell>
        </row>
        <row r="873">
          <cell r="Y873">
            <v>44930</v>
          </cell>
          <cell r="Z873">
            <v>3.3589415433248004E-2</v>
          </cell>
          <cell r="AA873">
            <v>3.336445495718654E-2</v>
          </cell>
        </row>
        <row r="874">
          <cell r="Y874">
            <v>44937</v>
          </cell>
          <cell r="Z874">
            <v>3.3603102955121159E-2</v>
          </cell>
          <cell r="AA874">
            <v>3.3378744480142553E-2</v>
          </cell>
        </row>
        <row r="875">
          <cell r="Y875">
            <v>44944</v>
          </cell>
          <cell r="Z875">
            <v>3.3616677411926851E-2</v>
          </cell>
          <cell r="AA875">
            <v>3.3392921812352983E-2</v>
          </cell>
        </row>
        <row r="876">
          <cell r="Y876">
            <v>44951</v>
          </cell>
          <cell r="Z876">
            <v>3.3630138802537651E-2</v>
          </cell>
          <cell r="AA876">
            <v>3.3406986953898876E-2</v>
          </cell>
        </row>
        <row r="877">
          <cell r="Y877">
            <v>44958</v>
          </cell>
          <cell r="Z877">
            <v>3.3643487125837805E-2</v>
          </cell>
          <cell r="AA877">
            <v>3.3420939904699187E-2</v>
          </cell>
        </row>
        <row r="878">
          <cell r="Y878">
            <v>44965</v>
          </cell>
          <cell r="Z878">
            <v>3.3654250632626344E-2</v>
          </cell>
          <cell r="AA878">
            <v>3.3434780664753916E-2</v>
          </cell>
        </row>
        <row r="879">
          <cell r="Y879">
            <v>44972</v>
          </cell>
          <cell r="Z879">
            <v>3.3667379688582709E-2</v>
          </cell>
          <cell r="AA879">
            <v>3.3448509234063062E-2</v>
          </cell>
        </row>
        <row r="880">
          <cell r="Y880">
            <v>44979</v>
          </cell>
          <cell r="Z880">
            <v>3.3680395683933773E-2</v>
          </cell>
          <cell r="AA880">
            <v>3.3462125612545579E-2</v>
          </cell>
        </row>
        <row r="881">
          <cell r="Y881">
            <v>44986</v>
          </cell>
          <cell r="Z881">
            <v>3.3700650410254877E-2</v>
          </cell>
          <cell r="AA881">
            <v>3.3475629800201467E-2</v>
          </cell>
        </row>
        <row r="882">
          <cell r="Y882">
            <v>44993</v>
          </cell>
          <cell r="Z882">
            <v>3.371341957536389E-2</v>
          </cell>
          <cell r="AA882">
            <v>3.3489021797111773E-2</v>
          </cell>
        </row>
        <row r="883">
          <cell r="Y883">
            <v>45000</v>
          </cell>
          <cell r="Z883">
            <v>3.3726075646584572E-2</v>
          </cell>
          <cell r="AA883">
            <v>3.350230160319545E-2</v>
          </cell>
        </row>
        <row r="884">
          <cell r="Y884">
            <v>45007</v>
          </cell>
          <cell r="Z884">
            <v>3.3738618622843053E-2</v>
          </cell>
          <cell r="AA884">
            <v>3.3515469218452498E-2</v>
          </cell>
        </row>
        <row r="885">
          <cell r="Y885">
            <v>45014</v>
          </cell>
          <cell r="Z885">
            <v>3.3751048577399002E-2</v>
          </cell>
          <cell r="AA885">
            <v>3.3528524642882918E-2</v>
          </cell>
        </row>
        <row r="886">
          <cell r="Y886">
            <v>45021</v>
          </cell>
          <cell r="Z886">
            <v>3.3760954622934783E-2</v>
          </cell>
          <cell r="AA886">
            <v>3.3541467876486708E-2</v>
          </cell>
        </row>
        <row r="887">
          <cell r="Y887">
            <v>45028</v>
          </cell>
          <cell r="Z887">
            <v>3.3773192150444623E-2</v>
          </cell>
          <cell r="AA887">
            <v>3.3554298919182823E-2</v>
          </cell>
        </row>
        <row r="888">
          <cell r="Y888">
            <v>45035</v>
          </cell>
          <cell r="Z888">
            <v>3.3785358007287332E-2</v>
          </cell>
          <cell r="AA888">
            <v>3.3567017770971264E-2</v>
          </cell>
        </row>
        <row r="889">
          <cell r="Y889">
            <v>45042</v>
          </cell>
          <cell r="Z889">
            <v>3.3797471521384403E-2</v>
          </cell>
          <cell r="AA889">
            <v>3.3579624431933075E-2</v>
          </cell>
        </row>
        <row r="890">
          <cell r="Y890">
            <v>45049</v>
          </cell>
          <cell r="Z890">
            <v>3.3811972030080531E-2</v>
          </cell>
          <cell r="AA890">
            <v>3.3592118901987211E-2</v>
          </cell>
        </row>
        <row r="891">
          <cell r="Y891">
            <v>45056</v>
          </cell>
          <cell r="Z891">
            <v>3.3824044132536757E-2</v>
          </cell>
          <cell r="AA891">
            <v>3.3604501181052626E-2</v>
          </cell>
        </row>
        <row r="892">
          <cell r="Y892">
            <v>45063</v>
          </cell>
          <cell r="Z892">
            <v>3.3836123319144436E-2</v>
          </cell>
          <cell r="AA892">
            <v>3.3616771269372459E-2</v>
          </cell>
        </row>
        <row r="893">
          <cell r="Y893">
            <v>45070</v>
          </cell>
          <cell r="Z893">
            <v>3.3848228710441679E-2</v>
          </cell>
          <cell r="AA893">
            <v>3.3628929166622523E-2</v>
          </cell>
        </row>
        <row r="894">
          <cell r="Y894">
            <v>45077</v>
          </cell>
          <cell r="Z894">
            <v>3.386037942719828E-2</v>
          </cell>
          <cell r="AA894">
            <v>3.3640974872964913E-2</v>
          </cell>
        </row>
        <row r="895">
          <cell r="Y895">
            <v>45084</v>
          </cell>
          <cell r="Z895">
            <v>3.3872594590419261E-2</v>
          </cell>
          <cell r="AA895">
            <v>3.3652908388318581E-2</v>
          </cell>
        </row>
        <row r="896">
          <cell r="Y896">
            <v>45091</v>
          </cell>
          <cell r="Z896">
            <v>3.3884893321345713E-2</v>
          </cell>
          <cell r="AA896">
            <v>3.3664729712764574E-2</v>
          </cell>
        </row>
        <row r="897">
          <cell r="Y897">
            <v>45098</v>
          </cell>
          <cell r="Z897">
            <v>3.389729474145483E-2</v>
          </cell>
          <cell r="AA897">
            <v>3.3676438846221846E-2</v>
          </cell>
        </row>
        <row r="898">
          <cell r="Y898">
            <v>45105</v>
          </cell>
          <cell r="Z898">
            <v>3.3909817963180974E-2</v>
          </cell>
          <cell r="AA898">
            <v>3.368804172192652E-2</v>
          </cell>
        </row>
        <row r="899">
          <cell r="Y899">
            <v>45112</v>
          </cell>
          <cell r="Z899">
            <v>3.3922477379390442E-2</v>
          </cell>
          <cell r="AA899">
            <v>3.3699704469679626E-2</v>
          </cell>
        </row>
        <row r="900">
          <cell r="Y900">
            <v>45119</v>
          </cell>
          <cell r="Z900">
            <v>3.3935274998231249E-2</v>
          </cell>
          <cell r="AA900">
            <v>3.3711504221226596E-2</v>
          </cell>
        </row>
        <row r="901">
          <cell r="Y901">
            <v>45126</v>
          </cell>
          <cell r="Z901">
            <v>3.3948210821031832E-2</v>
          </cell>
          <cell r="AA901">
            <v>3.3723440976729524E-2</v>
          </cell>
        </row>
        <row r="902">
          <cell r="Y902">
            <v>45133</v>
          </cell>
          <cell r="Z902">
            <v>3.3961284849130351E-2</v>
          </cell>
          <cell r="AA902">
            <v>3.373551473618841E-2</v>
          </cell>
        </row>
        <row r="903">
          <cell r="Y903">
            <v>45140</v>
          </cell>
          <cell r="Z903">
            <v>3.3974497083883448E-2</v>
          </cell>
          <cell r="AA903">
            <v>3.3747725499360115E-2</v>
          </cell>
        </row>
        <row r="904">
          <cell r="Y904">
            <v>45147</v>
          </cell>
          <cell r="Z904">
            <v>3.3987847526656567E-2</v>
          </cell>
          <cell r="AA904">
            <v>3.3760073266487778E-2</v>
          </cell>
        </row>
        <row r="905">
          <cell r="Y905">
            <v>45154</v>
          </cell>
          <cell r="Z905">
            <v>3.4001336178834551E-2</v>
          </cell>
          <cell r="AA905">
            <v>3.3772558037652445E-2</v>
          </cell>
        </row>
        <row r="906">
          <cell r="Y906">
            <v>45161</v>
          </cell>
          <cell r="Z906">
            <v>3.4014963041815449E-2</v>
          </cell>
          <cell r="AA906">
            <v>3.3785179812692023E-2</v>
          </cell>
        </row>
        <row r="907">
          <cell r="Y907">
            <v>45168</v>
          </cell>
          <cell r="Z907">
            <v>3.4028728117009632E-2</v>
          </cell>
          <cell r="AA907">
            <v>3.3797938591606513E-2</v>
          </cell>
        </row>
        <row r="908">
          <cell r="Y908">
            <v>45175</v>
          </cell>
          <cell r="Z908">
            <v>3.4040029359474734E-2</v>
          </cell>
          <cell r="AA908">
            <v>3.3810834374558008E-2</v>
          </cell>
        </row>
        <row r="909">
          <cell r="Y909">
            <v>45182</v>
          </cell>
          <cell r="Z909">
            <v>3.4054059687480272E-2</v>
          </cell>
          <cell r="AA909">
            <v>3.3823867161384413E-2</v>
          </cell>
        </row>
        <row r="910">
          <cell r="Y910">
            <v>45189</v>
          </cell>
          <cell r="Z910">
            <v>3.4068228218535744E-2</v>
          </cell>
          <cell r="AA910">
            <v>3.3837036952247823E-2</v>
          </cell>
        </row>
        <row r="911">
          <cell r="Y911">
            <v>45196</v>
          </cell>
          <cell r="Z911">
            <v>3.4082534954092858E-2</v>
          </cell>
          <cell r="AA911">
            <v>3.3850343747229283E-2</v>
          </cell>
        </row>
        <row r="912">
          <cell r="Y912">
            <v>45203</v>
          </cell>
          <cell r="Z912">
            <v>3.409962672660749E-2</v>
          </cell>
          <cell r="AA912">
            <v>3.3863787546085655E-2</v>
          </cell>
        </row>
        <row r="913">
          <cell r="Y913">
            <v>45210</v>
          </cell>
          <cell r="Z913">
            <v>3.4114221105534574E-2</v>
          </cell>
          <cell r="AA913">
            <v>3.3877368349060077E-2</v>
          </cell>
        </row>
        <row r="914">
          <cell r="Y914">
            <v>45217</v>
          </cell>
          <cell r="Z914">
            <v>3.4128953706958134E-2</v>
          </cell>
          <cell r="AA914">
            <v>3.3891086155990457E-2</v>
          </cell>
        </row>
        <row r="915">
          <cell r="Y915">
            <v>45224</v>
          </cell>
          <cell r="Z915">
            <v>3.4143824532406608E-2</v>
          </cell>
          <cell r="AA915">
            <v>3.3904940967038888E-2</v>
          </cell>
        </row>
        <row r="916">
          <cell r="Y916">
            <v>45231</v>
          </cell>
          <cell r="Z916">
            <v>3.4158833583418098E-2</v>
          </cell>
          <cell r="AA916">
            <v>3.3918932782286415E-2</v>
          </cell>
        </row>
        <row r="917">
          <cell r="Y917">
            <v>45238</v>
          </cell>
          <cell r="Z917">
            <v>3.4173980861549234E-2</v>
          </cell>
          <cell r="AA917">
            <v>3.39330616014899E-2</v>
          </cell>
        </row>
        <row r="918">
          <cell r="Y918">
            <v>45245</v>
          </cell>
          <cell r="Z918">
            <v>3.4189266368368082E-2</v>
          </cell>
          <cell r="AA918">
            <v>3.3947327424811435E-2</v>
          </cell>
        </row>
        <row r="919">
          <cell r="Y919">
            <v>45252</v>
          </cell>
          <cell r="Z919">
            <v>3.4204690105460331E-2</v>
          </cell>
          <cell r="AA919">
            <v>3.3961730252332067E-2</v>
          </cell>
        </row>
        <row r="920">
          <cell r="Y920">
            <v>45259</v>
          </cell>
          <cell r="Z920">
            <v>3.4220252074421358E-2</v>
          </cell>
          <cell r="AA920">
            <v>3.3976270083889704E-2</v>
          </cell>
        </row>
        <row r="921">
          <cell r="Y921">
            <v>45266</v>
          </cell>
          <cell r="Z921">
            <v>3.4233203886788376E-2</v>
          </cell>
          <cell r="AA921">
            <v>3.3990946919646436E-2</v>
          </cell>
        </row>
        <row r="922">
          <cell r="Y922">
            <v>45273</v>
          </cell>
          <cell r="Z922">
            <v>3.4249030971738377E-2</v>
          </cell>
          <cell r="AA922">
            <v>3.4005760759602266E-2</v>
          </cell>
        </row>
        <row r="923">
          <cell r="Y923">
            <v>45280</v>
          </cell>
          <cell r="Z923">
            <v>3.4264996279718449E-2</v>
          </cell>
          <cell r="AA923">
            <v>3.4020711603838238E-2</v>
          </cell>
        </row>
        <row r="924">
          <cell r="Y924">
            <v>45287</v>
          </cell>
          <cell r="Z924">
            <v>3.4281099812362867E-2</v>
          </cell>
          <cell r="AA924">
            <v>3.4035799452192261E-2</v>
          </cell>
        </row>
        <row r="925">
          <cell r="Y925">
            <v>45294</v>
          </cell>
          <cell r="Z925">
            <v>3.4297341571324629E-2</v>
          </cell>
          <cell r="AA925">
            <v>3.4051024304826427E-2</v>
          </cell>
        </row>
        <row r="926">
          <cell r="Y926">
            <v>45301</v>
          </cell>
          <cell r="Z926">
            <v>3.4313721558264731E-2</v>
          </cell>
          <cell r="AA926">
            <v>3.4066386161740736E-2</v>
          </cell>
        </row>
        <row r="927">
          <cell r="Y927">
            <v>45308</v>
          </cell>
          <cell r="Z927">
            <v>3.4330239774863769E-2</v>
          </cell>
          <cell r="AA927">
            <v>3.4081885022773095E-2</v>
          </cell>
        </row>
        <row r="928">
          <cell r="Y928">
            <v>45315</v>
          </cell>
          <cell r="Z928">
            <v>3.4346896222814817E-2</v>
          </cell>
          <cell r="AA928">
            <v>3.4097520888166644E-2</v>
          </cell>
        </row>
        <row r="929">
          <cell r="Y929">
            <v>45322</v>
          </cell>
          <cell r="Z929">
            <v>3.4360852578677298E-2</v>
          </cell>
          <cell r="AA929">
            <v>3.4113293757840335E-2</v>
          </cell>
        </row>
        <row r="930">
          <cell r="Y930">
            <v>45329</v>
          </cell>
          <cell r="Z930">
            <v>3.4377774033679587E-2</v>
          </cell>
          <cell r="AA930">
            <v>3.4129203631794169E-2</v>
          </cell>
        </row>
        <row r="931">
          <cell r="Y931">
            <v>45336</v>
          </cell>
          <cell r="Z931">
            <v>3.439483371132266E-2</v>
          </cell>
          <cell r="AA931">
            <v>3.4145250510109193E-2</v>
          </cell>
        </row>
        <row r="932">
          <cell r="Y932">
            <v>45343</v>
          </cell>
          <cell r="Z932">
            <v>3.4412031613335489E-2</v>
          </cell>
          <cell r="AA932">
            <v>3.4161434392866452E-2</v>
          </cell>
        </row>
        <row r="933">
          <cell r="Y933">
            <v>45350</v>
          </cell>
          <cell r="Z933">
            <v>3.4429367741461485E-2</v>
          </cell>
          <cell r="AA933">
            <v>3.4177755279903854E-2</v>
          </cell>
        </row>
        <row r="934">
          <cell r="Y934">
            <v>45357</v>
          </cell>
          <cell r="Z934">
            <v>3.4452634915160818E-2</v>
          </cell>
          <cell r="AA934">
            <v>3.4194213171383492E-2</v>
          </cell>
        </row>
        <row r="935">
          <cell r="Y935">
            <v>45364</v>
          </cell>
          <cell r="Z935">
            <v>3.4470270563665389E-2</v>
          </cell>
          <cell r="AA935">
            <v>3.4210808067224319E-2</v>
          </cell>
        </row>
        <row r="936">
          <cell r="Y936">
            <v>45371</v>
          </cell>
          <cell r="Z936">
            <v>3.4488044471554839E-2</v>
          </cell>
          <cell r="AA936">
            <v>3.4227539967588427E-2</v>
          </cell>
        </row>
        <row r="937">
          <cell r="Y937">
            <v>45378</v>
          </cell>
          <cell r="Z937">
            <v>3.4505956640671194E-2</v>
          </cell>
          <cell r="AA937">
            <v>3.4244408872232679E-2</v>
          </cell>
        </row>
        <row r="938">
          <cell r="Y938">
            <v>45385</v>
          </cell>
          <cell r="Z938">
            <v>3.4521062072078092E-2</v>
          </cell>
          <cell r="AA938">
            <v>3.4261414781400212E-2</v>
          </cell>
        </row>
        <row r="939">
          <cell r="Y939">
            <v>45392</v>
          </cell>
          <cell r="Z939">
            <v>3.4539223249047256E-2</v>
          </cell>
          <cell r="AA939">
            <v>3.4278557695009981E-2</v>
          </cell>
        </row>
        <row r="940">
          <cell r="Y940">
            <v>45399</v>
          </cell>
          <cell r="Z940">
            <v>3.4557491941184251E-2</v>
          </cell>
          <cell r="AA940">
            <v>3.4295837613224078E-2</v>
          </cell>
        </row>
        <row r="941">
          <cell r="Y941">
            <v>45406</v>
          </cell>
          <cell r="Z941">
            <v>3.4575851598929383E-2</v>
          </cell>
          <cell r="AA941">
            <v>3.4313254535880411E-2</v>
          </cell>
        </row>
        <row r="942">
          <cell r="Y942">
            <v>45413</v>
          </cell>
          <cell r="Z942">
            <v>3.4597250371412383E-2</v>
          </cell>
          <cell r="AA942">
            <v>3.4330808463141071E-2</v>
          </cell>
        </row>
        <row r="943">
          <cell r="Y943">
            <v>45420</v>
          </cell>
          <cell r="Z943">
            <v>3.4615743824769049E-2</v>
          </cell>
          <cell r="AA943">
            <v>3.434849939500606E-2</v>
          </cell>
        </row>
        <row r="944">
          <cell r="Y944">
            <v>45427</v>
          </cell>
          <cell r="Z944">
            <v>3.4634277312971959E-2</v>
          </cell>
          <cell r="AA944">
            <v>3.4366327331313284E-2</v>
          </cell>
        </row>
        <row r="945">
          <cell r="Y945">
            <v>45434</v>
          </cell>
          <cell r="Z945">
            <v>3.4652834463615272E-2</v>
          </cell>
          <cell r="AA945">
            <v>3.4384292272386929E-2</v>
          </cell>
        </row>
        <row r="946">
          <cell r="Y946">
            <v>45441</v>
          </cell>
          <cell r="Z946">
            <v>3.467139890398481E-2</v>
          </cell>
          <cell r="AA946">
            <v>3.440239421790281E-2</v>
          </cell>
        </row>
        <row r="947">
          <cell r="Y947">
            <v>45448</v>
          </cell>
          <cell r="Z947">
            <v>3.4689954261065123E-2</v>
          </cell>
          <cell r="AA947">
            <v>3.4420633168185111E-2</v>
          </cell>
        </row>
        <row r="948">
          <cell r="Y948">
            <v>45455</v>
          </cell>
          <cell r="Z948">
            <v>3.4708484161538586E-2</v>
          </cell>
          <cell r="AA948">
            <v>3.443900912307174E-2</v>
          </cell>
        </row>
        <row r="949">
          <cell r="Y949">
            <v>45462</v>
          </cell>
          <cell r="Z949">
            <v>3.4726972231781901E-2</v>
          </cell>
          <cell r="AA949">
            <v>3.4457522082643743E-2</v>
          </cell>
        </row>
        <row r="950">
          <cell r="Y950">
            <v>45469</v>
          </cell>
          <cell r="Z950">
            <v>3.4745402097873121E-2</v>
          </cell>
          <cell r="AA950">
            <v>3.4476172046982168E-2</v>
          </cell>
        </row>
        <row r="951">
          <cell r="Y951">
            <v>45476</v>
          </cell>
          <cell r="Z951">
            <v>3.4763759104079396E-2</v>
          </cell>
          <cell r="AA951">
            <v>3.4494866856983331E-2</v>
          </cell>
        </row>
        <row r="952">
          <cell r="Y952">
            <v>45483</v>
          </cell>
          <cell r="Z952">
            <v>3.4782039199783371E-2</v>
          </cell>
          <cell r="AA952">
            <v>3.4513486052992759E-2</v>
          </cell>
        </row>
        <row r="953">
          <cell r="Y953">
            <v>45490</v>
          </cell>
          <cell r="Z953">
            <v>3.4800242375974809E-2</v>
          </cell>
          <cell r="AA953">
            <v>3.4532028909241008E-2</v>
          </cell>
        </row>
        <row r="954">
          <cell r="Y954">
            <v>45497</v>
          </cell>
          <cell r="Z954">
            <v>3.4818368631604514E-2</v>
          </cell>
          <cell r="AA954">
            <v>3.4550495425809125E-2</v>
          </cell>
        </row>
        <row r="955">
          <cell r="Y955">
            <v>45504</v>
          </cell>
          <cell r="Z955">
            <v>3.4836417965624172E-2</v>
          </cell>
          <cell r="AA955">
            <v>3.4568885602616062E-2</v>
          </cell>
        </row>
        <row r="956">
          <cell r="Y956">
            <v>45511</v>
          </cell>
          <cell r="Z956">
            <v>3.4854390376993394E-2</v>
          </cell>
          <cell r="AA956">
            <v>3.458719943966182E-2</v>
          </cell>
        </row>
        <row r="957">
          <cell r="Y957">
            <v>45518</v>
          </cell>
          <cell r="Z957">
            <v>3.487228586467532E-2</v>
          </cell>
          <cell r="AA957">
            <v>3.4605436936865352E-2</v>
          </cell>
        </row>
        <row r="958">
          <cell r="Y958">
            <v>45525</v>
          </cell>
          <cell r="Z958">
            <v>3.489010442763836E-2</v>
          </cell>
          <cell r="AA958">
            <v>3.4623598094469799E-2</v>
          </cell>
        </row>
        <row r="959">
          <cell r="Y959">
            <v>45532</v>
          </cell>
          <cell r="Z959">
            <v>3.4907846064851832E-2</v>
          </cell>
          <cell r="AA959">
            <v>3.4641682912150973E-2</v>
          </cell>
        </row>
        <row r="960">
          <cell r="Y960">
            <v>45539</v>
          </cell>
          <cell r="Z960">
            <v>3.4922597650903039E-2</v>
          </cell>
          <cell r="AA960">
            <v>3.4659691390070968E-2</v>
          </cell>
        </row>
        <row r="961">
          <cell r="Y961">
            <v>45546</v>
          </cell>
          <cell r="Z961">
            <v>3.494018925213279E-2</v>
          </cell>
          <cell r="AA961">
            <v>3.4677623528229784E-2</v>
          </cell>
        </row>
        <row r="962">
          <cell r="Y962">
            <v>45553</v>
          </cell>
          <cell r="Z962">
            <v>3.4957703931123518E-2</v>
          </cell>
          <cell r="AA962">
            <v>3.4695479326546375E-2</v>
          </cell>
        </row>
        <row r="963">
          <cell r="Y963">
            <v>45560</v>
          </cell>
          <cell r="Z963">
            <v>3.498094480246066E-2</v>
          </cell>
          <cell r="AA963">
            <v>3.471325878502074E-2</v>
          </cell>
        </row>
        <row r="964">
          <cell r="Y964">
            <v>45567</v>
          </cell>
          <cell r="Z964">
            <v>3.4995400329025782E-2</v>
          </cell>
          <cell r="AA964">
            <v>3.4730961903652879E-2</v>
          </cell>
        </row>
        <row r="965">
          <cell r="Y965">
            <v>45574</v>
          </cell>
          <cell r="Z965">
            <v>3.5012680390409015E-2</v>
          </cell>
          <cell r="AA965">
            <v>3.4748588682442794E-2</v>
          </cell>
        </row>
        <row r="966">
          <cell r="Y966">
            <v>45581</v>
          </cell>
          <cell r="Z966">
            <v>3.5029883518970503E-2</v>
          </cell>
          <cell r="AA966">
            <v>3.4766139121309436E-2</v>
          </cell>
        </row>
        <row r="967">
          <cell r="Y967">
            <v>45588</v>
          </cell>
          <cell r="Z967">
            <v>3.5047009713719192E-2</v>
          </cell>
          <cell r="AA967">
            <v>3.47836132204149E-2</v>
          </cell>
        </row>
        <row r="968">
          <cell r="Y968">
            <v>45595</v>
          </cell>
          <cell r="Z968">
            <v>3.5064058973664908E-2</v>
          </cell>
          <cell r="AA968">
            <v>3.4801010979597091E-2</v>
          </cell>
        </row>
        <row r="969">
          <cell r="Y969">
            <v>45602</v>
          </cell>
          <cell r="Z969">
            <v>3.508103129782629E-2</v>
          </cell>
          <cell r="AA969">
            <v>3.4818332398856011E-2</v>
          </cell>
        </row>
        <row r="970">
          <cell r="Y970">
            <v>45609</v>
          </cell>
          <cell r="Z970">
            <v>3.5097926685221971E-2</v>
          </cell>
          <cell r="AA970">
            <v>3.4835577478191659E-2</v>
          </cell>
        </row>
        <row r="971">
          <cell r="Y971">
            <v>45616</v>
          </cell>
          <cell r="Z971">
            <v>3.5114745134878507E-2</v>
          </cell>
          <cell r="AA971">
            <v>3.4852746217685082E-2</v>
          </cell>
        </row>
        <row r="972">
          <cell r="Y972">
            <v>45623</v>
          </cell>
          <cell r="Z972">
            <v>3.5131486645823357E-2</v>
          </cell>
          <cell r="AA972">
            <v>3.4869838617174187E-2</v>
          </cell>
        </row>
        <row r="973">
          <cell r="Y973">
            <v>45630</v>
          </cell>
          <cell r="Z973">
            <v>3.5142425091798039E-2</v>
          </cell>
          <cell r="AA973">
            <v>3.488685467674002E-2</v>
          </cell>
        </row>
        <row r="974">
          <cell r="Y974">
            <v>45637</v>
          </cell>
          <cell r="Z974">
            <v>3.5159020531181154E-2</v>
          </cell>
          <cell r="AA974">
            <v>3.4903794396382581E-2</v>
          </cell>
        </row>
        <row r="975">
          <cell r="Y975">
            <v>45644</v>
          </cell>
          <cell r="Z975">
            <v>3.5175539042372868E-2</v>
          </cell>
          <cell r="AA975">
            <v>3.4920657776020825E-2</v>
          </cell>
        </row>
        <row r="976">
          <cell r="Y976">
            <v>45653</v>
          </cell>
          <cell r="Z976">
            <v>3.5196664089350037E-2</v>
          </cell>
          <cell r="AA976">
            <v>3.4947961030444841E-2</v>
          </cell>
        </row>
        <row r="977">
          <cell r="Y977">
            <v>45660</v>
          </cell>
          <cell r="Z977">
            <v>3.5213006761184662E-2</v>
          </cell>
          <cell r="AA977">
            <v>3.4964642207399775E-2</v>
          </cell>
        </row>
        <row r="978">
          <cell r="Y978">
            <v>45667</v>
          </cell>
          <cell r="Z978">
            <v>3.5229272501779652E-2</v>
          </cell>
          <cell r="AA978">
            <v>3.4981247031247907E-2</v>
          </cell>
        </row>
        <row r="979">
          <cell r="Y979">
            <v>45674</v>
          </cell>
          <cell r="Z979">
            <v>3.5245461310219182E-2</v>
          </cell>
          <cell r="AA979">
            <v>3.499777550193521E-2</v>
          </cell>
        </row>
        <row r="980">
          <cell r="Y980">
            <v>45681</v>
          </cell>
          <cell r="Z980">
            <v>3.5261573185587425E-2</v>
          </cell>
          <cell r="AA980">
            <v>3.5014227619488691E-2</v>
          </cell>
        </row>
        <row r="981">
          <cell r="Y981">
            <v>45688</v>
          </cell>
          <cell r="Z981">
            <v>3.5274777322705946E-2</v>
          </cell>
          <cell r="AA981">
            <v>3.5030603383827318E-2</v>
          </cell>
        </row>
        <row r="982">
          <cell r="Y982">
            <v>45695</v>
          </cell>
          <cell r="Z982">
            <v>3.5290739288195136E-2</v>
          </cell>
          <cell r="AA982">
            <v>3.5046902794951082E-2</v>
          </cell>
        </row>
        <row r="983">
          <cell r="Y983">
            <v>45702</v>
          </cell>
          <cell r="Z983">
            <v>3.5306624324680264E-2</v>
          </cell>
          <cell r="AA983">
            <v>3.5063125852805951E-2</v>
          </cell>
        </row>
        <row r="984">
          <cell r="Y984">
            <v>45709</v>
          </cell>
          <cell r="Z984">
            <v>3.5322432431274364E-2</v>
          </cell>
          <cell r="AA984">
            <v>3.5079272557364913E-2</v>
          </cell>
        </row>
        <row r="985">
          <cell r="Y985">
            <v>45716</v>
          </cell>
          <cell r="Z985">
            <v>3.5343793262315348E-2</v>
          </cell>
          <cell r="AA985">
            <v>3.5095342908627966E-2</v>
          </cell>
        </row>
        <row r="986">
          <cell r="Y986">
            <v>45723</v>
          </cell>
          <cell r="Z986">
            <v>3.5367870549321653E-2</v>
          </cell>
          <cell r="AA986">
            <v>3.5111336906541078E-2</v>
          </cell>
        </row>
        <row r="987">
          <cell r="Y987">
            <v>45730</v>
          </cell>
          <cell r="Z987">
            <v>3.5383427887736484E-2</v>
          </cell>
          <cell r="AA987">
            <v>3.512725455102321E-2</v>
          </cell>
        </row>
        <row r="988">
          <cell r="Y988">
            <v>45737</v>
          </cell>
          <cell r="Z988">
            <v>3.5398908258587547E-2</v>
          </cell>
          <cell r="AA988">
            <v>3.514309584212838E-2</v>
          </cell>
        </row>
        <row r="989">
          <cell r="Y989">
            <v>45744</v>
          </cell>
          <cell r="Z989">
            <v>3.5414311660962622E-2</v>
          </cell>
          <cell r="AA989">
            <v>3.515886077980257E-2</v>
          </cell>
        </row>
        <row r="990">
          <cell r="Y990">
            <v>45751</v>
          </cell>
          <cell r="Z990">
            <v>3.542125514678815E-2</v>
          </cell>
          <cell r="AA990">
            <v>3.5174549363991746E-2</v>
          </cell>
        </row>
        <row r="991">
          <cell r="Y991">
            <v>45758</v>
          </cell>
          <cell r="Z991">
            <v>3.543651667810923E-2</v>
          </cell>
          <cell r="AA991">
            <v>3.5190161594695901E-2</v>
          </cell>
        </row>
        <row r="992">
          <cell r="Y992">
            <v>45769</v>
          </cell>
          <cell r="Z992">
            <v>3.5460343612581664E-2</v>
          </cell>
          <cell r="AA992">
            <v>3.5208936387650658E-2</v>
          </cell>
        </row>
        <row r="993">
          <cell r="Y993">
            <v>45776</v>
          </cell>
          <cell r="Z993">
            <v>3.5475407269264785E-2</v>
          </cell>
          <cell r="AA993">
            <v>3.5224360211902894E-2</v>
          </cell>
        </row>
        <row r="994">
          <cell r="Y994">
            <v>45783</v>
          </cell>
          <cell r="Z994">
            <v>3.5493170050634987E-2</v>
          </cell>
          <cell r="AA994">
            <v>3.5239707695826628E-2</v>
          </cell>
        </row>
        <row r="995">
          <cell r="Y995">
            <v>45790</v>
          </cell>
          <cell r="Z995">
            <v>3.5508075747361922E-2</v>
          </cell>
          <cell r="AA995">
            <v>3.5254978839746043E-2</v>
          </cell>
        </row>
        <row r="996">
          <cell r="Y996">
            <v>45797</v>
          </cell>
          <cell r="Z996">
            <v>3.5522904482681555E-2</v>
          </cell>
          <cell r="AA996">
            <v>3.5270173643418001E-2</v>
          </cell>
        </row>
        <row r="997">
          <cell r="Y997">
            <v>45804</v>
          </cell>
          <cell r="Z997">
            <v>3.5537656255737626E-2</v>
          </cell>
          <cell r="AA997">
            <v>3.5285292106923549E-2</v>
          </cell>
        </row>
        <row r="998">
          <cell r="Y998">
            <v>45811</v>
          </cell>
          <cell r="Z998">
            <v>3.5552331065680023E-2</v>
          </cell>
          <cell r="AA998">
            <v>3.5300334230262687E-2</v>
          </cell>
        </row>
        <row r="999">
          <cell r="Y999">
            <v>45818</v>
          </cell>
          <cell r="Z999">
            <v>3.5566928911660405E-2</v>
          </cell>
          <cell r="AA999">
            <v>3.5315300013273321E-2</v>
          </cell>
        </row>
        <row r="1000">
          <cell r="Y1000">
            <v>45825</v>
          </cell>
          <cell r="Z1000">
            <v>3.5581449792837477E-2</v>
          </cell>
          <cell r="AA1000">
            <v>3.5330189456198591E-2</v>
          </cell>
        </row>
        <row r="1001">
          <cell r="Y1001">
            <v>45832</v>
          </cell>
          <cell r="Z1001">
            <v>3.5595893708372586E-2</v>
          </cell>
          <cell r="AA1001">
            <v>3.5345002558795358E-2</v>
          </cell>
        </row>
        <row r="1002">
          <cell r="Y1002">
            <v>45839</v>
          </cell>
          <cell r="Z1002">
            <v>3.5610260657433244E-2</v>
          </cell>
          <cell r="AA1002">
            <v>3.5359739321225714E-2</v>
          </cell>
        </row>
        <row r="1003">
          <cell r="Y1003">
            <v>45846</v>
          </cell>
          <cell r="Z1003">
            <v>3.5624550639188728E-2</v>
          </cell>
          <cell r="AA1003">
            <v>3.5374399743327567E-2</v>
          </cell>
        </row>
        <row r="1004">
          <cell r="Y1004">
            <v>45853</v>
          </cell>
          <cell r="Z1004">
            <v>3.5638763652816242E-2</v>
          </cell>
          <cell r="AA1004">
            <v>3.538898382526301E-2</v>
          </cell>
        </row>
        <row r="1005">
          <cell r="Y1005">
            <v>45860</v>
          </cell>
          <cell r="Z1005">
            <v>3.565289969749387E-2</v>
          </cell>
          <cell r="AA1005">
            <v>3.5403491566869949E-2</v>
          </cell>
        </row>
        <row r="1006">
          <cell r="Y1006">
            <v>45867</v>
          </cell>
          <cell r="Z1006">
            <v>3.5666958772406748E-2</v>
          </cell>
          <cell r="AA1006">
            <v>3.5417922968229432E-2</v>
          </cell>
        </row>
        <row r="1007">
          <cell r="Y1007">
            <v>45874</v>
          </cell>
          <cell r="Z1007">
            <v>3.5680940876743526E-2</v>
          </cell>
          <cell r="AA1007">
            <v>3.5432278029341457E-2</v>
          </cell>
        </row>
        <row r="1008">
          <cell r="Y1008">
            <v>45881</v>
          </cell>
          <cell r="Z1008">
            <v>3.5694846009698154E-2</v>
          </cell>
          <cell r="AA1008">
            <v>3.544655675012498E-2</v>
          </cell>
        </row>
        <row r="1009">
          <cell r="Y1009">
            <v>45888</v>
          </cell>
          <cell r="Z1009">
            <v>3.570867417046545E-2</v>
          </cell>
          <cell r="AA1009">
            <v>3.546075913058E-2</v>
          </cell>
        </row>
        <row r="1010">
          <cell r="Y1010">
            <v>45895</v>
          </cell>
          <cell r="Z1010">
            <v>3.5722425358250806E-2</v>
          </cell>
          <cell r="AA1010">
            <v>3.5474885170787562E-2</v>
          </cell>
        </row>
        <row r="1011">
          <cell r="Y1011">
            <v>45902</v>
          </cell>
          <cell r="Z1011">
            <v>3.5733393351014726E-2</v>
          </cell>
          <cell r="AA1011">
            <v>3.5488934870666622E-2</v>
          </cell>
        </row>
        <row r="1012">
          <cell r="Y1012">
            <v>45909</v>
          </cell>
          <cell r="Z1012">
            <v>3.5746994762713521E-2</v>
          </cell>
          <cell r="AA1012">
            <v>3.5502908230217178E-2</v>
          </cell>
        </row>
        <row r="1013">
          <cell r="Y1013">
            <v>45916</v>
          </cell>
          <cell r="Z1013">
            <v>3.5760519206121201E-2</v>
          </cell>
          <cell r="AA1013">
            <v>3.5516805249358185E-2</v>
          </cell>
        </row>
        <row r="1014">
          <cell r="Y1014">
            <v>45923</v>
          </cell>
          <cell r="Z1014">
            <v>3.5773966680467374E-2</v>
          </cell>
          <cell r="AA1014">
            <v>3.5530625928251736E-2</v>
          </cell>
        </row>
        <row r="1015">
          <cell r="Y1015">
            <v>45930</v>
          </cell>
          <cell r="Z1015">
            <v>3.579002667480205E-2</v>
          </cell>
          <cell r="AA1015">
            <v>3.5544370266735736E-2</v>
          </cell>
        </row>
        <row r="1016">
          <cell r="Y1016">
            <v>45937</v>
          </cell>
          <cell r="Z1016">
            <v>3.5803316008175552E-2</v>
          </cell>
          <cell r="AA1016">
            <v>3.5558038264891234E-2</v>
          </cell>
        </row>
        <row r="1017">
          <cell r="Y1017">
            <v>45944</v>
          </cell>
          <cell r="Z1017">
            <v>3.5816528363104422E-2</v>
          </cell>
          <cell r="AA1017">
            <v>3.5571629922556136E-2</v>
          </cell>
        </row>
        <row r="1018">
          <cell r="Y1018">
            <v>45951</v>
          </cell>
          <cell r="Z1018">
            <v>3.5829663738825769E-2</v>
          </cell>
          <cell r="AA1018">
            <v>3.5585145239973581E-2</v>
          </cell>
        </row>
        <row r="1019">
          <cell r="Y1019">
            <v>45958</v>
          </cell>
          <cell r="Z1019">
            <v>3.5842722134580222E-2</v>
          </cell>
          <cell r="AA1019">
            <v>3.5598584216981477E-2</v>
          </cell>
        </row>
        <row r="1020">
          <cell r="Y1020">
            <v>45965</v>
          </cell>
          <cell r="Z1020">
            <v>3.5855703549616341E-2</v>
          </cell>
          <cell r="AA1020">
            <v>3.5611946853579823E-2</v>
          </cell>
        </row>
        <row r="1021">
          <cell r="Y1021">
            <v>45972</v>
          </cell>
          <cell r="Z1021">
            <v>3.5868607983183566E-2</v>
          </cell>
          <cell r="AA1021">
            <v>3.562523314976862E-2</v>
          </cell>
        </row>
        <row r="1022">
          <cell r="Y1022">
            <v>45979</v>
          </cell>
          <cell r="Z1022">
            <v>3.5881435434537506E-2</v>
          </cell>
          <cell r="AA1022">
            <v>3.5638443105547868E-2</v>
          </cell>
        </row>
        <row r="1023">
          <cell r="Y1023">
            <v>45986</v>
          </cell>
          <cell r="Z1023">
            <v>3.5894185902938171E-2</v>
          </cell>
          <cell r="AA1023">
            <v>3.5651576720998612E-2</v>
          </cell>
        </row>
        <row r="1024">
          <cell r="Y1024">
            <v>45993</v>
          </cell>
          <cell r="Z1024">
            <v>3.5901556295803286E-2</v>
          </cell>
          <cell r="AA1024">
            <v>3.5664633995877715E-2</v>
          </cell>
        </row>
        <row r="1025">
          <cell r="Y1025">
            <v>46000</v>
          </cell>
          <cell r="Z1025">
            <v>3.5914161324553336E-2</v>
          </cell>
          <cell r="AA1025">
            <v>3.5677614930347268E-2</v>
          </cell>
        </row>
        <row r="1026">
          <cell r="Y1026">
            <v>46007</v>
          </cell>
          <cell r="Z1026">
            <v>3.592668938248255E-2</v>
          </cell>
          <cell r="AA1026">
            <v>3.5690519524326225E-2</v>
          </cell>
        </row>
        <row r="1027">
          <cell r="Y1027">
            <v>46014</v>
          </cell>
          <cell r="Z1027">
            <v>3.5939140468884911E-2</v>
          </cell>
          <cell r="AA1027">
            <v>3.5703347777976679E-2</v>
          </cell>
        </row>
        <row r="1028">
          <cell r="Y1028">
            <v>46021</v>
          </cell>
          <cell r="Z1028">
            <v>3.5951514583056232E-2</v>
          </cell>
          <cell r="AA1028">
            <v>3.5716099691136538E-2</v>
          </cell>
        </row>
        <row r="1029">
          <cell r="Y1029">
            <v>46028</v>
          </cell>
          <cell r="Z1029">
            <v>3.5966441996719979E-2</v>
          </cell>
          <cell r="AA1029">
            <v>3.5728775263805801E-2</v>
          </cell>
        </row>
        <row r="1030">
          <cell r="Y1030">
            <v>46035</v>
          </cell>
          <cell r="Z1030">
            <v>3.5976031891915942E-2</v>
          </cell>
          <cell r="AA1030">
            <v>3.5741374495984468E-2</v>
          </cell>
        </row>
        <row r="1031">
          <cell r="Y1031">
            <v>46042</v>
          </cell>
          <cell r="Z1031">
            <v>3.5988175085220245E-2</v>
          </cell>
          <cell r="AA1031">
            <v>3.575389738767254E-2</v>
          </cell>
        </row>
        <row r="1032">
          <cell r="Y1032">
            <v>46049</v>
          </cell>
          <cell r="Z1032">
            <v>3.6000241303525318E-2</v>
          </cell>
          <cell r="AA1032">
            <v>3.5766343938870016E-2</v>
          </cell>
        </row>
        <row r="1033">
          <cell r="Y1033">
            <v>46056</v>
          </cell>
          <cell r="Z1033">
            <v>3.6014843576664783E-2</v>
          </cell>
          <cell r="AA1033">
            <v>3.5778714149576896E-2</v>
          </cell>
        </row>
        <row r="1034">
          <cell r="Y1034">
            <v>46063</v>
          </cell>
          <cell r="Z1034">
            <v>3.6024142812418232E-2</v>
          </cell>
          <cell r="AA1034">
            <v>3.5791008019712134E-2</v>
          </cell>
        </row>
        <row r="1035">
          <cell r="Y1035">
            <v>46070</v>
          </cell>
          <cell r="Z1035">
            <v>3.6035978101655305E-2</v>
          </cell>
          <cell r="AA1035">
            <v>3.5803225549437823E-2</v>
          </cell>
        </row>
        <row r="1036">
          <cell r="Y1036">
            <v>46077</v>
          </cell>
          <cell r="Z1036">
            <v>3.6050336436470966E-2</v>
          </cell>
          <cell r="AA1036">
            <v>3.5815366738510823E-2</v>
          </cell>
        </row>
        <row r="1037">
          <cell r="Y1037">
            <v>46084</v>
          </cell>
          <cell r="Z1037">
            <v>3.6064608846441665E-2</v>
          </cell>
          <cell r="AA1037">
            <v>3.5827431587174274E-2</v>
          </cell>
        </row>
        <row r="1038">
          <cell r="Y1038">
            <v>46091</v>
          </cell>
          <cell r="Z1038">
            <v>3.6076204484726676E-2</v>
          </cell>
          <cell r="AA1038">
            <v>3.5839420095266084E-2</v>
          </cell>
        </row>
        <row r="1039">
          <cell r="Y1039">
            <v>46098</v>
          </cell>
          <cell r="Z1039">
            <v>3.6087723128816772E-2</v>
          </cell>
          <cell r="AA1039">
            <v>3.5851332262786251E-2</v>
          </cell>
        </row>
        <row r="1040">
          <cell r="Y1040">
            <v>46105</v>
          </cell>
          <cell r="Z1040">
            <v>3.6099164778049482E-2</v>
          </cell>
          <cell r="AA1040">
            <v>3.5863168089815822E-2</v>
          </cell>
        </row>
        <row r="1041">
          <cell r="Y1041">
            <v>46112</v>
          </cell>
          <cell r="Z1041">
            <v>3.6107951482462854E-2</v>
          </cell>
          <cell r="AA1041">
            <v>3.5874927576192706E-2</v>
          </cell>
        </row>
        <row r="1042">
          <cell r="Y1042">
            <v>46119</v>
          </cell>
          <cell r="Z1042">
            <v>3.6119243805460714E-2</v>
          </cell>
          <cell r="AA1042">
            <v>3.5886610721997947E-2</v>
          </cell>
        </row>
        <row r="1043">
          <cell r="Y1043">
            <v>46126</v>
          </cell>
          <cell r="Z1043">
            <v>3.6130460418408297E-2</v>
          </cell>
          <cell r="AA1043">
            <v>3.5898217527312593E-2</v>
          </cell>
        </row>
        <row r="1044">
          <cell r="Y1044">
            <v>46133</v>
          </cell>
          <cell r="Z1044">
            <v>3.6141602440229667E-2</v>
          </cell>
          <cell r="AA1044">
            <v>3.5909747991893504E-2</v>
          </cell>
        </row>
        <row r="1045">
          <cell r="Y1045">
            <v>46140</v>
          </cell>
          <cell r="Z1045">
            <v>3.615267098986847E-2</v>
          </cell>
          <cell r="AA1045">
            <v>3.5921202116064865E-2</v>
          </cell>
        </row>
        <row r="1046">
          <cell r="Y1046">
            <v>46147</v>
          </cell>
          <cell r="Z1046">
            <v>3.6166225003361432E-2</v>
          </cell>
          <cell r="AA1046">
            <v>3.5932579899502493E-2</v>
          </cell>
        </row>
        <row r="1047">
          <cell r="Y1047">
            <v>46154</v>
          </cell>
          <cell r="Z1047">
            <v>3.6177146253125757E-2</v>
          </cell>
          <cell r="AA1047">
            <v>3.5943881342368478E-2</v>
          </cell>
        </row>
        <row r="1048">
          <cell r="Y1048">
            <v>46161</v>
          </cell>
          <cell r="Z1048">
            <v>3.6187997464443754E-2</v>
          </cell>
          <cell r="AA1048">
            <v>3.5955106444743867E-2</v>
          </cell>
        </row>
        <row r="1049">
          <cell r="Y1049">
            <v>46168</v>
          </cell>
          <cell r="Z1049">
            <v>3.619877974425699E-2</v>
          </cell>
          <cell r="AA1049">
            <v>3.5966255206385522E-2</v>
          </cell>
        </row>
        <row r="1050">
          <cell r="Y1050">
            <v>46175</v>
          </cell>
          <cell r="Z1050">
            <v>3.620949419951934E-2</v>
          </cell>
          <cell r="AA1050">
            <v>3.5977327627374489E-2</v>
          </cell>
        </row>
        <row r="1051">
          <cell r="Y1051">
            <v>46182</v>
          </cell>
          <cell r="Z1051">
            <v>3.6220141937204964E-2</v>
          </cell>
          <cell r="AA1051">
            <v>3.5988323707791814E-2</v>
          </cell>
        </row>
        <row r="1052">
          <cell r="Y1052">
            <v>46189</v>
          </cell>
          <cell r="Z1052">
            <v>3.6230724064297698E-2</v>
          </cell>
          <cell r="AA1052">
            <v>3.599924344755645E-2</v>
          </cell>
        </row>
        <row r="1053">
          <cell r="Y1053">
            <v>46196</v>
          </cell>
          <cell r="Z1053">
            <v>3.6241241687799006E-2</v>
          </cell>
          <cell r="AA1053">
            <v>3.6010086846668399E-2</v>
          </cell>
        </row>
        <row r="1054">
          <cell r="Y1054">
            <v>46203</v>
          </cell>
          <cell r="Z1054">
            <v>3.6251695914186186E-2</v>
          </cell>
          <cell r="AA1054">
            <v>3.6020854248601797E-2</v>
          </cell>
        </row>
        <row r="1055">
          <cell r="Y1055">
            <v>46210</v>
          </cell>
          <cell r="Z1055">
            <v>3.6262087576569194E-2</v>
          </cell>
          <cell r="AA1055">
            <v>3.603155527038937E-2</v>
          </cell>
        </row>
        <row r="1056">
          <cell r="Y1056">
            <v>46217</v>
          </cell>
          <cell r="Z1056">
            <v>3.6272416790701499E-2</v>
          </cell>
          <cell r="AA1056">
            <v>3.6042194377194914E-2</v>
          </cell>
        </row>
        <row r="1057">
          <cell r="Y1057">
            <v>46224</v>
          </cell>
          <cell r="Z1057">
            <v>3.6282683556101231E-2</v>
          </cell>
          <cell r="AA1057">
            <v>3.6052771569018427E-2</v>
          </cell>
        </row>
        <row r="1058">
          <cell r="Y1058">
            <v>46231</v>
          </cell>
          <cell r="Z1058">
            <v>3.6292887872286517E-2</v>
          </cell>
          <cell r="AA1058">
            <v>3.6063286845778864E-2</v>
          </cell>
        </row>
        <row r="1059">
          <cell r="Y1059">
            <v>46238</v>
          </cell>
          <cell r="Z1059">
            <v>3.6303029738779885E-2</v>
          </cell>
          <cell r="AA1059">
            <v>3.6073740207638316E-2</v>
          </cell>
        </row>
        <row r="1060">
          <cell r="Y1060">
            <v>46245</v>
          </cell>
          <cell r="Z1060">
            <v>3.6313109155107395E-2</v>
          </cell>
          <cell r="AA1060">
            <v>3.60841316542726E-2</v>
          </cell>
        </row>
        <row r="1061">
          <cell r="Y1061">
            <v>46252</v>
          </cell>
          <cell r="Z1061">
            <v>3.6323126120795982E-2</v>
          </cell>
          <cell r="AA1061">
            <v>3.6094461186005899E-2</v>
          </cell>
        </row>
        <row r="1062">
          <cell r="Y1062">
            <v>46259</v>
          </cell>
          <cell r="Z1062">
            <v>3.6333080635377865E-2</v>
          </cell>
          <cell r="AA1062">
            <v>3.6104728802676123E-2</v>
          </cell>
        </row>
        <row r="1063">
          <cell r="Y1063">
            <v>46266</v>
          </cell>
          <cell r="Z1063">
            <v>3.6340474212676457E-2</v>
          </cell>
          <cell r="AA1063">
            <v>3.6114934504283269E-2</v>
          </cell>
        </row>
        <row r="1064">
          <cell r="Y1064">
            <v>46273</v>
          </cell>
          <cell r="Z1064">
            <v>3.6350307309765482E-2</v>
          </cell>
          <cell r="AA1064">
            <v>3.6125078290827339E-2</v>
          </cell>
        </row>
        <row r="1065">
          <cell r="Y1065">
            <v>46280</v>
          </cell>
          <cell r="Z1065">
            <v>3.636007796032021E-2</v>
          </cell>
          <cell r="AA1065">
            <v>3.6135160162308333E-2</v>
          </cell>
        </row>
        <row r="1066">
          <cell r="Y1066">
            <v>46287</v>
          </cell>
          <cell r="Z1066">
            <v>3.6369786163889972E-2</v>
          </cell>
          <cell r="AA1066">
            <v>3.6145180118807296E-2</v>
          </cell>
        </row>
        <row r="1067">
          <cell r="Y1067">
            <v>46294</v>
          </cell>
          <cell r="Z1067">
            <v>3.6379431920025906E-2</v>
          </cell>
          <cell r="AA1067">
            <v>3.6155138160162137E-2</v>
          </cell>
        </row>
        <row r="1068">
          <cell r="Y1068">
            <v>46301</v>
          </cell>
          <cell r="Z1068">
            <v>3.6391496223734159E-2</v>
          </cell>
          <cell r="AA1068">
            <v>3.6165034286453901E-2</v>
          </cell>
        </row>
        <row r="1069">
          <cell r="Y1069">
            <v>46308</v>
          </cell>
          <cell r="Z1069">
            <v>3.6401013567684534E-2</v>
          </cell>
          <cell r="AA1069">
            <v>3.6174868497763635E-2</v>
          </cell>
        </row>
        <row r="1070">
          <cell r="Y1070">
            <v>46315</v>
          </cell>
          <cell r="Z1070">
            <v>3.6410468456881125E-2</v>
          </cell>
          <cell r="AA1070">
            <v>3.61846407938482E-2</v>
          </cell>
        </row>
        <row r="1071">
          <cell r="Y1071">
            <v>46322</v>
          </cell>
          <cell r="Z1071">
            <v>3.641986089088347E-2</v>
          </cell>
          <cell r="AA1071">
            <v>3.619435117503178E-2</v>
          </cell>
        </row>
        <row r="1072">
          <cell r="Y1072">
            <v>46329</v>
          </cell>
          <cell r="Z1072">
            <v>3.6429190869250207E-2</v>
          </cell>
          <cell r="AA1072">
            <v>3.6203999640909146E-2</v>
          </cell>
        </row>
        <row r="1073">
          <cell r="Y1073">
            <v>46336</v>
          </cell>
          <cell r="Z1073">
            <v>3.6438458391546157E-2</v>
          </cell>
          <cell r="AA1073">
            <v>3.6213586191804481E-2</v>
          </cell>
        </row>
        <row r="1074">
          <cell r="Y1074">
            <v>46343</v>
          </cell>
          <cell r="Z1074">
            <v>3.6447663457335258E-2</v>
          </cell>
          <cell r="AA1074">
            <v>3.6223110827555693E-2</v>
          </cell>
        </row>
        <row r="1075">
          <cell r="Y1075">
            <v>46350</v>
          </cell>
          <cell r="Z1075">
            <v>3.6456806066189375E-2</v>
          </cell>
          <cell r="AA1075">
            <v>3.6232573548324876E-2</v>
          </cell>
        </row>
        <row r="1076">
          <cell r="Y1076">
            <v>46357</v>
          </cell>
          <cell r="Z1076">
            <v>3.6460980640491109E-2</v>
          </cell>
          <cell r="AA1076">
            <v>3.6241974353868889E-2</v>
          </cell>
        </row>
        <row r="1077">
          <cell r="Y1077">
            <v>46364</v>
          </cell>
          <cell r="Z1077">
            <v>3.6470005461423365E-2</v>
          </cell>
          <cell r="AA1077">
            <v>3.6251313244349825E-2</v>
          </cell>
        </row>
        <row r="1078">
          <cell r="Y1078">
            <v>46371</v>
          </cell>
          <cell r="Z1078">
            <v>3.6478967836190868E-2</v>
          </cell>
          <cell r="AA1078">
            <v>3.6260590219686639E-2</v>
          </cell>
        </row>
        <row r="1079">
          <cell r="Y1079">
            <v>46378</v>
          </cell>
          <cell r="Z1079">
            <v>3.6487867764381177E-2</v>
          </cell>
          <cell r="AA1079">
            <v>3.626980527987933E-2</v>
          </cell>
        </row>
        <row r="1080">
          <cell r="Y1080">
            <v>46385</v>
          </cell>
          <cell r="Z1080">
            <v>3.6499143833960315E-2</v>
          </cell>
          <cell r="AA1080">
            <v>3.6278958424927898E-2</v>
          </cell>
        </row>
        <row r="1081">
          <cell r="Y1081">
            <v>46392</v>
          </cell>
          <cell r="Z1081">
            <v>3.650548027940119E-2</v>
          </cell>
          <cell r="AA1081">
            <v>3.628804965491339E-2</v>
          </cell>
        </row>
        <row r="1082">
          <cell r="Y1082">
            <v>46399</v>
          </cell>
          <cell r="Z1082">
            <v>3.6514192865426724E-2</v>
          </cell>
          <cell r="AA1082">
            <v>3.6297078969673713E-2</v>
          </cell>
        </row>
        <row r="1083">
          <cell r="Y1083">
            <v>46406</v>
          </cell>
          <cell r="Z1083">
            <v>3.6522843003261356E-2</v>
          </cell>
          <cell r="AA1083">
            <v>3.6306046369289913E-2</v>
          </cell>
        </row>
        <row r="1084">
          <cell r="Y1084">
            <v>46413</v>
          </cell>
          <cell r="Z1084">
            <v>3.6531430692510636E-2</v>
          </cell>
          <cell r="AA1084">
            <v>3.6314951853843036E-2</v>
          </cell>
        </row>
        <row r="1085">
          <cell r="Y1085">
            <v>46420</v>
          </cell>
          <cell r="Z1085">
            <v>3.6542376523992684E-2</v>
          </cell>
          <cell r="AA1085">
            <v>3.6323795423252037E-2</v>
          </cell>
        </row>
        <row r="1086">
          <cell r="Y1086">
            <v>46427</v>
          </cell>
          <cell r="Z1086">
            <v>3.654841872367999E-2</v>
          </cell>
          <cell r="AA1086">
            <v>3.6332577077516914E-2</v>
          </cell>
        </row>
        <row r="1087">
          <cell r="Y1087">
            <v>46434</v>
          </cell>
          <cell r="Z1087">
            <v>3.6556819064823817E-2</v>
          </cell>
          <cell r="AA1087">
            <v>3.6341296816556623E-2</v>
          </cell>
        </row>
        <row r="1088">
          <cell r="Y1088">
            <v>46441</v>
          </cell>
          <cell r="Z1088">
            <v>3.6565156955825309E-2</v>
          </cell>
          <cell r="AA1088">
            <v>3.6349954640452209E-2</v>
          </cell>
        </row>
        <row r="1089">
          <cell r="Y1089">
            <v>46448</v>
          </cell>
          <cell r="Z1089">
            <v>3.6578244377488044E-2</v>
          </cell>
          <cell r="AA1089">
            <v>3.6358550549122626E-2</v>
          </cell>
        </row>
        <row r="1090">
          <cell r="Y1090">
            <v>46455</v>
          </cell>
          <cell r="Z1090">
            <v>3.6586450082578735E-2</v>
          </cell>
          <cell r="AA1090">
            <v>3.636708454264892E-2</v>
          </cell>
        </row>
        <row r="1091">
          <cell r="Y1091">
            <v>46462</v>
          </cell>
          <cell r="Z1091">
            <v>3.6594593324237527E-2</v>
          </cell>
          <cell r="AA1091">
            <v>3.6375556621031091E-2</v>
          </cell>
        </row>
        <row r="1092">
          <cell r="Y1092">
            <v>46469</v>
          </cell>
          <cell r="Z1092">
            <v>3.6602674102082088E-2</v>
          </cell>
          <cell r="AA1092">
            <v>3.6383966784188093E-2</v>
          </cell>
        </row>
        <row r="1093">
          <cell r="Y1093">
            <v>46476</v>
          </cell>
          <cell r="Z1093">
            <v>3.6610692415734496E-2</v>
          </cell>
          <cell r="AA1093">
            <v>3.6392315032200973E-2</v>
          </cell>
        </row>
        <row r="1094">
          <cell r="Y1094">
            <v>46483</v>
          </cell>
          <cell r="Z1094">
            <v>3.6616260642118301E-2</v>
          </cell>
          <cell r="AA1094">
            <v>3.6400601364988683E-2</v>
          </cell>
        </row>
        <row r="1095">
          <cell r="Y1095">
            <v>46490</v>
          </cell>
          <cell r="Z1095">
            <v>3.6624157699324679E-2</v>
          </cell>
          <cell r="AA1095">
            <v>3.640882578263227E-2</v>
          </cell>
        </row>
        <row r="1096">
          <cell r="Y1096">
            <v>46497</v>
          </cell>
          <cell r="Z1096">
            <v>3.6631992297319692E-2</v>
          </cell>
          <cell r="AA1096">
            <v>3.6416988285050689E-2</v>
          </cell>
        </row>
        <row r="1097">
          <cell r="Y1097">
            <v>46504</v>
          </cell>
          <cell r="Z1097">
            <v>3.6639764435738187E-2</v>
          </cell>
          <cell r="AA1097">
            <v>3.6425088872243938E-2</v>
          </cell>
        </row>
        <row r="1098">
          <cell r="Y1098">
            <v>46511</v>
          </cell>
          <cell r="Z1098">
            <v>3.6649847008076365E-2</v>
          </cell>
          <cell r="AA1098">
            <v>3.6433127544212018E-2</v>
          </cell>
        </row>
        <row r="1099">
          <cell r="Y1099">
            <v>46518</v>
          </cell>
          <cell r="Z1099">
            <v>3.6657490528795418E-2</v>
          </cell>
          <cell r="AA1099">
            <v>3.644110430095493E-2</v>
          </cell>
        </row>
        <row r="1100">
          <cell r="Y1100">
            <v>46525</v>
          </cell>
          <cell r="Z1100">
            <v>3.6665071582756142E-2</v>
          </cell>
          <cell r="AA1100">
            <v>3.6449019142553718E-2</v>
          </cell>
        </row>
        <row r="1101">
          <cell r="Y1101">
            <v>46532</v>
          </cell>
          <cell r="Z1101">
            <v>3.6672590169604412E-2</v>
          </cell>
          <cell r="AA1101">
            <v>3.6456872068927337E-2</v>
          </cell>
        </row>
        <row r="1102">
          <cell r="Y1102">
            <v>46539</v>
          </cell>
          <cell r="Z1102">
            <v>3.668004628898696E-2</v>
          </cell>
          <cell r="AA1102">
            <v>3.6464663079994741E-2</v>
          </cell>
        </row>
        <row r="1103">
          <cell r="Y1103">
            <v>46546</v>
          </cell>
          <cell r="Z1103">
            <v>3.6687439940555823E-2</v>
          </cell>
          <cell r="AA1103">
            <v>3.6472392175918023E-2</v>
          </cell>
        </row>
        <row r="1104">
          <cell r="Y1104">
            <v>46553</v>
          </cell>
          <cell r="Z1104">
            <v>3.6694771123964791E-2</v>
          </cell>
          <cell r="AA1104">
            <v>3.6480059356535088E-2</v>
          </cell>
        </row>
        <row r="1105">
          <cell r="Y1105">
            <v>46560</v>
          </cell>
          <cell r="Z1105">
            <v>3.6702039838870291E-2</v>
          </cell>
          <cell r="AA1105">
            <v>3.6487664622008031E-2</v>
          </cell>
        </row>
        <row r="1106">
          <cell r="Y1106">
            <v>46567</v>
          </cell>
          <cell r="Z1106">
            <v>3.6709246084932298E-2</v>
          </cell>
          <cell r="AA1106">
            <v>3.6495207972255805E-2</v>
          </cell>
        </row>
        <row r="1107">
          <cell r="Y1107">
            <v>46574</v>
          </cell>
          <cell r="Z1107">
            <v>3.6716389861812512E-2</v>
          </cell>
          <cell r="AA1107">
            <v>3.6502689407116318E-2</v>
          </cell>
        </row>
        <row r="1108">
          <cell r="Y1108">
            <v>46581</v>
          </cell>
          <cell r="Z1108">
            <v>3.6723471169178831E-2</v>
          </cell>
          <cell r="AA1108">
            <v>3.6510108926832707E-2</v>
          </cell>
        </row>
        <row r="1109">
          <cell r="Y1109">
            <v>46588</v>
          </cell>
          <cell r="Z1109">
            <v>3.6730490006698258E-2</v>
          </cell>
          <cell r="AA1109">
            <v>3.6517466531242881E-2</v>
          </cell>
        </row>
        <row r="1110">
          <cell r="Y1110">
            <v>46595</v>
          </cell>
          <cell r="Z1110">
            <v>3.6737446374041319E-2</v>
          </cell>
          <cell r="AA1110">
            <v>3.6524762220427887E-2</v>
          </cell>
        </row>
        <row r="1111">
          <cell r="Y1111">
            <v>46602</v>
          </cell>
          <cell r="Z1111">
            <v>3.6744340270884718E-2</v>
          </cell>
          <cell r="AA1111">
            <v>3.6531995994387723E-2</v>
          </cell>
        </row>
        <row r="1112">
          <cell r="Y1112">
            <v>46609</v>
          </cell>
          <cell r="Z1112">
            <v>3.6751171696904263E-2</v>
          </cell>
          <cell r="AA1112">
            <v>3.6539167853041343E-2</v>
          </cell>
        </row>
        <row r="1113">
          <cell r="Y1113">
            <v>46616</v>
          </cell>
          <cell r="Z1113">
            <v>3.6757940651780174E-2</v>
          </cell>
          <cell r="AA1113">
            <v>3.6546277796469795E-2</v>
          </cell>
        </row>
        <row r="1114">
          <cell r="Y1114">
            <v>46623</v>
          </cell>
          <cell r="Z1114">
            <v>3.6764647135195318E-2</v>
          </cell>
          <cell r="AA1114">
            <v>3.6553325824592031E-2</v>
          </cell>
        </row>
        <row r="1115">
          <cell r="Y1115">
            <v>46630</v>
          </cell>
          <cell r="Z1115">
            <v>3.6768981943727491E-2</v>
          </cell>
          <cell r="AA1115">
            <v>3.6560311937408052E-2</v>
          </cell>
        </row>
        <row r="1116">
          <cell r="Y1116">
            <v>46637</v>
          </cell>
          <cell r="Z1116">
            <v>3.6775567285144854E-2</v>
          </cell>
          <cell r="AA1116">
            <v>3.656723613507995E-2</v>
          </cell>
        </row>
        <row r="1117">
          <cell r="Y1117">
            <v>46644</v>
          </cell>
          <cell r="Z1117">
            <v>3.6782090160339904E-2</v>
          </cell>
          <cell r="AA1117">
            <v>3.6574098417364587E-2</v>
          </cell>
        </row>
        <row r="1118">
          <cell r="Y1118">
            <v>46651</v>
          </cell>
          <cell r="Z1118">
            <v>3.6788550569008933E-2</v>
          </cell>
          <cell r="AA1118">
            <v>3.6580898784343008E-2</v>
          </cell>
        </row>
        <row r="1119">
          <cell r="Y1119">
            <v>46658</v>
          </cell>
          <cell r="Z1119">
            <v>3.6797242469483418E-2</v>
          </cell>
          <cell r="AA1119">
            <v>3.658763723609626E-2</v>
          </cell>
        </row>
        <row r="1120">
          <cell r="Y1120">
            <v>46665</v>
          </cell>
          <cell r="Z1120">
            <v>3.6803574117647599E-2</v>
          </cell>
          <cell r="AA1120">
            <v>3.659431377246225E-2</v>
          </cell>
        </row>
        <row r="1121">
          <cell r="Y1121">
            <v>46672</v>
          </cell>
          <cell r="Z1121">
            <v>3.6809843292214726E-2</v>
          </cell>
          <cell r="AA1121">
            <v>3.6600928393603072E-2</v>
          </cell>
        </row>
        <row r="1122">
          <cell r="Y1122">
            <v>46679</v>
          </cell>
          <cell r="Z1122">
            <v>3.6816049992892348E-2</v>
          </cell>
          <cell r="AA1122">
            <v>3.6607481099437678E-2</v>
          </cell>
        </row>
        <row r="1123">
          <cell r="Y1123">
            <v>46686</v>
          </cell>
          <cell r="Z1123">
            <v>3.6822194219389738E-2</v>
          </cell>
          <cell r="AA1123">
            <v>3.6613971890047114E-2</v>
          </cell>
        </row>
        <row r="1124">
          <cell r="Y1124">
            <v>46693</v>
          </cell>
          <cell r="Z1124">
            <v>3.6828275971417954E-2</v>
          </cell>
          <cell r="AA1124">
            <v>3.662040076526929E-2</v>
          </cell>
        </row>
        <row r="1125">
          <cell r="Y1125">
            <v>46700</v>
          </cell>
          <cell r="Z1125">
            <v>3.6834295248694221E-2</v>
          </cell>
          <cell r="AA1125">
            <v>3.662676772518525E-2</v>
          </cell>
        </row>
        <row r="1126">
          <cell r="Y1126">
            <v>46707</v>
          </cell>
          <cell r="Z1126">
            <v>3.6840252050935746E-2</v>
          </cell>
          <cell r="AA1126">
            <v>3.6633072769876041E-2</v>
          </cell>
        </row>
        <row r="1127">
          <cell r="Y1127">
            <v>46714</v>
          </cell>
          <cell r="Z1127">
            <v>3.6846146377864167E-2</v>
          </cell>
          <cell r="AA1127">
            <v>3.663931589917957E-2</v>
          </cell>
        </row>
        <row r="1128">
          <cell r="Y1128">
            <v>46721</v>
          </cell>
          <cell r="Z1128">
            <v>3.6849718932467385E-2</v>
          </cell>
          <cell r="AA1128">
            <v>3.6645497113176884E-2</v>
          </cell>
        </row>
        <row r="1129">
          <cell r="Y1129">
            <v>46728</v>
          </cell>
          <cell r="Z1129">
            <v>3.685549219025714E-2</v>
          </cell>
          <cell r="AA1129">
            <v>3.6651616411786936E-2</v>
          </cell>
        </row>
        <row r="1130">
          <cell r="Y1130">
            <v>46735</v>
          </cell>
          <cell r="Z1130">
            <v>3.6861202978124064E-2</v>
          </cell>
          <cell r="AA1130">
            <v>3.6657673795171819E-2</v>
          </cell>
        </row>
        <row r="1131">
          <cell r="Y1131">
            <v>46742</v>
          </cell>
          <cell r="Z1131">
            <v>3.6866851295804526E-2</v>
          </cell>
          <cell r="AA1131">
            <v>3.6663669263169441E-2</v>
          </cell>
        </row>
        <row r="1132">
          <cell r="Y1132">
            <v>46750</v>
          </cell>
          <cell r="Z1132">
            <v>3.6873230021566207E-2</v>
          </cell>
          <cell r="AA1132">
            <v>3.667044541197928E-2</v>
          </cell>
        </row>
        <row r="1133">
          <cell r="Y1133">
            <v>46757</v>
          </cell>
          <cell r="Z1133">
            <v>3.6878744473679684E-2</v>
          </cell>
          <cell r="AA1133">
            <v>3.6676308204216523E-2</v>
          </cell>
        </row>
        <row r="1134">
          <cell r="Y1134">
            <v>46764</v>
          </cell>
          <cell r="Z1134">
            <v>3.6884196454793565E-2</v>
          </cell>
          <cell r="AA1134">
            <v>3.6682109081228598E-2</v>
          </cell>
        </row>
        <row r="1135">
          <cell r="Y1135">
            <v>46771</v>
          </cell>
          <cell r="Z1135">
            <v>3.6889585964655809E-2</v>
          </cell>
          <cell r="AA1135">
            <v>3.668784804285341E-2</v>
          </cell>
        </row>
        <row r="1136">
          <cell r="Y1136">
            <v>46778</v>
          </cell>
          <cell r="Z1136">
            <v>3.6894913003014368E-2</v>
          </cell>
          <cell r="AA1136">
            <v>3.6693525089172008E-2</v>
          </cell>
        </row>
        <row r="1137">
          <cell r="Y1137">
            <v>46785</v>
          </cell>
          <cell r="Z1137">
            <v>3.6897953772838048E-2</v>
          </cell>
          <cell r="AA1137">
            <v>3.6699140220103343E-2</v>
          </cell>
        </row>
        <row r="1138">
          <cell r="Y1138">
            <v>46792</v>
          </cell>
          <cell r="Z1138">
            <v>3.6903159805798627E-2</v>
          </cell>
          <cell r="AA1138">
            <v>3.6704693435728464E-2</v>
          </cell>
        </row>
        <row r="1139">
          <cell r="Y1139">
            <v>46799</v>
          </cell>
          <cell r="Z1139">
            <v>3.6908303372757918E-2</v>
          </cell>
          <cell r="AA1139">
            <v>3.6710184736047369E-2</v>
          </cell>
        </row>
        <row r="1140">
          <cell r="Y1140">
            <v>46806</v>
          </cell>
          <cell r="Z1140">
            <v>3.6913384473478188E-2</v>
          </cell>
          <cell r="AA1140">
            <v>3.671561412081692E-2</v>
          </cell>
        </row>
        <row r="1141">
          <cell r="Y1141">
            <v>46813</v>
          </cell>
          <cell r="Z1141">
            <v>3.6922818889561199E-2</v>
          </cell>
          <cell r="AA1141">
            <v>3.6720981590442348E-2</v>
          </cell>
        </row>
        <row r="1142">
          <cell r="Y1142">
            <v>46820</v>
          </cell>
          <cell r="Z1142">
            <v>3.6927767129704234E-2</v>
          </cell>
          <cell r="AA1142">
            <v>3.6726287144518421E-2</v>
          </cell>
        </row>
        <row r="1143">
          <cell r="Y1143">
            <v>46827</v>
          </cell>
          <cell r="Z1143">
            <v>3.6932652890438671E-2</v>
          </cell>
          <cell r="AA1143">
            <v>3.6731530783369326E-2</v>
          </cell>
        </row>
        <row r="1144">
          <cell r="Y1144">
            <v>46834</v>
          </cell>
          <cell r="Z1144">
            <v>3.6937476171533715E-2</v>
          </cell>
          <cell r="AA1144">
            <v>3.6736712506832969E-2</v>
          </cell>
        </row>
        <row r="1145">
          <cell r="Y1145">
            <v>46841</v>
          </cell>
          <cell r="Z1145">
            <v>3.6942236972764719E-2</v>
          </cell>
          <cell r="AA1145">
            <v>3.6741832314990397E-2</v>
          </cell>
        </row>
        <row r="1146">
          <cell r="Y1146">
            <v>46848</v>
          </cell>
          <cell r="Z1146">
            <v>3.6944747401158447E-2</v>
          </cell>
          <cell r="AA1146">
            <v>3.6746890207679517E-2</v>
          </cell>
        </row>
        <row r="1147">
          <cell r="Y1147">
            <v>46855</v>
          </cell>
          <cell r="Z1147">
            <v>3.694938723735236E-2</v>
          </cell>
          <cell r="AA1147">
            <v>3.6751886185062421E-2</v>
          </cell>
        </row>
        <row r="1148">
          <cell r="Y1148">
            <v>46862</v>
          </cell>
          <cell r="Z1148">
            <v>3.695396459927365E-2</v>
          </cell>
          <cell r="AA1148">
            <v>3.6756820247058064E-2</v>
          </cell>
        </row>
        <row r="1149">
          <cell r="Y1149">
            <v>46869</v>
          </cell>
          <cell r="Z1149">
            <v>3.6958479486713033E-2</v>
          </cell>
          <cell r="AA1149">
            <v>3.6761692393666445E-2</v>
          </cell>
        </row>
        <row r="1150">
          <cell r="Y1150">
            <v>46876</v>
          </cell>
          <cell r="Z1150">
            <v>3.6965103773250123E-2</v>
          </cell>
          <cell r="AA1150">
            <v>3.6766502624887565E-2</v>
          </cell>
        </row>
        <row r="1151">
          <cell r="Y1151">
            <v>46883</v>
          </cell>
          <cell r="Z1151">
            <v>3.6969489690716034E-2</v>
          </cell>
          <cell r="AA1151">
            <v>3.6771250940721423E-2</v>
          </cell>
        </row>
        <row r="1152">
          <cell r="Y1152">
            <v>46890</v>
          </cell>
          <cell r="Z1152">
            <v>3.6973813126816794E-2</v>
          </cell>
          <cell r="AA1152">
            <v>3.6775937341168019E-2</v>
          </cell>
        </row>
        <row r="1153">
          <cell r="Y1153">
            <v>46897</v>
          </cell>
          <cell r="Z1153">
            <v>3.6978074081354187E-2</v>
          </cell>
          <cell r="AA1153">
            <v>3.6780561826227354E-2</v>
          </cell>
        </row>
        <row r="1154">
          <cell r="Y1154">
            <v>46904</v>
          </cell>
          <cell r="Z1154">
            <v>3.6982272554125603E-2</v>
          </cell>
          <cell r="AA1154">
            <v>3.6785124395899427E-2</v>
          </cell>
        </row>
        <row r="1155">
          <cell r="Y1155">
            <v>46911</v>
          </cell>
          <cell r="Z1155">
            <v>3.6986408544935463E-2</v>
          </cell>
          <cell r="AA1155">
            <v>3.6789625050184238E-2</v>
          </cell>
        </row>
        <row r="1156">
          <cell r="Y1156">
            <v>46918</v>
          </cell>
          <cell r="Z1156">
            <v>3.6990482053589971E-2</v>
          </cell>
          <cell r="AA1156">
            <v>3.6794063789081788E-2</v>
          </cell>
        </row>
        <row r="1157">
          <cell r="Y1157">
            <v>46925</v>
          </cell>
          <cell r="Z1157">
            <v>3.6994493079898841E-2</v>
          </cell>
          <cell r="AA1157">
            <v>3.6798440612673122E-2</v>
          </cell>
        </row>
        <row r="1158">
          <cell r="Y1158">
            <v>46932</v>
          </cell>
          <cell r="Z1158">
            <v>3.699844162367355E-2</v>
          </cell>
          <cell r="AA1158">
            <v>3.6802755520715102E-2</v>
          </cell>
        </row>
        <row r="1159">
          <cell r="Y1159">
            <v>46939</v>
          </cell>
          <cell r="Z1159">
            <v>3.700232768472999E-2</v>
          </cell>
          <cell r="AA1159">
            <v>3.6807008513450867E-2</v>
          </cell>
        </row>
        <row r="1160">
          <cell r="Y1160">
            <v>46946</v>
          </cell>
          <cell r="Z1160">
            <v>3.7006151262885797E-2</v>
          </cell>
          <cell r="AA1160">
            <v>3.6811199590718324E-2</v>
          </cell>
        </row>
        <row r="1161">
          <cell r="Y1161">
            <v>46953</v>
          </cell>
          <cell r="Z1161">
            <v>3.7009912357962145E-2</v>
          </cell>
          <cell r="AA1161">
            <v>3.681532875259852E-2</v>
          </cell>
        </row>
        <row r="1162">
          <cell r="Y1162">
            <v>46960</v>
          </cell>
          <cell r="Z1162">
            <v>3.7013610969783728E-2</v>
          </cell>
          <cell r="AA1162">
            <v>3.6819395999091453E-2</v>
          </cell>
        </row>
        <row r="1163">
          <cell r="Y1163">
            <v>46967</v>
          </cell>
          <cell r="Z1163">
            <v>3.7017247098176116E-2</v>
          </cell>
          <cell r="AA1163">
            <v>3.6823401330116079E-2</v>
          </cell>
        </row>
        <row r="1164">
          <cell r="Y1164">
            <v>46974</v>
          </cell>
          <cell r="Z1164">
            <v>3.7020820742970181E-2</v>
          </cell>
          <cell r="AA1164">
            <v>3.6827344745834489E-2</v>
          </cell>
        </row>
        <row r="1165">
          <cell r="Y1165">
            <v>46981</v>
          </cell>
          <cell r="Z1165">
            <v>3.7024331903997648E-2</v>
          </cell>
          <cell r="AA1165">
            <v>3.6831226246084592E-2</v>
          </cell>
        </row>
        <row r="1166">
          <cell r="Y1166">
            <v>46988</v>
          </cell>
          <cell r="Z1166">
            <v>3.7027780581094669E-2</v>
          </cell>
          <cell r="AA1166">
            <v>3.6835045831028479E-2</v>
          </cell>
        </row>
        <row r="1167">
          <cell r="Y1167">
            <v>46995</v>
          </cell>
          <cell r="Z1167">
            <v>3.7031166774100038E-2</v>
          </cell>
          <cell r="AA1167">
            <v>3.6838803500423012E-2</v>
          </cell>
        </row>
        <row r="1168">
          <cell r="Y1168">
            <v>47002</v>
          </cell>
          <cell r="Z1168">
            <v>3.703239193554133E-2</v>
          </cell>
          <cell r="AA1168">
            <v>3.6842499254349237E-2</v>
          </cell>
        </row>
        <row r="1169">
          <cell r="Y1169">
            <v>47009</v>
          </cell>
          <cell r="Z1169">
            <v>3.7035657293265516E-2</v>
          </cell>
          <cell r="AA1169">
            <v>3.6846133092969247E-2</v>
          </cell>
        </row>
        <row r="1170">
          <cell r="Y1170">
            <v>47016</v>
          </cell>
          <cell r="Z1170">
            <v>3.7038860172722662E-2</v>
          </cell>
          <cell r="AA1170">
            <v>3.6849705016120948E-2</v>
          </cell>
        </row>
        <row r="1171">
          <cell r="Y1171">
            <v>47023</v>
          </cell>
          <cell r="Z1171">
            <v>3.7042000573766713E-2</v>
          </cell>
          <cell r="AA1171">
            <v>3.6853215023885388E-2</v>
          </cell>
        </row>
        <row r="1172">
          <cell r="Y1172">
            <v>47030</v>
          </cell>
          <cell r="Z1172">
            <v>3.7047160472299896E-2</v>
          </cell>
          <cell r="AA1172">
            <v>3.6856663116181521E-2</v>
          </cell>
        </row>
        <row r="1173">
          <cell r="Y1173">
            <v>47037</v>
          </cell>
          <cell r="Z1173">
            <v>3.7050171757527561E-2</v>
          </cell>
          <cell r="AA1173">
            <v>3.6860049293090391E-2</v>
          </cell>
        </row>
        <row r="1174">
          <cell r="Y1174">
            <v>47044</v>
          </cell>
          <cell r="Z1174">
            <v>3.7053120557612618E-2</v>
          </cell>
          <cell r="AA1174">
            <v>3.6863373554530954E-2</v>
          </cell>
        </row>
        <row r="1175">
          <cell r="Y1175">
            <v>47051</v>
          </cell>
          <cell r="Z1175">
            <v>3.7056006872422033E-2</v>
          </cell>
          <cell r="AA1175">
            <v>3.6866635900584255E-2</v>
          </cell>
        </row>
        <row r="1176">
          <cell r="Y1176">
            <v>47058</v>
          </cell>
          <cell r="Z1176">
            <v>3.7058830701816627E-2</v>
          </cell>
          <cell r="AA1176">
            <v>3.6869836331169248E-2</v>
          </cell>
        </row>
        <row r="1177">
          <cell r="Y1177">
            <v>47065</v>
          </cell>
          <cell r="Z1177">
            <v>3.7061592045666891E-2</v>
          </cell>
          <cell r="AA1177">
            <v>3.6872974846366979E-2</v>
          </cell>
        </row>
        <row r="1178">
          <cell r="Y1178">
            <v>47072</v>
          </cell>
          <cell r="Z1178">
            <v>3.7064290903842459E-2</v>
          </cell>
          <cell r="AA1178">
            <v>3.6876051446096403E-2</v>
          </cell>
        </row>
        <row r="1179">
          <cell r="Y1179">
            <v>47079</v>
          </cell>
          <cell r="Z1179">
            <v>3.7066927276215585E-2</v>
          </cell>
          <cell r="AA1179">
            <v>3.6879066130357518E-2</v>
          </cell>
        </row>
        <row r="1180">
          <cell r="Y1180">
            <v>47086</v>
          </cell>
          <cell r="Z1180">
            <v>3.7067452631492241E-2</v>
          </cell>
          <cell r="AA1180">
            <v>3.6882018899231372E-2</v>
          </cell>
        </row>
        <row r="1181">
          <cell r="Y1181">
            <v>47093</v>
          </cell>
          <cell r="Z1181">
            <v>3.7067923654148953E-2</v>
          </cell>
          <cell r="AA1181">
            <v>3.6884909752555872E-2</v>
          </cell>
        </row>
        <row r="1182">
          <cell r="Y1182">
            <v>47100</v>
          </cell>
          <cell r="Z1182">
            <v>3.7070380998088265E-2</v>
          </cell>
          <cell r="AA1182">
            <v>3.6887738690574157E-2</v>
          </cell>
        </row>
        <row r="1183">
          <cell r="Y1183">
            <v>47107</v>
          </cell>
          <cell r="Z1183">
            <v>3.7072775868369212E-2</v>
          </cell>
          <cell r="AA1183">
            <v>3.6890505713124133E-2</v>
          </cell>
        </row>
        <row r="1184">
          <cell r="Y1184">
            <v>47114</v>
          </cell>
          <cell r="Z1184">
            <v>3.7075108264880141E-2</v>
          </cell>
          <cell r="AA1184">
            <v>3.6893210820205802E-2</v>
          </cell>
        </row>
        <row r="1185">
          <cell r="Y1185">
            <v>47121</v>
          </cell>
          <cell r="Z1185">
            <v>3.707737818751479E-2</v>
          </cell>
          <cell r="AA1185">
            <v>3.6895854011819162E-2</v>
          </cell>
        </row>
        <row r="1186">
          <cell r="Y1186">
            <v>47128</v>
          </cell>
          <cell r="Z1186">
            <v>3.7079585636169594E-2</v>
          </cell>
          <cell r="AA1186">
            <v>3.6898435288045262E-2</v>
          </cell>
        </row>
        <row r="1187">
          <cell r="Y1187">
            <v>47135</v>
          </cell>
          <cell r="Z1187">
            <v>3.7081730610743706E-2</v>
          </cell>
          <cell r="AA1187">
            <v>3.6900954648722006E-2</v>
          </cell>
        </row>
        <row r="1188">
          <cell r="Y1188">
            <v>47142</v>
          </cell>
          <cell r="Z1188">
            <v>3.7083813111137155E-2</v>
          </cell>
          <cell r="AA1188">
            <v>3.690341209401149E-2</v>
          </cell>
        </row>
        <row r="1189">
          <cell r="Y1189">
            <v>47149</v>
          </cell>
          <cell r="Z1189">
            <v>3.7083822171062729E-2</v>
          </cell>
          <cell r="AA1189">
            <v>3.6905807623751619E-2</v>
          </cell>
        </row>
        <row r="1190">
          <cell r="Y1190">
            <v>47156</v>
          </cell>
          <cell r="Z1190">
            <v>3.7087790689008374E-2</v>
          </cell>
          <cell r="AA1190">
            <v>3.6908141238185532E-2</v>
          </cell>
        </row>
        <row r="1191">
          <cell r="Y1191">
            <v>47163</v>
          </cell>
          <cell r="Z1191">
            <v>3.7087683334470677E-2</v>
          </cell>
          <cell r="AA1191">
            <v>3.6910412937070092E-2</v>
          </cell>
        </row>
        <row r="1192">
          <cell r="Y1192">
            <v>47170</v>
          </cell>
          <cell r="Z1192">
            <v>3.7089520213876473E-2</v>
          </cell>
          <cell r="AA1192">
            <v>3.691262272056739E-2</v>
          </cell>
        </row>
        <row r="1193">
          <cell r="Y1193">
            <v>47177</v>
          </cell>
          <cell r="Z1193">
            <v>3.709727541654443E-2</v>
          </cell>
          <cell r="AA1193">
            <v>3.6914770588677426E-2</v>
          </cell>
        </row>
        <row r="1194">
          <cell r="Y1194">
            <v>47184</v>
          </cell>
          <cell r="Z1194">
            <v>3.7098974488729466E-2</v>
          </cell>
          <cell r="AA1194">
            <v>3.6916856541157061E-2</v>
          </cell>
        </row>
        <row r="1195">
          <cell r="Y1195">
            <v>47191</v>
          </cell>
          <cell r="Z1195">
            <v>3.7100611073490254E-2</v>
          </cell>
          <cell r="AA1195">
            <v>3.6918880578249436E-2</v>
          </cell>
        </row>
        <row r="1196">
          <cell r="Y1196">
            <v>47198</v>
          </cell>
          <cell r="Z1196">
            <v>3.7102185170749279E-2</v>
          </cell>
          <cell r="AA1196">
            <v>3.6920842699873502E-2</v>
          </cell>
        </row>
        <row r="1197">
          <cell r="Y1197">
            <v>47205</v>
          </cell>
          <cell r="Z1197">
            <v>3.7103696780663345E-2</v>
          </cell>
          <cell r="AA1197">
            <v>3.6922742906110306E-2</v>
          </cell>
        </row>
        <row r="1198">
          <cell r="Y1198">
            <v>47212</v>
          </cell>
          <cell r="Z1198">
            <v>3.7103174178646676E-2</v>
          </cell>
          <cell r="AA1198">
            <v>3.6924581196797757E-2</v>
          </cell>
        </row>
        <row r="1199">
          <cell r="Y1199">
            <v>47219</v>
          </cell>
          <cell r="Z1199">
            <v>3.7104565694411715E-2</v>
          </cell>
          <cell r="AA1199">
            <v>3.6926357572097945E-2</v>
          </cell>
        </row>
        <row r="1200">
          <cell r="Y1200">
            <v>47226</v>
          </cell>
          <cell r="Z1200">
            <v>3.7105895686632237E-2</v>
          </cell>
          <cell r="AA1200">
            <v>3.692807203184878E-2</v>
          </cell>
        </row>
        <row r="1201">
          <cell r="Y1201">
            <v>47233</v>
          </cell>
          <cell r="Z1201">
            <v>3.7107164634204472E-2</v>
          </cell>
          <cell r="AA1201">
            <v>3.6929724576212353E-2</v>
          </cell>
        </row>
        <row r="1202">
          <cell r="Y1202">
            <v>47240</v>
          </cell>
          <cell r="Z1202">
            <v>3.7110328254113228E-2</v>
          </cell>
          <cell r="AA1202">
            <v>3.6931315205107618E-2</v>
          </cell>
        </row>
        <row r="1203">
          <cell r="Y1203">
            <v>47247</v>
          </cell>
          <cell r="Z1203">
            <v>3.7111472500007459E-2</v>
          </cell>
          <cell r="AA1203">
            <v>3.6932843918453528E-2</v>
          </cell>
        </row>
        <row r="1204">
          <cell r="Y1204">
            <v>47254</v>
          </cell>
          <cell r="Z1204">
            <v>3.7112557168370162E-2</v>
          </cell>
          <cell r="AA1204">
            <v>3.6934310716412178E-2</v>
          </cell>
        </row>
        <row r="1205">
          <cell r="Y1205">
            <v>47261</v>
          </cell>
          <cell r="Z1205">
            <v>3.711358273295208E-2</v>
          </cell>
          <cell r="AA1205">
            <v>3.6935715598821472E-2</v>
          </cell>
        </row>
        <row r="1206">
          <cell r="Y1206">
            <v>47268</v>
          </cell>
          <cell r="Z1206">
            <v>3.7114549667505721E-2</v>
          </cell>
          <cell r="AA1206">
            <v>3.6937058565843506E-2</v>
          </cell>
        </row>
        <row r="1207">
          <cell r="Y1207">
            <v>47275</v>
          </cell>
          <cell r="Z1207">
            <v>3.7115458445788015E-2</v>
          </cell>
          <cell r="AA1207">
            <v>3.6938339617397231E-2</v>
          </cell>
        </row>
        <row r="1208">
          <cell r="Y1208">
            <v>47282</v>
          </cell>
          <cell r="Z1208">
            <v>3.7116309541556744E-2</v>
          </cell>
          <cell r="AA1208">
            <v>3.6939558753482649E-2</v>
          </cell>
        </row>
        <row r="1209">
          <cell r="Y1209">
            <v>47289</v>
          </cell>
          <cell r="Z1209">
            <v>3.711710342857235E-2</v>
          </cell>
          <cell r="AA1209">
            <v>3.6940715974018712E-2</v>
          </cell>
        </row>
        <row r="1210">
          <cell r="Y1210">
            <v>47296</v>
          </cell>
          <cell r="Z1210">
            <v>3.7117840580604085E-2</v>
          </cell>
          <cell r="AA1210">
            <v>3.6941811300077454E-2</v>
          </cell>
        </row>
        <row r="1211">
          <cell r="Y1211">
            <v>47303</v>
          </cell>
          <cell r="Z1211">
            <v>3.7118521392449519E-2</v>
          </cell>
          <cell r="AA1211">
            <v>3.6942848215433255E-2</v>
          </cell>
        </row>
        <row r="1212">
          <cell r="Y1212">
            <v>47310</v>
          </cell>
          <cell r="Z1212">
            <v>3.7119145943046855E-2</v>
          </cell>
          <cell r="AA1212">
            <v>3.6943829385293059E-2</v>
          </cell>
        </row>
        <row r="1213">
          <cell r="Y1213">
            <v>47317</v>
          </cell>
          <cell r="Z1213">
            <v>3.711971423236967E-2</v>
          </cell>
          <cell r="AA1213">
            <v>3.6944754809737912E-2</v>
          </cell>
        </row>
        <row r="1214">
          <cell r="Y1214">
            <v>47324</v>
          </cell>
          <cell r="Z1214">
            <v>3.7120226260394164E-2</v>
          </cell>
          <cell r="AA1214">
            <v>3.6945624488524675E-2</v>
          </cell>
        </row>
        <row r="1215">
          <cell r="Y1215">
            <v>47331</v>
          </cell>
          <cell r="Z1215">
            <v>3.7120682027100088E-2</v>
          </cell>
          <cell r="AA1215">
            <v>3.6946438421896488E-2</v>
          </cell>
        </row>
        <row r="1216">
          <cell r="Y1216">
            <v>47338</v>
          </cell>
          <cell r="Z1216">
            <v>3.7121081532466293E-2</v>
          </cell>
          <cell r="AA1216">
            <v>3.6947196609772304E-2</v>
          </cell>
        </row>
        <row r="1217">
          <cell r="Y1217">
            <v>47345</v>
          </cell>
          <cell r="Z1217">
            <v>3.7121424776477799E-2</v>
          </cell>
          <cell r="AA1217">
            <v>3.6947899052152122E-2</v>
          </cell>
        </row>
        <row r="1218">
          <cell r="Y1218">
            <v>47352</v>
          </cell>
          <cell r="Z1218">
            <v>3.7121711759118763E-2</v>
          </cell>
          <cell r="AA1218">
            <v>3.6948545748954897E-2</v>
          </cell>
        </row>
        <row r="1219">
          <cell r="Y1219">
            <v>47359</v>
          </cell>
          <cell r="Z1219">
            <v>3.7121942480376841E-2</v>
          </cell>
          <cell r="AA1219">
            <v>3.6949136700342722E-2</v>
          </cell>
        </row>
        <row r="1220">
          <cell r="Y1220">
            <v>47366</v>
          </cell>
          <cell r="Z1220">
            <v>3.7120233281818314E-2</v>
          </cell>
          <cell r="AA1220">
            <v>3.6949671906153503E-2</v>
          </cell>
        </row>
        <row r="1221">
          <cell r="Y1221">
            <v>47373</v>
          </cell>
          <cell r="Z1221">
            <v>3.7120355486585356E-2</v>
          </cell>
          <cell r="AA1221">
            <v>3.6950151366549333E-2</v>
          </cell>
        </row>
        <row r="1222">
          <cell r="Y1222">
            <v>47380</v>
          </cell>
          <cell r="Z1222">
            <v>3.712042143564423E-2</v>
          </cell>
          <cell r="AA1222">
            <v>3.6950575081449166E-2</v>
          </cell>
        </row>
        <row r="1223">
          <cell r="Y1223">
            <v>47387</v>
          </cell>
          <cell r="Z1223">
            <v>3.7122302751429671E-2</v>
          </cell>
          <cell r="AA1223">
            <v>3.6950943050853002E-2</v>
          </cell>
        </row>
        <row r="1224">
          <cell r="Y1224">
            <v>47394</v>
          </cell>
          <cell r="Z1224">
            <v>3.7122252165678188E-2</v>
          </cell>
          <cell r="AA1224">
            <v>3.6951255274679795E-2</v>
          </cell>
        </row>
        <row r="1225">
          <cell r="Y1225">
            <v>47401</v>
          </cell>
          <cell r="Z1225">
            <v>3.7122145318521801E-2</v>
          </cell>
          <cell r="AA1225">
            <v>3.6951511753010591E-2</v>
          </cell>
        </row>
        <row r="1226">
          <cell r="Y1226">
            <v>47408</v>
          </cell>
          <cell r="Z1226">
            <v>3.7121982209965793E-2</v>
          </cell>
          <cell r="AA1226">
            <v>3.6951712485926436E-2</v>
          </cell>
        </row>
        <row r="1227">
          <cell r="Y1227">
            <v>47415</v>
          </cell>
          <cell r="Z1227">
            <v>3.7121762840014567E-2</v>
          </cell>
          <cell r="AA1227">
            <v>3.6951857473265237E-2</v>
          </cell>
        </row>
        <row r="1228">
          <cell r="Y1228">
            <v>47422</v>
          </cell>
          <cell r="Z1228">
            <v>3.7121487208680456E-2</v>
          </cell>
          <cell r="AA1228">
            <v>3.6951946715108042E-2</v>
          </cell>
        </row>
        <row r="1229">
          <cell r="Y1229">
            <v>47429</v>
          </cell>
          <cell r="Z1229">
            <v>3.7121155315972272E-2</v>
          </cell>
          <cell r="AA1229">
            <v>3.6951980211454849E-2</v>
          </cell>
        </row>
        <row r="1230">
          <cell r="Y1230">
            <v>47436</v>
          </cell>
          <cell r="Z1230">
            <v>3.7120767161906758E-2</v>
          </cell>
          <cell r="AA1230">
            <v>3.6951957962386706E-2</v>
          </cell>
        </row>
        <row r="1231">
          <cell r="Y1231">
            <v>47443</v>
          </cell>
          <cell r="Z1231">
            <v>3.7120322746497111E-2</v>
          </cell>
          <cell r="AA1231">
            <v>3.6951879967660473E-2</v>
          </cell>
        </row>
        <row r="1232">
          <cell r="Y1232">
            <v>47450</v>
          </cell>
          <cell r="Z1232">
            <v>3.711982206976449E-2</v>
          </cell>
          <cell r="AA1232">
            <v>3.6951746227600335E-2</v>
          </cell>
        </row>
        <row r="1233">
          <cell r="Y1233">
            <v>47457</v>
          </cell>
          <cell r="Z1233">
            <v>3.7115602601241658E-2</v>
          </cell>
          <cell r="AA1233">
            <v>3.6951556741882108E-2</v>
          </cell>
        </row>
        <row r="1234">
          <cell r="Y1234">
            <v>47464</v>
          </cell>
          <cell r="Z1234">
            <v>3.711499756174904E-2</v>
          </cell>
          <cell r="AA1234">
            <v>3.6951311510829976E-2</v>
          </cell>
        </row>
        <row r="1235">
          <cell r="Y1235">
            <v>47471</v>
          </cell>
          <cell r="Z1235">
            <v>3.7114336272386007E-2</v>
          </cell>
          <cell r="AA1235">
            <v>3.6951010534119755E-2</v>
          </cell>
        </row>
        <row r="1236">
          <cell r="Y1236">
            <v>47479</v>
          </cell>
          <cell r="Z1236">
            <v>3.7113511635756886E-2</v>
          </cell>
          <cell r="AA1236">
            <v>3.6950598301046522E-2</v>
          </cell>
        </row>
        <row r="1237">
          <cell r="Y1237">
            <v>47486</v>
          </cell>
          <cell r="Z1237">
            <v>3.7112729811049357E-2</v>
          </cell>
          <cell r="AA1237">
            <v>3.6950177869736756E-2</v>
          </cell>
        </row>
        <row r="1238">
          <cell r="Y1238">
            <v>47493</v>
          </cell>
          <cell r="Z1238">
            <v>3.7111891736566864E-2</v>
          </cell>
          <cell r="AA1238">
            <v>3.6949701693012038E-2</v>
          </cell>
        </row>
        <row r="1239">
          <cell r="Y1239">
            <v>47500</v>
          </cell>
          <cell r="Z1239">
            <v>3.711099741234003E-2</v>
          </cell>
          <cell r="AA1239">
            <v>3.6949169770710277E-2</v>
          </cell>
        </row>
        <row r="1240">
          <cell r="Y1240">
            <v>47507</v>
          </cell>
          <cell r="Z1240">
            <v>3.7110046838407573E-2</v>
          </cell>
          <cell r="AA1240">
            <v>3.6948582102912519E-2</v>
          </cell>
        </row>
        <row r="1241">
          <cell r="Y1241">
            <v>47514</v>
          </cell>
          <cell r="Z1241">
            <v>3.7107241728567358E-2</v>
          </cell>
          <cell r="AA1241">
            <v>3.6947938689537718E-2</v>
          </cell>
        </row>
        <row r="1242">
          <cell r="Y1242">
            <v>47521</v>
          </cell>
          <cell r="Z1242">
            <v>3.7106182780346657E-2</v>
          </cell>
          <cell r="AA1242">
            <v>3.6947239530747966E-2</v>
          </cell>
        </row>
        <row r="1243">
          <cell r="Y1243">
            <v>47528</v>
          </cell>
          <cell r="Z1243">
            <v>3.7105067588229033E-2</v>
          </cell>
          <cell r="AA1243">
            <v>3.6946484626543263E-2</v>
          </cell>
        </row>
        <row r="1244">
          <cell r="Y1244">
            <v>47535</v>
          </cell>
          <cell r="Z1244">
            <v>3.7103896152262734E-2</v>
          </cell>
          <cell r="AA1244">
            <v>3.6945673976761517E-2</v>
          </cell>
        </row>
        <row r="1245">
          <cell r="Y1245">
            <v>47542</v>
          </cell>
          <cell r="Z1245">
            <v>3.7108012901735578E-2</v>
          </cell>
          <cell r="AA1245">
            <v>3.6944807581402728E-2</v>
          </cell>
        </row>
        <row r="1246">
          <cell r="Y1246">
            <v>47549</v>
          </cell>
          <cell r="Z1246">
            <v>3.7106716532510541E-2</v>
          </cell>
          <cell r="AA1246">
            <v>3.6943885440710034E-2</v>
          </cell>
        </row>
        <row r="1247">
          <cell r="Y1247">
            <v>47556</v>
          </cell>
          <cell r="Z1247">
            <v>3.7105363902536902E-2</v>
          </cell>
          <cell r="AA1247">
            <v>3.6942907554440296E-2</v>
          </cell>
        </row>
        <row r="1248">
          <cell r="Y1248">
            <v>47563</v>
          </cell>
          <cell r="Z1248">
            <v>3.7103955011868382E-2</v>
          </cell>
          <cell r="AA1248">
            <v>3.6941873922674562E-2</v>
          </cell>
        </row>
        <row r="1249">
          <cell r="Y1249">
            <v>47570</v>
          </cell>
          <cell r="Z1249">
            <v>3.7102489860566662E-2</v>
          </cell>
          <cell r="AA1249">
            <v>3.694078454541283E-2</v>
          </cell>
        </row>
        <row r="1250">
          <cell r="Y1250">
            <v>47577</v>
          </cell>
          <cell r="Z1250">
            <v>3.7099208051812604E-2</v>
          </cell>
          <cell r="AA1250">
            <v>3.6939639422655102E-2</v>
          </cell>
        </row>
        <row r="1251">
          <cell r="Y1251">
            <v>47584</v>
          </cell>
          <cell r="Z1251">
            <v>3.7097634557235748E-2</v>
          </cell>
          <cell r="AA1251">
            <v>3.6938438554401376E-2</v>
          </cell>
        </row>
        <row r="1252">
          <cell r="Y1252">
            <v>47591</v>
          </cell>
          <cell r="Z1252">
            <v>3.7096004807896564E-2</v>
          </cell>
          <cell r="AA1252">
            <v>3.6944288058193164E-2</v>
          </cell>
        </row>
        <row r="1253">
          <cell r="Y1253">
            <v>47598</v>
          </cell>
          <cell r="Z1253">
            <v>3.709431880386363E-2</v>
          </cell>
          <cell r="AA1253">
            <v>3.6935869581324887E-2</v>
          </cell>
        </row>
        <row r="1254">
          <cell r="Y1254">
            <v>47605</v>
          </cell>
          <cell r="Z1254">
            <v>3.7094320196794928E-2</v>
          </cell>
          <cell r="AA1254">
            <v>3.6934501476664217E-2</v>
          </cell>
        </row>
        <row r="1255">
          <cell r="Y1255">
            <v>47612</v>
          </cell>
          <cell r="Z1255">
            <v>3.7092517483069118E-2</v>
          </cell>
          <cell r="AA1255">
            <v>3.6933077626426503E-2</v>
          </cell>
        </row>
        <row r="1256">
          <cell r="Y1256">
            <v>47619</v>
          </cell>
          <cell r="Z1256">
            <v>3.709065850919286E-2</v>
          </cell>
          <cell r="AA1256">
            <v>3.6931598030773838E-2</v>
          </cell>
        </row>
        <row r="1257">
          <cell r="Y1257">
            <v>47626</v>
          </cell>
          <cell r="Z1257">
            <v>3.7088743275243669E-2</v>
          </cell>
          <cell r="AA1257">
            <v>3.693006268954413E-2</v>
          </cell>
        </row>
        <row r="1258">
          <cell r="Y1258">
            <v>47633</v>
          </cell>
          <cell r="Z1258">
            <v>3.7086771781300834E-2</v>
          </cell>
          <cell r="AA1258">
            <v>3.6928471602818425E-2</v>
          </cell>
        </row>
        <row r="1259">
          <cell r="Y1259">
            <v>47640</v>
          </cell>
          <cell r="Z1259">
            <v>3.7084744027448047E-2</v>
          </cell>
          <cell r="AA1259">
            <v>3.6926824770596722E-2</v>
          </cell>
        </row>
        <row r="1260">
          <cell r="Y1260">
            <v>47647</v>
          </cell>
          <cell r="Z1260">
            <v>3.7082660013770759E-2</v>
          </cell>
          <cell r="AA1260">
            <v>3.6925122192960069E-2</v>
          </cell>
        </row>
        <row r="1261">
          <cell r="Y1261">
            <v>47654</v>
          </cell>
          <cell r="Z1261">
            <v>3.7080519740358815E-2</v>
          </cell>
          <cell r="AA1261">
            <v>3.6923363869665327E-2</v>
          </cell>
        </row>
        <row r="1262">
          <cell r="Y1262">
            <v>47661</v>
          </cell>
          <cell r="Z1262">
            <v>3.7078323207299438E-2</v>
          </cell>
          <cell r="AA1262">
            <v>3.6921549801036679E-2</v>
          </cell>
        </row>
        <row r="1263">
          <cell r="Y1263">
            <v>47668</v>
          </cell>
          <cell r="Z1263">
            <v>3.7076070414687766E-2</v>
          </cell>
          <cell r="AA1263">
            <v>3.6919679986993081E-2</v>
          </cell>
        </row>
        <row r="1264">
          <cell r="Y1264">
            <v>47675</v>
          </cell>
          <cell r="Z1264">
            <v>3.7073761362615421E-2</v>
          </cell>
          <cell r="AA1264">
            <v>3.6917754427291394E-2</v>
          </cell>
        </row>
        <row r="1265">
          <cell r="Y1265">
            <v>47682</v>
          </cell>
          <cell r="Z1265">
            <v>3.7071396051183703E-2</v>
          </cell>
          <cell r="AA1265">
            <v>3.6915773122093709E-2</v>
          </cell>
        </row>
        <row r="1266">
          <cell r="Y1266">
            <v>47689</v>
          </cell>
          <cell r="Z1266">
            <v>3.7068974480490395E-2</v>
          </cell>
          <cell r="AA1266">
            <v>3.6913736071481074E-2</v>
          </cell>
        </row>
        <row r="1267">
          <cell r="Y1267">
            <v>47696</v>
          </cell>
          <cell r="Z1267">
            <v>3.706649665063682E-2</v>
          </cell>
          <cell r="AA1267">
            <v>3.6911643275534534E-2</v>
          </cell>
        </row>
        <row r="1268">
          <cell r="Y1268">
            <v>47703</v>
          </cell>
          <cell r="Z1268">
            <v>3.7063962561729551E-2</v>
          </cell>
          <cell r="AA1268">
            <v>3.6909494733929904E-2</v>
          </cell>
        </row>
        <row r="1269">
          <cell r="Y1269">
            <v>47710</v>
          </cell>
          <cell r="Z1269">
            <v>3.7061372213872554E-2</v>
          </cell>
          <cell r="AA1269">
            <v>3.6907290446829277E-2</v>
          </cell>
        </row>
        <row r="1270">
          <cell r="Y1270">
            <v>47717</v>
          </cell>
          <cell r="Z1270">
            <v>3.7058725607177705E-2</v>
          </cell>
          <cell r="AA1270">
            <v>3.6905030414394746E-2</v>
          </cell>
        </row>
        <row r="1271">
          <cell r="Y1271">
            <v>47724</v>
          </cell>
          <cell r="Z1271">
            <v>3.7056022741753354E-2</v>
          </cell>
          <cell r="AA1271">
            <v>3.6902714636302125E-2</v>
          </cell>
        </row>
        <row r="1272">
          <cell r="Y1272">
            <v>47731</v>
          </cell>
          <cell r="Z1272">
            <v>3.7051596442926119E-2</v>
          </cell>
          <cell r="AA1272">
            <v>3.69003431128756E-2</v>
          </cell>
        </row>
        <row r="1273">
          <cell r="Y1273">
            <v>47738</v>
          </cell>
          <cell r="Z1273">
            <v>3.704878536289561E-2</v>
          </cell>
          <cell r="AA1273">
            <v>3.6897915843790985E-2</v>
          </cell>
        </row>
        <row r="1274">
          <cell r="Y1274">
            <v>47745</v>
          </cell>
          <cell r="Z1274">
            <v>3.7045918030140512E-2</v>
          </cell>
          <cell r="AA1274">
            <v>3.6895432829453512E-2</v>
          </cell>
        </row>
        <row r="1275">
          <cell r="Y1275">
            <v>47752</v>
          </cell>
          <cell r="Z1275">
            <v>3.704464869510074E-2</v>
          </cell>
          <cell r="AA1275">
            <v>3.6892894069538995E-2</v>
          </cell>
        </row>
        <row r="1276">
          <cell r="Y1276">
            <v>47759</v>
          </cell>
          <cell r="Z1276">
            <v>3.704166453779606E-2</v>
          </cell>
          <cell r="AA1276">
            <v>3.6890299564128481E-2</v>
          </cell>
        </row>
        <row r="1277">
          <cell r="Y1277">
            <v>47766</v>
          </cell>
          <cell r="Z1277">
            <v>3.7038624122484244E-2</v>
          </cell>
          <cell r="AA1277">
            <v>3.6887649313303017E-2</v>
          </cell>
        </row>
        <row r="1278">
          <cell r="Y1278">
            <v>47773</v>
          </cell>
          <cell r="Z1278">
            <v>3.7035527449290395E-2</v>
          </cell>
          <cell r="AA1278">
            <v>3.6884943316900509E-2</v>
          </cell>
        </row>
        <row r="1279">
          <cell r="Y1279">
            <v>47780</v>
          </cell>
          <cell r="Z1279">
            <v>3.7032374518348413E-2</v>
          </cell>
          <cell r="AA1279">
            <v>3.6882181575164097E-2</v>
          </cell>
        </row>
        <row r="1280">
          <cell r="Y1280">
            <v>47787</v>
          </cell>
          <cell r="Z1280">
            <v>3.7029165329787797E-2</v>
          </cell>
          <cell r="AA1280">
            <v>3.6879364087769595E-2</v>
          </cell>
        </row>
        <row r="1281">
          <cell r="Y1281">
            <v>47794</v>
          </cell>
          <cell r="Z1281">
            <v>3.7025899883747729E-2</v>
          </cell>
          <cell r="AA1281">
            <v>3.6876490855122235E-2</v>
          </cell>
        </row>
        <row r="1282">
          <cell r="Y1282">
            <v>47801</v>
          </cell>
          <cell r="Z1282">
            <v>3.7022578180362122E-2</v>
          </cell>
          <cell r="AA1282">
            <v>3.6873561876978878E-2</v>
          </cell>
        </row>
        <row r="1283">
          <cell r="Y1283">
            <v>47808</v>
          </cell>
          <cell r="Z1283">
            <v>3.7019200219773674E-2</v>
          </cell>
          <cell r="AA1283">
            <v>3.6870577153258477E-2</v>
          </cell>
        </row>
        <row r="1284">
          <cell r="Y1284">
            <v>47815</v>
          </cell>
          <cell r="Z1284">
            <v>3.7015766002122467E-2</v>
          </cell>
          <cell r="AA1284">
            <v>3.6867536684204172E-2</v>
          </cell>
        </row>
        <row r="1285">
          <cell r="Y1285">
            <v>47822</v>
          </cell>
          <cell r="Z1285">
            <v>3.7009053614984459E-2</v>
          </cell>
          <cell r="AA1285">
            <v>3.6864440469491777E-2</v>
          </cell>
        </row>
        <row r="1286">
          <cell r="Y1286">
            <v>47829</v>
          </cell>
          <cell r="Z1286">
            <v>3.7005515634552767E-2</v>
          </cell>
          <cell r="AA1286">
            <v>3.6861288509526524E-2</v>
          </cell>
        </row>
        <row r="1287">
          <cell r="Y1287">
            <v>47836</v>
          </cell>
          <cell r="Z1287">
            <v>3.700192140876403E-2</v>
          </cell>
          <cell r="AA1287">
            <v>3.6858080803984228E-2</v>
          </cell>
        </row>
        <row r="1288">
          <cell r="Y1288">
            <v>47844</v>
          </cell>
          <cell r="Z1288">
            <v>3.6997744850474017E-2</v>
          </cell>
          <cell r="AA1288">
            <v>3.6857595563448704E-2</v>
          </cell>
        </row>
        <row r="1289">
          <cell r="Y1289">
            <v>47851</v>
          </cell>
          <cell r="Z1289">
            <v>3.6994030099423841E-2</v>
          </cell>
          <cell r="AA1289">
            <v>3.6854259766258744E-2</v>
          </cell>
        </row>
        <row r="1290">
          <cell r="Y1290">
            <v>47858</v>
          </cell>
          <cell r="Z1290">
            <v>3.6990259103489402E-2</v>
          </cell>
          <cell r="AA1290">
            <v>3.6850868212361394E-2</v>
          </cell>
        </row>
        <row r="1291">
          <cell r="Y1291">
            <v>47865</v>
          </cell>
          <cell r="Z1291">
            <v>3.6986431862828281E-2</v>
          </cell>
          <cell r="AA1291">
            <v>3.6847420901918733E-2</v>
          </cell>
        </row>
        <row r="1292">
          <cell r="Y1292">
            <v>47872</v>
          </cell>
          <cell r="Z1292">
            <v>3.6982548377596271E-2</v>
          </cell>
          <cell r="AA1292">
            <v>3.6843917834768668E-2</v>
          </cell>
        </row>
        <row r="1293">
          <cell r="Y1293">
            <v>47879</v>
          </cell>
          <cell r="Z1293">
            <v>3.6977033010170648E-2</v>
          </cell>
          <cell r="AA1293">
            <v>3.6840359011019272E-2</v>
          </cell>
        </row>
        <row r="1294">
          <cell r="Y1294">
            <v>47886</v>
          </cell>
          <cell r="Z1294">
            <v>3.6973041456274329E-2</v>
          </cell>
          <cell r="AA1294">
            <v>3.6836744430616505E-2</v>
          </cell>
        </row>
        <row r="1295">
          <cell r="Y1295">
            <v>47893</v>
          </cell>
          <cell r="Z1295">
            <v>3.696899366390935E-2</v>
          </cell>
          <cell r="AA1295">
            <v>3.6833074093587388E-2</v>
          </cell>
        </row>
        <row r="1296">
          <cell r="Y1296">
            <v>47900</v>
          </cell>
          <cell r="Z1296">
            <v>3.6964889633242369E-2</v>
          </cell>
          <cell r="AA1296">
            <v>3.6829347999958927E-2</v>
          </cell>
        </row>
        <row r="1297">
          <cell r="Y1297">
            <v>47907</v>
          </cell>
          <cell r="Z1297">
            <v>3.696384489346926E-2</v>
          </cell>
          <cell r="AA1297">
            <v>3.6825566149704121E-2</v>
          </cell>
        </row>
        <row r="1298">
          <cell r="Y1298">
            <v>47914</v>
          </cell>
          <cell r="Z1298">
            <v>3.6964277064123398E-2</v>
          </cell>
          <cell r="AA1298">
            <v>3.6821728542849971E-2</v>
          </cell>
        </row>
        <row r="1299">
          <cell r="Y1299">
            <v>47921</v>
          </cell>
          <cell r="Z1299">
            <v>3.6959982070870104E-2</v>
          </cell>
          <cell r="AA1299">
            <v>3.6817835179369471E-2</v>
          </cell>
        </row>
        <row r="1300">
          <cell r="Y1300">
            <v>47928</v>
          </cell>
          <cell r="Z1300">
            <v>3.6955630811969224E-2</v>
          </cell>
          <cell r="AA1300">
            <v>3.6813886059316646E-2</v>
          </cell>
        </row>
        <row r="1301">
          <cell r="Y1301">
            <v>47935</v>
          </cell>
          <cell r="Z1301">
            <v>3.6951223287608734E-2</v>
          </cell>
          <cell r="AA1301">
            <v>3.6809881182610457E-2</v>
          </cell>
        </row>
        <row r="1302">
          <cell r="Y1302">
            <v>47942</v>
          </cell>
          <cell r="Z1302">
            <v>3.6942155442718151E-2</v>
          </cell>
          <cell r="AA1302">
            <v>3.6805820549385977E-2</v>
          </cell>
        </row>
        <row r="1303">
          <cell r="Y1303">
            <v>47953</v>
          </cell>
          <cell r="Z1303">
            <v>3.6935048332322119E-2</v>
          </cell>
          <cell r="AA1303">
            <v>3.6796213695586832E-2</v>
          </cell>
        </row>
        <row r="1304">
          <cell r="Y1304">
            <v>47960</v>
          </cell>
          <cell r="Z1304">
            <v>3.693045330682259E-2</v>
          </cell>
          <cell r="AA1304">
            <v>3.6792018499385293E-2</v>
          </cell>
        </row>
        <row r="1305">
          <cell r="Y1305">
            <v>47967</v>
          </cell>
          <cell r="Z1305">
            <v>3.6925802033532504E-2</v>
          </cell>
          <cell r="AA1305">
            <v>3.6787767557687756E-2</v>
          </cell>
        </row>
        <row r="1306">
          <cell r="Y1306">
            <v>47974</v>
          </cell>
          <cell r="Z1306">
            <v>3.6922609031688647E-2</v>
          </cell>
          <cell r="AA1306">
            <v>3.6783460870737361E-2</v>
          </cell>
        </row>
        <row r="1307">
          <cell r="Y1307">
            <v>47981</v>
          </cell>
          <cell r="Z1307">
            <v>3.6917840765681137E-2</v>
          </cell>
          <cell r="AA1307">
            <v>3.6779098438128877E-2</v>
          </cell>
        </row>
        <row r="1308">
          <cell r="Y1308">
            <v>47988</v>
          </cell>
          <cell r="Z1308">
            <v>3.6913016246886934E-2</v>
          </cell>
          <cell r="AA1308">
            <v>3.6774680260267534E-2</v>
          </cell>
        </row>
        <row r="1309">
          <cell r="Y1309">
            <v>47995</v>
          </cell>
          <cell r="Z1309">
            <v>3.6908135475503374E-2</v>
          </cell>
          <cell r="AA1309">
            <v>3.6770206336829148E-2</v>
          </cell>
        </row>
        <row r="1310">
          <cell r="Y1310">
            <v>48002</v>
          </cell>
          <cell r="Z1310">
            <v>3.6903198451741878E-2</v>
          </cell>
          <cell r="AA1310">
            <v>3.6765676668137903E-2</v>
          </cell>
        </row>
        <row r="1311">
          <cell r="Y1311">
            <v>48009</v>
          </cell>
          <cell r="Z1311">
            <v>3.6898205175807698E-2</v>
          </cell>
          <cell r="AA1311">
            <v>3.6761091253869616E-2</v>
          </cell>
        </row>
        <row r="1312">
          <cell r="Y1312">
            <v>48016</v>
          </cell>
          <cell r="Z1312">
            <v>3.6893155647910507E-2</v>
          </cell>
          <cell r="AA1312">
            <v>3.6756450094267423E-2</v>
          </cell>
        </row>
        <row r="1313">
          <cell r="Y1313">
            <v>48023</v>
          </cell>
          <cell r="Z1313">
            <v>3.6888049868265244E-2</v>
          </cell>
          <cell r="AA1313">
            <v>3.675175318925028E-2</v>
          </cell>
        </row>
        <row r="1314">
          <cell r="Y1314">
            <v>48030</v>
          </cell>
          <cell r="Z1314">
            <v>3.6882887837085106E-2</v>
          </cell>
          <cell r="AA1314">
            <v>3.6747000538899233E-2</v>
          </cell>
        </row>
        <row r="1315">
          <cell r="Y1315">
            <v>48037</v>
          </cell>
          <cell r="Z1315">
            <v>3.6877669554588557E-2</v>
          </cell>
          <cell r="AA1315">
            <v>3.6742192143052188E-2</v>
          </cell>
        </row>
        <row r="1316">
          <cell r="Y1316">
            <v>48044</v>
          </cell>
          <cell r="Z1316">
            <v>3.6872395020995839E-2</v>
          </cell>
          <cell r="AA1316">
            <v>3.6737328001790193E-2</v>
          </cell>
        </row>
        <row r="1317">
          <cell r="Y1317">
            <v>48051</v>
          </cell>
          <cell r="Z1317">
            <v>3.6867064236529828E-2</v>
          </cell>
          <cell r="AA1317">
            <v>3.6732408115194293E-2</v>
          </cell>
        </row>
        <row r="1318">
          <cell r="Y1318">
            <v>48058</v>
          </cell>
          <cell r="Z1318">
            <v>3.6861677201412521E-2</v>
          </cell>
          <cell r="AA1318">
            <v>3.6727432483102396E-2</v>
          </cell>
        </row>
        <row r="1319">
          <cell r="Y1319">
            <v>48065</v>
          </cell>
          <cell r="Z1319">
            <v>3.685623391587383E-2</v>
          </cell>
          <cell r="AA1319">
            <v>3.6722401105676594E-2</v>
          </cell>
        </row>
        <row r="1320">
          <cell r="Y1320">
            <v>48072</v>
          </cell>
          <cell r="Z1320">
            <v>3.6850734380142816E-2</v>
          </cell>
          <cell r="AA1320">
            <v>3.6717313982835842E-2</v>
          </cell>
        </row>
        <row r="1321">
          <cell r="Y1321">
            <v>48079</v>
          </cell>
          <cell r="Z1321">
            <v>3.6845178594449399E-2</v>
          </cell>
          <cell r="AA1321">
            <v>3.6712171114580139E-2</v>
          </cell>
        </row>
        <row r="1322">
          <cell r="Y1322">
            <v>48086</v>
          </cell>
          <cell r="Z1322">
            <v>3.683956655902966E-2</v>
          </cell>
          <cell r="AA1322">
            <v>3.6706972500909485E-2</v>
          </cell>
        </row>
        <row r="1323">
          <cell r="Y1323">
            <v>48093</v>
          </cell>
          <cell r="Z1323">
            <v>3.6832460974274769E-2</v>
          </cell>
          <cell r="AA1323">
            <v>3.6701718141985973E-2</v>
          </cell>
        </row>
        <row r="1324">
          <cell r="Y1324">
            <v>48100</v>
          </cell>
          <cell r="Z1324">
            <v>3.6826741032451309E-2</v>
          </cell>
          <cell r="AA1324">
            <v>3.669640803764751E-2</v>
          </cell>
        </row>
        <row r="1325">
          <cell r="Y1325">
            <v>48107</v>
          </cell>
          <cell r="Z1325">
            <v>3.6820964847157675E-2</v>
          </cell>
          <cell r="AA1325">
            <v>3.669104218781305E-2</v>
          </cell>
        </row>
        <row r="1326">
          <cell r="Y1326">
            <v>48114</v>
          </cell>
          <cell r="Z1326">
            <v>3.6815132418637E-2</v>
          </cell>
          <cell r="AA1326">
            <v>3.6685620592725732E-2</v>
          </cell>
        </row>
        <row r="1327">
          <cell r="Y1327">
            <v>48121</v>
          </cell>
          <cell r="Z1327">
            <v>3.6810662644384921E-2</v>
          </cell>
          <cell r="AA1327">
            <v>3.6680143252142416E-2</v>
          </cell>
        </row>
        <row r="1328">
          <cell r="Y1328">
            <v>48128</v>
          </cell>
          <cell r="Z1328">
            <v>3.6804713115652435E-2</v>
          </cell>
          <cell r="AA1328">
            <v>3.6674610166225197E-2</v>
          </cell>
        </row>
        <row r="1329">
          <cell r="Y1329">
            <v>48135</v>
          </cell>
          <cell r="Z1329">
            <v>3.6798707338899131E-2</v>
          </cell>
          <cell r="AA1329">
            <v>3.6669021334974072E-2</v>
          </cell>
        </row>
        <row r="1330">
          <cell r="Y1330">
            <v>48142</v>
          </cell>
          <cell r="Z1330">
            <v>3.6792645314376073E-2</v>
          </cell>
          <cell r="AA1330">
            <v>3.6663376758307997E-2</v>
          </cell>
        </row>
        <row r="1331">
          <cell r="Y1331">
            <v>48149</v>
          </cell>
          <cell r="Z1331">
            <v>3.678652704234138E-2</v>
          </cell>
          <cell r="AA1331">
            <v>3.6657676436226971E-2</v>
          </cell>
        </row>
        <row r="1332">
          <cell r="Y1332">
            <v>48156</v>
          </cell>
          <cell r="Z1332">
            <v>3.6780352523049641E-2</v>
          </cell>
          <cell r="AA1332">
            <v>3.6651920368893087E-2</v>
          </cell>
        </row>
        <row r="1333">
          <cell r="Y1333">
            <v>48163</v>
          </cell>
          <cell r="Z1333">
            <v>3.6774121756764255E-2</v>
          </cell>
          <cell r="AA1333">
            <v>3.6646108556144252E-2</v>
          </cell>
        </row>
        <row r="1334">
          <cell r="Y1334">
            <v>48170</v>
          </cell>
          <cell r="Z1334">
            <v>3.6767834743745981E-2</v>
          </cell>
          <cell r="AA1334">
            <v>3.6640240998061513E-2</v>
          </cell>
        </row>
        <row r="1335">
          <cell r="Y1335">
            <v>48177</v>
          </cell>
          <cell r="Z1335">
            <v>3.6761491484261749E-2</v>
          </cell>
          <cell r="AA1335">
            <v>3.6634317694563823E-2</v>
          </cell>
        </row>
        <row r="1336">
          <cell r="Y1336">
            <v>48184</v>
          </cell>
          <cell r="Z1336">
            <v>3.6753714810564074E-2</v>
          </cell>
          <cell r="AA1336">
            <v>3.6628338645732228E-2</v>
          </cell>
        </row>
        <row r="1337">
          <cell r="Y1337">
            <v>48191</v>
          </cell>
          <cell r="Z1337">
            <v>3.6747263723103503E-2</v>
          </cell>
          <cell r="AA1337">
            <v>3.6622303851566729E-2</v>
          </cell>
        </row>
        <row r="1338">
          <cell r="Y1338">
            <v>48198</v>
          </cell>
          <cell r="Z1338">
            <v>3.6740756395485859E-2</v>
          </cell>
          <cell r="AA1338">
            <v>3.6616213311986279E-2</v>
          </cell>
        </row>
        <row r="1339">
          <cell r="Y1339">
            <v>48205</v>
          </cell>
          <cell r="Z1339">
            <v>3.6734192827986338E-2</v>
          </cell>
          <cell r="AA1339">
            <v>3.6610067027234017E-2</v>
          </cell>
        </row>
        <row r="1340">
          <cell r="Y1340">
            <v>48212</v>
          </cell>
          <cell r="Z1340">
            <v>3.6727573020875696E-2</v>
          </cell>
          <cell r="AA1340">
            <v>3.6603864996904711E-2</v>
          </cell>
        </row>
        <row r="1341">
          <cell r="Y1341">
            <v>48219</v>
          </cell>
          <cell r="Z1341">
            <v>3.6720896974431802E-2</v>
          </cell>
          <cell r="AA1341">
            <v>3.6597607221403594E-2</v>
          </cell>
        </row>
        <row r="1342">
          <cell r="Y1342">
            <v>48226</v>
          </cell>
          <cell r="Z1342">
            <v>3.6714164688928963E-2</v>
          </cell>
          <cell r="AA1342">
            <v>3.659129370040648E-2</v>
          </cell>
        </row>
        <row r="1343">
          <cell r="Y1343">
            <v>48233</v>
          </cell>
          <cell r="Z1343">
            <v>3.6707376164653076E-2</v>
          </cell>
          <cell r="AA1343">
            <v>3.6584924434237553E-2</v>
          </cell>
        </row>
        <row r="1344">
          <cell r="Y1344">
            <v>48240</v>
          </cell>
          <cell r="Z1344">
            <v>3.6700531401885568E-2</v>
          </cell>
          <cell r="AA1344">
            <v>3.6578499422734723E-2</v>
          </cell>
        </row>
        <row r="1345">
          <cell r="Y1345">
            <v>48247</v>
          </cell>
          <cell r="Z1345">
            <v>3.6693630400908776E-2</v>
          </cell>
          <cell r="AA1345">
            <v>3.6572018665735895E-2</v>
          </cell>
        </row>
        <row r="1346">
          <cell r="Y1346">
            <v>48254</v>
          </cell>
          <cell r="Z1346">
            <v>3.6685342521318096E-2</v>
          </cell>
          <cell r="AA1346">
            <v>3.6565482163565255E-2</v>
          </cell>
        </row>
        <row r="1347">
          <cell r="Y1347">
            <v>48261</v>
          </cell>
          <cell r="Z1347">
            <v>3.6678333762978035E-2</v>
          </cell>
          <cell r="AA1347">
            <v>3.6558889915979664E-2</v>
          </cell>
        </row>
        <row r="1348">
          <cell r="Y1348">
            <v>48268</v>
          </cell>
          <cell r="Z1348">
            <v>3.6671268772772443E-2</v>
          </cell>
          <cell r="AA1348">
            <v>3.6552241923141215E-2</v>
          </cell>
        </row>
        <row r="1349">
          <cell r="Y1349">
            <v>48275</v>
          </cell>
          <cell r="Z1349">
            <v>3.6666780126429765E-2</v>
          </cell>
          <cell r="AA1349">
            <v>3.6545538184968862E-2</v>
          </cell>
        </row>
        <row r="1350">
          <cell r="Y1350">
            <v>48282</v>
          </cell>
          <cell r="Z1350">
            <v>3.6659593203341861E-2</v>
          </cell>
          <cell r="AA1350">
            <v>3.6538778701381558E-2</v>
          </cell>
        </row>
        <row r="1351">
          <cell r="Y1351">
            <v>48289</v>
          </cell>
          <cell r="Z1351">
            <v>3.6652350038350379E-2</v>
          </cell>
          <cell r="AA1351">
            <v>3.6531963472622442E-2</v>
          </cell>
        </row>
        <row r="1352">
          <cell r="Y1352">
            <v>48296</v>
          </cell>
          <cell r="Z1352">
            <v>3.6645050631758352E-2</v>
          </cell>
          <cell r="AA1352">
            <v>3.6525092498529421E-2</v>
          </cell>
        </row>
        <row r="1353">
          <cell r="Y1353">
            <v>48303</v>
          </cell>
          <cell r="Z1353">
            <v>3.6637694983874113E-2</v>
          </cell>
          <cell r="AA1353">
            <v>3.6518165779183542E-2</v>
          </cell>
        </row>
        <row r="1354">
          <cell r="Y1354">
            <v>48310</v>
          </cell>
          <cell r="Z1354">
            <v>3.6628990721052974E-2</v>
          </cell>
          <cell r="AA1354">
            <v>3.651118331426062E-2</v>
          </cell>
        </row>
        <row r="1355">
          <cell r="Y1355">
            <v>48317</v>
          </cell>
          <cell r="Z1355">
            <v>3.6621527354219245E-2</v>
          </cell>
          <cell r="AA1355">
            <v>3.6504145104409025E-2</v>
          </cell>
        </row>
        <row r="1356">
          <cell r="Y1356">
            <v>48324</v>
          </cell>
          <cell r="Z1356">
            <v>3.6614007752467946E-2</v>
          </cell>
          <cell r="AA1356">
            <v>3.6497051148980386E-2</v>
          </cell>
        </row>
        <row r="1357">
          <cell r="Y1357">
            <v>48331</v>
          </cell>
          <cell r="Z1357">
            <v>3.6606431916117933E-2</v>
          </cell>
          <cell r="AA1357">
            <v>3.6489901448379936E-2</v>
          </cell>
        </row>
        <row r="1358">
          <cell r="Y1358">
            <v>48338</v>
          </cell>
          <cell r="Z1358">
            <v>3.6600073135997703E-2</v>
          </cell>
          <cell r="AA1358">
            <v>3.6482696002526627E-2</v>
          </cell>
        </row>
        <row r="1359">
          <cell r="Y1359">
            <v>48345</v>
          </cell>
          <cell r="Z1359">
            <v>3.6592380046950465E-2</v>
          </cell>
          <cell r="AA1359">
            <v>3.6475434811258367E-2</v>
          </cell>
        </row>
        <row r="1360">
          <cell r="Y1360">
            <v>48352</v>
          </cell>
          <cell r="Z1360">
            <v>3.6584630718832736E-2</v>
          </cell>
          <cell r="AA1360">
            <v>3.6468117874818295E-2</v>
          </cell>
        </row>
        <row r="1361">
          <cell r="Y1361">
            <v>48359</v>
          </cell>
          <cell r="Z1361">
            <v>3.6576825151967828E-2</v>
          </cell>
          <cell r="AA1361">
            <v>3.6460745193125366E-2</v>
          </cell>
        </row>
        <row r="1362">
          <cell r="Y1362">
            <v>48366</v>
          </cell>
          <cell r="Z1362">
            <v>3.6568963346685197E-2</v>
          </cell>
          <cell r="AA1362">
            <v>3.6453316766098531E-2</v>
          </cell>
        </row>
        <row r="1363">
          <cell r="Y1363">
            <v>48373</v>
          </cell>
          <cell r="Z1363">
            <v>3.6561045303316088E-2</v>
          </cell>
          <cell r="AA1363">
            <v>3.6445832593737792E-2</v>
          </cell>
        </row>
        <row r="1364">
          <cell r="Y1364">
            <v>48380</v>
          </cell>
          <cell r="Z1364">
            <v>3.6553071022196133E-2</v>
          </cell>
          <cell r="AA1364">
            <v>3.6438292676205242E-2</v>
          </cell>
        </row>
        <row r="1365">
          <cell r="Y1365">
            <v>48387</v>
          </cell>
          <cell r="Z1365">
            <v>3.6545040503659205E-2</v>
          </cell>
          <cell r="AA1365">
            <v>3.643069701325774E-2</v>
          </cell>
        </row>
        <row r="1366">
          <cell r="Y1366">
            <v>48394</v>
          </cell>
          <cell r="Z1366">
            <v>3.6536953748045352E-2</v>
          </cell>
          <cell r="AA1366">
            <v>3.6423045605219473E-2</v>
          </cell>
        </row>
        <row r="1367">
          <cell r="Y1367">
            <v>48401</v>
          </cell>
          <cell r="Z1367">
            <v>3.6528810755695494E-2</v>
          </cell>
          <cell r="AA1367">
            <v>3.6415338451928347E-2</v>
          </cell>
        </row>
        <row r="1368">
          <cell r="Y1368">
            <v>48408</v>
          </cell>
          <cell r="Z1368">
            <v>3.6520611526949673E-2</v>
          </cell>
          <cell r="AA1368">
            <v>3.6407575553222271E-2</v>
          </cell>
        </row>
        <row r="1369">
          <cell r="Y1369">
            <v>48415</v>
          </cell>
          <cell r="Z1369">
            <v>3.6512356062158503E-2</v>
          </cell>
          <cell r="AA1369">
            <v>3.6399756909506475E-2</v>
          </cell>
        </row>
        <row r="1370">
          <cell r="Y1370">
            <v>48422</v>
          </cell>
          <cell r="Z1370">
            <v>3.650404436166467E-2</v>
          </cell>
          <cell r="AA1370">
            <v>3.6391882520375729E-2</v>
          </cell>
        </row>
        <row r="1371">
          <cell r="Y1371">
            <v>48429</v>
          </cell>
          <cell r="Z1371">
            <v>3.6495676425824068E-2</v>
          </cell>
          <cell r="AA1371">
            <v>3.6383952386073171E-2</v>
          </cell>
        </row>
        <row r="1372">
          <cell r="Y1372">
            <v>48436</v>
          </cell>
          <cell r="Z1372">
            <v>3.6487252254982033E-2</v>
          </cell>
          <cell r="AA1372">
            <v>3.6375966506355661E-2</v>
          </cell>
        </row>
        <row r="1373">
          <cell r="Y1373">
            <v>48443</v>
          </cell>
          <cell r="Z1373">
            <v>3.6478771849502385E-2</v>
          </cell>
          <cell r="AA1373">
            <v>3.6367924881628433E-2</v>
          </cell>
        </row>
        <row r="1374">
          <cell r="Y1374">
            <v>48450</v>
          </cell>
          <cell r="Z1374">
            <v>3.6470235209734858E-2</v>
          </cell>
          <cell r="AA1374">
            <v>3.63598275115673E-2</v>
          </cell>
        </row>
        <row r="1375">
          <cell r="Y1375">
            <v>48457</v>
          </cell>
          <cell r="Z1375">
            <v>3.6460451116583276E-2</v>
          </cell>
          <cell r="AA1375">
            <v>3.6351674396253308E-2</v>
          </cell>
        </row>
        <row r="1376">
          <cell r="Y1376">
            <v>48464</v>
          </cell>
          <cell r="Z1376">
            <v>3.6451806885508059E-2</v>
          </cell>
          <cell r="AA1376">
            <v>3.6343465535605413E-2</v>
          </cell>
        </row>
        <row r="1377">
          <cell r="Y1377">
            <v>48471</v>
          </cell>
          <cell r="Z1377">
            <v>3.6443106426593916E-2</v>
          </cell>
          <cell r="AA1377">
            <v>3.6335200929947797E-2</v>
          </cell>
        </row>
        <row r="1378">
          <cell r="Y1378">
            <v>48478</v>
          </cell>
          <cell r="Z1378">
            <v>3.6434349740204222E-2</v>
          </cell>
          <cell r="AA1378">
            <v>3.632688057911837E-2</v>
          </cell>
        </row>
        <row r="1379">
          <cell r="Y1379">
            <v>48485</v>
          </cell>
          <cell r="Z1379">
            <v>3.6426708509305954E-2</v>
          </cell>
          <cell r="AA1379">
            <v>3.6318504482792946E-2</v>
          </cell>
        </row>
        <row r="1380">
          <cell r="Y1380">
            <v>48492</v>
          </cell>
          <cell r="Z1380">
            <v>3.6417834471469145E-2</v>
          </cell>
          <cell r="AA1380">
            <v>3.6310072641457802E-2</v>
          </cell>
        </row>
        <row r="1381">
          <cell r="Y1381">
            <v>48499</v>
          </cell>
          <cell r="Z1381">
            <v>3.6408904201915039E-2</v>
          </cell>
          <cell r="AA1381">
            <v>3.6301585054788754E-2</v>
          </cell>
        </row>
        <row r="1382">
          <cell r="Y1382">
            <v>48506</v>
          </cell>
          <cell r="Z1382">
            <v>3.6399917701020669E-2</v>
          </cell>
          <cell r="AA1382">
            <v>3.629304172302894E-2</v>
          </cell>
        </row>
        <row r="1383">
          <cell r="Y1383">
            <v>48513</v>
          </cell>
          <cell r="Z1383">
            <v>3.6390874969164842E-2</v>
          </cell>
          <cell r="AA1383">
            <v>3.6284442645935222E-2</v>
          </cell>
        </row>
        <row r="1384">
          <cell r="Y1384">
            <v>48520</v>
          </cell>
          <cell r="Z1384">
            <v>3.6381776006729011E-2</v>
          </cell>
          <cell r="AA1384">
            <v>3.6275787823912831E-2</v>
          </cell>
        </row>
        <row r="1385">
          <cell r="Y1385">
            <v>48527</v>
          </cell>
          <cell r="Z1385">
            <v>3.6372620814096368E-2</v>
          </cell>
          <cell r="AA1385">
            <v>3.6267077256475488E-2</v>
          </cell>
        </row>
        <row r="1386">
          <cell r="Y1386">
            <v>48534</v>
          </cell>
          <cell r="Z1386">
            <v>3.6363409391651898E-2</v>
          </cell>
          <cell r="AA1386">
            <v>3.6258310943947381E-2</v>
          </cell>
        </row>
        <row r="1387">
          <cell r="Y1387">
            <v>48541</v>
          </cell>
          <cell r="Z1387">
            <v>3.635414173978585E-2</v>
          </cell>
          <cell r="AA1387">
            <v>3.6249488886166414E-2</v>
          </cell>
        </row>
        <row r="1388">
          <cell r="Y1388">
            <v>48548</v>
          </cell>
          <cell r="Z1388">
            <v>3.6342562637024269E-2</v>
          </cell>
          <cell r="AA1388">
            <v>3.6240611083294683E-2</v>
          </cell>
        </row>
        <row r="1389">
          <cell r="Y1389">
            <v>48555</v>
          </cell>
          <cell r="Z1389">
            <v>3.6333192417677546E-2</v>
          </cell>
          <cell r="AA1389">
            <v>3.6231677535089046E-2</v>
          </cell>
        </row>
        <row r="1390">
          <cell r="Y1390">
            <v>48562</v>
          </cell>
          <cell r="Z1390">
            <v>3.6323765980694311E-2</v>
          </cell>
          <cell r="AA1390">
            <v>3.6222688241873691E-2</v>
          </cell>
        </row>
        <row r="1391">
          <cell r="Y1391">
            <v>48569</v>
          </cell>
          <cell r="Z1391">
            <v>3.6314283326461798E-2</v>
          </cell>
          <cell r="AA1391">
            <v>3.6213643203486523E-2</v>
          </cell>
        </row>
        <row r="1392">
          <cell r="Y1392">
            <v>48577</v>
          </cell>
          <cell r="Z1392">
            <v>3.6303377170393315E-2</v>
          </cell>
          <cell r="AA1392">
            <v>3.620323775724188E-2</v>
          </cell>
        </row>
        <row r="1393">
          <cell r="Y1393">
            <v>48584</v>
          </cell>
          <cell r="Z1393">
            <v>3.6293774051947919E-2</v>
          </cell>
          <cell r="AA1393">
            <v>3.6194073264903537E-2</v>
          </cell>
        </row>
        <row r="1394">
          <cell r="Y1394">
            <v>48591</v>
          </cell>
          <cell r="Z1394">
            <v>3.6284114717489643E-2</v>
          </cell>
          <cell r="AA1394">
            <v>3.6184853027393382E-2</v>
          </cell>
        </row>
        <row r="1395">
          <cell r="Y1395">
            <v>48598</v>
          </cell>
          <cell r="Z1395">
            <v>3.6274399167417412E-2</v>
          </cell>
          <cell r="AA1395">
            <v>3.6175577044873508E-2</v>
          </cell>
        </row>
        <row r="1396">
          <cell r="Y1396">
            <v>48605</v>
          </cell>
          <cell r="Z1396">
            <v>3.6264627402131953E-2</v>
          </cell>
          <cell r="AA1396">
            <v>3.616624531701973E-2</v>
          </cell>
        </row>
        <row r="1397">
          <cell r="Y1397">
            <v>48612</v>
          </cell>
          <cell r="Z1397">
            <v>3.6254799422034904E-2</v>
          </cell>
          <cell r="AA1397">
            <v>3.6156857844075185E-2</v>
          </cell>
        </row>
        <row r="1398">
          <cell r="Y1398">
            <v>48619</v>
          </cell>
          <cell r="Z1398">
            <v>3.624383741058048E-2</v>
          </cell>
          <cell r="AA1398">
            <v>3.6147414625958829E-2</v>
          </cell>
        </row>
        <row r="1399">
          <cell r="Y1399">
            <v>48626</v>
          </cell>
          <cell r="Z1399">
            <v>3.6233901999480844E-2</v>
          </cell>
          <cell r="AA1399">
            <v>3.6137915662751707E-2</v>
          </cell>
        </row>
        <row r="1400">
          <cell r="Y1400">
            <v>48633</v>
          </cell>
          <cell r="Z1400">
            <v>3.6223910380048123E-2</v>
          </cell>
          <cell r="AA1400">
            <v>3.6128360954372774E-2</v>
          </cell>
        </row>
        <row r="1401">
          <cell r="Y1401">
            <v>48640</v>
          </cell>
          <cell r="Z1401">
            <v>3.6217049754494829E-2</v>
          </cell>
          <cell r="AA1401">
            <v>3.611875050098412E-2</v>
          </cell>
        </row>
        <row r="1402">
          <cell r="Y1402">
            <v>48647</v>
          </cell>
          <cell r="Z1402">
            <v>3.6206930677609536E-2</v>
          </cell>
          <cell r="AA1402">
            <v>3.6109084302342609E-2</v>
          </cell>
        </row>
        <row r="1403">
          <cell r="Y1403">
            <v>48654</v>
          </cell>
          <cell r="Z1403">
            <v>3.6196755377897363E-2</v>
          </cell>
          <cell r="AA1403">
            <v>3.6099362358610332E-2</v>
          </cell>
        </row>
        <row r="1404">
          <cell r="Y1404">
            <v>48661</v>
          </cell>
          <cell r="Z1404">
            <v>3.6186523855782922E-2</v>
          </cell>
          <cell r="AA1404">
            <v>3.6089584669868335E-2</v>
          </cell>
        </row>
        <row r="1405">
          <cell r="Y1405">
            <v>48668</v>
          </cell>
          <cell r="Z1405">
            <v>3.6176236111702287E-2</v>
          </cell>
          <cell r="AA1405">
            <v>3.6079751236035573E-2</v>
          </cell>
        </row>
        <row r="1406">
          <cell r="Y1406">
            <v>48675</v>
          </cell>
          <cell r="Z1406">
            <v>3.6164855280549697E-2</v>
          </cell>
          <cell r="AA1406">
            <v>3.6069862056949953E-2</v>
          </cell>
        </row>
        <row r="1407">
          <cell r="Y1407">
            <v>48682</v>
          </cell>
          <cell r="Z1407">
            <v>3.6154460134848271E-2</v>
          </cell>
          <cell r="AA1407">
            <v>3.6059917132854613E-2</v>
          </cell>
        </row>
        <row r="1408">
          <cell r="Y1408">
            <v>48689</v>
          </cell>
          <cell r="Z1408">
            <v>3.6144008773702649E-2</v>
          </cell>
          <cell r="AA1408">
            <v>3.6049916463668508E-2</v>
          </cell>
        </row>
        <row r="1409">
          <cell r="Y1409">
            <v>48696</v>
          </cell>
          <cell r="Z1409">
            <v>3.6133501197548344E-2</v>
          </cell>
          <cell r="AA1409">
            <v>3.6039860049391637E-2</v>
          </cell>
        </row>
        <row r="1410">
          <cell r="Y1410">
            <v>48703</v>
          </cell>
          <cell r="Z1410">
            <v>3.6123954077023401E-2</v>
          </cell>
          <cell r="AA1410">
            <v>3.6029747889942954E-2</v>
          </cell>
        </row>
        <row r="1411">
          <cell r="Y1411">
            <v>48710</v>
          </cell>
          <cell r="Z1411">
            <v>3.6113329010317885E-2</v>
          </cell>
          <cell r="AA1411">
            <v>3.6019579985484551E-2</v>
          </cell>
        </row>
        <row r="1412">
          <cell r="Y1412">
            <v>48717</v>
          </cell>
          <cell r="Z1412">
            <v>3.6102647724728563E-2</v>
          </cell>
          <cell r="AA1412">
            <v>3.6009356335935383E-2</v>
          </cell>
        </row>
        <row r="1413">
          <cell r="Y1413">
            <v>48724</v>
          </cell>
          <cell r="Z1413">
            <v>3.6091910220705611E-2</v>
          </cell>
          <cell r="AA1413">
            <v>3.5999076941376495E-2</v>
          </cell>
        </row>
        <row r="1414">
          <cell r="Y1414">
            <v>48731</v>
          </cell>
          <cell r="Z1414">
            <v>3.6081116498700931E-2</v>
          </cell>
          <cell r="AA1414">
            <v>3.5988741801807889E-2</v>
          </cell>
        </row>
        <row r="1415">
          <cell r="Y1415">
            <v>48738</v>
          </cell>
          <cell r="Z1415">
            <v>3.6070266559169097E-2</v>
          </cell>
          <cell r="AA1415">
            <v>3.597835091706747E-2</v>
          </cell>
        </row>
        <row r="1416">
          <cell r="Y1416">
            <v>48745</v>
          </cell>
          <cell r="Z1416">
            <v>3.6059360402569081E-2</v>
          </cell>
          <cell r="AA1416">
            <v>3.5967904287317332E-2</v>
          </cell>
        </row>
        <row r="1417">
          <cell r="Y1417">
            <v>48752</v>
          </cell>
          <cell r="Z1417">
            <v>3.6048398029358962E-2</v>
          </cell>
          <cell r="AA1417">
            <v>3.5957401912476428E-2</v>
          </cell>
        </row>
        <row r="1418">
          <cell r="Y1418">
            <v>48759</v>
          </cell>
          <cell r="Z1418">
            <v>3.6037379440000357E-2</v>
          </cell>
          <cell r="AA1418">
            <v>3.5946843792625804E-2</v>
          </cell>
        </row>
        <row r="1419">
          <cell r="Y1419">
            <v>48766</v>
          </cell>
          <cell r="Z1419">
            <v>3.6026304634959275E-2</v>
          </cell>
          <cell r="AA1419">
            <v>3.5936229927765462E-2</v>
          </cell>
        </row>
        <row r="1420">
          <cell r="Y1420">
            <v>48773</v>
          </cell>
          <cell r="Z1420">
            <v>3.6015173614700864E-2</v>
          </cell>
          <cell r="AA1420">
            <v>3.5925560317814353E-2</v>
          </cell>
        </row>
        <row r="1421">
          <cell r="Y1421">
            <v>48780</v>
          </cell>
          <cell r="Z1421">
            <v>3.6003986379695534E-2</v>
          </cell>
          <cell r="AA1421">
            <v>3.5914834962772479E-2</v>
          </cell>
        </row>
        <row r="1422">
          <cell r="Y1422">
            <v>48787</v>
          </cell>
          <cell r="Z1422">
            <v>3.5992742930412831E-2</v>
          </cell>
          <cell r="AA1422">
            <v>3.5904053862801932E-2</v>
          </cell>
        </row>
        <row r="1423">
          <cell r="Y1423">
            <v>48794</v>
          </cell>
          <cell r="Z1423">
            <v>3.5981443267329341E-2</v>
          </cell>
          <cell r="AA1423">
            <v>3.589321701774062E-2</v>
          </cell>
        </row>
        <row r="1424">
          <cell r="Y1424">
            <v>48801</v>
          </cell>
          <cell r="Z1424">
            <v>3.5970087390917241E-2</v>
          </cell>
          <cell r="AA1424">
            <v>3.5882324427669587E-2</v>
          </cell>
        </row>
        <row r="1425">
          <cell r="Y1425">
            <v>48808</v>
          </cell>
          <cell r="Z1425">
            <v>3.595867530165929E-2</v>
          </cell>
          <cell r="AA1425">
            <v>3.5871376092750928E-2</v>
          </cell>
        </row>
        <row r="1426">
          <cell r="Y1426">
            <v>48815</v>
          </cell>
          <cell r="Z1426">
            <v>3.5947207000033843E-2</v>
          </cell>
          <cell r="AA1426">
            <v>3.5860372012660457E-2</v>
          </cell>
        </row>
        <row r="1427">
          <cell r="Y1427">
            <v>48822</v>
          </cell>
          <cell r="Z1427">
            <v>3.5934752571063509E-2</v>
          </cell>
          <cell r="AA1427">
            <v>3.5849312187560267E-2</v>
          </cell>
        </row>
        <row r="1428">
          <cell r="Y1428">
            <v>48829</v>
          </cell>
          <cell r="Z1428">
            <v>3.5923176995646219E-2</v>
          </cell>
          <cell r="AA1428">
            <v>3.5838196617531404E-2</v>
          </cell>
        </row>
        <row r="1429">
          <cell r="Y1429">
            <v>48836</v>
          </cell>
          <cell r="Z1429">
            <v>3.5911545214425689E-2</v>
          </cell>
          <cell r="AA1429">
            <v>3.5827025302573867E-2</v>
          </cell>
        </row>
        <row r="1430">
          <cell r="Y1430">
            <v>48843</v>
          </cell>
          <cell r="Z1430">
            <v>3.5899857227884628E-2</v>
          </cell>
          <cell r="AA1430">
            <v>3.5815798242525565E-2</v>
          </cell>
        </row>
        <row r="1431">
          <cell r="Y1431">
            <v>48850</v>
          </cell>
          <cell r="Z1431">
            <v>3.5888113036516435E-2</v>
          </cell>
          <cell r="AA1431">
            <v>3.580451543754859E-2</v>
          </cell>
        </row>
        <row r="1432">
          <cell r="Y1432">
            <v>48857</v>
          </cell>
          <cell r="Z1432">
            <v>3.5877216757810991E-2</v>
          </cell>
          <cell r="AA1432">
            <v>3.5793176887480849E-2</v>
          </cell>
        </row>
        <row r="1433">
          <cell r="Y1433">
            <v>48864</v>
          </cell>
          <cell r="Z1433">
            <v>3.5865354983281653E-2</v>
          </cell>
          <cell r="AA1433">
            <v>3.5781782592565481E-2</v>
          </cell>
        </row>
        <row r="1434">
          <cell r="Y1434">
            <v>48871</v>
          </cell>
          <cell r="Z1434">
            <v>3.5853437000320842E-2</v>
          </cell>
          <cell r="AA1434">
            <v>3.577033255272144E-2</v>
          </cell>
        </row>
        <row r="1435">
          <cell r="Y1435">
            <v>48878</v>
          </cell>
          <cell r="Z1435">
            <v>3.5841462809424532E-2</v>
          </cell>
          <cell r="AA1435">
            <v>3.5758826767786633E-2</v>
          </cell>
        </row>
        <row r="1436">
          <cell r="Y1436">
            <v>48885</v>
          </cell>
          <cell r="Z1436">
            <v>3.5829432411103659E-2</v>
          </cell>
          <cell r="AA1436">
            <v>3.57472652380042E-2</v>
          </cell>
        </row>
        <row r="1437">
          <cell r="Y1437">
            <v>48892</v>
          </cell>
          <cell r="Z1437">
            <v>3.5817345805860365E-2</v>
          </cell>
          <cell r="AA1437">
            <v>3.5735647963131001E-2</v>
          </cell>
        </row>
        <row r="1438">
          <cell r="Y1438">
            <v>48899</v>
          </cell>
          <cell r="Z1438">
            <v>3.5805202994207343E-2</v>
          </cell>
          <cell r="AA1438">
            <v>3.5723974943491221E-2</v>
          </cell>
        </row>
        <row r="1439">
          <cell r="Y1439">
            <v>48906</v>
          </cell>
          <cell r="Z1439">
            <v>3.5793003976654671E-2</v>
          </cell>
          <cell r="AA1439">
            <v>3.5712246178760676E-2</v>
          </cell>
        </row>
        <row r="1440">
          <cell r="Y1440">
            <v>48913</v>
          </cell>
          <cell r="Z1440">
            <v>3.5779023161529679E-2</v>
          </cell>
          <cell r="AA1440">
            <v>3.570046166926355E-2</v>
          </cell>
        </row>
        <row r="1441">
          <cell r="Y1441">
            <v>48920</v>
          </cell>
          <cell r="Z1441">
            <v>3.5766722163754962E-2</v>
          </cell>
          <cell r="AA1441">
            <v>3.5688621414675659E-2</v>
          </cell>
        </row>
        <row r="1442">
          <cell r="Y1442">
            <v>48927</v>
          </cell>
          <cell r="Z1442">
            <v>3.5754364971695866E-2</v>
          </cell>
          <cell r="AA1442">
            <v>3.5676725415321187E-2</v>
          </cell>
        </row>
        <row r="1443">
          <cell r="Y1443">
            <v>48934</v>
          </cell>
          <cell r="Z1443">
            <v>3.5741951585862096E-2</v>
          </cell>
          <cell r="AA1443">
            <v>3.5664773670956995E-2</v>
          </cell>
        </row>
        <row r="1444">
          <cell r="Y1444">
            <v>48941</v>
          </cell>
          <cell r="Z1444">
            <v>3.5729482006763333E-2</v>
          </cell>
          <cell r="AA1444">
            <v>3.5652766181583084E-2</v>
          </cell>
        </row>
        <row r="1445">
          <cell r="Y1445">
            <v>48948</v>
          </cell>
          <cell r="Z1445">
            <v>3.5716956234917371E-2</v>
          </cell>
          <cell r="AA1445">
            <v>3.5640702947604685E-2</v>
          </cell>
        </row>
        <row r="1446">
          <cell r="Y1446">
            <v>48955</v>
          </cell>
          <cell r="Z1446">
            <v>3.5704374270835705E-2</v>
          </cell>
          <cell r="AA1446">
            <v>3.5628583968373428E-2</v>
          </cell>
        </row>
        <row r="1447">
          <cell r="Y1447">
            <v>48962</v>
          </cell>
          <cell r="Z1447">
            <v>3.5691736115040631E-2</v>
          </cell>
          <cell r="AA1447">
            <v>3.5616409244375591E-2</v>
          </cell>
        </row>
        <row r="1448">
          <cell r="Y1448">
            <v>48969</v>
          </cell>
          <cell r="Z1448">
            <v>3.5679041768052651E-2</v>
          </cell>
          <cell r="AA1448">
            <v>3.5604178775530126E-2</v>
          </cell>
        </row>
        <row r="1449">
          <cell r="Y1449">
            <v>48976</v>
          </cell>
          <cell r="Z1449">
            <v>3.5666291230394061E-2</v>
          </cell>
          <cell r="AA1449">
            <v>3.5591892561837035E-2</v>
          </cell>
        </row>
        <row r="1450">
          <cell r="Y1450">
            <v>48983</v>
          </cell>
          <cell r="Z1450">
            <v>3.5652673407896351E-2</v>
          </cell>
          <cell r="AA1450">
            <v>3.5579550603134225E-2</v>
          </cell>
        </row>
        <row r="1451">
          <cell r="Y1451">
            <v>48990</v>
          </cell>
          <cell r="Z1451">
            <v>3.563981575430139E-2</v>
          </cell>
          <cell r="AA1451">
            <v>3.556715289974588E-2</v>
          </cell>
        </row>
        <row r="1452">
          <cell r="Y1452">
            <v>48997</v>
          </cell>
          <cell r="Z1452">
            <v>3.5626901916594345E-2</v>
          </cell>
          <cell r="AA1452">
            <v>3.5554699451428862E-2</v>
          </cell>
        </row>
        <row r="1453">
          <cell r="Y1453">
            <v>49004</v>
          </cell>
          <cell r="Z1453">
            <v>3.5616316403646257E-2</v>
          </cell>
          <cell r="AA1453">
            <v>3.5542190258183171E-2</v>
          </cell>
        </row>
        <row r="1454">
          <cell r="Y1454">
            <v>49011</v>
          </cell>
          <cell r="Z1454">
            <v>3.5603274360613973E-2</v>
          </cell>
          <cell r="AA1454">
            <v>3.5529625320251945E-2</v>
          </cell>
        </row>
        <row r="1455">
          <cell r="Y1455">
            <v>49018</v>
          </cell>
          <cell r="Z1455">
            <v>3.5590176120190137E-2</v>
          </cell>
          <cell r="AA1455">
            <v>3.5517004637148908E-2</v>
          </cell>
        </row>
        <row r="1456">
          <cell r="Y1456">
            <v>49025</v>
          </cell>
          <cell r="Z1456">
            <v>3.5577021682927971E-2</v>
          </cell>
          <cell r="AA1456">
            <v>3.5504328209360336E-2</v>
          </cell>
        </row>
        <row r="1457">
          <cell r="Y1457">
            <v>49032</v>
          </cell>
          <cell r="Z1457">
            <v>3.5563811077202474E-2</v>
          </cell>
          <cell r="AA1457">
            <v>3.5491596036805184E-2</v>
          </cell>
        </row>
        <row r="1458">
          <cell r="Y1458">
            <v>49039</v>
          </cell>
          <cell r="Z1458">
            <v>3.5549778087539168E-2</v>
          </cell>
          <cell r="AA1458">
            <v>3.5478808119402405E-2</v>
          </cell>
        </row>
        <row r="1459">
          <cell r="Y1459">
            <v>49046</v>
          </cell>
          <cell r="Z1459">
            <v>3.5536470432667354E-2</v>
          </cell>
          <cell r="AA1459">
            <v>3.5465964457070953E-2</v>
          </cell>
        </row>
        <row r="1460">
          <cell r="Y1460">
            <v>49053</v>
          </cell>
          <cell r="Z1460">
            <v>3.552312209073058E-2</v>
          </cell>
          <cell r="AA1460">
            <v>3.5453065050053967E-2</v>
          </cell>
        </row>
        <row r="1461">
          <cell r="Y1461">
            <v>49060</v>
          </cell>
          <cell r="Z1461">
            <v>3.5509740296694708E-2</v>
          </cell>
          <cell r="AA1461">
            <v>3.54401098982704E-2</v>
          </cell>
        </row>
        <row r="1462">
          <cell r="Y1462">
            <v>49067</v>
          </cell>
          <cell r="Z1462">
            <v>3.5497091100263237E-2</v>
          </cell>
          <cell r="AA1462">
            <v>3.5427099001477114E-2</v>
          </cell>
        </row>
        <row r="1463">
          <cell r="Y1463">
            <v>49074</v>
          </cell>
          <cell r="Z1463">
            <v>3.5483663379635849E-2</v>
          </cell>
          <cell r="AA1463">
            <v>3.5414032360079339E-2</v>
          </cell>
        </row>
        <row r="1464">
          <cell r="Y1464">
            <v>49081</v>
          </cell>
          <cell r="Z1464">
            <v>3.5470224449855037E-2</v>
          </cell>
          <cell r="AA1464">
            <v>3.5400909973671846E-2</v>
          </cell>
        </row>
        <row r="1465">
          <cell r="Y1465">
            <v>49088</v>
          </cell>
          <cell r="Z1465">
            <v>3.5456781467558443E-2</v>
          </cell>
          <cell r="AA1465">
            <v>3.5387731842578818E-2</v>
          </cell>
        </row>
        <row r="1466">
          <cell r="Y1466">
            <v>49095</v>
          </cell>
          <cell r="Z1466">
            <v>3.5443341589285068E-2</v>
          </cell>
          <cell r="AA1466">
            <v>3.5374497966719209E-2</v>
          </cell>
        </row>
        <row r="1467">
          <cell r="Y1467">
            <v>49102</v>
          </cell>
          <cell r="Z1467">
            <v>3.5429911971472612E-2</v>
          </cell>
          <cell r="AA1467">
            <v>3.5361208346011974E-2</v>
          </cell>
        </row>
        <row r="1468">
          <cell r="Y1468">
            <v>49109</v>
          </cell>
          <cell r="Z1468">
            <v>3.5416499770471538E-2</v>
          </cell>
          <cell r="AA1468">
            <v>3.5347862980619205E-2</v>
          </cell>
        </row>
        <row r="1469">
          <cell r="Y1469">
            <v>49116</v>
          </cell>
          <cell r="Z1469">
            <v>3.5403112142532778E-2</v>
          </cell>
          <cell r="AA1469">
            <v>3.5334461870459855E-2</v>
          </cell>
        </row>
        <row r="1470">
          <cell r="Y1470">
            <v>49123</v>
          </cell>
          <cell r="Z1470">
            <v>3.5389756240334184E-2</v>
          </cell>
          <cell r="AA1470">
            <v>3.5321007235472601E-2</v>
          </cell>
        </row>
        <row r="1471">
          <cell r="Y1471">
            <v>49130</v>
          </cell>
          <cell r="Z1471">
            <v>3.5376437449964916E-2</v>
          </cell>
          <cell r="AA1471">
            <v>3.5307561230617512E-2</v>
          </cell>
        </row>
        <row r="1472">
          <cell r="Y1472">
            <v>49137</v>
          </cell>
          <cell r="Z1472">
            <v>3.5363156522163715E-2</v>
          </cell>
          <cell r="AA1472">
            <v>3.529415271428693E-2</v>
          </cell>
        </row>
        <row r="1473">
          <cell r="Y1473">
            <v>49144</v>
          </cell>
          <cell r="Z1473">
            <v>3.5349913456549135E-2</v>
          </cell>
          <cell r="AA1473">
            <v>3.5280781686075624E-2</v>
          </cell>
        </row>
        <row r="1474">
          <cell r="Y1474">
            <v>49151</v>
          </cell>
          <cell r="Z1474">
            <v>3.5336708252746776E-2</v>
          </cell>
          <cell r="AA1474">
            <v>3.5267448146064639E-2</v>
          </cell>
        </row>
        <row r="1475">
          <cell r="Y1475">
            <v>49158</v>
          </cell>
          <cell r="Z1475">
            <v>3.5323540910385767E-2</v>
          </cell>
          <cell r="AA1475">
            <v>3.5254152094416069E-2</v>
          </cell>
        </row>
        <row r="1476">
          <cell r="Y1476">
            <v>49165</v>
          </cell>
          <cell r="Z1476">
            <v>3.5310411429088188E-2</v>
          </cell>
          <cell r="AA1476">
            <v>3.5240893530967821E-2</v>
          </cell>
        </row>
        <row r="1477">
          <cell r="Y1477">
            <v>49172</v>
          </cell>
          <cell r="Z1477">
            <v>3.5297319808485807E-2</v>
          </cell>
          <cell r="AA1477">
            <v>3.5227672455719894E-2</v>
          </cell>
        </row>
        <row r="1478">
          <cell r="Y1478">
            <v>49179</v>
          </cell>
          <cell r="Z1478">
            <v>3.5284266048203339E-2</v>
          </cell>
          <cell r="AA1478">
            <v>3.5214488868672289E-2</v>
          </cell>
        </row>
        <row r="1479">
          <cell r="Y1479">
            <v>49186</v>
          </cell>
          <cell r="Z1479">
            <v>3.5271250147874314E-2</v>
          </cell>
          <cell r="AA1479">
            <v>3.5201342769987098E-2</v>
          </cell>
        </row>
        <row r="1480">
          <cell r="Y1480">
            <v>49193</v>
          </cell>
          <cell r="Z1480">
            <v>3.5257494018676054E-2</v>
          </cell>
          <cell r="AA1480">
            <v>3.5188234159421183E-2</v>
          </cell>
        </row>
        <row r="1481">
          <cell r="Y1481">
            <v>49200</v>
          </cell>
          <cell r="Z1481">
            <v>3.524455237742595E-2</v>
          </cell>
          <cell r="AA1481">
            <v>3.5175163037136636E-2</v>
          </cell>
        </row>
        <row r="1482">
          <cell r="Y1482">
            <v>49207</v>
          </cell>
          <cell r="Z1482">
            <v>3.5231648590954727E-2</v>
          </cell>
          <cell r="AA1482">
            <v>3.5162129402971365E-2</v>
          </cell>
        </row>
        <row r="1483">
          <cell r="Y1483">
            <v>49214</v>
          </cell>
          <cell r="Z1483">
            <v>3.5218782658902582E-2</v>
          </cell>
          <cell r="AA1483">
            <v>3.5149133257168508E-2</v>
          </cell>
        </row>
        <row r="1484">
          <cell r="Y1484">
            <v>49221</v>
          </cell>
          <cell r="Z1484">
            <v>3.520673853262337E-2</v>
          </cell>
          <cell r="AA1484">
            <v>3.513617459940388E-2</v>
          </cell>
        </row>
        <row r="1485">
          <cell r="Y1485">
            <v>49228</v>
          </cell>
          <cell r="Z1485">
            <v>3.5193949784290954E-2</v>
          </cell>
          <cell r="AA1485">
            <v>3.512325342992062E-2</v>
          </cell>
        </row>
        <row r="1486">
          <cell r="Y1486">
            <v>49235</v>
          </cell>
          <cell r="Z1486">
            <v>3.518119889335198E-2</v>
          </cell>
          <cell r="AA1486">
            <v>3.5110369748718728E-2</v>
          </cell>
        </row>
        <row r="1487">
          <cell r="Y1487">
            <v>49242</v>
          </cell>
          <cell r="Z1487">
            <v>3.5168485859439089E-2</v>
          </cell>
          <cell r="AA1487">
            <v>3.5097523555474019E-2</v>
          </cell>
        </row>
        <row r="1488">
          <cell r="Y1488">
            <v>49249</v>
          </cell>
          <cell r="Z1488">
            <v>3.5155810682199036E-2</v>
          </cell>
          <cell r="AA1488">
            <v>3.5084714850672771E-2</v>
          </cell>
        </row>
        <row r="1489">
          <cell r="Y1489">
            <v>49256</v>
          </cell>
          <cell r="Z1489">
            <v>3.5143173361265344E-2</v>
          </cell>
          <cell r="AA1489">
            <v>3.5071943633909752E-2</v>
          </cell>
        </row>
        <row r="1490">
          <cell r="Y1490">
            <v>49263</v>
          </cell>
          <cell r="Z1490">
            <v>3.5130573896283879E-2</v>
          </cell>
          <cell r="AA1490">
            <v>3.5059209905428101E-2</v>
          </cell>
        </row>
        <row r="1491">
          <cell r="Y1491">
            <v>49270</v>
          </cell>
          <cell r="Z1491">
            <v>3.5118012286896094E-2</v>
          </cell>
          <cell r="AA1491">
            <v>3.504651366498468E-2</v>
          </cell>
        </row>
        <row r="1492">
          <cell r="Y1492">
            <v>49277</v>
          </cell>
          <cell r="Z1492">
            <v>3.5104692660104658E-2</v>
          </cell>
          <cell r="AA1492">
            <v>3.5033854912822626E-2</v>
          </cell>
        </row>
        <row r="1493">
          <cell r="Y1493">
            <v>49284</v>
          </cell>
          <cell r="Z1493">
            <v>3.5091408067120682E-2</v>
          </cell>
          <cell r="AA1493">
            <v>3.5021233648941941E-2</v>
          </cell>
        </row>
        <row r="1494">
          <cell r="Y1494">
            <v>49291</v>
          </cell>
          <cell r="Z1494">
            <v>3.5078956998271141E-2</v>
          </cell>
          <cell r="AA1494">
            <v>3.5008649872937392E-2</v>
          </cell>
        </row>
        <row r="1495">
          <cell r="Y1495">
            <v>49298</v>
          </cell>
          <cell r="Z1495">
            <v>3.5066543775562821E-2</v>
          </cell>
          <cell r="AA1495">
            <v>3.4996103585295257E-2</v>
          </cell>
        </row>
        <row r="1496">
          <cell r="Y1496">
            <v>49305</v>
          </cell>
          <cell r="Z1496">
            <v>3.5054168398655321E-2</v>
          </cell>
          <cell r="AA1496">
            <v>3.4983594785853445E-2</v>
          </cell>
        </row>
        <row r="1497">
          <cell r="Y1497">
            <v>49312</v>
          </cell>
          <cell r="Z1497">
            <v>3.5041830867201057E-2</v>
          </cell>
          <cell r="AA1497">
            <v>3.4971123474449861E-2</v>
          </cell>
        </row>
        <row r="1498">
          <cell r="Y1498">
            <v>49319</v>
          </cell>
          <cell r="Z1498">
            <v>3.5029531180859622E-2</v>
          </cell>
          <cell r="AA1498">
            <v>3.4958689651165553E-2</v>
          </cell>
        </row>
        <row r="1499">
          <cell r="Y1499">
            <v>49326</v>
          </cell>
          <cell r="Z1499">
            <v>3.501726933928883E-2</v>
          </cell>
          <cell r="AA1499">
            <v>3.494629331624366E-2</v>
          </cell>
        </row>
        <row r="1500">
          <cell r="Y1500">
            <v>49333</v>
          </cell>
          <cell r="Z1500">
            <v>3.5005045342150078E-2</v>
          </cell>
          <cell r="AA1500">
            <v>3.4933934469278949E-2</v>
          </cell>
        </row>
        <row r="1501">
          <cell r="Y1501">
            <v>49340</v>
          </cell>
          <cell r="Z1501">
            <v>3.4992049995868302E-2</v>
          </cell>
          <cell r="AA1501">
            <v>3.4921613110595606E-2</v>
          </cell>
        </row>
        <row r="1502">
          <cell r="Y1502">
            <v>49347</v>
          </cell>
          <cell r="Z1502">
            <v>3.4980710879809834E-2</v>
          </cell>
          <cell r="AA1502">
            <v>3.4909329239869447E-2</v>
          </cell>
        </row>
        <row r="1503">
          <cell r="Y1503">
            <v>49354</v>
          </cell>
          <cell r="Z1503">
            <v>3.4967788129924939E-2</v>
          </cell>
          <cell r="AA1503">
            <v>3.4897082857424655E-2</v>
          </cell>
        </row>
        <row r="1504">
          <cell r="Y1504">
            <v>49361</v>
          </cell>
          <cell r="Z1504">
            <v>3.4955713955765889E-2</v>
          </cell>
          <cell r="AA1504">
            <v>3.4884873962937046E-2</v>
          </cell>
        </row>
        <row r="1505">
          <cell r="Y1505">
            <v>49368</v>
          </cell>
          <cell r="Z1505">
            <v>3.4946124395335572E-2</v>
          </cell>
          <cell r="AA1505">
            <v>3.4872702556730806E-2</v>
          </cell>
        </row>
        <row r="1506">
          <cell r="Y1506">
            <v>49375</v>
          </cell>
          <cell r="Z1506">
            <v>3.4934130577718672E-2</v>
          </cell>
          <cell r="AA1506">
            <v>3.4860568638562794E-2</v>
          </cell>
        </row>
        <row r="1507">
          <cell r="Y1507">
            <v>49382</v>
          </cell>
          <cell r="Z1507">
            <v>3.492217461012441E-2</v>
          </cell>
          <cell r="AA1507">
            <v>3.4848472208514059E-2</v>
          </cell>
        </row>
        <row r="1508">
          <cell r="Y1508">
            <v>49389</v>
          </cell>
          <cell r="Z1508">
            <v>3.4910256492216254E-2</v>
          </cell>
          <cell r="AA1508">
            <v>3.4836413266665645E-2</v>
          </cell>
        </row>
        <row r="1509">
          <cell r="Y1509">
            <v>49396</v>
          </cell>
          <cell r="Z1509">
            <v>3.4898376223655943E-2</v>
          </cell>
          <cell r="AA1509">
            <v>3.4824391812936506E-2</v>
          </cell>
        </row>
        <row r="1510">
          <cell r="Y1510">
            <v>49403</v>
          </cell>
          <cell r="Z1510">
            <v>3.488571017061446E-2</v>
          </cell>
          <cell r="AA1510">
            <v>3.4812407847245597E-2</v>
          </cell>
        </row>
        <row r="1511">
          <cell r="Y1511">
            <v>49410</v>
          </cell>
          <cell r="Z1511">
            <v>3.4873904019675418E-2</v>
          </cell>
          <cell r="AA1511">
            <v>3.4800461369673963E-2</v>
          </cell>
        </row>
        <row r="1512">
          <cell r="Y1512">
            <v>49417</v>
          </cell>
          <cell r="Z1512">
            <v>3.4862135713121752E-2</v>
          </cell>
          <cell r="AA1512">
            <v>3.4788552380140558E-2</v>
          </cell>
        </row>
        <row r="1513">
          <cell r="Y1513">
            <v>49424</v>
          </cell>
          <cell r="Z1513">
            <v>3.4850405250623918E-2</v>
          </cell>
          <cell r="AA1513">
            <v>3.4776680878726429E-2</v>
          </cell>
        </row>
        <row r="1514">
          <cell r="Y1514">
            <v>49431</v>
          </cell>
          <cell r="Z1514">
            <v>3.4839542609307834E-2</v>
          </cell>
          <cell r="AA1514">
            <v>3.4764846865431576E-2</v>
          </cell>
        </row>
        <row r="1515">
          <cell r="Y1515">
            <v>49438</v>
          </cell>
          <cell r="Z1515">
            <v>3.4827889429794069E-2</v>
          </cell>
          <cell r="AA1515">
            <v>3.4753050340255998E-2</v>
          </cell>
        </row>
        <row r="1516">
          <cell r="Y1516">
            <v>49445</v>
          </cell>
          <cell r="Z1516">
            <v>3.4816274097292772E-2</v>
          </cell>
          <cell r="AA1516">
            <v>3.4741291303199695E-2</v>
          </cell>
        </row>
        <row r="1517">
          <cell r="Y1517">
            <v>49452</v>
          </cell>
          <cell r="Z1517">
            <v>3.4804696611472716E-2</v>
          </cell>
          <cell r="AA1517">
            <v>3.4729569754181622E-2</v>
          </cell>
        </row>
        <row r="1518">
          <cell r="Y1518">
            <v>49459</v>
          </cell>
          <cell r="Z1518">
            <v>3.4793156972007064E-2</v>
          </cell>
          <cell r="AA1518">
            <v>3.4717885693201778E-2</v>
          </cell>
        </row>
        <row r="1519">
          <cell r="Y1519">
            <v>49466</v>
          </cell>
          <cell r="Z1519">
            <v>3.4781655178569869E-2</v>
          </cell>
          <cell r="AA1519">
            <v>3.4706239120341209E-2</v>
          </cell>
        </row>
        <row r="1520">
          <cell r="Y1520">
            <v>49473</v>
          </cell>
          <cell r="Z1520">
            <v>3.4770191230831665E-2</v>
          </cell>
          <cell r="AA1520">
            <v>3.4694630035437823E-2</v>
          </cell>
        </row>
        <row r="1521">
          <cell r="Y1521">
            <v>49480</v>
          </cell>
          <cell r="Z1521">
            <v>3.47587651284718E-2</v>
          </cell>
          <cell r="AA1521">
            <v>3.4683058438653713E-2</v>
          </cell>
        </row>
        <row r="1522">
          <cell r="Y1522">
            <v>49487</v>
          </cell>
          <cell r="Z1522">
            <v>3.4747376871162541E-2</v>
          </cell>
          <cell r="AA1522">
            <v>3.4671524330069925E-2</v>
          </cell>
        </row>
        <row r="1523">
          <cell r="Y1523">
            <v>49494</v>
          </cell>
          <cell r="Z1523">
            <v>3.473602645858237E-2</v>
          </cell>
          <cell r="AA1523">
            <v>3.466002770944332E-2</v>
          </cell>
        </row>
        <row r="1524">
          <cell r="Y1524">
            <v>49501</v>
          </cell>
          <cell r="Z1524">
            <v>3.4724713890409729E-2</v>
          </cell>
          <cell r="AA1524">
            <v>3.4648568576773897E-2</v>
          </cell>
        </row>
        <row r="1525">
          <cell r="Y1525">
            <v>49508</v>
          </cell>
          <cell r="Z1525">
            <v>3.4713439166323967E-2</v>
          </cell>
          <cell r="AA1525">
            <v>3.4637146932304796E-2</v>
          </cell>
        </row>
        <row r="1526">
          <cell r="Y1526">
            <v>49515</v>
          </cell>
          <cell r="Z1526">
            <v>3.470220228600529E-2</v>
          </cell>
          <cell r="AA1526">
            <v>3.4625762775873925E-2</v>
          </cell>
        </row>
        <row r="1527">
          <cell r="Y1527">
            <v>49522</v>
          </cell>
          <cell r="Z1527">
            <v>3.4691003249133052E-2</v>
          </cell>
          <cell r="AA1527">
            <v>3.4614416107400237E-2</v>
          </cell>
        </row>
        <row r="1528">
          <cell r="Y1528">
            <v>49529</v>
          </cell>
          <cell r="Z1528">
            <v>3.467984205539363E-2</v>
          </cell>
          <cell r="AA1528">
            <v>3.4603106927045824E-2</v>
          </cell>
        </row>
        <row r="1529">
          <cell r="Y1529">
            <v>49536</v>
          </cell>
          <cell r="Z1529">
            <v>3.4668718704468131E-2</v>
          </cell>
          <cell r="AA1529">
            <v>3.459183523472964E-2</v>
          </cell>
        </row>
        <row r="1530">
          <cell r="Y1530">
            <v>49543</v>
          </cell>
          <cell r="Z1530">
            <v>3.4657633196042051E-2</v>
          </cell>
          <cell r="AA1530">
            <v>3.4580601030370639E-2</v>
          </cell>
        </row>
        <row r="1531">
          <cell r="Y1531">
            <v>49550</v>
          </cell>
          <cell r="Z1531">
            <v>3.4646585529800898E-2</v>
          </cell>
          <cell r="AA1531">
            <v>3.4569404314130914E-2</v>
          </cell>
        </row>
        <row r="1532">
          <cell r="Y1532">
            <v>49557</v>
          </cell>
          <cell r="Z1532">
            <v>3.4634716402612523E-2</v>
          </cell>
          <cell r="AA1532">
            <v>3.4558245085848371E-2</v>
          </cell>
        </row>
        <row r="1533">
          <cell r="Y1533">
            <v>49564</v>
          </cell>
          <cell r="Z1533">
            <v>3.4623742753559582E-2</v>
          </cell>
          <cell r="AA1533">
            <v>3.4547123345604058E-2</v>
          </cell>
        </row>
        <row r="1534">
          <cell r="Y1534">
            <v>49571</v>
          </cell>
          <cell r="Z1534">
            <v>3.4612806941878391E-2</v>
          </cell>
          <cell r="AA1534">
            <v>3.4536039093479021E-2</v>
          </cell>
        </row>
        <row r="1535">
          <cell r="Y1535">
            <v>49578</v>
          </cell>
          <cell r="Z1535">
            <v>3.4602773280431813E-2</v>
          </cell>
          <cell r="AA1535">
            <v>3.4524992329311166E-2</v>
          </cell>
        </row>
        <row r="1536">
          <cell r="Y1536">
            <v>49585</v>
          </cell>
          <cell r="Z1536">
            <v>3.4591914820436651E-2</v>
          </cell>
          <cell r="AA1536">
            <v>3.4513983053100494E-2</v>
          </cell>
        </row>
        <row r="1537">
          <cell r="Y1537">
            <v>49592</v>
          </cell>
          <cell r="Z1537">
            <v>3.4581094200762344E-2</v>
          </cell>
          <cell r="AA1537">
            <v>3.4503011264928052E-2</v>
          </cell>
        </row>
        <row r="1538">
          <cell r="Y1538">
            <v>49599</v>
          </cell>
          <cell r="Z1538">
            <v>3.4570311421103228E-2</v>
          </cell>
          <cell r="AA1538">
            <v>3.4492076964793839E-2</v>
          </cell>
        </row>
        <row r="1539">
          <cell r="Y1539">
            <v>49606</v>
          </cell>
          <cell r="Z1539">
            <v>3.4559566481152715E-2</v>
          </cell>
          <cell r="AA1539">
            <v>3.4481180152616808E-2</v>
          </cell>
        </row>
        <row r="1540">
          <cell r="Y1540">
            <v>49613</v>
          </cell>
          <cell r="Z1540">
            <v>3.4548859380607776E-2</v>
          </cell>
          <cell r="AA1540">
            <v>3.4470320828478007E-2</v>
          </cell>
        </row>
        <row r="1541">
          <cell r="Y1541">
            <v>49620</v>
          </cell>
          <cell r="Z1541">
            <v>3.4538190119162725E-2</v>
          </cell>
          <cell r="AA1541">
            <v>3.4459498992296389E-2</v>
          </cell>
        </row>
        <row r="1542">
          <cell r="Y1542">
            <v>49627</v>
          </cell>
          <cell r="Z1542">
            <v>3.4527558696517156E-2</v>
          </cell>
          <cell r="AA1542">
            <v>3.4448714644234046E-2</v>
          </cell>
        </row>
        <row r="1543">
          <cell r="Y1543">
            <v>49634</v>
          </cell>
          <cell r="Z1543">
            <v>3.4516965112366266E-2</v>
          </cell>
          <cell r="AA1543">
            <v>3.443796778404784E-2</v>
          </cell>
        </row>
        <row r="1544">
          <cell r="Y1544">
            <v>49641</v>
          </cell>
          <cell r="Z1544">
            <v>3.4506409366414949E-2</v>
          </cell>
          <cell r="AA1544">
            <v>3.4427258411899864E-2</v>
          </cell>
        </row>
        <row r="1545">
          <cell r="Y1545">
            <v>49648</v>
          </cell>
          <cell r="Z1545">
            <v>3.4495010192874133E-2</v>
          </cell>
          <cell r="AA1545">
            <v>3.4416586527628024E-2</v>
          </cell>
        </row>
        <row r="1546">
          <cell r="Y1546">
            <v>49655</v>
          </cell>
          <cell r="Z1546">
            <v>3.448452840602044E-2</v>
          </cell>
          <cell r="AA1546">
            <v>3.4405952131475459E-2</v>
          </cell>
        </row>
        <row r="1547">
          <cell r="Y1547">
            <v>49662</v>
          </cell>
          <cell r="Z1547">
            <v>3.4474084452632239E-2</v>
          </cell>
          <cell r="AA1547">
            <v>3.4395355223117985E-2</v>
          </cell>
        </row>
        <row r="1548">
          <cell r="Y1548">
            <v>49670</v>
          </cell>
          <cell r="Z1548">
            <v>3.4462194832221238E-2</v>
          </cell>
          <cell r="AA1548">
            <v>3.438329037453558E-2</v>
          </cell>
        </row>
        <row r="1549">
          <cell r="Y1549">
            <v>49677</v>
          </cell>
          <cell r="Z1549">
            <v>3.4451831949562202E-2</v>
          </cell>
          <cell r="AA1549">
            <v>3.4372773797711753E-2</v>
          </cell>
        </row>
        <row r="1550">
          <cell r="Y1550">
            <v>49684</v>
          </cell>
          <cell r="Z1550">
            <v>3.4441506899452218E-2</v>
          </cell>
          <cell r="AA1550">
            <v>3.4362294708764063E-2</v>
          </cell>
        </row>
        <row r="1551">
          <cell r="Y1551">
            <v>49691</v>
          </cell>
          <cell r="Z1551">
            <v>3.4431219681602718E-2</v>
          </cell>
          <cell r="AA1551">
            <v>3.4351853107935648E-2</v>
          </cell>
        </row>
        <row r="1552">
          <cell r="Y1552">
            <v>49698</v>
          </cell>
          <cell r="Z1552">
            <v>3.4420970295725148E-2</v>
          </cell>
          <cell r="AA1552">
            <v>3.4341448994902324E-2</v>
          </cell>
        </row>
        <row r="1553">
          <cell r="Y1553">
            <v>49705</v>
          </cell>
          <cell r="Z1553">
            <v>3.4409863611322963E-2</v>
          </cell>
          <cell r="AA1553">
            <v>3.4331082369907229E-2</v>
          </cell>
        </row>
        <row r="1554">
          <cell r="Y1554">
            <v>49712</v>
          </cell>
          <cell r="Z1554">
            <v>3.439968814144459E-2</v>
          </cell>
          <cell r="AA1554">
            <v>3.4320753232869317E-2</v>
          </cell>
        </row>
        <row r="1555">
          <cell r="Y1555">
            <v>49719</v>
          </cell>
          <cell r="Z1555">
            <v>3.4389550498867778E-2</v>
          </cell>
          <cell r="AA1555">
            <v>3.4310461583707541E-2</v>
          </cell>
        </row>
        <row r="1556">
          <cell r="Y1556">
            <v>49726</v>
          </cell>
          <cell r="Z1556">
            <v>3.4379450683312475E-2</v>
          </cell>
          <cell r="AA1556">
            <v>3.4300207422583995E-2</v>
          </cell>
        </row>
        <row r="1557">
          <cell r="Y1557">
            <v>49733</v>
          </cell>
          <cell r="Z1557">
            <v>3.4369388694495906E-2</v>
          </cell>
          <cell r="AA1557">
            <v>3.4289990749336585E-2</v>
          </cell>
        </row>
        <row r="1558">
          <cell r="Y1558">
            <v>49740</v>
          </cell>
          <cell r="Z1558">
            <v>3.4361172564822233E-2</v>
          </cell>
          <cell r="AA1558">
            <v>3.4279811564127405E-2</v>
          </cell>
        </row>
        <row r="1559">
          <cell r="Y1559">
            <v>49747</v>
          </cell>
          <cell r="Z1559">
            <v>3.4351189761314412E-2</v>
          </cell>
          <cell r="AA1559">
            <v>3.4269669866713315E-2</v>
          </cell>
        </row>
        <row r="1560">
          <cell r="Y1560">
            <v>49754</v>
          </cell>
          <cell r="Z1560">
            <v>3.4341244791304591E-2</v>
          </cell>
          <cell r="AA1560">
            <v>3.42595656574185E-2</v>
          </cell>
        </row>
        <row r="1561">
          <cell r="Y1561">
            <v>49761</v>
          </cell>
          <cell r="Z1561">
            <v>3.4331337654507355E-2</v>
          </cell>
          <cell r="AA1561">
            <v>3.4249498935918776E-2</v>
          </cell>
        </row>
        <row r="1562">
          <cell r="Y1562">
            <v>49768</v>
          </cell>
          <cell r="Z1562">
            <v>3.4320557132667538E-2</v>
          </cell>
          <cell r="AA1562">
            <v>3.4239469702457281E-2</v>
          </cell>
        </row>
        <row r="1563">
          <cell r="Y1563">
            <v>49775</v>
          </cell>
          <cell r="Z1563">
            <v>3.4310723879739873E-2</v>
          </cell>
          <cell r="AA1563">
            <v>3.423305039614255E-2</v>
          </cell>
        </row>
        <row r="1564">
          <cell r="Y1564">
            <v>49782</v>
          </cell>
          <cell r="Z1564">
            <v>3.4300928455404237E-2</v>
          </cell>
          <cell r="AA1564">
            <v>3.4219523699081655E-2</v>
          </cell>
        </row>
        <row r="1565">
          <cell r="Y1565">
            <v>49789</v>
          </cell>
          <cell r="Z1565">
            <v>3.4291170859386315E-2</v>
          </cell>
          <cell r="AA1565">
            <v>3.4209606929329617E-2</v>
          </cell>
        </row>
        <row r="1566">
          <cell r="Y1566">
            <v>49796</v>
          </cell>
          <cell r="Z1566">
            <v>3.4282369458956935E-2</v>
          </cell>
          <cell r="AA1566">
            <v>3.4199727647453715E-2</v>
          </cell>
        </row>
        <row r="1567">
          <cell r="Y1567">
            <v>49803</v>
          </cell>
          <cell r="Z1567">
            <v>3.4272689315589251E-2</v>
          </cell>
          <cell r="AA1567">
            <v>3.4189885853616042E-2</v>
          </cell>
        </row>
        <row r="1568">
          <cell r="Y1568">
            <v>49810</v>
          </cell>
          <cell r="Z1568">
            <v>3.4263047003491684E-2</v>
          </cell>
          <cell r="AA1568">
            <v>3.4180081547492414E-2</v>
          </cell>
        </row>
        <row r="1569">
          <cell r="Y1569">
            <v>49817</v>
          </cell>
          <cell r="Z1569">
            <v>3.4253442522393769E-2</v>
          </cell>
          <cell r="AA1569">
            <v>3.417031472948806E-2</v>
          </cell>
        </row>
        <row r="1570">
          <cell r="Y1570">
            <v>49824</v>
          </cell>
          <cell r="Z1570">
            <v>3.4243875872019783E-2</v>
          </cell>
          <cell r="AA1570">
            <v>3.4160585399197751E-2</v>
          </cell>
        </row>
        <row r="1571">
          <cell r="Y1571">
            <v>49831</v>
          </cell>
          <cell r="Z1571">
            <v>3.4234347052101044E-2</v>
          </cell>
          <cell r="AA1571">
            <v>3.4150893556945672E-2</v>
          </cell>
        </row>
        <row r="1572">
          <cell r="Y1572">
            <v>49838</v>
          </cell>
          <cell r="Z1572">
            <v>3.4224856062366214E-2</v>
          </cell>
          <cell r="AA1572">
            <v>3.4141239202488682E-2</v>
          </cell>
        </row>
        <row r="1573">
          <cell r="Y1573">
            <v>49845</v>
          </cell>
          <cell r="Z1573">
            <v>3.4215402902546613E-2</v>
          </cell>
          <cell r="AA1573">
            <v>3.4131622335988876E-2</v>
          </cell>
        </row>
        <row r="1574">
          <cell r="Y1574">
            <v>49852</v>
          </cell>
          <cell r="Z1574">
            <v>3.4205987572374433E-2</v>
          </cell>
          <cell r="AA1574">
            <v>3.4122042957365206E-2</v>
          </cell>
        </row>
        <row r="1575">
          <cell r="Y1575">
            <v>49859</v>
          </cell>
          <cell r="Z1575">
            <v>3.4196610071581868E-2</v>
          </cell>
          <cell r="AA1575">
            <v>3.4112501066698719E-2</v>
          </cell>
        </row>
        <row r="1576">
          <cell r="Y1576">
            <v>49866</v>
          </cell>
          <cell r="Z1576">
            <v>3.4187270399903762E-2</v>
          </cell>
          <cell r="AA1576">
            <v>3.4102996663827323E-2</v>
          </cell>
        </row>
        <row r="1577">
          <cell r="Y1577">
            <v>49873</v>
          </cell>
          <cell r="Z1577">
            <v>3.4177968557074945E-2</v>
          </cell>
          <cell r="AA1577">
            <v>3.409352974891311E-2</v>
          </cell>
        </row>
        <row r="1578">
          <cell r="Y1578">
            <v>49880</v>
          </cell>
          <cell r="Z1578">
            <v>3.4168704542832898E-2</v>
          </cell>
          <cell r="AA1578">
            <v>3.4084100321793986E-2</v>
          </cell>
        </row>
        <row r="1579">
          <cell r="Y1579">
            <v>49887</v>
          </cell>
          <cell r="Z1579">
            <v>3.4159478356913346E-2</v>
          </cell>
          <cell r="AA1579">
            <v>3.4074708382632046E-2</v>
          </cell>
        </row>
        <row r="1580">
          <cell r="Y1580">
            <v>49894</v>
          </cell>
          <cell r="Z1580">
            <v>3.4150289999055526E-2</v>
          </cell>
          <cell r="AA1580">
            <v>3.4065353931346243E-2</v>
          </cell>
        </row>
        <row r="1581">
          <cell r="Y1581">
            <v>49901</v>
          </cell>
          <cell r="Z1581">
            <v>3.4141139468999569E-2</v>
          </cell>
          <cell r="AA1581">
            <v>3.405603696785553E-2</v>
          </cell>
        </row>
        <row r="1582">
          <cell r="Y1582">
            <v>49908</v>
          </cell>
          <cell r="Z1582">
            <v>3.4132026766484705E-2</v>
          </cell>
          <cell r="AA1582">
            <v>3.4046757492322E-2</v>
          </cell>
        </row>
        <row r="1583">
          <cell r="Y1583">
            <v>49915</v>
          </cell>
          <cell r="Z1583">
            <v>3.4122951891253708E-2</v>
          </cell>
          <cell r="AA1583">
            <v>3.403751550458356E-2</v>
          </cell>
        </row>
        <row r="1584">
          <cell r="Y1584">
            <v>49922</v>
          </cell>
          <cell r="Z1584">
            <v>3.4112963557870087E-2</v>
          </cell>
          <cell r="AA1584">
            <v>3.4028311004721257E-2</v>
          </cell>
        </row>
        <row r="1585">
          <cell r="Y1585">
            <v>49929</v>
          </cell>
          <cell r="Z1585">
            <v>3.4103962472159924E-2</v>
          </cell>
          <cell r="AA1585">
            <v>3.401914399273509E-2</v>
          </cell>
        </row>
        <row r="1586">
          <cell r="Y1586">
            <v>49936</v>
          </cell>
          <cell r="Z1586">
            <v>3.4094999209243866E-2</v>
          </cell>
          <cell r="AA1586">
            <v>3.4010014468706107E-2</v>
          </cell>
        </row>
        <row r="1587">
          <cell r="Y1587">
            <v>49943</v>
          </cell>
          <cell r="Z1587">
            <v>3.4089902757114467E-2</v>
          </cell>
          <cell r="AA1587">
            <v>3.4000922432391167E-2</v>
          </cell>
        </row>
        <row r="1588">
          <cell r="Y1588">
            <v>49950</v>
          </cell>
          <cell r="Z1588">
            <v>3.4078144915383475E-2</v>
          </cell>
          <cell r="AA1588">
            <v>3.3991867883952365E-2</v>
          </cell>
        </row>
        <row r="1589">
          <cell r="Y1589">
            <v>49957</v>
          </cell>
          <cell r="Z1589">
            <v>3.4069296998488999E-2</v>
          </cell>
          <cell r="AA1589">
            <v>3.3982850823470745E-2</v>
          </cell>
        </row>
        <row r="1590">
          <cell r="Y1590">
            <v>49964</v>
          </cell>
          <cell r="Z1590">
            <v>3.4060486907098016E-2</v>
          </cell>
          <cell r="AA1590">
            <v>3.3973871250703169E-2</v>
          </cell>
        </row>
        <row r="1591">
          <cell r="Y1591">
            <v>49971</v>
          </cell>
          <cell r="Z1591">
            <v>3.4051714640963855E-2</v>
          </cell>
          <cell r="AA1591">
            <v>3.396492916581173E-2</v>
          </cell>
        </row>
        <row r="1592">
          <cell r="Y1592">
            <v>49978</v>
          </cell>
          <cell r="Z1592">
            <v>3.4042980199835461E-2</v>
          </cell>
          <cell r="AA1592">
            <v>3.3956024568796428E-2</v>
          </cell>
        </row>
        <row r="1593">
          <cell r="Y1593">
            <v>49985</v>
          </cell>
          <cell r="Z1593">
            <v>3.4034283583466163E-2</v>
          </cell>
          <cell r="AA1593">
            <v>3.394715745949517E-2</v>
          </cell>
        </row>
        <row r="1594">
          <cell r="Y1594">
            <v>49992</v>
          </cell>
          <cell r="Z1594">
            <v>3.4025624791610178E-2</v>
          </cell>
          <cell r="AA1594">
            <v>3.3938327838232141E-2</v>
          </cell>
        </row>
        <row r="1595">
          <cell r="Y1595">
            <v>49999</v>
          </cell>
          <cell r="Z1595">
            <v>3.4017003824019967E-2</v>
          </cell>
          <cell r="AA1595">
            <v>3.3929535704683156E-2</v>
          </cell>
        </row>
        <row r="1596">
          <cell r="Y1596">
            <v>50006</v>
          </cell>
          <cell r="Z1596">
            <v>3.4008420680453268E-2</v>
          </cell>
          <cell r="AA1596">
            <v>3.3920781059010308E-2</v>
          </cell>
        </row>
        <row r="1597">
          <cell r="Y1597">
            <v>50013</v>
          </cell>
          <cell r="Z1597">
            <v>3.3997923983344433E-2</v>
          </cell>
          <cell r="AA1597">
            <v>3.391206390113255E-2</v>
          </cell>
        </row>
        <row r="1598">
          <cell r="Y1598">
            <v>50020</v>
          </cell>
          <cell r="Z1598">
            <v>3.3989412662685389E-2</v>
          </cell>
          <cell r="AA1598">
            <v>3.3903384231130929E-2</v>
          </cell>
        </row>
        <row r="1599">
          <cell r="Y1599">
            <v>50027</v>
          </cell>
          <cell r="Z1599">
            <v>3.3980939157950814E-2</v>
          </cell>
          <cell r="AA1599">
            <v>3.3894742048924398E-2</v>
          </cell>
        </row>
        <row r="1600">
          <cell r="Y1600">
            <v>50038</v>
          </cell>
          <cell r="Z1600">
            <v>3.3968682466100124E-2</v>
          </cell>
          <cell r="AA1600">
            <v>3.3881237217598947E-2</v>
          </cell>
        </row>
        <row r="1601">
          <cell r="Y1601">
            <v>50045</v>
          </cell>
          <cell r="Z1601">
            <v>3.3961292709158111E-2</v>
          </cell>
          <cell r="AA1601">
            <v>3.3872691432568214E-2</v>
          </cell>
        </row>
        <row r="1602">
          <cell r="Y1602">
            <v>50052</v>
          </cell>
          <cell r="Z1602">
            <v>3.3951971605398604E-2</v>
          </cell>
          <cell r="AA1602">
            <v>3.3864183135494663E-2</v>
          </cell>
        </row>
        <row r="1603">
          <cell r="Y1603">
            <v>50059</v>
          </cell>
          <cell r="Z1603">
            <v>3.3943672902961471E-2</v>
          </cell>
          <cell r="AA1603">
            <v>3.385571232605411E-2</v>
          </cell>
        </row>
        <row r="1604">
          <cell r="Y1604">
            <v>50066</v>
          </cell>
          <cell r="Z1604">
            <v>3.3935412018827056E-2</v>
          </cell>
          <cell r="AA1604">
            <v>3.3847279004570741E-2</v>
          </cell>
        </row>
        <row r="1605">
          <cell r="Y1605">
            <v>50073</v>
          </cell>
          <cell r="Z1605">
            <v>3.3928181274632853E-2</v>
          </cell>
          <cell r="AA1605">
            <v>3.3838883170882461E-2</v>
          </cell>
        </row>
        <row r="1606">
          <cell r="Y1606">
            <v>50080</v>
          </cell>
          <cell r="Z1606">
            <v>3.3919003704531221E-2</v>
          </cell>
          <cell r="AA1606">
            <v>3.3830524824908226E-2</v>
          </cell>
        </row>
        <row r="1607">
          <cell r="Y1607">
            <v>50087</v>
          </cell>
          <cell r="Z1607">
            <v>3.3910856273910238E-2</v>
          </cell>
          <cell r="AA1607">
            <v>3.3822203966729081E-2</v>
          </cell>
        </row>
        <row r="1608">
          <cell r="Y1608">
            <v>50094</v>
          </cell>
          <cell r="Z1608">
            <v>3.3903744825361973E-2</v>
          </cell>
          <cell r="AA1608">
            <v>3.3813920596426073E-2</v>
          </cell>
        </row>
        <row r="1609">
          <cell r="Y1609">
            <v>50101</v>
          </cell>
          <cell r="Z1609">
            <v>3.3895674984202942E-2</v>
          </cell>
          <cell r="AA1609">
            <v>3.3805674713918155E-2</v>
          </cell>
        </row>
        <row r="1610">
          <cell r="Y1610">
            <v>50108</v>
          </cell>
          <cell r="Z1610">
            <v>3.3887642963626487E-2</v>
          </cell>
          <cell r="AA1610">
            <v>3.3797466319124281E-2</v>
          </cell>
        </row>
        <row r="1611">
          <cell r="Y1611">
            <v>50115</v>
          </cell>
          <cell r="Z1611">
            <v>3.3879648763406198E-2</v>
          </cell>
          <cell r="AA1611">
            <v>3.3789295412206544E-2</v>
          </cell>
        </row>
        <row r="1612">
          <cell r="Y1612">
            <v>50122</v>
          </cell>
          <cell r="Z1612">
            <v>3.3871692383313043E-2</v>
          </cell>
          <cell r="AA1612">
            <v>3.3781161993002851E-2</v>
          </cell>
        </row>
        <row r="1613">
          <cell r="Y1613">
            <v>50129</v>
          </cell>
          <cell r="Z1613">
            <v>3.3863773823125012E-2</v>
          </cell>
          <cell r="AA1613">
            <v>3.3773066061675294E-2</v>
          </cell>
        </row>
        <row r="1614">
          <cell r="Y1614">
            <v>50137</v>
          </cell>
          <cell r="Z1614">
            <v>3.3853760118590905E-2</v>
          </cell>
          <cell r="AA1614">
            <v>3.3763859472115687E-2</v>
          </cell>
        </row>
        <row r="1615">
          <cell r="Y1615">
            <v>50144</v>
          </cell>
          <cell r="Z1615">
            <v>3.3845920622941533E-2</v>
          </cell>
          <cell r="AA1615">
            <v>3.3755843871673408E-2</v>
          </cell>
        </row>
        <row r="1616">
          <cell r="Y1616">
            <v>50151</v>
          </cell>
          <cell r="Z1616">
            <v>3.3838118942851776E-2</v>
          </cell>
          <cell r="AA1616">
            <v>3.3747865759107265E-2</v>
          </cell>
        </row>
        <row r="1617">
          <cell r="Y1617">
            <v>50158</v>
          </cell>
          <cell r="Z1617">
            <v>3.3830355078100748E-2</v>
          </cell>
          <cell r="AA1617">
            <v>3.373992513417412E-2</v>
          </cell>
        </row>
        <row r="1618">
          <cell r="Y1618">
            <v>50165</v>
          </cell>
          <cell r="Z1618">
            <v>3.3823647191002691E-2</v>
          </cell>
          <cell r="AA1618">
            <v>3.3732021997036066E-2</v>
          </cell>
        </row>
        <row r="1619">
          <cell r="Y1619">
            <v>50172</v>
          </cell>
          <cell r="Z1619">
            <v>3.3815960948193793E-2</v>
          </cell>
          <cell r="AA1619">
            <v>3.3724156347774148E-2</v>
          </cell>
        </row>
        <row r="1620">
          <cell r="Y1620">
            <v>50179</v>
          </cell>
          <cell r="Z1620">
            <v>3.3808312523707855E-2</v>
          </cell>
          <cell r="AA1620">
            <v>3.3716328186226274E-2</v>
          </cell>
        </row>
        <row r="1621">
          <cell r="Y1621">
            <v>50186</v>
          </cell>
          <cell r="Z1621">
            <v>3.3800701917328174E-2</v>
          </cell>
          <cell r="AA1621">
            <v>3.3708537512473491E-2</v>
          </cell>
        </row>
        <row r="1622">
          <cell r="Y1622">
            <v>50193</v>
          </cell>
          <cell r="Z1622">
            <v>3.3793129128839798E-2</v>
          </cell>
          <cell r="AA1622">
            <v>3.3700784326434752E-2</v>
          </cell>
        </row>
        <row r="1623">
          <cell r="Y1623">
            <v>50200</v>
          </cell>
          <cell r="Z1623">
            <v>3.3785594158026899E-2</v>
          </cell>
          <cell r="AA1623">
            <v>3.3693068628191103E-2</v>
          </cell>
        </row>
        <row r="1624">
          <cell r="Y1624">
            <v>50207</v>
          </cell>
          <cell r="Z1624">
            <v>3.3778097004677168E-2</v>
          </cell>
          <cell r="AA1624">
            <v>3.3685390417580452E-2</v>
          </cell>
        </row>
        <row r="1625">
          <cell r="Y1625">
            <v>50214</v>
          </cell>
          <cell r="Z1625">
            <v>3.3770637668577429E-2</v>
          </cell>
          <cell r="AA1625">
            <v>3.367774969500803E-2</v>
          </cell>
        </row>
        <row r="1626">
          <cell r="Y1626">
            <v>50221</v>
          </cell>
          <cell r="Z1626">
            <v>3.3763216149515357E-2</v>
          </cell>
          <cell r="AA1626">
            <v>3.3670146459906514E-2</v>
          </cell>
        </row>
        <row r="1627">
          <cell r="Y1627">
            <v>50228</v>
          </cell>
          <cell r="Z1627">
            <v>3.3755832447283071E-2</v>
          </cell>
          <cell r="AA1627">
            <v>3.3662580712681134E-2</v>
          </cell>
        </row>
        <row r="1628">
          <cell r="Y1628">
            <v>50235</v>
          </cell>
          <cell r="Z1628">
            <v>3.3748486561669129E-2</v>
          </cell>
          <cell r="AA1628">
            <v>3.3655052453088752E-2</v>
          </cell>
        </row>
        <row r="1629">
          <cell r="Y1629">
            <v>50242</v>
          </cell>
          <cell r="Z1629">
            <v>3.3741178492465641E-2</v>
          </cell>
          <cell r="AA1629">
            <v>3.3647561681372506E-2</v>
          </cell>
        </row>
        <row r="1630">
          <cell r="Y1630">
            <v>50249</v>
          </cell>
          <cell r="Z1630">
            <v>3.3733908239466467E-2</v>
          </cell>
          <cell r="AA1630">
            <v>3.3640108397370305E-2</v>
          </cell>
        </row>
        <row r="1631">
          <cell r="Y1631">
            <v>50256</v>
          </cell>
          <cell r="Z1631">
            <v>3.3726675802463697E-2</v>
          </cell>
          <cell r="AA1631">
            <v>3.3632692601163194E-2</v>
          </cell>
        </row>
        <row r="1632">
          <cell r="Y1632">
            <v>50263</v>
          </cell>
          <cell r="Z1632">
            <v>3.3719481181253841E-2</v>
          </cell>
          <cell r="AA1632">
            <v>3.3625314292589081E-2</v>
          </cell>
        </row>
        <row r="1633">
          <cell r="Y1633">
            <v>50270</v>
          </cell>
          <cell r="Z1633">
            <v>3.3712324375632513E-2</v>
          </cell>
          <cell r="AA1633">
            <v>3.3617973471810059E-2</v>
          </cell>
        </row>
        <row r="1634">
          <cell r="Y1634">
            <v>50277</v>
          </cell>
          <cell r="Z1634">
            <v>3.3705205385397112E-2</v>
          </cell>
          <cell r="AA1634">
            <v>3.3610670138826126E-2</v>
          </cell>
        </row>
        <row r="1635">
          <cell r="Y1635">
            <v>50284</v>
          </cell>
          <cell r="Z1635">
            <v>3.3697071692742234E-2</v>
          </cell>
          <cell r="AA1635">
            <v>3.3603404293475192E-2</v>
          </cell>
        </row>
        <row r="1636">
          <cell r="Y1636">
            <v>50291</v>
          </cell>
          <cell r="Z1636">
            <v>3.3690026279302156E-2</v>
          </cell>
          <cell r="AA1636">
            <v>3.3596175935838302E-2</v>
          </cell>
        </row>
        <row r="1637">
          <cell r="Y1637">
            <v>50298</v>
          </cell>
          <cell r="Z1637">
            <v>3.3683018677051424E-2</v>
          </cell>
          <cell r="AA1637">
            <v>3.3588985065996502E-2</v>
          </cell>
        </row>
        <row r="1638">
          <cell r="Y1638">
            <v>50305</v>
          </cell>
          <cell r="Z1638">
            <v>3.3676048885791426E-2</v>
          </cell>
          <cell r="AA1638">
            <v>3.3581831683949792E-2</v>
          </cell>
        </row>
        <row r="1639">
          <cell r="Y1639">
            <v>50312</v>
          </cell>
          <cell r="Z1639">
            <v>3.3669116905328013E-2</v>
          </cell>
          <cell r="AA1639">
            <v>3.3574715789455034E-2</v>
          </cell>
        </row>
        <row r="1640">
          <cell r="Y1640">
            <v>50319</v>
          </cell>
          <cell r="Z1640">
            <v>3.3663285555853524E-2</v>
          </cell>
          <cell r="AA1640">
            <v>3.3567637382755366E-2</v>
          </cell>
        </row>
        <row r="1641">
          <cell r="Y1641">
            <v>50326</v>
          </cell>
          <cell r="Z1641">
            <v>3.3656431267727362E-2</v>
          </cell>
          <cell r="AA1641">
            <v>3.3560596463850789E-2</v>
          </cell>
        </row>
        <row r="1642">
          <cell r="Y1642">
            <v>50333</v>
          </cell>
          <cell r="Z1642">
            <v>3.3649614793401429E-2</v>
          </cell>
          <cell r="AA1642">
            <v>3.355359303257921E-2</v>
          </cell>
        </row>
        <row r="1643">
          <cell r="Y1643">
            <v>50340</v>
          </cell>
          <cell r="Z1643">
            <v>3.3642836132683686E-2</v>
          </cell>
          <cell r="AA1643">
            <v>3.3546627089102721E-2</v>
          </cell>
        </row>
        <row r="1644">
          <cell r="Y1644">
            <v>50347</v>
          </cell>
          <cell r="Z1644">
            <v>3.3636095285381203E-2</v>
          </cell>
          <cell r="AA1644">
            <v>3.3539698633178183E-2</v>
          </cell>
        </row>
        <row r="1645">
          <cell r="Y1645">
            <v>50354</v>
          </cell>
          <cell r="Z1645">
            <v>3.3629392251303701E-2</v>
          </cell>
          <cell r="AA1645">
            <v>3.3532807665048736E-2</v>
          </cell>
        </row>
        <row r="1646">
          <cell r="Y1646">
            <v>50361</v>
          </cell>
          <cell r="Z1646">
            <v>3.3622727030260896E-2</v>
          </cell>
          <cell r="AA1646">
            <v>3.3525954184714379E-2</v>
          </cell>
        </row>
        <row r="1647">
          <cell r="Y1647">
            <v>50368</v>
          </cell>
          <cell r="Z1647">
            <v>3.3616099622063383E-2</v>
          </cell>
          <cell r="AA1647">
            <v>3.351913819201302E-2</v>
          </cell>
        </row>
        <row r="1648">
          <cell r="Y1648">
            <v>50375</v>
          </cell>
          <cell r="Z1648">
            <v>3.3607351310515711E-2</v>
          </cell>
          <cell r="AA1648">
            <v>3.3512359686944659E-2</v>
          </cell>
        </row>
        <row r="1649">
          <cell r="Y1649">
            <v>50382</v>
          </cell>
          <cell r="Z1649">
            <v>3.3600795327998881E-2</v>
          </cell>
          <cell r="AA1649">
            <v>3.3505618669752435E-2</v>
          </cell>
        </row>
        <row r="1650">
          <cell r="Y1650">
            <v>50389</v>
          </cell>
          <cell r="Z1650">
            <v>3.3594277150628266E-2</v>
          </cell>
          <cell r="AA1650">
            <v>3.3498915140112162E-2</v>
          </cell>
        </row>
        <row r="1651">
          <cell r="Y1651">
            <v>50396</v>
          </cell>
          <cell r="Z1651">
            <v>3.3587796778225557E-2</v>
          </cell>
          <cell r="AA1651">
            <v>3.3492249098185933E-2</v>
          </cell>
        </row>
        <row r="1652">
          <cell r="Y1652">
            <v>50403</v>
          </cell>
          <cell r="Z1652">
            <v>3.3581354210607955E-2</v>
          </cell>
          <cell r="AA1652">
            <v>3.3485620544054795E-2</v>
          </cell>
        </row>
        <row r="1653">
          <cell r="Y1653">
            <v>50410</v>
          </cell>
          <cell r="Z1653">
            <v>3.3574949447599853E-2</v>
          </cell>
          <cell r="AA1653">
            <v>3.3479029477475608E-2</v>
          </cell>
        </row>
        <row r="1654">
          <cell r="Y1654">
            <v>50417</v>
          </cell>
          <cell r="Z1654">
            <v>3.3568582489020261E-2</v>
          </cell>
          <cell r="AA1654">
            <v>3.3472475898772558E-2</v>
          </cell>
        </row>
        <row r="1655">
          <cell r="Y1655">
            <v>50424</v>
          </cell>
          <cell r="Z1655">
            <v>3.3562253334695362E-2</v>
          </cell>
          <cell r="AA1655">
            <v>3.3465959807540413E-2</v>
          </cell>
        </row>
        <row r="1656">
          <cell r="Y1656">
            <v>50431</v>
          </cell>
          <cell r="Z1656">
            <v>3.3557058104982274E-2</v>
          </cell>
          <cell r="AA1656">
            <v>3.3459481204184405E-2</v>
          </cell>
        </row>
        <row r="1657">
          <cell r="Y1657">
            <v>50438</v>
          </cell>
          <cell r="Z1657">
            <v>3.3550806686634752E-2</v>
          </cell>
          <cell r="AA1657">
            <v>3.3453040088380348E-2</v>
          </cell>
        </row>
        <row r="1658">
          <cell r="Y1658">
            <v>50445</v>
          </cell>
          <cell r="Z1658">
            <v>3.3543492695494691E-2</v>
          </cell>
          <cell r="AA1658">
            <v>3.3446636460371382E-2</v>
          </cell>
        </row>
        <row r="1659">
          <cell r="Y1659">
            <v>50452</v>
          </cell>
          <cell r="Z1659">
            <v>3.3537314756439805E-2</v>
          </cell>
          <cell r="AA1659">
            <v>3.3440270319995413E-2</v>
          </cell>
        </row>
        <row r="1660">
          <cell r="Y1660">
            <v>50459</v>
          </cell>
          <cell r="Z1660">
            <v>3.3531174620772423E-2</v>
          </cell>
          <cell r="AA1660">
            <v>3.3433941667252443E-2</v>
          </cell>
        </row>
        <row r="1661">
          <cell r="Y1661">
            <v>50466</v>
          </cell>
          <cell r="Z1661">
            <v>3.3527286152859312E-2</v>
          </cell>
          <cell r="AA1661">
            <v>3.3427650502223516E-2</v>
          </cell>
        </row>
        <row r="1662">
          <cell r="Y1662">
            <v>50473</v>
          </cell>
          <cell r="Z1662">
            <v>3.3521225915405864E-2</v>
          </cell>
          <cell r="AA1662">
            <v>3.342139682498968E-2</v>
          </cell>
        </row>
        <row r="1663">
          <cell r="Y1663">
            <v>50480</v>
          </cell>
          <cell r="Z1663">
            <v>3.3515203487920572E-2</v>
          </cell>
          <cell r="AA1663">
            <v>3.3415180635307795E-2</v>
          </cell>
        </row>
        <row r="1664">
          <cell r="Y1664">
            <v>50487</v>
          </cell>
          <cell r="Z1664">
            <v>3.3509218870232525E-2</v>
          </cell>
          <cell r="AA1664">
            <v>3.3409001933258908E-2</v>
          </cell>
        </row>
        <row r="1665">
          <cell r="Y1665">
            <v>50494</v>
          </cell>
          <cell r="Z1665">
            <v>3.3503272062172587E-2</v>
          </cell>
          <cell r="AA1665">
            <v>3.3402860718843019E-2</v>
          </cell>
        </row>
        <row r="1666">
          <cell r="Y1666">
            <v>50501</v>
          </cell>
          <cell r="Z1666">
            <v>3.3496245228621234E-2</v>
          </cell>
          <cell r="AA1666">
            <v>3.3396756992222221E-2</v>
          </cell>
        </row>
        <row r="1667">
          <cell r="Y1667">
            <v>50508</v>
          </cell>
          <cell r="Z1667">
            <v>3.3490371875404337E-2</v>
          </cell>
          <cell r="AA1667">
            <v>3.3390690753315466E-2</v>
          </cell>
        </row>
        <row r="1668">
          <cell r="Y1668">
            <v>50515</v>
          </cell>
          <cell r="Z1668">
            <v>3.3484536327777474E-2</v>
          </cell>
          <cell r="AA1668">
            <v>3.3384662001960663E-2</v>
          </cell>
        </row>
        <row r="1669">
          <cell r="Y1669">
            <v>50522</v>
          </cell>
          <cell r="Z1669">
            <v>3.3478738585575873E-2</v>
          </cell>
          <cell r="AA1669">
            <v>3.3378670738238858E-2</v>
          </cell>
        </row>
        <row r="1670">
          <cell r="Y1670">
            <v>50529</v>
          </cell>
          <cell r="Z1670">
            <v>3.3474105160437195E-2</v>
          </cell>
          <cell r="AA1670">
            <v>3.337271696239319E-2</v>
          </cell>
        </row>
        <row r="1671">
          <cell r="Y1671">
            <v>50536</v>
          </cell>
          <cell r="Z1671">
            <v>3.3468385206644191E-2</v>
          </cell>
          <cell r="AA1671">
            <v>3.336680067393738E-2</v>
          </cell>
        </row>
        <row r="1672">
          <cell r="Y1672">
            <v>50543</v>
          </cell>
          <cell r="Z1672">
            <v>3.3462703061322617E-2</v>
          </cell>
          <cell r="AA1672">
            <v>3.3360921873276661E-2</v>
          </cell>
        </row>
        <row r="1673">
          <cell r="Y1673">
            <v>50550</v>
          </cell>
          <cell r="Z1673">
            <v>3.345705872430952E-2</v>
          </cell>
          <cell r="AA1673">
            <v>3.335508056024894E-2</v>
          </cell>
        </row>
        <row r="1674">
          <cell r="Y1674">
            <v>50557</v>
          </cell>
          <cell r="Z1674">
            <v>3.3451452195447193E-2</v>
          </cell>
          <cell r="AA1674">
            <v>3.3349276734854216E-2</v>
          </cell>
        </row>
        <row r="1675">
          <cell r="Y1675">
            <v>50564</v>
          </cell>
          <cell r="Z1675">
            <v>3.3445883474575312E-2</v>
          </cell>
          <cell r="AA1675">
            <v>3.3343510397173537E-2</v>
          </cell>
        </row>
        <row r="1676">
          <cell r="Y1676">
            <v>50571</v>
          </cell>
          <cell r="Z1676">
            <v>3.3440352561536185E-2</v>
          </cell>
          <cell r="AA1676">
            <v>3.3337781547044809E-2</v>
          </cell>
        </row>
        <row r="1677">
          <cell r="Y1677">
            <v>50578</v>
          </cell>
          <cell r="Z1677">
            <v>3.3434859456173895E-2</v>
          </cell>
          <cell r="AA1677">
            <v>3.3332090184711172E-2</v>
          </cell>
        </row>
        <row r="1678">
          <cell r="Y1678">
            <v>50585</v>
          </cell>
          <cell r="Z1678">
            <v>3.3429404158331628E-2</v>
          </cell>
          <cell r="AA1678">
            <v>3.332643630984844E-2</v>
          </cell>
        </row>
        <row r="1679">
          <cell r="Y1679">
            <v>50592</v>
          </cell>
          <cell r="Z1679">
            <v>3.3423986667854344E-2</v>
          </cell>
          <cell r="AA1679">
            <v>3.3320819922780798E-2</v>
          </cell>
        </row>
        <row r="1680">
          <cell r="Y1680">
            <v>50599</v>
          </cell>
          <cell r="Z1680">
            <v>3.3418606984589642E-2</v>
          </cell>
          <cell r="AA1680">
            <v>3.3315241023265108E-2</v>
          </cell>
        </row>
        <row r="1681">
          <cell r="Y1681">
            <v>50606</v>
          </cell>
          <cell r="Z1681">
            <v>3.3413265108385111E-2</v>
          </cell>
          <cell r="AA1681">
            <v>3.3309699611382415E-2</v>
          </cell>
        </row>
        <row r="1682">
          <cell r="Y1682">
            <v>50613</v>
          </cell>
          <cell r="Z1682">
            <v>3.3407961039087469E-2</v>
          </cell>
          <cell r="AA1682">
            <v>3.3304195687213767E-2</v>
          </cell>
        </row>
        <row r="1683">
          <cell r="Y1683">
            <v>50620</v>
          </cell>
          <cell r="Z1683">
            <v>3.3402694776548725E-2</v>
          </cell>
          <cell r="AA1683">
            <v>3.3298729250678116E-2</v>
          </cell>
        </row>
        <row r="1684">
          <cell r="Y1684">
            <v>50627</v>
          </cell>
          <cell r="Z1684">
            <v>3.3397466320619122E-2</v>
          </cell>
          <cell r="AA1684">
            <v>3.3293300301694417E-2</v>
          </cell>
        </row>
        <row r="1685">
          <cell r="Y1685">
            <v>50634</v>
          </cell>
          <cell r="Z1685">
            <v>3.3392275671148886E-2</v>
          </cell>
          <cell r="AA1685">
            <v>3.3287908840424763E-2</v>
          </cell>
        </row>
        <row r="1686">
          <cell r="Y1686">
            <v>50641</v>
          </cell>
          <cell r="Z1686">
            <v>3.338712282799268E-2</v>
          </cell>
          <cell r="AA1686">
            <v>3.3282554866788105E-2</v>
          </cell>
        </row>
        <row r="1687">
          <cell r="Y1687">
            <v>50648</v>
          </cell>
          <cell r="Z1687">
            <v>3.3380843773651359E-2</v>
          </cell>
          <cell r="AA1687">
            <v>3.32772383807034E-2</v>
          </cell>
        </row>
        <row r="1688">
          <cell r="Y1688">
            <v>50655</v>
          </cell>
          <cell r="Z1688">
            <v>3.3375764304869458E-2</v>
          </cell>
          <cell r="AA1688">
            <v>3.3271959382332739E-2</v>
          </cell>
        </row>
        <row r="1689">
          <cell r="Y1689">
            <v>50662</v>
          </cell>
          <cell r="Z1689">
            <v>3.3370722638464231E-2</v>
          </cell>
          <cell r="AA1689">
            <v>3.3266717871514029E-2</v>
          </cell>
        </row>
        <row r="1690">
          <cell r="Y1690">
            <v>50669</v>
          </cell>
          <cell r="Z1690">
            <v>3.3365718774295859E-2</v>
          </cell>
          <cell r="AA1690">
            <v>3.3261513848490409E-2</v>
          </cell>
        </row>
        <row r="1691">
          <cell r="Y1691">
            <v>50676</v>
          </cell>
          <cell r="Z1691">
            <v>3.3361925701836291E-2</v>
          </cell>
          <cell r="AA1691">
            <v>3.3256347312937695E-2</v>
          </cell>
        </row>
        <row r="1692">
          <cell r="Y1692">
            <v>50683</v>
          </cell>
          <cell r="Z1692">
            <v>3.3356999693529385E-2</v>
          </cell>
          <cell r="AA1692">
            <v>3.3251218264936933E-2</v>
          </cell>
        </row>
        <row r="1693">
          <cell r="Y1693">
            <v>50690</v>
          </cell>
          <cell r="Z1693">
            <v>3.3352111490536629E-2</v>
          </cell>
          <cell r="AA1693">
            <v>3.324612670473126E-2</v>
          </cell>
        </row>
        <row r="1694">
          <cell r="Y1694">
            <v>50697</v>
          </cell>
          <cell r="Z1694">
            <v>3.3347261092718843E-2</v>
          </cell>
          <cell r="AA1694">
            <v>3.324107263207754E-2</v>
          </cell>
        </row>
        <row r="1695">
          <cell r="Y1695">
            <v>50704</v>
          </cell>
          <cell r="Z1695">
            <v>3.3342448499937713E-2</v>
          </cell>
          <cell r="AA1695">
            <v>3.323605604697577E-2</v>
          </cell>
        </row>
        <row r="1696">
          <cell r="Y1696">
            <v>50711</v>
          </cell>
          <cell r="Z1696">
            <v>3.3337673712058466E-2</v>
          </cell>
          <cell r="AA1696">
            <v>3.3231076949588045E-2</v>
          </cell>
        </row>
        <row r="1697">
          <cell r="Y1697">
            <v>50718</v>
          </cell>
          <cell r="Z1697">
            <v>3.3332936728944551E-2</v>
          </cell>
          <cell r="AA1697">
            <v>3.3226135339914364E-2</v>
          </cell>
        </row>
        <row r="1698">
          <cell r="Y1698">
            <v>50725</v>
          </cell>
          <cell r="Z1698">
            <v>3.3328237550461187E-2</v>
          </cell>
          <cell r="AA1698">
            <v>3.3221231217630542E-2</v>
          </cell>
        </row>
        <row r="1699">
          <cell r="Y1699">
            <v>50732</v>
          </cell>
          <cell r="Z1699">
            <v>3.3323576176477111E-2</v>
          </cell>
          <cell r="AA1699">
            <v>3.3216364583060765E-2</v>
          </cell>
        </row>
        <row r="1700">
          <cell r="Y1700">
            <v>50739</v>
          </cell>
          <cell r="Z1700">
            <v>3.3316566133845468E-2</v>
          </cell>
          <cell r="AA1700">
            <v>3.3211535436123985E-2</v>
          </cell>
        </row>
        <row r="1701">
          <cell r="Y1701">
            <v>50746</v>
          </cell>
          <cell r="Z1701">
            <v>3.3311975802467808E-2</v>
          </cell>
          <cell r="AA1701">
            <v>3.3206743776820202E-2</v>
          </cell>
        </row>
        <row r="1702">
          <cell r="Y1702">
            <v>50753</v>
          </cell>
          <cell r="Z1702">
            <v>3.3307423268228983E-2</v>
          </cell>
          <cell r="AA1702">
            <v>3.3201989604987325E-2</v>
          </cell>
        </row>
        <row r="1703">
          <cell r="Y1703">
            <v>50760</v>
          </cell>
          <cell r="Z1703">
            <v>3.3302908531002026E-2</v>
          </cell>
          <cell r="AA1703">
            <v>3.3197272920787446E-2</v>
          </cell>
        </row>
        <row r="1704">
          <cell r="Y1704">
            <v>50768</v>
          </cell>
          <cell r="Z1704">
            <v>3.3297795113207865E-2</v>
          </cell>
          <cell r="AA1704">
            <v>3.3191928327933606E-2</v>
          </cell>
        </row>
        <row r="1705">
          <cell r="Y1705">
            <v>50775</v>
          </cell>
          <cell r="Z1705">
            <v>3.3293361369157483E-2</v>
          </cell>
          <cell r="AA1705">
            <v>3.3187291974375865E-2</v>
          </cell>
        </row>
        <row r="1706">
          <cell r="Y1706">
            <v>50782</v>
          </cell>
          <cell r="Z1706">
            <v>3.3288965421729037E-2</v>
          </cell>
          <cell r="AA1706">
            <v>3.3182693108451122E-2</v>
          </cell>
        </row>
        <row r="1707">
          <cell r="Y1707">
            <v>50789</v>
          </cell>
          <cell r="Z1707">
            <v>3.3284607270800071E-2</v>
          </cell>
          <cell r="AA1707">
            <v>3.3178131729997284E-2</v>
          </cell>
        </row>
        <row r="1708">
          <cell r="Y1708">
            <v>50796</v>
          </cell>
          <cell r="Z1708">
            <v>3.3280286916250811E-2</v>
          </cell>
          <cell r="AA1708">
            <v>3.3173607839257491E-2</v>
          </cell>
        </row>
        <row r="1709">
          <cell r="Y1709">
            <v>50803</v>
          </cell>
          <cell r="Z1709">
            <v>3.3276004357961485E-2</v>
          </cell>
          <cell r="AA1709">
            <v>3.3169121436150695E-2</v>
          </cell>
        </row>
        <row r="1710">
          <cell r="Y1710">
            <v>50810</v>
          </cell>
          <cell r="Z1710">
            <v>3.3270543484295992E-2</v>
          </cell>
          <cell r="AA1710">
            <v>3.316467252059585E-2</v>
          </cell>
        </row>
        <row r="1711">
          <cell r="Y1711">
            <v>50817</v>
          </cell>
          <cell r="Z1711">
            <v>3.3266334200594411E-2</v>
          </cell>
          <cell r="AA1711">
            <v>3.3160261092592958E-2</v>
          </cell>
        </row>
        <row r="1712">
          <cell r="Y1712">
            <v>50824</v>
          </cell>
          <cell r="Z1712">
            <v>3.3262162709329052E-2</v>
          </cell>
          <cell r="AA1712">
            <v>3.3155887152223062E-2</v>
          </cell>
        </row>
        <row r="1713">
          <cell r="Y1713">
            <v>50831</v>
          </cell>
          <cell r="Z1713">
            <v>3.3261699123394495E-2</v>
          </cell>
          <cell r="AA1713">
            <v>3.3151550699486165E-2</v>
          </cell>
        </row>
        <row r="1714">
          <cell r="Y1714">
            <v>50838</v>
          </cell>
          <cell r="Z1714">
            <v>3.325761020199082E-2</v>
          </cell>
          <cell r="AA1714">
            <v>3.3147251734220173E-2</v>
          </cell>
        </row>
        <row r="1715">
          <cell r="Y1715">
            <v>50845</v>
          </cell>
          <cell r="Z1715">
            <v>3.3253559083085825E-2</v>
          </cell>
          <cell r="AA1715">
            <v>3.3142990256668226E-2</v>
          </cell>
        </row>
        <row r="1716">
          <cell r="Y1716">
            <v>50852</v>
          </cell>
          <cell r="Z1716">
            <v>3.3249545766559696E-2</v>
          </cell>
          <cell r="AA1716">
            <v>3.3138766266587183E-2</v>
          </cell>
        </row>
        <row r="1717">
          <cell r="Y1717">
            <v>50859</v>
          </cell>
          <cell r="Z1717">
            <v>3.3245570186046111E-2</v>
          </cell>
          <cell r="AA1717">
            <v>3.3134579764220184E-2</v>
          </cell>
        </row>
        <row r="1718">
          <cell r="Y1718">
            <v>50866</v>
          </cell>
          <cell r="Z1718">
            <v>3.3240395385212305E-2</v>
          </cell>
          <cell r="AA1718">
            <v>3.3130430749405138E-2</v>
          </cell>
        </row>
        <row r="1719">
          <cell r="Y1719">
            <v>50873</v>
          </cell>
          <cell r="Z1719">
            <v>3.3236484776461038E-2</v>
          </cell>
          <cell r="AA1719">
            <v>3.3126319222142042E-2</v>
          </cell>
        </row>
        <row r="1720">
          <cell r="Y1720">
            <v>50880</v>
          </cell>
          <cell r="Z1720">
            <v>3.3232600297069891E-2</v>
          </cell>
          <cell r="AA1720">
            <v>3.3122245182511945E-2</v>
          </cell>
        </row>
        <row r="1721">
          <cell r="Y1721">
            <v>50887</v>
          </cell>
          <cell r="Z1721">
            <v>3.3228736841724331E-2</v>
          </cell>
          <cell r="AA1721">
            <v>3.3118208630433799E-2</v>
          </cell>
        </row>
        <row r="1722">
          <cell r="Y1722">
            <v>50894</v>
          </cell>
          <cell r="Z1722">
            <v>3.3226125058761984E-2</v>
          </cell>
          <cell r="AA1722">
            <v>3.3114209565907604E-2</v>
          </cell>
        </row>
        <row r="1723">
          <cell r="Y1723">
            <v>50901</v>
          </cell>
          <cell r="Z1723">
            <v>3.3222287393462308E-2</v>
          </cell>
          <cell r="AA1723">
            <v>3.3110247989014407E-2</v>
          </cell>
        </row>
        <row r="1724">
          <cell r="Y1724">
            <v>50908</v>
          </cell>
          <cell r="Z1724">
            <v>3.3218455064323762E-2</v>
          </cell>
          <cell r="AA1724">
            <v>3.3106323899673162E-2</v>
          </cell>
        </row>
        <row r="1725">
          <cell r="Y1725">
            <v>50915</v>
          </cell>
          <cell r="Z1725">
            <v>3.3214623021143801E-2</v>
          </cell>
          <cell r="AA1725">
            <v>3.3102437297883869E-2</v>
          </cell>
        </row>
        <row r="1726">
          <cell r="Y1726">
            <v>50922</v>
          </cell>
          <cell r="Z1726">
            <v>3.3210786213743675E-2</v>
          </cell>
          <cell r="AA1726">
            <v>3.3098588183646527E-2</v>
          </cell>
        </row>
        <row r="1727">
          <cell r="Y1727">
            <v>50929</v>
          </cell>
          <cell r="Z1727">
            <v>3.3206939591961367E-2</v>
          </cell>
          <cell r="AA1727">
            <v>3.3094776556961136E-2</v>
          </cell>
        </row>
        <row r="1728">
          <cell r="Y1728">
            <v>50936</v>
          </cell>
          <cell r="Z1728">
            <v>3.3203078105654246E-2</v>
          </cell>
          <cell r="AA1728">
            <v>3.3091002418070836E-2</v>
          </cell>
        </row>
        <row r="1729">
          <cell r="Y1729">
            <v>50943</v>
          </cell>
          <cell r="Z1729">
            <v>3.3199196704699931E-2</v>
          </cell>
          <cell r="AA1729">
            <v>3.3087265766570395E-2</v>
          </cell>
        </row>
        <row r="1730">
          <cell r="Y1730">
            <v>50950</v>
          </cell>
          <cell r="Z1730">
            <v>3.319529035862713E-2</v>
          </cell>
          <cell r="AA1730">
            <v>3.308356234842158E-2</v>
          </cell>
        </row>
        <row r="1731">
          <cell r="Y1731">
            <v>50957</v>
          </cell>
          <cell r="Z1731">
            <v>3.3191355747362629E-2</v>
          </cell>
          <cell r="AA1731">
            <v>3.3079844247442258E-2</v>
          </cell>
        </row>
        <row r="1732">
          <cell r="Y1732">
            <v>50964</v>
          </cell>
          <cell r="Z1732">
            <v>3.3187392564251073E-2</v>
          </cell>
          <cell r="AA1732">
            <v>3.3076097805226912E-2</v>
          </cell>
        </row>
        <row r="1733">
          <cell r="Y1733">
            <v>50971</v>
          </cell>
          <cell r="Z1733">
            <v>3.3183400809376158E-2</v>
          </cell>
          <cell r="AA1733">
            <v>3.3072323021937633E-2</v>
          </cell>
        </row>
        <row r="1734">
          <cell r="Y1734">
            <v>50978</v>
          </cell>
          <cell r="Z1734">
            <v>3.3179380482825975E-2</v>
          </cell>
          <cell r="AA1734">
            <v>3.3068519897331283E-2</v>
          </cell>
        </row>
        <row r="1735">
          <cell r="Y1735">
            <v>50985</v>
          </cell>
          <cell r="Z1735">
            <v>3.3175331584685094E-2</v>
          </cell>
          <cell r="AA1735">
            <v>3.3064688431569955E-2</v>
          </cell>
        </row>
        <row r="1736">
          <cell r="Y1736">
            <v>50992</v>
          </cell>
          <cell r="Z1736">
            <v>3.3171254115039843E-2</v>
          </cell>
          <cell r="AA1736">
            <v>3.3060828624653649E-2</v>
          </cell>
        </row>
        <row r="1737">
          <cell r="Y1737">
            <v>50999</v>
          </cell>
          <cell r="Z1737">
            <v>3.3167148073978324E-2</v>
          </cell>
          <cell r="AA1737">
            <v>3.3056940476501318E-2</v>
          </cell>
        </row>
        <row r="1738">
          <cell r="Y1738">
            <v>51006</v>
          </cell>
          <cell r="Z1738">
            <v>3.3163013461588634E-2</v>
          </cell>
          <cell r="AA1738">
            <v>3.3053023987194008E-2</v>
          </cell>
        </row>
        <row r="1739">
          <cell r="Y1739">
            <v>51013</v>
          </cell>
          <cell r="Z1739">
            <v>3.3157651061858036E-2</v>
          </cell>
          <cell r="AA1739">
            <v>3.304907915673172E-2</v>
          </cell>
        </row>
        <row r="1740">
          <cell r="Y1740">
            <v>51020</v>
          </cell>
          <cell r="Z1740">
            <v>3.3153461726867416E-2</v>
          </cell>
          <cell r="AA1740">
            <v>3.3045105985033407E-2</v>
          </cell>
        </row>
        <row r="1741">
          <cell r="Y1741">
            <v>51027</v>
          </cell>
          <cell r="Z1741">
            <v>3.3149243823344249E-2</v>
          </cell>
          <cell r="AA1741">
            <v>3.3041104472180116E-2</v>
          </cell>
        </row>
        <row r="1742">
          <cell r="Y1742">
            <v>51034</v>
          </cell>
          <cell r="Z1742">
            <v>3.3144997351381156E-2</v>
          </cell>
          <cell r="AA1742">
            <v>3.3037074618171847E-2</v>
          </cell>
        </row>
        <row r="1743">
          <cell r="Y1743">
            <v>51041</v>
          </cell>
          <cell r="Z1743">
            <v>3.3140722311065428E-2</v>
          </cell>
          <cell r="AA1743">
            <v>3.3033016422846506E-2</v>
          </cell>
        </row>
        <row r="1744">
          <cell r="Y1744">
            <v>51048</v>
          </cell>
          <cell r="Z1744">
            <v>3.3137605794356283E-2</v>
          </cell>
          <cell r="AA1744">
            <v>3.3028929886447234E-2</v>
          </cell>
        </row>
        <row r="1745">
          <cell r="Y1745">
            <v>51055</v>
          </cell>
          <cell r="Z1745">
            <v>3.3133271185181778E-2</v>
          </cell>
          <cell r="AA1745">
            <v>3.3024815008892983E-2</v>
          </cell>
        </row>
        <row r="1746">
          <cell r="Y1746">
            <v>51062</v>
          </cell>
          <cell r="Z1746">
            <v>3.312890800540675E-2</v>
          </cell>
          <cell r="AA1746">
            <v>3.3020671790021661E-2</v>
          </cell>
        </row>
        <row r="1747">
          <cell r="Y1747">
            <v>51069</v>
          </cell>
          <cell r="Z1747">
            <v>3.3124516255121937E-2</v>
          </cell>
          <cell r="AA1747">
            <v>3.3016500230157453E-2</v>
          </cell>
        </row>
        <row r="1748">
          <cell r="Y1748">
            <v>51076</v>
          </cell>
          <cell r="Z1748">
            <v>3.3120095934419835E-2</v>
          </cell>
          <cell r="AA1748">
            <v>3.3012300328976174E-2</v>
          </cell>
        </row>
        <row r="1749">
          <cell r="Y1749">
            <v>51083</v>
          </cell>
          <cell r="Z1749">
            <v>3.311564704339999E-2</v>
          </cell>
          <cell r="AA1749">
            <v>3.3008072086720963E-2</v>
          </cell>
        </row>
        <row r="1750">
          <cell r="Y1750">
            <v>51090</v>
          </cell>
          <cell r="Z1750">
            <v>3.3111169582154903E-2</v>
          </cell>
          <cell r="AA1750">
            <v>3.3003815503229728E-2</v>
          </cell>
        </row>
        <row r="1751">
          <cell r="Y1751">
            <v>51097</v>
          </cell>
          <cell r="Z1751">
            <v>3.3106663550779715E-2</v>
          </cell>
          <cell r="AA1751">
            <v>3.2999530578502467E-2</v>
          </cell>
        </row>
        <row r="1752">
          <cell r="Y1752">
            <v>51104</v>
          </cell>
          <cell r="Z1752">
            <v>3.3100961387558775E-2</v>
          </cell>
          <cell r="AA1752">
            <v>3.2995217312701275E-2</v>
          </cell>
        </row>
        <row r="1753">
          <cell r="Y1753">
            <v>51111</v>
          </cell>
          <cell r="Z1753">
            <v>3.3096400668811872E-2</v>
          </cell>
          <cell r="AA1753">
            <v>3.2990875705664058E-2</v>
          </cell>
        </row>
        <row r="1754">
          <cell r="Y1754">
            <v>51118</v>
          </cell>
          <cell r="Z1754">
            <v>3.3091811382742767E-2</v>
          </cell>
          <cell r="AA1754">
            <v>3.2986505757471862E-2</v>
          </cell>
        </row>
        <row r="1755">
          <cell r="Y1755">
            <v>51125</v>
          </cell>
          <cell r="Z1755">
            <v>3.3087193529450325E-2</v>
          </cell>
          <cell r="AA1755">
            <v>3.2982107468043642E-2</v>
          </cell>
        </row>
        <row r="1756">
          <cell r="Y1756">
            <v>51132</v>
          </cell>
          <cell r="Z1756">
            <v>3.3082547109030733E-2</v>
          </cell>
          <cell r="AA1756">
            <v>3.2977680837622536E-2</v>
          </cell>
        </row>
        <row r="1757">
          <cell r="Y1757">
            <v>51139</v>
          </cell>
          <cell r="Z1757">
            <v>3.3077872121582849E-2</v>
          </cell>
          <cell r="AA1757">
            <v>3.2973225865884359E-2</v>
          </cell>
        </row>
        <row r="1758">
          <cell r="Y1758">
            <v>51146</v>
          </cell>
          <cell r="Z1758">
            <v>3.3073168567207316E-2</v>
          </cell>
          <cell r="AA1758">
            <v>3.2968742552991204E-2</v>
          </cell>
        </row>
        <row r="1759">
          <cell r="Y1759">
            <v>51153</v>
          </cell>
          <cell r="Z1759">
            <v>3.3068436446001215E-2</v>
          </cell>
          <cell r="AA1759">
            <v>3.296423089894307E-2</v>
          </cell>
        </row>
        <row r="1760">
          <cell r="Y1760">
            <v>51160</v>
          </cell>
          <cell r="Z1760">
            <v>3.3063675758067845E-2</v>
          </cell>
          <cell r="AA1760">
            <v>3.295969090390205E-2</v>
          </cell>
        </row>
        <row r="1761">
          <cell r="Y1761">
            <v>51167</v>
          </cell>
          <cell r="Z1761">
            <v>3.3057740938330624E-2</v>
          </cell>
          <cell r="AA1761">
            <v>3.2955122567462913E-2</v>
          </cell>
        </row>
        <row r="1762">
          <cell r="Y1762">
            <v>51174</v>
          </cell>
          <cell r="Z1762">
            <v>3.3052925592041885E-2</v>
          </cell>
          <cell r="AA1762">
            <v>3.2950525889949844E-2</v>
          </cell>
        </row>
        <row r="1763">
          <cell r="Y1763">
            <v>51181</v>
          </cell>
          <cell r="Z1763">
            <v>3.304808168183436E-2</v>
          </cell>
          <cell r="AA1763">
            <v>3.2945900871281797E-2</v>
          </cell>
        </row>
        <row r="1764">
          <cell r="Y1764">
            <v>51188</v>
          </cell>
          <cell r="Z1764">
            <v>3.3043209207808913E-2</v>
          </cell>
          <cell r="AA1764">
            <v>3.2941247511377725E-2</v>
          </cell>
        </row>
        <row r="1765">
          <cell r="Y1765">
            <v>51195</v>
          </cell>
          <cell r="Z1765">
            <v>3.3040579303181272E-2</v>
          </cell>
          <cell r="AA1765">
            <v>3.2936565810399721E-2</v>
          </cell>
        </row>
        <row r="1766">
          <cell r="Y1766">
            <v>51202</v>
          </cell>
          <cell r="Z1766">
            <v>3.3035644731801823E-2</v>
          </cell>
          <cell r="AA1766">
            <v>3.2931855768266738E-2</v>
          </cell>
        </row>
        <row r="1767">
          <cell r="Y1767">
            <v>51209</v>
          </cell>
          <cell r="Z1767">
            <v>3.3030681591910561E-2</v>
          </cell>
          <cell r="AA1767">
            <v>3.2927117384897731E-2</v>
          </cell>
        </row>
        <row r="1768">
          <cell r="Y1768">
            <v>51216</v>
          </cell>
          <cell r="Z1768">
            <v>3.302568988361583E-2</v>
          </cell>
          <cell r="AA1768">
            <v>3.2922350660454791E-2</v>
          </cell>
        </row>
        <row r="1769">
          <cell r="Y1769">
            <v>51223</v>
          </cell>
          <cell r="Z1769">
            <v>3.3020669607024225E-2</v>
          </cell>
          <cell r="AA1769">
            <v>3.2917555594775827E-2</v>
          </cell>
        </row>
        <row r="1770">
          <cell r="Y1770">
            <v>51230</v>
          </cell>
          <cell r="Z1770">
            <v>3.3014497731136468E-2</v>
          </cell>
          <cell r="AA1770">
            <v>3.2912732188022931E-2</v>
          </cell>
        </row>
        <row r="1771">
          <cell r="Y1771">
            <v>51237</v>
          </cell>
          <cell r="Z1771">
            <v>3.3009422815977255E-2</v>
          </cell>
          <cell r="AA1771">
            <v>3.290788044003401E-2</v>
          </cell>
        </row>
        <row r="1772">
          <cell r="Y1772">
            <v>51244</v>
          </cell>
          <cell r="Z1772">
            <v>3.3004319335339434E-2</v>
          </cell>
          <cell r="AA1772">
            <v>3.290300035089011E-2</v>
          </cell>
        </row>
        <row r="1773">
          <cell r="Y1773">
            <v>51251</v>
          </cell>
          <cell r="Z1773">
            <v>3.2999187289331655E-2</v>
          </cell>
          <cell r="AA1773">
            <v>3.2898091920591233E-2</v>
          </cell>
        </row>
        <row r="1774">
          <cell r="Y1774">
            <v>51258</v>
          </cell>
          <cell r="Z1774">
            <v>3.299513970339063E-2</v>
          </cell>
          <cell r="AA1774">
            <v>3.2893155149218423E-2</v>
          </cell>
        </row>
        <row r="1775">
          <cell r="Y1775">
            <v>51265</v>
          </cell>
          <cell r="Z1775">
            <v>3.2989948019295029E-2</v>
          </cell>
          <cell r="AA1775">
            <v>3.2888190036690634E-2</v>
          </cell>
        </row>
        <row r="1776">
          <cell r="Y1776">
            <v>51272</v>
          </cell>
          <cell r="Z1776">
            <v>3.2984727767668094E-2</v>
          </cell>
          <cell r="AA1776">
            <v>3.2883196582926821E-2</v>
          </cell>
        </row>
        <row r="1777">
          <cell r="Y1777">
            <v>51279</v>
          </cell>
          <cell r="Z1777">
            <v>3.297947894862082E-2</v>
          </cell>
          <cell r="AA1777">
            <v>3.2878174788170123E-2</v>
          </cell>
        </row>
        <row r="1778">
          <cell r="Y1778">
            <v>51286</v>
          </cell>
          <cell r="Z1778">
            <v>3.2974201562266846E-2</v>
          </cell>
          <cell r="AA1778">
            <v>3.2873124652177399E-2</v>
          </cell>
        </row>
        <row r="1779">
          <cell r="Y1779">
            <v>51293</v>
          </cell>
          <cell r="Z1779">
            <v>3.296889560871806E-2</v>
          </cell>
          <cell r="AA1779">
            <v>3.2868046175029697E-2</v>
          </cell>
        </row>
        <row r="1780">
          <cell r="Y1780">
            <v>51300</v>
          </cell>
          <cell r="Z1780">
            <v>3.2963561088089857E-2</v>
          </cell>
          <cell r="AA1780">
            <v>3.2862939356727017E-2</v>
          </cell>
        </row>
        <row r="1781">
          <cell r="Y1781">
            <v>51307</v>
          </cell>
          <cell r="Z1781">
            <v>3.2958198000495001E-2</v>
          </cell>
          <cell r="AA1781">
            <v>3.2857804197269358E-2</v>
          </cell>
        </row>
        <row r="1782">
          <cell r="Y1782">
            <v>51314</v>
          </cell>
          <cell r="Z1782">
            <v>3.2952806346048899E-2</v>
          </cell>
          <cell r="AA1782">
            <v>3.2852640696737767E-2</v>
          </cell>
        </row>
        <row r="1783">
          <cell r="Y1783">
            <v>51321</v>
          </cell>
          <cell r="Z1783">
            <v>3.294738612486782E-2</v>
          </cell>
          <cell r="AA1783">
            <v>3.2847448854970152E-2</v>
          </cell>
        </row>
        <row r="1784">
          <cell r="Y1784">
            <v>51328</v>
          </cell>
          <cell r="Z1784">
            <v>3.2941937337066296E-2</v>
          </cell>
          <cell r="AA1784">
            <v>3.284222867220965E-2</v>
          </cell>
        </row>
        <row r="1785">
          <cell r="Y1785">
            <v>51335</v>
          </cell>
          <cell r="Z1785">
            <v>3.293645998276238E-2</v>
          </cell>
          <cell r="AA1785">
            <v>3.2836980148132078E-2</v>
          </cell>
        </row>
        <row r="1786">
          <cell r="Y1786">
            <v>51342</v>
          </cell>
          <cell r="Z1786">
            <v>3.293095406207322E-2</v>
          </cell>
          <cell r="AA1786">
            <v>3.283170328306162E-2</v>
          </cell>
        </row>
        <row r="1787">
          <cell r="Y1787">
            <v>51349</v>
          </cell>
          <cell r="Z1787">
            <v>3.2925419575116868E-2</v>
          </cell>
          <cell r="AA1787">
            <v>3.2826398076917229E-2</v>
          </cell>
        </row>
        <row r="1788">
          <cell r="Y1788">
            <v>51356</v>
          </cell>
          <cell r="Z1788">
            <v>3.2919856522010502E-2</v>
          </cell>
          <cell r="AA1788">
            <v>3.2821064529455768E-2</v>
          </cell>
        </row>
        <row r="1789">
          <cell r="Y1789">
            <v>51363</v>
          </cell>
          <cell r="Z1789">
            <v>3.2914264902874787E-2</v>
          </cell>
          <cell r="AA1789">
            <v>3.2815702640920374E-2</v>
          </cell>
        </row>
        <row r="1790">
          <cell r="Y1790">
            <v>51370</v>
          </cell>
          <cell r="Z1790">
            <v>3.2908644717830435E-2</v>
          </cell>
          <cell r="AA1790">
            <v>3.2810312411311049E-2</v>
          </cell>
        </row>
        <row r="1791">
          <cell r="Y1791">
            <v>51377</v>
          </cell>
          <cell r="Z1791">
            <v>3.2902995966994593E-2</v>
          </cell>
          <cell r="AA1791">
            <v>3.2804893840465699E-2</v>
          </cell>
        </row>
        <row r="1792">
          <cell r="Y1792">
            <v>51384</v>
          </cell>
          <cell r="Z1792">
            <v>3.2896251143194589E-2</v>
          </cell>
          <cell r="AA1792">
            <v>3.2799446928546416E-2</v>
          </cell>
        </row>
        <row r="1793">
          <cell r="Y1793">
            <v>51391</v>
          </cell>
          <cell r="Z1793">
            <v>3.2890547813435318E-2</v>
          </cell>
          <cell r="AA1793">
            <v>3.2793971675553202E-2</v>
          </cell>
        </row>
        <row r="1794">
          <cell r="Y1794">
            <v>51398</v>
          </cell>
          <cell r="Z1794">
            <v>3.2884815920716993E-2</v>
          </cell>
          <cell r="AA1794">
            <v>3.2788468081323963E-2</v>
          </cell>
        </row>
        <row r="1795">
          <cell r="Y1795">
            <v>51405</v>
          </cell>
          <cell r="Z1795">
            <v>3.2880115308191564E-2</v>
          </cell>
          <cell r="AA1795">
            <v>3.2782936146101838E-2</v>
          </cell>
        </row>
        <row r="1796">
          <cell r="Y1796">
            <v>51412</v>
          </cell>
          <cell r="Z1796">
            <v>3.2874323730238589E-2</v>
          </cell>
          <cell r="AA1796">
            <v>3.2777375869724734E-2</v>
          </cell>
        </row>
        <row r="1797">
          <cell r="Y1797">
            <v>51419</v>
          </cell>
          <cell r="Z1797">
            <v>3.286850358722971E-2</v>
          </cell>
          <cell r="AA1797">
            <v>3.2771787252192652E-2</v>
          </cell>
        </row>
        <row r="1798">
          <cell r="Y1798">
            <v>51426</v>
          </cell>
          <cell r="Z1798">
            <v>3.2862654879292665E-2</v>
          </cell>
          <cell r="AA1798">
            <v>3.2766170293505592E-2</v>
          </cell>
        </row>
        <row r="1799">
          <cell r="Y1799">
            <v>51433</v>
          </cell>
          <cell r="Z1799">
            <v>3.2856777606550785E-2</v>
          </cell>
          <cell r="AA1799">
            <v>3.27605249937446E-2</v>
          </cell>
        </row>
        <row r="1800">
          <cell r="Y1800">
            <v>51440</v>
          </cell>
          <cell r="Z1800">
            <v>3.2850871769130929E-2</v>
          </cell>
          <cell r="AA1800">
            <v>3.2754851352747583E-2</v>
          </cell>
        </row>
        <row r="1801">
          <cell r="Y1801">
            <v>51447</v>
          </cell>
          <cell r="Z1801">
            <v>3.2844937367159953E-2</v>
          </cell>
          <cell r="AA1801">
            <v>3.2749149370838726E-2</v>
          </cell>
        </row>
        <row r="1802">
          <cell r="Y1802">
            <v>51454</v>
          </cell>
          <cell r="Z1802">
            <v>3.2838974400763825E-2</v>
          </cell>
          <cell r="AA1802">
            <v>3.2743419047612798E-2</v>
          </cell>
        </row>
        <row r="1803">
          <cell r="Y1803">
            <v>51461</v>
          </cell>
          <cell r="Z1803">
            <v>3.2832982870072927E-2</v>
          </cell>
          <cell r="AA1803">
            <v>3.2737660383475031E-2</v>
          </cell>
        </row>
        <row r="1804">
          <cell r="Y1804">
            <v>51468</v>
          </cell>
          <cell r="Z1804">
            <v>3.2826962775212354E-2</v>
          </cell>
          <cell r="AA1804">
            <v>3.2731873378020193E-2</v>
          </cell>
        </row>
        <row r="1805">
          <cell r="Y1805">
            <v>51475</v>
          </cell>
          <cell r="Z1805">
            <v>3.2818845660414646E-2</v>
          </cell>
          <cell r="AA1805">
            <v>3.2726058031653515E-2</v>
          </cell>
        </row>
        <row r="1806">
          <cell r="Y1806">
            <v>51482</v>
          </cell>
          <cell r="Z1806">
            <v>3.281277360567901E-2</v>
          </cell>
          <cell r="AA1806">
            <v>3.2720214344050813E-2</v>
          </cell>
        </row>
        <row r="1807">
          <cell r="Y1807">
            <v>51489</v>
          </cell>
          <cell r="Z1807">
            <v>3.280667299205757E-2</v>
          </cell>
          <cell r="AA1807">
            <v>3.2714342315374179E-2</v>
          </cell>
        </row>
        <row r="1808">
          <cell r="Y1808">
            <v>51497</v>
          </cell>
          <cell r="Z1808">
            <v>3.2799665892305332E-2</v>
          </cell>
          <cell r="AA1808">
            <v>3.2707596721984755E-2</v>
          </cell>
        </row>
        <row r="1809">
          <cell r="Y1809">
            <v>51504</v>
          </cell>
          <cell r="Z1809">
            <v>3.2793504081505352E-2</v>
          </cell>
          <cell r="AA1809">
            <v>3.2701663962331207E-2</v>
          </cell>
        </row>
        <row r="1810">
          <cell r="Y1810">
            <v>51511</v>
          </cell>
          <cell r="Z1810">
            <v>3.2787313712222987E-2</v>
          </cell>
          <cell r="AA1810">
            <v>3.2695702861684772E-2</v>
          </cell>
        </row>
        <row r="1811">
          <cell r="Y1811">
            <v>51518</v>
          </cell>
          <cell r="Z1811">
            <v>3.2781094784590618E-2</v>
          </cell>
          <cell r="AA1811">
            <v>3.2689713419802313E-2</v>
          </cell>
        </row>
        <row r="1812">
          <cell r="Y1812">
            <v>51525</v>
          </cell>
          <cell r="Z1812">
            <v>3.2774847298737017E-2</v>
          </cell>
          <cell r="AA1812">
            <v>3.2683695636926968E-2</v>
          </cell>
        </row>
        <row r="1813">
          <cell r="Y1813">
            <v>51532</v>
          </cell>
          <cell r="Z1813">
            <v>3.2767557857469348E-2</v>
          </cell>
          <cell r="AA1813">
            <v>3.2677649512815599E-2</v>
          </cell>
        </row>
        <row r="1814">
          <cell r="Y1814">
            <v>51539</v>
          </cell>
          <cell r="Z1814">
            <v>3.2761255858888449E-2</v>
          </cell>
          <cell r="AA1814">
            <v>3.2671575047711343E-2</v>
          </cell>
        </row>
        <row r="1815">
          <cell r="Y1815">
            <v>51546</v>
          </cell>
          <cell r="Z1815">
            <v>3.27549253049172E-2</v>
          </cell>
          <cell r="AA1815">
            <v>3.2665472241452109E-2</v>
          </cell>
        </row>
        <row r="1816">
          <cell r="Y1816">
            <v>51553</v>
          </cell>
          <cell r="Z1816">
            <v>3.2748566195685828E-2</v>
          </cell>
          <cell r="AA1816">
            <v>3.2659341094118943E-2</v>
          </cell>
        </row>
        <row r="1817">
          <cell r="Y1817">
            <v>51560</v>
          </cell>
          <cell r="Z1817">
            <v>3.2745186871035406E-2</v>
          </cell>
          <cell r="AA1817">
            <v>3.2653181605630799E-2</v>
          </cell>
        </row>
        <row r="1818">
          <cell r="Y1818">
            <v>51567</v>
          </cell>
          <cell r="Z1818">
            <v>3.2738762811322479E-2</v>
          </cell>
          <cell r="AA1818">
            <v>3.2646993776149769E-2</v>
          </cell>
        </row>
        <row r="1819">
          <cell r="Y1819">
            <v>51574</v>
          </cell>
          <cell r="Z1819">
            <v>3.2732310189461628E-2</v>
          </cell>
          <cell r="AA1819">
            <v>3.2640777605594806E-2</v>
          </cell>
        </row>
        <row r="1820">
          <cell r="Y1820">
            <v>51581</v>
          </cell>
          <cell r="Z1820">
            <v>3.2725829005588514E-2</v>
          </cell>
          <cell r="AA1820">
            <v>3.2634533093803819E-2</v>
          </cell>
        </row>
        <row r="1821">
          <cell r="Y1821">
            <v>51588</v>
          </cell>
          <cell r="Z1821">
            <v>3.2719319259843213E-2</v>
          </cell>
          <cell r="AA1821">
            <v>3.2628260241100993E-2</v>
          </cell>
        </row>
        <row r="1822">
          <cell r="Y1822">
            <v>51595</v>
          </cell>
          <cell r="Z1822">
            <v>3.2711791455535828E-2</v>
          </cell>
          <cell r="AA1822">
            <v>3.2621959047162141E-2</v>
          </cell>
        </row>
        <row r="1823">
          <cell r="Y1823">
            <v>51602</v>
          </cell>
          <cell r="Z1823">
            <v>3.2705227212445197E-2</v>
          </cell>
          <cell r="AA1823">
            <v>3.2615629512230404E-2</v>
          </cell>
        </row>
        <row r="1824">
          <cell r="Y1824">
            <v>51609</v>
          </cell>
          <cell r="Z1824">
            <v>3.2698634410322253E-2</v>
          </cell>
          <cell r="AA1824">
            <v>3.2613275840835732E-2</v>
          </cell>
        </row>
        <row r="1825">
          <cell r="Y1825">
            <v>51616</v>
          </cell>
          <cell r="Z1825">
            <v>3.2692013049309486E-2</v>
          </cell>
          <cell r="AA1825">
            <v>3.2602885419064087E-2</v>
          </cell>
        </row>
        <row r="1826">
          <cell r="Y1826">
            <v>51623</v>
          </cell>
          <cell r="Z1826">
            <v>3.2686342107934488E-2</v>
          </cell>
          <cell r="AA1826">
            <v>3.2596470860748461E-2</v>
          </cell>
        </row>
        <row r="1827">
          <cell r="Y1827">
            <v>51630</v>
          </cell>
          <cell r="Z1827">
            <v>3.2679660993904534E-2</v>
          </cell>
          <cell r="AA1827">
            <v>3.2590027961439949E-2</v>
          </cell>
        </row>
        <row r="1828">
          <cell r="Y1828">
            <v>51637</v>
          </cell>
          <cell r="Z1828">
            <v>3.2672951318993448E-2</v>
          </cell>
          <cell r="AA1828">
            <v>3.2583556721057505E-2</v>
          </cell>
        </row>
        <row r="1829">
          <cell r="Y1829">
            <v>51644</v>
          </cell>
          <cell r="Z1829">
            <v>3.2666213083341292E-2</v>
          </cell>
          <cell r="AA1829">
            <v>3.2577057139682175E-2</v>
          </cell>
        </row>
        <row r="1830">
          <cell r="Y1830">
            <v>51651</v>
          </cell>
          <cell r="Z1830">
            <v>3.265944628709519E-2</v>
          </cell>
          <cell r="AA1830">
            <v>3.2570529217151867E-2</v>
          </cell>
        </row>
        <row r="1831">
          <cell r="Y1831">
            <v>51658</v>
          </cell>
          <cell r="Z1831">
            <v>3.2652650930397847E-2</v>
          </cell>
          <cell r="AA1831">
            <v>3.2563972953547626E-2</v>
          </cell>
        </row>
        <row r="1832">
          <cell r="Y1832">
            <v>51665</v>
          </cell>
          <cell r="Z1832">
            <v>3.2645827013397265E-2</v>
          </cell>
          <cell r="AA1832">
            <v>3.2557388348869454E-2</v>
          </cell>
        </row>
        <row r="1833">
          <cell r="Y1833">
            <v>51672</v>
          </cell>
          <cell r="Z1833">
            <v>3.2638974536237035E-2</v>
          </cell>
          <cell r="AA1833">
            <v>3.2550775403117349E-2</v>
          </cell>
        </row>
        <row r="1834">
          <cell r="Y1834">
            <v>51679</v>
          </cell>
          <cell r="Z1834">
            <v>3.2632093499066914E-2</v>
          </cell>
          <cell r="AA1834">
            <v>3.2544134116291312E-2</v>
          </cell>
        </row>
        <row r="1835">
          <cell r="Y1835">
            <v>51686</v>
          </cell>
          <cell r="Z1835">
            <v>3.2625183902032263E-2</v>
          </cell>
          <cell r="AA1835">
            <v>3.2537464488391343E-2</v>
          </cell>
        </row>
        <row r="1836">
          <cell r="Y1836">
            <v>51693</v>
          </cell>
          <cell r="Z1836">
            <v>3.261824574528107E-2</v>
          </cell>
          <cell r="AA1836">
            <v>3.2530766519417442E-2</v>
          </cell>
        </row>
        <row r="1837">
          <cell r="Y1837">
            <v>51700</v>
          </cell>
          <cell r="Z1837">
            <v>3.2611279028963991E-2</v>
          </cell>
          <cell r="AA1837">
            <v>3.2524040209450655E-2</v>
          </cell>
        </row>
        <row r="1838">
          <cell r="Y1838">
            <v>51707</v>
          </cell>
          <cell r="Z1838">
            <v>3.2604283753227242E-2</v>
          </cell>
          <cell r="AA1838">
            <v>3.251728555832889E-2</v>
          </cell>
        </row>
        <row r="1839">
          <cell r="Y1839">
            <v>51714</v>
          </cell>
          <cell r="Z1839">
            <v>3.2597259918223244E-2</v>
          </cell>
          <cell r="AA1839">
            <v>3.2510502566214239E-2</v>
          </cell>
        </row>
        <row r="1840">
          <cell r="Y1840">
            <v>51721</v>
          </cell>
          <cell r="Z1840">
            <v>3.2590207524100856E-2</v>
          </cell>
          <cell r="AA1840">
            <v>3.2503691232944609E-2</v>
          </cell>
        </row>
        <row r="1841">
          <cell r="Y1841">
            <v>51728</v>
          </cell>
          <cell r="Z1841">
            <v>3.2583126571013379E-2</v>
          </cell>
          <cell r="AA1841">
            <v>3.2496851558844186E-2</v>
          </cell>
        </row>
        <row r="1842">
          <cell r="Y1842">
            <v>51735</v>
          </cell>
          <cell r="Z1842">
            <v>3.2576017059109681E-2</v>
          </cell>
          <cell r="AA1842">
            <v>3.2489983543426693E-2</v>
          </cell>
        </row>
        <row r="1843">
          <cell r="Y1843">
            <v>51742</v>
          </cell>
          <cell r="Z1843">
            <v>3.2568878988543937E-2</v>
          </cell>
          <cell r="AA1843">
            <v>3.2483087187016313E-2</v>
          </cell>
        </row>
        <row r="1844">
          <cell r="Y1844">
            <v>51749</v>
          </cell>
          <cell r="Z1844">
            <v>3.2560781190945194E-2</v>
          </cell>
          <cell r="AA1844">
            <v>3.2476162489613047E-2</v>
          </cell>
        </row>
        <row r="1845">
          <cell r="Y1845">
            <v>51756</v>
          </cell>
          <cell r="Z1845">
            <v>3.2553588682377878E-2</v>
          </cell>
          <cell r="AA1845">
            <v>3.246920945113585E-2</v>
          </cell>
        </row>
        <row r="1846">
          <cell r="Y1846">
            <v>51763</v>
          </cell>
          <cell r="Z1846">
            <v>3.2546367617993371E-2</v>
          </cell>
          <cell r="AA1846">
            <v>3.2462228071665766E-2</v>
          </cell>
        </row>
        <row r="1847">
          <cell r="Y1847">
            <v>51770</v>
          </cell>
          <cell r="Z1847">
            <v>3.254004112272342E-2</v>
          </cell>
          <cell r="AA1847">
            <v>3.2455218351040704E-2</v>
          </cell>
        </row>
        <row r="1848">
          <cell r="Y1848">
            <v>51777</v>
          </cell>
          <cell r="Z1848">
            <v>3.2532760261151934E-2</v>
          </cell>
          <cell r="AA1848">
            <v>3.2448180289422757E-2</v>
          </cell>
        </row>
        <row r="1849">
          <cell r="Y1849">
            <v>51784</v>
          </cell>
          <cell r="Z1849">
            <v>3.2525450841843384E-2</v>
          </cell>
          <cell r="AA1849">
            <v>3.2441113886730877E-2</v>
          </cell>
        </row>
        <row r="1850">
          <cell r="Y1850">
            <v>51791</v>
          </cell>
          <cell r="Z1850">
            <v>3.2518112864957212E-2</v>
          </cell>
          <cell r="AA1850">
            <v>3.2434019143046111E-2</v>
          </cell>
        </row>
        <row r="1851">
          <cell r="Y1851">
            <v>51798</v>
          </cell>
          <cell r="Z1851">
            <v>3.2510746330647586E-2</v>
          </cell>
          <cell r="AA1851">
            <v>3.2426896058287413E-2</v>
          </cell>
        </row>
        <row r="1852">
          <cell r="Y1852">
            <v>51805</v>
          </cell>
          <cell r="Z1852">
            <v>3.2503351239074836E-2</v>
          </cell>
          <cell r="AA1852">
            <v>3.2419744632454783E-2</v>
          </cell>
        </row>
        <row r="1853">
          <cell r="Y1853">
            <v>51812</v>
          </cell>
          <cell r="Z1853">
            <v>3.2495927590396649E-2</v>
          </cell>
          <cell r="AA1853">
            <v>3.2412564865629268E-2</v>
          </cell>
        </row>
        <row r="1854">
          <cell r="Y1854">
            <v>51819</v>
          </cell>
          <cell r="Z1854">
            <v>3.2488475384771592E-2</v>
          </cell>
          <cell r="AA1854">
            <v>3.240535675772982E-2</v>
          </cell>
        </row>
        <row r="1855">
          <cell r="Y1855">
            <v>51826</v>
          </cell>
          <cell r="Z1855">
            <v>3.2480994622359996E-2</v>
          </cell>
          <cell r="AA1855">
            <v>3.2398120308837486E-2</v>
          </cell>
        </row>
        <row r="1856">
          <cell r="Y1856">
            <v>51833</v>
          </cell>
          <cell r="Z1856">
            <v>3.2473485303320442E-2</v>
          </cell>
          <cell r="AA1856">
            <v>3.239085551887122E-2</v>
          </cell>
        </row>
        <row r="1857">
          <cell r="Y1857">
            <v>51840</v>
          </cell>
          <cell r="Z1857">
            <v>3.2464154906703624E-2</v>
          </cell>
          <cell r="AA1857">
            <v>3.2383562387993114E-2</v>
          </cell>
        </row>
        <row r="1858">
          <cell r="Y1858">
            <v>51847</v>
          </cell>
          <cell r="Z1858">
            <v>3.2456593893946221E-2</v>
          </cell>
          <cell r="AA1858">
            <v>3.2376240915878984E-2</v>
          </cell>
        </row>
        <row r="1859">
          <cell r="Y1859">
            <v>51854</v>
          </cell>
          <cell r="Z1859">
            <v>3.244900432976737E-2</v>
          </cell>
          <cell r="AA1859">
            <v>3.2368891102934061E-2</v>
          </cell>
        </row>
        <row r="1860">
          <cell r="Y1860">
            <v>51862</v>
          </cell>
          <cell r="Z1860">
            <v>3.2440295581419205E-2</v>
          </cell>
          <cell r="AA1860">
            <v>3.2362268442623542E-2</v>
          </cell>
        </row>
        <row r="1861">
          <cell r="Y1861">
            <v>51869</v>
          </cell>
          <cell r="Z1861">
            <v>3.2432644836164815E-2</v>
          </cell>
          <cell r="AA1861">
            <v>3.2354852535464072E-2</v>
          </cell>
        </row>
        <row r="1862">
          <cell r="Y1862">
            <v>51876</v>
          </cell>
          <cell r="Z1862">
            <v>3.2424965539994167E-2</v>
          </cell>
          <cell r="AA1862">
            <v>3.2347408282611033E-2</v>
          </cell>
        </row>
        <row r="1863">
          <cell r="Y1863">
            <v>51883</v>
          </cell>
          <cell r="Z1863">
            <v>3.2417257693064847E-2</v>
          </cell>
          <cell r="AA1863">
            <v>3.2339935683983377E-2</v>
          </cell>
        </row>
        <row r="1864">
          <cell r="Y1864">
            <v>51890</v>
          </cell>
          <cell r="Z1864">
            <v>3.2409521295542545E-2</v>
          </cell>
          <cell r="AA1864">
            <v>3.2332434739662151E-2</v>
          </cell>
        </row>
        <row r="1865">
          <cell r="Y1865">
            <v>51897</v>
          </cell>
          <cell r="Z1865">
            <v>3.2400881905833435E-2</v>
          </cell>
          <cell r="AA1865">
            <v>3.2324905449566309E-2</v>
          </cell>
        </row>
        <row r="1866">
          <cell r="Y1866">
            <v>51904</v>
          </cell>
          <cell r="Z1866">
            <v>3.2393091135712072E-2</v>
          </cell>
          <cell r="AA1866">
            <v>3.2317347813776896E-2</v>
          </cell>
        </row>
        <row r="1867">
          <cell r="Y1867">
            <v>51911</v>
          </cell>
          <cell r="Z1867">
            <v>3.2385271817830547E-2</v>
          </cell>
          <cell r="AA1867">
            <v>3.2309761832239881E-2</v>
          </cell>
        </row>
        <row r="1868">
          <cell r="Y1868">
            <v>51918</v>
          </cell>
          <cell r="Z1868">
            <v>3.2377423952350042E-2</v>
          </cell>
          <cell r="AA1868">
            <v>3.2302147504982281E-2</v>
          </cell>
        </row>
        <row r="1869">
          <cell r="Y1869">
            <v>51925</v>
          </cell>
          <cell r="Z1869">
            <v>3.2371274359702294E-2</v>
          </cell>
          <cell r="AA1869">
            <v>3.2294504832085145E-2</v>
          </cell>
        </row>
        <row r="1870">
          <cell r="Y1870">
            <v>51932</v>
          </cell>
          <cell r="Z1870">
            <v>3.2365944361048775E-2</v>
          </cell>
          <cell r="AA1870">
            <v>3.2286833813413393E-2</v>
          </cell>
        </row>
        <row r="1871">
          <cell r="Y1871">
            <v>51939</v>
          </cell>
          <cell r="Z1871">
            <v>3.2357997150699216E-2</v>
          </cell>
          <cell r="AA1871">
            <v>3.2279134449075084E-2</v>
          </cell>
        </row>
        <row r="1872">
          <cell r="Y1872">
            <v>51946</v>
          </cell>
          <cell r="Z1872">
            <v>3.2350021381720787E-2</v>
          </cell>
          <cell r="AA1872">
            <v>3.2271406739043204E-2</v>
          </cell>
        </row>
        <row r="1873">
          <cell r="Y1873">
            <v>51953</v>
          </cell>
          <cell r="Z1873">
            <v>3.2342017054289365E-2</v>
          </cell>
          <cell r="AA1873">
            <v>3.2263650683317754E-2</v>
          </cell>
        </row>
        <row r="1874">
          <cell r="Y1874">
            <v>51964</v>
          </cell>
          <cell r="Z1874">
            <v>3.2326838337408875E-2</v>
          </cell>
          <cell r="AA1874">
            <v>3.2249672113193739E-2</v>
          </cell>
        </row>
        <row r="1875">
          <cell r="Y1875">
            <v>51971</v>
          </cell>
          <cell r="Z1875">
            <v>3.231876882978104E-2</v>
          </cell>
          <cell r="AA1875">
            <v>3.2241848600379486E-2</v>
          </cell>
        </row>
        <row r="1876">
          <cell r="Y1876">
            <v>51978</v>
          </cell>
          <cell r="Z1876">
            <v>3.231067077131191E-2</v>
          </cell>
          <cell r="AA1876">
            <v>3.22339967464913E-2</v>
          </cell>
        </row>
        <row r="1877">
          <cell r="Y1877">
            <v>51985</v>
          </cell>
          <cell r="Z1877">
            <v>3.2302544162174256E-2</v>
          </cell>
          <cell r="AA1877">
            <v>3.2226116551691275E-2</v>
          </cell>
        </row>
        <row r="1878">
          <cell r="Y1878">
            <v>51992</v>
          </cell>
          <cell r="Z1878">
            <v>3.2295225792316203E-2</v>
          </cell>
          <cell r="AA1878">
            <v>3.2218208015817318E-2</v>
          </cell>
        </row>
        <row r="1879">
          <cell r="Y1879">
            <v>51999</v>
          </cell>
          <cell r="Z1879">
            <v>3.2287039321779003E-2</v>
          </cell>
          <cell r="AA1879">
            <v>3.2210271139031521E-2</v>
          </cell>
        </row>
        <row r="1880">
          <cell r="Y1880">
            <v>52006</v>
          </cell>
          <cell r="Z1880">
            <v>3.2278824298770104E-2</v>
          </cell>
          <cell r="AA1880">
            <v>3.2202305921252838E-2</v>
          </cell>
        </row>
        <row r="1881">
          <cell r="Y1881">
            <v>52013</v>
          </cell>
          <cell r="Z1881">
            <v>3.2270580723465683E-2</v>
          </cell>
          <cell r="AA1881">
            <v>3.219431236248127E-2</v>
          </cell>
        </row>
        <row r="1882">
          <cell r="Y1882">
            <v>52020</v>
          </cell>
          <cell r="Z1882">
            <v>3.2262308596042816E-2</v>
          </cell>
          <cell r="AA1882">
            <v>3.2186290462635769E-2</v>
          </cell>
        </row>
        <row r="1883">
          <cell r="Y1883">
            <v>52027</v>
          </cell>
          <cell r="Z1883">
            <v>3.2254007916678568E-2</v>
          </cell>
          <cell r="AA1883">
            <v>3.2178240221878429E-2</v>
          </cell>
        </row>
        <row r="1884">
          <cell r="Y1884">
            <v>52034</v>
          </cell>
          <cell r="Z1884">
            <v>3.2245678685551775E-2</v>
          </cell>
          <cell r="AA1884">
            <v>3.2170161640209249E-2</v>
          </cell>
        </row>
        <row r="1885">
          <cell r="Y1885">
            <v>52041</v>
          </cell>
          <cell r="Z1885">
            <v>3.2237320902838616E-2</v>
          </cell>
          <cell r="AA1885">
            <v>3.2162054717385091E-2</v>
          </cell>
        </row>
        <row r="1886">
          <cell r="Y1886">
            <v>52048</v>
          </cell>
          <cell r="Z1886">
            <v>3.2228934568720578E-2</v>
          </cell>
          <cell r="AA1886">
            <v>3.2153919453811186E-2</v>
          </cell>
        </row>
        <row r="1887">
          <cell r="Y1887">
            <v>52055</v>
          </cell>
          <cell r="Z1887">
            <v>3.2220519683374714E-2</v>
          </cell>
          <cell r="AA1887">
            <v>3.2145755849001256E-2</v>
          </cell>
        </row>
        <row r="1888">
          <cell r="Y1888">
            <v>52062</v>
          </cell>
          <cell r="Z1888">
            <v>3.2212076246984266E-2</v>
          </cell>
          <cell r="AA1888">
            <v>3.2137563903360533E-2</v>
          </cell>
        </row>
        <row r="1889">
          <cell r="Y1889">
            <v>52069</v>
          </cell>
          <cell r="Z1889">
            <v>3.220360425972895E-2</v>
          </cell>
          <cell r="AA1889">
            <v>3.212934361680797E-2</v>
          </cell>
        </row>
        <row r="1890">
          <cell r="Y1890">
            <v>52076</v>
          </cell>
          <cell r="Z1890">
            <v>3.2195103721788472E-2</v>
          </cell>
          <cell r="AA1890">
            <v>3.2121094989181476E-2</v>
          </cell>
        </row>
        <row r="1891">
          <cell r="Y1891">
            <v>52083</v>
          </cell>
          <cell r="Z1891">
            <v>3.2186574633347828E-2</v>
          </cell>
          <cell r="AA1891">
            <v>3.2112818020562095E-2</v>
          </cell>
        </row>
        <row r="1892">
          <cell r="Y1892">
            <v>52090</v>
          </cell>
          <cell r="Z1892">
            <v>3.217801699458761E-2</v>
          </cell>
          <cell r="AA1892">
            <v>3.2104512711030875E-2</v>
          </cell>
        </row>
        <row r="1893">
          <cell r="Y1893">
            <v>52097</v>
          </cell>
          <cell r="Z1893">
            <v>3.2169430805692817E-2</v>
          </cell>
          <cell r="AA1893">
            <v>3.2096179060587815E-2</v>
          </cell>
        </row>
        <row r="1894">
          <cell r="Y1894">
            <v>52104</v>
          </cell>
          <cell r="Z1894">
            <v>3.216081606684492E-2</v>
          </cell>
          <cell r="AA1894">
            <v>3.2087817069070823E-2</v>
          </cell>
        </row>
        <row r="1895">
          <cell r="Y1895">
            <v>52111</v>
          </cell>
          <cell r="Z1895">
            <v>3.2151383232459446E-2</v>
          </cell>
          <cell r="AA1895">
            <v>3.2079426736641992E-2</v>
          </cell>
        </row>
        <row r="1896">
          <cell r="Y1896">
            <v>52118</v>
          </cell>
          <cell r="Z1896">
            <v>3.2142714194011865E-2</v>
          </cell>
          <cell r="AA1896">
            <v>3.2071008063220274E-2</v>
          </cell>
        </row>
        <row r="1897">
          <cell r="Y1897">
            <v>52125</v>
          </cell>
          <cell r="Z1897">
            <v>3.2134016608452894E-2</v>
          </cell>
          <cell r="AA1897">
            <v>3.2062561048886717E-2</v>
          </cell>
        </row>
        <row r="1898">
          <cell r="Y1898">
            <v>52132</v>
          </cell>
          <cell r="Z1898">
            <v>3.2125290475969556E-2</v>
          </cell>
          <cell r="AA1898">
            <v>3.2054085693641321E-2</v>
          </cell>
        </row>
        <row r="1899">
          <cell r="Y1899">
            <v>52139</v>
          </cell>
          <cell r="Z1899">
            <v>3.2117314129819045E-2</v>
          </cell>
          <cell r="AA1899">
            <v>3.2045581997321992E-2</v>
          </cell>
        </row>
        <row r="1900">
          <cell r="Y1900">
            <v>52146</v>
          </cell>
          <cell r="Z1900">
            <v>3.2108528095161258E-2</v>
          </cell>
          <cell r="AA1900">
            <v>3.2037049960090824E-2</v>
          </cell>
        </row>
        <row r="1901">
          <cell r="Y1901">
            <v>52153</v>
          </cell>
          <cell r="Z1901">
            <v>3.2099713511855921E-2</v>
          </cell>
          <cell r="AA1901">
            <v>3.2028489581947817E-2</v>
          </cell>
        </row>
        <row r="1902">
          <cell r="Y1902">
            <v>52160</v>
          </cell>
          <cell r="Z1902">
            <v>3.2090870380092437E-2</v>
          </cell>
          <cell r="AA1902">
            <v>3.2019900862892969E-2</v>
          </cell>
        </row>
        <row r="1903">
          <cell r="Y1903">
            <v>52167</v>
          </cell>
          <cell r="Z1903">
            <v>3.2081998700060198E-2</v>
          </cell>
          <cell r="AA1903">
            <v>3.201128380276419E-2</v>
          </cell>
        </row>
        <row r="1904">
          <cell r="Y1904">
            <v>52174</v>
          </cell>
          <cell r="Z1904">
            <v>3.2073098471951257E-2</v>
          </cell>
          <cell r="AA1904">
            <v>3.2002638401804617E-2</v>
          </cell>
        </row>
        <row r="1905">
          <cell r="Y1905">
            <v>52181</v>
          </cell>
          <cell r="Z1905">
            <v>3.2064169695952369E-2</v>
          </cell>
          <cell r="AA1905">
            <v>3.1993964659771112E-2</v>
          </cell>
        </row>
        <row r="1906">
          <cell r="Y1906">
            <v>52188</v>
          </cell>
          <cell r="Z1906">
            <v>3.2055212372258217E-2</v>
          </cell>
          <cell r="AA1906">
            <v>3.1985262576987861E-2</v>
          </cell>
        </row>
        <row r="1907">
          <cell r="Y1907">
            <v>52195</v>
          </cell>
          <cell r="Z1907">
            <v>3.2046226501059975E-2</v>
          </cell>
          <cell r="AA1907">
            <v>3.197653215304963E-2</v>
          </cell>
        </row>
        <row r="1908">
          <cell r="Y1908">
            <v>52202</v>
          </cell>
          <cell r="Z1908">
            <v>3.2035705913885333E-2</v>
          </cell>
          <cell r="AA1908">
            <v>3.1967773388361653E-2</v>
          </cell>
        </row>
        <row r="1909">
          <cell r="Y1909">
            <v>52209</v>
          </cell>
          <cell r="Z1909">
            <v>3.2026668606458766E-2</v>
          </cell>
          <cell r="AA1909">
            <v>3.195898628268079E-2</v>
          </cell>
        </row>
        <row r="1910">
          <cell r="Y1910">
            <v>52216</v>
          </cell>
          <cell r="Z1910">
            <v>3.2017602756623999E-2</v>
          </cell>
          <cell r="AA1910">
            <v>3.1950170836088088E-2</v>
          </cell>
        </row>
        <row r="1911">
          <cell r="Y1911">
            <v>52223</v>
          </cell>
          <cell r="Z1911">
            <v>3.2008508364570129E-2</v>
          </cell>
          <cell r="AA1911">
            <v>3.1941327048502499E-2</v>
          </cell>
        </row>
        <row r="1912">
          <cell r="Y1912">
            <v>52230</v>
          </cell>
          <cell r="Z1912">
            <v>3.2000127298624378E-2</v>
          </cell>
          <cell r="AA1912">
            <v>3.1932454920005071E-2</v>
          </cell>
        </row>
        <row r="1913">
          <cell r="Y1913">
            <v>52237</v>
          </cell>
          <cell r="Z1913">
            <v>3.1990233954568757E-2</v>
          </cell>
          <cell r="AA1913">
            <v>3.192355445067685E-2</v>
          </cell>
        </row>
        <row r="1914">
          <cell r="Y1914">
            <v>52244</v>
          </cell>
          <cell r="Z1914">
            <v>3.1981053937004865E-2</v>
          </cell>
          <cell r="AA1914">
            <v>3.1914625640274696E-2</v>
          </cell>
        </row>
        <row r="1915">
          <cell r="Y1915">
            <v>52251</v>
          </cell>
          <cell r="Z1915">
            <v>3.1971845377988216E-2</v>
          </cell>
          <cell r="AA1915">
            <v>3.1905668489122796E-2</v>
          </cell>
        </row>
        <row r="1916">
          <cell r="Y1916">
            <v>52258</v>
          </cell>
          <cell r="Z1916">
            <v>3.1962608277710622E-2</v>
          </cell>
          <cell r="AA1916">
            <v>3.1896682996815917E-2</v>
          </cell>
        </row>
        <row r="1917">
          <cell r="Y1917">
            <v>52265</v>
          </cell>
          <cell r="Z1917">
            <v>3.1954070292406211E-2</v>
          </cell>
          <cell r="AA1917">
            <v>3.1887669163840338E-2</v>
          </cell>
        </row>
        <row r="1918">
          <cell r="Y1918">
            <v>52272</v>
          </cell>
          <cell r="Z1918">
            <v>3.1944048454153329E-2</v>
          </cell>
          <cell r="AA1918">
            <v>3.1878626989790826E-2</v>
          </cell>
        </row>
        <row r="1919">
          <cell r="Y1919">
            <v>52279</v>
          </cell>
          <cell r="Z1919">
            <v>3.1934725731259959E-2</v>
          </cell>
          <cell r="AA1919">
            <v>3.1869556474829475E-2</v>
          </cell>
        </row>
        <row r="1920">
          <cell r="Y1920">
            <v>52286</v>
          </cell>
          <cell r="Z1920">
            <v>3.1926093569758202E-2</v>
          </cell>
          <cell r="AA1920">
            <v>3.186045761903733E-2</v>
          </cell>
        </row>
        <row r="1921">
          <cell r="Y1921">
            <v>52293</v>
          </cell>
          <cell r="Z1921">
            <v>3.1917426925225326E-2</v>
          </cell>
          <cell r="AA1921">
            <v>3.1851330422333346E-2</v>
          </cell>
        </row>
        <row r="1922">
          <cell r="Y1922">
            <v>52300</v>
          </cell>
          <cell r="Z1922">
            <v>3.1908012864903017E-2</v>
          </cell>
          <cell r="AA1922">
            <v>3.1842174884717522E-2</v>
          </cell>
        </row>
        <row r="1923">
          <cell r="Y1923">
            <v>52307</v>
          </cell>
          <cell r="Z1923">
            <v>3.1898570260229478E-2</v>
          </cell>
          <cell r="AA1923">
            <v>3.1832991006108813E-2</v>
          </cell>
        </row>
        <row r="1924">
          <cell r="Y1924">
            <v>52314</v>
          </cell>
          <cell r="Z1924">
            <v>3.1889099111407346E-2</v>
          </cell>
          <cell r="AA1924">
            <v>3.182377878666931E-2</v>
          </cell>
        </row>
        <row r="1925">
          <cell r="Y1925">
            <v>52321</v>
          </cell>
          <cell r="Z1925">
            <v>3.1878894850947963E-2</v>
          </cell>
          <cell r="AA1925">
            <v>3.1814538226317968E-2</v>
          </cell>
        </row>
        <row r="1926">
          <cell r="Y1926">
            <v>52328</v>
          </cell>
          <cell r="Z1926">
            <v>3.1869369481823208E-2</v>
          </cell>
          <cell r="AA1926">
            <v>3.1805269325054786E-2</v>
          </cell>
        </row>
        <row r="1927">
          <cell r="Y1927">
            <v>52335</v>
          </cell>
          <cell r="Z1927">
            <v>3.1859815571381421E-2</v>
          </cell>
          <cell r="AA1927">
            <v>3.1795972082960811E-2</v>
          </cell>
        </row>
        <row r="1928">
          <cell r="Y1928">
            <v>52342</v>
          </cell>
          <cell r="Z1928">
            <v>3.1850233119822997E-2</v>
          </cell>
          <cell r="AA1928">
            <v>3.178664649987395E-2</v>
          </cell>
        </row>
        <row r="1929">
          <cell r="Y1929">
            <v>52349</v>
          </cell>
          <cell r="Z1929">
            <v>3.1840622127352787E-2</v>
          </cell>
          <cell r="AA1929">
            <v>3.1777292576037341E-2</v>
          </cell>
        </row>
        <row r="1930">
          <cell r="Y1930">
            <v>52356</v>
          </cell>
          <cell r="Z1930">
            <v>3.1831672802755853E-2</v>
          </cell>
          <cell r="AA1930">
            <v>3.1767910311207848E-2</v>
          </cell>
        </row>
        <row r="1931">
          <cell r="Y1931">
            <v>52363</v>
          </cell>
          <cell r="Z1931">
            <v>3.1822001850609023E-2</v>
          </cell>
          <cell r="AA1931">
            <v>3.175849970554756E-2</v>
          </cell>
        </row>
        <row r="1932">
          <cell r="Y1932">
            <v>52370</v>
          </cell>
          <cell r="Z1932">
            <v>3.181230235595213E-2</v>
          </cell>
          <cell r="AA1932">
            <v>3.1749060758894387E-2</v>
          </cell>
        </row>
        <row r="1933">
          <cell r="Y1933">
            <v>52377</v>
          </cell>
          <cell r="Z1933">
            <v>3.1802574318996614E-2</v>
          </cell>
          <cell r="AA1933">
            <v>3.1739593471410421E-2</v>
          </cell>
        </row>
        <row r="1934">
          <cell r="Y1934">
            <v>52384</v>
          </cell>
          <cell r="Z1934">
            <v>3.1792817739947715E-2</v>
          </cell>
          <cell r="AA1934">
            <v>3.1730097843014615E-2</v>
          </cell>
        </row>
        <row r="1935">
          <cell r="Y1935">
            <v>52391</v>
          </cell>
          <cell r="Z1935">
            <v>3.1783032619015987E-2</v>
          </cell>
          <cell r="AA1935">
            <v>3.1720573873788016E-2</v>
          </cell>
        </row>
        <row r="1936">
          <cell r="Y1936">
            <v>52398</v>
          </cell>
          <cell r="Z1936">
            <v>3.1773218956410214E-2</v>
          </cell>
          <cell r="AA1936">
            <v>3.1711021563730624E-2</v>
          </cell>
        </row>
        <row r="1937">
          <cell r="Y1937">
            <v>52405</v>
          </cell>
          <cell r="Z1937">
            <v>3.176337675234181E-2</v>
          </cell>
          <cell r="AA1937">
            <v>3.1701440912761392E-2</v>
          </cell>
        </row>
        <row r="1938">
          <cell r="Y1938">
            <v>52412</v>
          </cell>
          <cell r="Z1938">
            <v>3.1753506007020454E-2</v>
          </cell>
          <cell r="AA1938">
            <v>3.1691831920799274E-2</v>
          </cell>
        </row>
        <row r="1939">
          <cell r="Y1939">
            <v>52419</v>
          </cell>
          <cell r="Z1939">
            <v>3.1743606720658443E-2</v>
          </cell>
          <cell r="AA1939">
            <v>3.1682194588168455E-2</v>
          </cell>
        </row>
        <row r="1940">
          <cell r="Y1940">
            <v>52426</v>
          </cell>
          <cell r="Z1940">
            <v>3.1733678893467197E-2</v>
          </cell>
          <cell r="AA1940">
            <v>3.1672528914544751E-2</v>
          </cell>
        </row>
        <row r="1941">
          <cell r="Y1941">
            <v>52433</v>
          </cell>
          <cell r="Z1941">
            <v>3.1723722525659033E-2</v>
          </cell>
          <cell r="AA1941">
            <v>3.1662834900090253E-2</v>
          </cell>
        </row>
        <row r="1942">
          <cell r="Y1942">
            <v>52440</v>
          </cell>
          <cell r="Z1942">
            <v>3.1713737617448896E-2</v>
          </cell>
          <cell r="AA1942">
            <v>3.1653112544804962E-2</v>
          </cell>
        </row>
        <row r="1943">
          <cell r="Y1943">
            <v>52447</v>
          </cell>
          <cell r="Z1943">
            <v>3.170372416904909E-2</v>
          </cell>
          <cell r="AA1943">
            <v>3.1643361848607832E-2</v>
          </cell>
        </row>
        <row r="1944">
          <cell r="Y1944">
            <v>52454</v>
          </cell>
          <cell r="Z1944">
            <v>3.1693682180675441E-2</v>
          </cell>
          <cell r="AA1944">
            <v>3.1633582811579908E-2</v>
          </cell>
        </row>
        <row r="1945">
          <cell r="Y1945">
            <v>52461</v>
          </cell>
          <cell r="Z1945">
            <v>3.1683611652542909E-2</v>
          </cell>
          <cell r="AA1945">
            <v>3.1623775433640144E-2</v>
          </cell>
        </row>
        <row r="1946">
          <cell r="Y1946">
            <v>52468</v>
          </cell>
          <cell r="Z1946">
            <v>3.1673512584864671E-2</v>
          </cell>
          <cell r="AA1946">
            <v>3.1613939714950634E-2</v>
          </cell>
        </row>
        <row r="1947">
          <cell r="Y1947">
            <v>52475</v>
          </cell>
          <cell r="Z1947">
            <v>3.1662744001973185E-2</v>
          </cell>
          <cell r="AA1947">
            <v>3.1604075655349284E-2</v>
          </cell>
        </row>
        <row r="1948">
          <cell r="Y1948">
            <v>52482</v>
          </cell>
          <cell r="Z1948">
            <v>3.1652590771553107E-2</v>
          </cell>
          <cell r="AA1948">
            <v>3.1594183254917141E-2</v>
          </cell>
        </row>
        <row r="1949">
          <cell r="Y1949">
            <v>52489</v>
          </cell>
          <cell r="Z1949">
            <v>3.1642409004407138E-2</v>
          </cell>
          <cell r="AA1949">
            <v>3.1584262513573158E-2</v>
          </cell>
        </row>
        <row r="1950">
          <cell r="Y1950">
            <v>52496</v>
          </cell>
          <cell r="Z1950">
            <v>3.1632198700752588E-2</v>
          </cell>
          <cell r="AA1950">
            <v>3.1574313431479428E-2</v>
          </cell>
        </row>
        <row r="1951">
          <cell r="Y1951">
            <v>52503</v>
          </cell>
          <cell r="Z1951">
            <v>3.1621959860805883E-2</v>
          </cell>
          <cell r="AA1951">
            <v>3.1564336008473859E-2</v>
          </cell>
        </row>
        <row r="1952">
          <cell r="Y1952">
            <v>52510</v>
          </cell>
          <cell r="Z1952">
            <v>3.1612318860541763E-2</v>
          </cell>
          <cell r="AA1952">
            <v>3.1554330244637496E-2</v>
          </cell>
        </row>
        <row r="1953">
          <cell r="Y1953">
            <v>52517</v>
          </cell>
          <cell r="Z1953">
            <v>3.160202002215115E-2</v>
          </cell>
          <cell r="AA1953">
            <v>3.1544296140051387E-2</v>
          </cell>
        </row>
        <row r="1954">
          <cell r="Y1954">
            <v>52524</v>
          </cell>
          <cell r="Z1954">
            <v>3.1591692645964377E-2</v>
          </cell>
          <cell r="AA1954">
            <v>3.1534233694472391E-2</v>
          </cell>
        </row>
        <row r="1955">
          <cell r="Y1955">
            <v>52531</v>
          </cell>
          <cell r="Z1955">
            <v>3.1581336732202557E-2</v>
          </cell>
          <cell r="AA1955">
            <v>3.1524142908143649E-2</v>
          </cell>
        </row>
        <row r="1956">
          <cell r="Y1956">
            <v>52538</v>
          </cell>
          <cell r="Z1956">
            <v>3.1570952281089457E-2</v>
          </cell>
          <cell r="AA1956">
            <v>3.1514023780984113E-2</v>
          </cell>
        </row>
        <row r="1957">
          <cell r="Y1957">
            <v>52545</v>
          </cell>
          <cell r="Z1957">
            <v>3.156053929284354E-2</v>
          </cell>
          <cell r="AA1957">
            <v>3.150387631307483E-2</v>
          </cell>
        </row>
        <row r="1958">
          <cell r="Y1958">
            <v>52552</v>
          </cell>
          <cell r="Z1958">
            <v>3.155009776769209E-2</v>
          </cell>
          <cell r="AA1958">
            <v>3.1493700504253708E-2</v>
          </cell>
        </row>
        <row r="1959">
          <cell r="Y1959">
            <v>52559</v>
          </cell>
          <cell r="Z1959">
            <v>3.1539627705856221E-2</v>
          </cell>
          <cell r="AA1959">
            <v>3.1483496354601792E-2</v>
          </cell>
        </row>
        <row r="1960">
          <cell r="Y1960">
            <v>52566</v>
          </cell>
          <cell r="Z1960">
            <v>3.1528526204132823E-2</v>
          </cell>
          <cell r="AA1960">
            <v>3.1473263864200129E-2</v>
          </cell>
        </row>
        <row r="1961">
          <cell r="Y1961">
            <v>52573</v>
          </cell>
          <cell r="Z1961">
            <v>3.1518002013295028E-2</v>
          </cell>
          <cell r="AA1961">
            <v>3.1463003032805581E-2</v>
          </cell>
        </row>
        <row r="1962">
          <cell r="Y1962">
            <v>52580</v>
          </cell>
          <cell r="Z1962">
            <v>3.1507449288585766E-2</v>
          </cell>
          <cell r="AA1962">
            <v>3.1452713860742332E-2</v>
          </cell>
        </row>
        <row r="1963">
          <cell r="Y1963">
            <v>52587</v>
          </cell>
          <cell r="Z1963">
            <v>3.1496868030227713E-2</v>
          </cell>
          <cell r="AA1963">
            <v>3.1442396347929336E-2</v>
          </cell>
        </row>
        <row r="1964">
          <cell r="Y1964">
            <v>52594</v>
          </cell>
          <cell r="Z1964">
            <v>3.1486258238444399E-2</v>
          </cell>
          <cell r="AA1964">
            <v>3.1432050494123454E-2</v>
          </cell>
        </row>
        <row r="1965">
          <cell r="Y1965">
            <v>52601</v>
          </cell>
          <cell r="Z1965">
            <v>3.147561991346115E-2</v>
          </cell>
          <cell r="AA1965">
            <v>3.1421676299567824E-2</v>
          </cell>
        </row>
        <row r="1966">
          <cell r="Y1966">
            <v>52608</v>
          </cell>
          <cell r="Z1966">
            <v>3.1464953055503307E-2</v>
          </cell>
          <cell r="AA1966">
            <v>3.1411273764262448E-2</v>
          </cell>
        </row>
        <row r="1967">
          <cell r="Y1967">
            <v>52615</v>
          </cell>
          <cell r="Z1967">
            <v>3.1454257664797071E-2</v>
          </cell>
          <cell r="AA1967">
            <v>3.1400842888126279E-2</v>
          </cell>
        </row>
        <row r="1968">
          <cell r="Y1968">
            <v>52622</v>
          </cell>
          <cell r="Z1968">
            <v>3.1443533741569558E-2</v>
          </cell>
          <cell r="AA1968">
            <v>3.1390383671240363E-2</v>
          </cell>
        </row>
        <row r="1969">
          <cell r="Y1969">
            <v>52629</v>
          </cell>
          <cell r="Z1969">
            <v>3.1432781286046985E-2</v>
          </cell>
          <cell r="AA1969">
            <v>3.1379896113523653E-2</v>
          </cell>
        </row>
        <row r="1970">
          <cell r="Y1970">
            <v>52636</v>
          </cell>
          <cell r="Z1970">
            <v>3.1421426677802816E-2</v>
          </cell>
          <cell r="AA1970">
            <v>3.1369380214895104E-2</v>
          </cell>
        </row>
        <row r="1971">
          <cell r="Y1971">
            <v>52643</v>
          </cell>
          <cell r="Z1971">
            <v>3.1410620122934364E-2</v>
          </cell>
          <cell r="AA1971">
            <v>3.13588359756789E-2</v>
          </cell>
        </row>
        <row r="1972">
          <cell r="Y1972">
            <v>52650</v>
          </cell>
          <cell r="Z1972">
            <v>3.139978503856658E-2</v>
          </cell>
          <cell r="AA1972">
            <v>3.1348263395469811E-2</v>
          </cell>
        </row>
        <row r="1973">
          <cell r="Y1973">
            <v>52657</v>
          </cell>
          <cell r="Z1973">
            <v>3.1390050615102243E-2</v>
          </cell>
          <cell r="AA1973">
            <v>3.1337662474592021E-2</v>
          </cell>
        </row>
        <row r="1974">
          <cell r="Y1974">
            <v>52664</v>
          </cell>
          <cell r="Z1974">
            <v>3.1379152530269565E-2</v>
          </cell>
          <cell r="AA1974">
            <v>3.1327033212964484E-2</v>
          </cell>
        </row>
        <row r="1975">
          <cell r="Y1975">
            <v>52671</v>
          </cell>
          <cell r="Z1975">
            <v>3.13682259124154E-2</v>
          </cell>
          <cell r="AA1975">
            <v>3.1316375610425107E-2</v>
          </cell>
        </row>
        <row r="1976">
          <cell r="Y1976">
            <v>52678</v>
          </cell>
          <cell r="Z1976">
            <v>3.1357270761774976E-2</v>
          </cell>
          <cell r="AA1976">
            <v>3.1305689667135983E-2</v>
          </cell>
        </row>
        <row r="1977">
          <cell r="Y1977">
            <v>52685</v>
          </cell>
          <cell r="Z1977">
            <v>3.1346287095021796E-2</v>
          </cell>
          <cell r="AA1977">
            <v>3.1294975383097112E-2</v>
          </cell>
        </row>
        <row r="1978">
          <cell r="Y1978">
            <v>52692</v>
          </cell>
          <cell r="Z1978">
            <v>3.1334726334535781E-2</v>
          </cell>
          <cell r="AA1978">
            <v>3.1284232758308494E-2</v>
          </cell>
        </row>
        <row r="1979">
          <cell r="Y1979">
            <v>52699</v>
          </cell>
          <cell r="Z1979">
            <v>3.1323694516452782E-2</v>
          </cell>
          <cell r="AA1979">
            <v>3.1273461792689083E-2</v>
          </cell>
        </row>
        <row r="1980">
          <cell r="Y1980">
            <v>52706</v>
          </cell>
          <cell r="Z1980">
            <v>3.1312643330141568E-2</v>
          </cell>
          <cell r="AA1980">
            <v>3.1262662486400972E-2</v>
          </cell>
        </row>
        <row r="1981">
          <cell r="Y1981">
            <v>52713</v>
          </cell>
          <cell r="Z1981">
            <v>3.1301577051142573E-2</v>
          </cell>
          <cell r="AA1981">
            <v>3.125183483920102E-2</v>
          </cell>
        </row>
        <row r="1982">
          <cell r="Y1982">
            <v>52720</v>
          </cell>
          <cell r="Z1982">
            <v>3.1291044776205125E-2</v>
          </cell>
          <cell r="AA1982">
            <v>3.1240978851251322E-2</v>
          </cell>
        </row>
        <row r="1983">
          <cell r="Y1983">
            <v>52727</v>
          </cell>
          <cell r="Z1983">
            <v>3.1279960864544945E-2</v>
          </cell>
          <cell r="AA1983">
            <v>3.1230094522551877E-2</v>
          </cell>
        </row>
        <row r="1984">
          <cell r="Y1984">
            <v>52734</v>
          </cell>
          <cell r="Z1984">
            <v>3.1268875005366417E-2</v>
          </cell>
          <cell r="AA1984">
            <v>3.1219181853183731E-2</v>
          </cell>
        </row>
        <row r="1985">
          <cell r="Y1985">
            <v>52741</v>
          </cell>
          <cell r="Z1985">
            <v>3.1257791427911144E-2</v>
          </cell>
          <cell r="AA1985">
            <v>3.1208240842984791E-2</v>
          </cell>
        </row>
        <row r="1986">
          <cell r="Y1986">
            <v>52748</v>
          </cell>
          <cell r="Z1986">
            <v>3.1246714361372267E-2</v>
          </cell>
          <cell r="AA1986">
            <v>3.1197271492117151E-2</v>
          </cell>
        </row>
        <row r="1987">
          <cell r="Y1987">
            <v>52755</v>
          </cell>
          <cell r="Z1987">
            <v>3.123564803489888E-2</v>
          </cell>
          <cell r="AA1987">
            <v>3.1186273800418718E-2</v>
          </cell>
        </row>
        <row r="1988">
          <cell r="Y1988">
            <v>52762</v>
          </cell>
          <cell r="Z1988">
            <v>3.122459667758987E-2</v>
          </cell>
          <cell r="AA1988">
            <v>3.1175247767889491E-2</v>
          </cell>
        </row>
        <row r="1989">
          <cell r="Y1989">
            <v>52769</v>
          </cell>
          <cell r="Z1989">
            <v>3.1213564518499187E-2</v>
          </cell>
          <cell r="AA1989">
            <v>3.116419339477261E-2</v>
          </cell>
        </row>
        <row r="1990">
          <cell r="Y1990">
            <v>52776</v>
          </cell>
          <cell r="Z1990">
            <v>3.1202555784579752E-2</v>
          </cell>
          <cell r="AA1990">
            <v>3.1153111993936777E-2</v>
          </cell>
        </row>
        <row r="1991">
          <cell r="Y1991">
            <v>52783</v>
          </cell>
          <cell r="Z1991">
            <v>3.1191573658807956E-2</v>
          </cell>
          <cell r="AA1991">
            <v>3.1142040335188081E-2</v>
          </cell>
        </row>
        <row r="1992">
          <cell r="Y1992">
            <v>52790</v>
          </cell>
          <cell r="Z1992">
            <v>3.1180618584838192E-2</v>
          </cell>
          <cell r="AA1992">
            <v>3.1130995489953017E-2</v>
          </cell>
        </row>
        <row r="1993">
          <cell r="Y1993">
            <v>52797</v>
          </cell>
          <cell r="Z1993">
            <v>3.1169690562447581E-2</v>
          </cell>
          <cell r="AA1993">
            <v>3.1119977458312631E-2</v>
          </cell>
        </row>
        <row r="1994">
          <cell r="Y1994">
            <v>52804</v>
          </cell>
          <cell r="Z1994">
            <v>3.1158789591416772E-2</v>
          </cell>
          <cell r="AA1994">
            <v>3.1108986240185876E-2</v>
          </cell>
        </row>
        <row r="1995">
          <cell r="Y1995">
            <v>52811</v>
          </cell>
          <cell r="Z1995">
            <v>3.1147915671522003E-2</v>
          </cell>
          <cell r="AA1995">
            <v>3.1098021835572753E-2</v>
          </cell>
        </row>
        <row r="1996">
          <cell r="Y1996">
            <v>52818</v>
          </cell>
          <cell r="Z1996">
            <v>3.1137068802545683E-2</v>
          </cell>
          <cell r="AA1996">
            <v>3.1087084244554308E-2</v>
          </cell>
        </row>
        <row r="1997">
          <cell r="Y1997">
            <v>52825</v>
          </cell>
          <cell r="Z1997">
            <v>3.1126248984265813E-2</v>
          </cell>
          <cell r="AA1997">
            <v>3.1076173467049495E-2</v>
          </cell>
        </row>
        <row r="1998">
          <cell r="Y1998">
            <v>52832</v>
          </cell>
          <cell r="Z1998">
            <v>3.111545621646393E-2</v>
          </cell>
          <cell r="AA1998">
            <v>3.1065289503139359E-2</v>
          </cell>
        </row>
        <row r="1999">
          <cell r="Y1999">
            <v>52839</v>
          </cell>
          <cell r="Z1999">
            <v>3.1104690498919788E-2</v>
          </cell>
          <cell r="AA1999">
            <v>3.1054432352661809E-2</v>
          </cell>
        </row>
        <row r="2000">
          <cell r="Y2000">
            <v>52846</v>
          </cell>
          <cell r="Z2000">
            <v>3.1093392766565166E-2</v>
          </cell>
          <cell r="AA2000">
            <v>3.1043602015778937E-2</v>
          </cell>
        </row>
        <row r="2001">
          <cell r="Y2001">
            <v>52853</v>
          </cell>
          <cell r="Z2001">
            <v>3.1082680125718264E-2</v>
          </cell>
          <cell r="AA2001">
            <v>3.1032798492409697E-2</v>
          </cell>
        </row>
        <row r="2002">
          <cell r="Y2002">
            <v>52860</v>
          </cell>
          <cell r="Z2002">
            <v>3.1071994531885562E-2</v>
          </cell>
          <cell r="AA2002">
            <v>3.1022021782473042E-2</v>
          </cell>
        </row>
        <row r="2003">
          <cell r="Y2003">
            <v>52867</v>
          </cell>
          <cell r="Z2003">
            <v>3.1061898126974147E-2</v>
          </cell>
          <cell r="AA2003">
            <v>3.1011271886212111E-2</v>
          </cell>
        </row>
        <row r="2004">
          <cell r="Y2004">
            <v>52874</v>
          </cell>
          <cell r="Z2004">
            <v>3.1051267657459268E-2</v>
          </cell>
          <cell r="AA2004">
            <v>3.1000548803383765E-2</v>
          </cell>
        </row>
        <row r="2005">
          <cell r="Y2005">
            <v>52881</v>
          </cell>
          <cell r="Z2005">
            <v>3.1040664236901872E-2</v>
          </cell>
          <cell r="AA2005">
            <v>3.0989852534150097E-2</v>
          </cell>
        </row>
        <row r="2006">
          <cell r="Y2006">
            <v>52888</v>
          </cell>
          <cell r="Z2006">
            <v>3.1030087865086129E-2</v>
          </cell>
          <cell r="AA2006">
            <v>3.0979183078267969E-2</v>
          </cell>
        </row>
        <row r="2007">
          <cell r="Y2007">
            <v>52895</v>
          </cell>
          <cell r="Z2007">
            <v>3.1019538541798852E-2</v>
          </cell>
          <cell r="AA2007">
            <v>3.0968540436061565E-2</v>
          </cell>
        </row>
        <row r="2008">
          <cell r="Y2008">
            <v>52902</v>
          </cell>
          <cell r="Z2008">
            <v>3.1009016266823328E-2</v>
          </cell>
          <cell r="AA2008">
            <v>3.0957924607287746E-2</v>
          </cell>
        </row>
        <row r="2009">
          <cell r="Y2009">
            <v>52909</v>
          </cell>
          <cell r="Z2009">
            <v>3.0998521039948133E-2</v>
          </cell>
          <cell r="AA2009">
            <v>3.0947335592027558E-2</v>
          </cell>
        </row>
        <row r="2010">
          <cell r="Y2010">
            <v>52916</v>
          </cell>
          <cell r="Z2010">
            <v>3.0988052860960961E-2</v>
          </cell>
          <cell r="AA2010">
            <v>3.0936773390281003E-2</v>
          </cell>
        </row>
        <row r="2011">
          <cell r="Y2011">
            <v>52923</v>
          </cell>
          <cell r="Z2011">
            <v>3.0977611729648628E-2</v>
          </cell>
          <cell r="AA2011">
            <v>3.0926238002048079E-2</v>
          </cell>
        </row>
        <row r="2012">
          <cell r="Y2012">
            <v>52930</v>
          </cell>
          <cell r="Z2012">
            <v>3.0966626132504647E-2</v>
          </cell>
          <cell r="AA2012">
            <v>3.0915729427328786E-2</v>
          </cell>
        </row>
        <row r="2013">
          <cell r="Y2013">
            <v>52937</v>
          </cell>
          <cell r="Z2013">
            <v>3.0955665607635879E-2</v>
          </cell>
          <cell r="AA2013">
            <v>3.0905247666123126E-2</v>
          </cell>
        </row>
        <row r="2014">
          <cell r="Y2014">
            <v>52944</v>
          </cell>
          <cell r="Z2014">
            <v>3.0945303505053867E-2</v>
          </cell>
          <cell r="AA2014">
            <v>3.0894792718431097E-2</v>
          </cell>
        </row>
        <row r="2015">
          <cell r="Y2015">
            <v>52951</v>
          </cell>
          <cell r="Z2015">
            <v>3.0934968444181199E-2</v>
          </cell>
          <cell r="AA2015">
            <v>3.0884364584090607E-2</v>
          </cell>
        </row>
        <row r="2016">
          <cell r="Y2016">
            <v>52959</v>
          </cell>
          <cell r="Z2016">
            <v>3.0923190058077286E-2</v>
          </cell>
          <cell r="AA2016">
            <v>3.0872479549325371E-2</v>
          </cell>
        </row>
        <row r="2017">
          <cell r="Y2017">
            <v>52966</v>
          </cell>
          <cell r="Z2017">
            <v>3.0912912943037801E-2</v>
          </cell>
          <cell r="AA2017">
            <v>3.0862108872502514E-2</v>
          </cell>
        </row>
        <row r="2018">
          <cell r="Y2018">
            <v>52973</v>
          </cell>
          <cell r="Z2018">
            <v>3.0902662869066486E-2</v>
          </cell>
          <cell r="AA2018">
            <v>3.0851765009274335E-2</v>
          </cell>
        </row>
        <row r="2019">
          <cell r="Y2019">
            <v>52980</v>
          </cell>
          <cell r="Z2019">
            <v>3.0892439835959833E-2</v>
          </cell>
          <cell r="AA2019">
            <v>3.0841447959478741E-2</v>
          </cell>
        </row>
        <row r="2020">
          <cell r="Y2020">
            <v>52987</v>
          </cell>
          <cell r="Z2020">
            <v>3.0882243843514321E-2</v>
          </cell>
          <cell r="AA2020">
            <v>3.0831157723196778E-2</v>
          </cell>
        </row>
        <row r="2021">
          <cell r="Y2021">
            <v>52994</v>
          </cell>
          <cell r="Z2021">
            <v>3.0872074891527337E-2</v>
          </cell>
          <cell r="AA2021">
            <v>3.0820894300428447E-2</v>
          </cell>
        </row>
        <row r="2022">
          <cell r="Y2022">
            <v>53001</v>
          </cell>
          <cell r="Z2022">
            <v>3.0861350928154382E-2</v>
          </cell>
          <cell r="AA2022">
            <v>3.0810657691092702E-2</v>
          </cell>
        </row>
        <row r="2023">
          <cell r="Y2023">
            <v>53008</v>
          </cell>
          <cell r="Z2023">
            <v>3.0851234977081119E-2</v>
          </cell>
          <cell r="AA2023">
            <v>3.0800447895189542E-2</v>
          </cell>
        </row>
        <row r="2024">
          <cell r="Y2024">
            <v>53015</v>
          </cell>
          <cell r="Z2024">
            <v>3.084114606332396E-2</v>
          </cell>
          <cell r="AA2024">
            <v>3.0790264912800014E-2</v>
          </cell>
        </row>
        <row r="2025">
          <cell r="Y2025">
            <v>53022</v>
          </cell>
          <cell r="Z2025">
            <v>3.0832840489295608E-2</v>
          </cell>
          <cell r="AA2025">
            <v>3.0780108743843071E-2</v>
          </cell>
        </row>
        <row r="2026">
          <cell r="Y2026">
            <v>53029</v>
          </cell>
          <cell r="Z2026">
            <v>3.0822808911496441E-2</v>
          </cell>
          <cell r="AA2026">
            <v>3.076997938839976E-2</v>
          </cell>
        </row>
        <row r="2027">
          <cell r="Y2027">
            <v>53036</v>
          </cell>
          <cell r="Z2027">
            <v>3.0812804378018383E-2</v>
          </cell>
          <cell r="AA2027">
            <v>3.075987684647008E-2</v>
          </cell>
        </row>
        <row r="2028">
          <cell r="Y2028">
            <v>53043</v>
          </cell>
          <cell r="Z2028">
            <v>3.0802826888661455E-2</v>
          </cell>
          <cell r="AA2028">
            <v>3.0749801117972986E-2</v>
          </cell>
        </row>
        <row r="2029">
          <cell r="Y2029">
            <v>53050</v>
          </cell>
          <cell r="Z2029">
            <v>3.079287644322393E-2</v>
          </cell>
          <cell r="AA2029">
            <v>3.0739752202908477E-2</v>
          </cell>
        </row>
        <row r="2030">
          <cell r="Y2030">
            <v>53057</v>
          </cell>
          <cell r="Z2030">
            <v>3.0782362007245916E-2</v>
          </cell>
          <cell r="AA2030">
            <v>3.07297301013576E-2</v>
          </cell>
        </row>
        <row r="2031">
          <cell r="Y2031">
            <v>53064</v>
          </cell>
          <cell r="Z2031">
            <v>3.0772464548796435E-2</v>
          </cell>
          <cell r="AA2031">
            <v>3.0719734813158261E-2</v>
          </cell>
        </row>
        <row r="2032">
          <cell r="Y2032">
            <v>53071</v>
          </cell>
          <cell r="Z2032">
            <v>3.0762594131140186E-2</v>
          </cell>
          <cell r="AA2032">
            <v>3.0709766338472555E-2</v>
          </cell>
        </row>
        <row r="2033">
          <cell r="Y2033">
            <v>53078</v>
          </cell>
          <cell r="Z2033">
            <v>3.0752750754078559E-2</v>
          </cell>
          <cell r="AA2033">
            <v>3.069982467730048E-2</v>
          </cell>
        </row>
        <row r="2034">
          <cell r="Y2034">
            <v>53085</v>
          </cell>
          <cell r="Z2034">
            <v>3.0743529867769195E-2</v>
          </cell>
          <cell r="AA2034">
            <v>3.0689909829479944E-2</v>
          </cell>
        </row>
        <row r="2035">
          <cell r="Y2035">
            <v>53092</v>
          </cell>
          <cell r="Z2035">
            <v>3.0733741681623964E-2</v>
          </cell>
          <cell r="AA2035">
            <v>3.068002179517304E-2</v>
          </cell>
        </row>
        <row r="2036">
          <cell r="Y2036">
            <v>53099</v>
          </cell>
          <cell r="Z2036">
            <v>3.0723980537995677E-2</v>
          </cell>
          <cell r="AA2036">
            <v>3.0670160574298722E-2</v>
          </cell>
        </row>
        <row r="2037">
          <cell r="Y2037">
            <v>53106</v>
          </cell>
          <cell r="Z2037">
            <v>3.0714246436687884E-2</v>
          </cell>
          <cell r="AA2037">
            <v>3.0660326166856988E-2</v>
          </cell>
        </row>
        <row r="2038">
          <cell r="Y2038">
            <v>53113</v>
          </cell>
          <cell r="Z2038">
            <v>3.0704539377501498E-2</v>
          </cell>
          <cell r="AA2038">
            <v>3.0650518572928886E-2</v>
          </cell>
        </row>
        <row r="2039">
          <cell r="Y2039">
            <v>53120</v>
          </cell>
          <cell r="Z2039">
            <v>3.0694859360240068E-2</v>
          </cell>
          <cell r="AA2039">
            <v>3.0640737792352324E-2</v>
          </cell>
        </row>
        <row r="2040">
          <cell r="Y2040">
            <v>53127</v>
          </cell>
          <cell r="Z2040">
            <v>3.0685206384708903E-2</v>
          </cell>
          <cell r="AA2040">
            <v>3.0630983825289393E-2</v>
          </cell>
        </row>
        <row r="2041">
          <cell r="Y2041">
            <v>53134</v>
          </cell>
          <cell r="Z2041">
            <v>3.0675580450709797E-2</v>
          </cell>
          <cell r="AA2041">
            <v>3.0621256671578001E-2</v>
          </cell>
        </row>
        <row r="2042">
          <cell r="Y2042">
            <v>53141</v>
          </cell>
          <cell r="Z2042">
            <v>3.0665981558048942E-2</v>
          </cell>
          <cell r="AA2042">
            <v>3.0611556331380241E-2</v>
          </cell>
        </row>
        <row r="2043">
          <cell r="Y2043">
            <v>53148</v>
          </cell>
          <cell r="Z2043">
            <v>3.0656409706531652E-2</v>
          </cell>
          <cell r="AA2043">
            <v>3.060188280453402E-2</v>
          </cell>
        </row>
        <row r="2044">
          <cell r="Y2044">
            <v>53155</v>
          </cell>
          <cell r="Z2044">
            <v>3.0646864895964115E-2</v>
          </cell>
          <cell r="AA2044">
            <v>3.059223609120143E-2</v>
          </cell>
        </row>
        <row r="2045">
          <cell r="Y2045">
            <v>53162</v>
          </cell>
          <cell r="Z2045">
            <v>3.063734712615165E-2</v>
          </cell>
          <cell r="AA2045">
            <v>3.0582616191301426E-2</v>
          </cell>
        </row>
        <row r="2046">
          <cell r="Y2046">
            <v>53169</v>
          </cell>
          <cell r="Z2046">
            <v>3.062785639690133E-2</v>
          </cell>
          <cell r="AA2046">
            <v>3.0573023104752961E-2</v>
          </cell>
        </row>
        <row r="2047">
          <cell r="Y2047">
            <v>53176</v>
          </cell>
          <cell r="Z2047">
            <v>3.0618392708021989E-2</v>
          </cell>
          <cell r="AA2047">
            <v>3.0563456831637081E-2</v>
          </cell>
        </row>
        <row r="2048">
          <cell r="Y2048">
            <v>53183</v>
          </cell>
          <cell r="Z2048">
            <v>3.0608956059320708E-2</v>
          </cell>
          <cell r="AA2048">
            <v>3.055391737211588E-2</v>
          </cell>
        </row>
        <row r="2049">
          <cell r="Y2049">
            <v>53190</v>
          </cell>
          <cell r="Z2049">
            <v>3.0599546450605433E-2</v>
          </cell>
          <cell r="AA2049">
            <v>3.0544404725703078E-2</v>
          </cell>
        </row>
        <row r="2050">
          <cell r="Y2050">
            <v>53197</v>
          </cell>
          <cell r="Z2050">
            <v>3.059016388168765E-2</v>
          </cell>
          <cell r="AA2050">
            <v>3.0534918892966001E-2</v>
          </cell>
        </row>
        <row r="2051">
          <cell r="Y2051">
            <v>53204</v>
          </cell>
          <cell r="Z2051">
            <v>3.0580808352374433E-2</v>
          </cell>
          <cell r="AA2051">
            <v>3.0525459873499416E-2</v>
          </cell>
        </row>
        <row r="2052">
          <cell r="Y2052">
            <v>53211</v>
          </cell>
          <cell r="Z2052">
            <v>3.057086404344974E-2</v>
          </cell>
          <cell r="AA2052">
            <v>3.0516027667546464E-2</v>
          </cell>
        </row>
        <row r="2053">
          <cell r="Y2053">
            <v>53218</v>
          </cell>
          <cell r="Z2053">
            <v>3.0561561437531214E-2</v>
          </cell>
          <cell r="AA2053">
            <v>3.050662227494505E-2</v>
          </cell>
        </row>
        <row r="2054">
          <cell r="Y2054">
            <v>53225</v>
          </cell>
          <cell r="Z2054">
            <v>3.0552285868173702E-2</v>
          </cell>
          <cell r="AA2054">
            <v>3.0497243695776222E-2</v>
          </cell>
        </row>
        <row r="2055">
          <cell r="Y2055">
            <v>53232</v>
          </cell>
          <cell r="Z2055">
            <v>3.0543037335191953E-2</v>
          </cell>
          <cell r="AA2055">
            <v>3.0487891929958932E-2</v>
          </cell>
        </row>
        <row r="2056">
          <cell r="Y2056">
            <v>53239</v>
          </cell>
          <cell r="Z2056">
            <v>3.0534436293278601E-2</v>
          </cell>
          <cell r="AA2056">
            <v>3.0478566977655275E-2</v>
          </cell>
        </row>
        <row r="2057">
          <cell r="Y2057">
            <v>53246</v>
          </cell>
          <cell r="Z2057">
            <v>3.0525242997637363E-2</v>
          </cell>
          <cell r="AA2057">
            <v>3.0469268838703156E-2</v>
          </cell>
        </row>
        <row r="2058">
          <cell r="Y2058">
            <v>53253</v>
          </cell>
          <cell r="Z2058">
            <v>3.0516076740283688E-2</v>
          </cell>
          <cell r="AA2058">
            <v>3.0459997513102577E-2</v>
          </cell>
        </row>
        <row r="2059">
          <cell r="Y2059">
            <v>53260</v>
          </cell>
          <cell r="Z2059">
            <v>3.0506937521033461E-2</v>
          </cell>
          <cell r="AA2059">
            <v>3.0450753001015629E-2</v>
          </cell>
        </row>
        <row r="2060">
          <cell r="Y2060">
            <v>53267</v>
          </cell>
          <cell r="Z2060">
            <v>3.0497825339702564E-2</v>
          </cell>
          <cell r="AA2060">
            <v>3.044153530228022E-2</v>
          </cell>
        </row>
        <row r="2061">
          <cell r="Y2061">
            <v>53274</v>
          </cell>
          <cell r="Z2061">
            <v>3.048874019610336E-2</v>
          </cell>
          <cell r="AA2061">
            <v>3.0432344416815305E-2</v>
          </cell>
        </row>
        <row r="2062">
          <cell r="Y2062">
            <v>53281</v>
          </cell>
          <cell r="Z2062">
            <v>3.0479682090054371E-2</v>
          </cell>
          <cell r="AA2062">
            <v>3.042318034486402E-2</v>
          </cell>
        </row>
        <row r="2063">
          <cell r="Y2063">
            <v>53288</v>
          </cell>
          <cell r="Z2063">
            <v>3.0470651021370605E-2</v>
          </cell>
          <cell r="AA2063">
            <v>3.0414043086345321E-2</v>
          </cell>
        </row>
        <row r="2064">
          <cell r="Y2064">
            <v>53295</v>
          </cell>
          <cell r="Z2064">
            <v>3.04610171448358E-2</v>
          </cell>
          <cell r="AA2064">
            <v>3.0404932641016069E-2</v>
          </cell>
        </row>
        <row r="2065">
          <cell r="Y2065">
            <v>53302</v>
          </cell>
          <cell r="Z2065">
            <v>3.045140808401027E-2</v>
          </cell>
          <cell r="AA2065">
            <v>3.0395849009362541E-2</v>
          </cell>
        </row>
        <row r="2066">
          <cell r="Y2066">
            <v>53309</v>
          </cell>
          <cell r="Z2066">
            <v>3.0442455752038623E-2</v>
          </cell>
          <cell r="AA2066">
            <v>3.038679219089846E-2</v>
          </cell>
        </row>
        <row r="2067">
          <cell r="Y2067">
            <v>53316</v>
          </cell>
          <cell r="Z2067">
            <v>3.0433530451801319E-2</v>
          </cell>
          <cell r="AA2067">
            <v>3.0377762185785917E-2</v>
          </cell>
        </row>
        <row r="2068">
          <cell r="Y2068">
            <v>53323</v>
          </cell>
          <cell r="Z2068">
            <v>3.0424632183121858E-2</v>
          </cell>
          <cell r="AA2068">
            <v>3.036875899410596E-2</v>
          </cell>
        </row>
        <row r="2069">
          <cell r="Y2069">
            <v>53330</v>
          </cell>
          <cell r="Z2069">
            <v>3.0415760945822844E-2</v>
          </cell>
          <cell r="AA2069">
            <v>3.0359782615777542E-2</v>
          </cell>
        </row>
        <row r="2070">
          <cell r="Y2070">
            <v>53337</v>
          </cell>
          <cell r="Z2070">
            <v>3.0406916739729568E-2</v>
          </cell>
          <cell r="AA2070">
            <v>3.0350833050962756E-2</v>
          </cell>
        </row>
        <row r="2071">
          <cell r="Y2071">
            <v>53344</v>
          </cell>
          <cell r="Z2071">
            <v>3.0398099564667339E-2</v>
          </cell>
          <cell r="AA2071">
            <v>3.0341910299499508E-2</v>
          </cell>
        </row>
        <row r="2072">
          <cell r="Y2072">
            <v>53351</v>
          </cell>
          <cell r="Z2072">
            <v>3.0389309420457849E-2</v>
          </cell>
          <cell r="AA2072">
            <v>3.0333014361225707E-2</v>
          </cell>
        </row>
        <row r="2073">
          <cell r="Y2073">
            <v>53358</v>
          </cell>
          <cell r="Z2073">
            <v>3.0379906011584301E-2</v>
          </cell>
          <cell r="AA2073">
            <v>3.0324145236546585E-2</v>
          </cell>
        </row>
        <row r="2074">
          <cell r="Y2074">
            <v>53365</v>
          </cell>
          <cell r="Z2074">
            <v>3.0371810223907302E-2</v>
          </cell>
          <cell r="AA2074">
            <v>3.0315302925056908E-2</v>
          </cell>
        </row>
        <row r="2075">
          <cell r="Y2075">
            <v>53372</v>
          </cell>
          <cell r="Z2075">
            <v>3.0362458460914669E-2</v>
          </cell>
          <cell r="AA2075">
            <v>3.0306487427080864E-2</v>
          </cell>
        </row>
        <row r="2076">
          <cell r="Y2076">
            <v>53379</v>
          </cell>
          <cell r="Z2076">
            <v>3.0353775227253445E-2</v>
          </cell>
          <cell r="AA2076">
            <v>3.0297698742375312E-2</v>
          </cell>
        </row>
        <row r="2077">
          <cell r="Y2077">
            <v>53386</v>
          </cell>
          <cell r="Z2077">
            <v>3.0347054881604791E-2</v>
          </cell>
          <cell r="AA2077">
            <v>3.0288936871183392E-2</v>
          </cell>
        </row>
        <row r="2078">
          <cell r="Y2078">
            <v>53393</v>
          </cell>
          <cell r="Z2078">
            <v>3.0338429351731793E-2</v>
          </cell>
          <cell r="AA2078">
            <v>3.0280201813099872E-2</v>
          </cell>
        </row>
        <row r="2079">
          <cell r="Y2079">
            <v>53400</v>
          </cell>
          <cell r="Z2079">
            <v>3.032983085636097E-2</v>
          </cell>
          <cell r="AA2079">
            <v>3.0271493568448937E-2</v>
          </cell>
        </row>
        <row r="2080">
          <cell r="Y2080">
            <v>53407</v>
          </cell>
          <cell r="Z2080">
            <v>3.032125939531613E-2</v>
          </cell>
          <cell r="AA2080">
            <v>3.0262812137230588E-2</v>
          </cell>
        </row>
        <row r="2081">
          <cell r="Y2081">
            <v>53414</v>
          </cell>
          <cell r="Z2081">
            <v>3.0312714968422853E-2</v>
          </cell>
          <cell r="AA2081">
            <v>3.0254157519363778E-2</v>
          </cell>
        </row>
        <row r="2082">
          <cell r="Y2082">
            <v>53421</v>
          </cell>
          <cell r="Z2082">
            <v>3.0303546029757232E-2</v>
          </cell>
          <cell r="AA2082">
            <v>3.0245529714848507E-2</v>
          </cell>
        </row>
        <row r="2083">
          <cell r="Y2083">
            <v>53428</v>
          </cell>
          <cell r="Z2083">
            <v>3.0295054441961549E-2</v>
          </cell>
          <cell r="AA2083">
            <v>3.0236928723765821E-2</v>
          </cell>
        </row>
        <row r="2084">
          <cell r="Y2084">
            <v>53435</v>
          </cell>
          <cell r="Z2084">
            <v>3.0286589885382277E-2</v>
          </cell>
          <cell r="AA2084">
            <v>3.0228354545791536E-2</v>
          </cell>
        </row>
        <row r="2085">
          <cell r="Y2085">
            <v>53442</v>
          </cell>
          <cell r="Z2085">
            <v>3.0278152359851089E-2</v>
          </cell>
          <cell r="AA2085">
            <v>3.0219807181492975E-2</v>
          </cell>
        </row>
        <row r="2086">
          <cell r="Y2086">
            <v>53449</v>
          </cell>
          <cell r="Z2086">
            <v>3.0270398340213053E-2</v>
          </cell>
          <cell r="AA2086">
            <v>3.0211286630302814E-2</v>
          </cell>
        </row>
        <row r="2087">
          <cell r="Y2087">
            <v>53456</v>
          </cell>
          <cell r="Z2087">
            <v>3.0262016114617291E-2</v>
          </cell>
          <cell r="AA2087">
            <v>3.0202792892383146E-2</v>
          </cell>
        </row>
        <row r="2088">
          <cell r="Y2088">
            <v>53463</v>
          </cell>
          <cell r="Z2088">
            <v>3.025366092197589E-2</v>
          </cell>
          <cell r="AA2088">
            <v>3.0194325967977109E-2</v>
          </cell>
        </row>
        <row r="2089">
          <cell r="Y2089">
            <v>53470</v>
          </cell>
          <cell r="Z2089">
            <v>3.0245332762116193E-2</v>
          </cell>
          <cell r="AA2089">
            <v>3.0185885856922612E-2</v>
          </cell>
        </row>
        <row r="2090">
          <cell r="Y2090">
            <v>53477</v>
          </cell>
          <cell r="Z2090">
            <v>3.0237031634868176E-2</v>
          </cell>
          <cell r="AA2090">
            <v>3.0177472559219654E-2</v>
          </cell>
        </row>
        <row r="2091">
          <cell r="Y2091">
            <v>53484</v>
          </cell>
          <cell r="Z2091">
            <v>3.0228757540066223E-2</v>
          </cell>
          <cell r="AA2091">
            <v>3.0169086074787188E-2</v>
          </cell>
        </row>
        <row r="2092">
          <cell r="Y2092">
            <v>53491</v>
          </cell>
          <cell r="Z2092">
            <v>3.0220510477540315E-2</v>
          </cell>
          <cell r="AA2092">
            <v>3.0160726403625215E-2</v>
          </cell>
        </row>
        <row r="2093">
          <cell r="Y2093">
            <v>53498</v>
          </cell>
          <cell r="Z2093">
            <v>3.0212290447124833E-2</v>
          </cell>
          <cell r="AA2093">
            <v>3.0152393545814782E-2</v>
          </cell>
        </row>
        <row r="2094">
          <cell r="Y2094">
            <v>53505</v>
          </cell>
          <cell r="Z2094">
            <v>3.020409744865328E-2</v>
          </cell>
          <cell r="AA2094">
            <v>3.0144087501355887E-2</v>
          </cell>
        </row>
        <row r="2095">
          <cell r="Y2095">
            <v>53512</v>
          </cell>
          <cell r="Z2095">
            <v>3.0195931481957396E-2</v>
          </cell>
          <cell r="AA2095">
            <v>3.0135808270329578E-2</v>
          </cell>
        </row>
        <row r="2096">
          <cell r="Y2096">
            <v>53519</v>
          </cell>
          <cell r="Z2096">
            <v>3.0187792546875092E-2</v>
          </cell>
          <cell r="AA2096">
            <v>3.0127555852573762E-2</v>
          </cell>
        </row>
        <row r="2097">
          <cell r="Y2097">
            <v>53526</v>
          </cell>
          <cell r="Z2097">
            <v>3.0179680643237224E-2</v>
          </cell>
          <cell r="AA2097">
            <v>3.0119330248088438E-2</v>
          </cell>
        </row>
        <row r="2098">
          <cell r="Y2098">
            <v>53533</v>
          </cell>
          <cell r="Z2098">
            <v>3.0171595770881705E-2</v>
          </cell>
          <cell r="AA2098">
            <v>3.01111314570357E-2</v>
          </cell>
        </row>
        <row r="2099">
          <cell r="Y2099">
            <v>53540</v>
          </cell>
          <cell r="Z2099">
            <v>3.0163537929643793E-2</v>
          </cell>
          <cell r="AA2099">
            <v>3.0102959479253455E-2</v>
          </cell>
        </row>
        <row r="2100">
          <cell r="Y2100">
            <v>53547</v>
          </cell>
          <cell r="Z2100">
            <v>3.0155507119362282E-2</v>
          </cell>
          <cell r="AA2100">
            <v>3.0094814314660656E-2</v>
          </cell>
        </row>
        <row r="2101">
          <cell r="Y2101">
            <v>53554</v>
          </cell>
          <cell r="Z2101">
            <v>3.0147503339870669E-2</v>
          </cell>
          <cell r="AA2101">
            <v>3.0086695963500443E-2</v>
          </cell>
        </row>
        <row r="2102">
          <cell r="Y2102">
            <v>53561</v>
          </cell>
          <cell r="Z2102">
            <v>3.0139526591009509E-2</v>
          </cell>
          <cell r="AA2102">
            <v>3.0078604425772815E-2</v>
          </cell>
        </row>
        <row r="2103">
          <cell r="Y2103">
            <v>53568</v>
          </cell>
          <cell r="Z2103">
            <v>3.0131576872616708E-2</v>
          </cell>
          <cell r="AA2103">
            <v>3.0070539701234633E-2</v>
          </cell>
        </row>
        <row r="2104">
          <cell r="Y2104">
            <v>53575</v>
          </cell>
          <cell r="Z2104">
            <v>3.0122975051722508E-2</v>
          </cell>
          <cell r="AA2104">
            <v>3.0062501790047991E-2</v>
          </cell>
        </row>
        <row r="2105">
          <cell r="Y2105">
            <v>53582</v>
          </cell>
          <cell r="Z2105">
            <v>3.0115078112301311E-2</v>
          </cell>
          <cell r="AA2105">
            <v>3.0054490692050795E-2</v>
          </cell>
        </row>
        <row r="2106">
          <cell r="Y2106">
            <v>53589</v>
          </cell>
          <cell r="Z2106">
            <v>3.0107208200485958E-2</v>
          </cell>
          <cell r="AA2106">
            <v>3.0046506407486184E-2</v>
          </cell>
        </row>
        <row r="2107">
          <cell r="Y2107">
            <v>53596</v>
          </cell>
          <cell r="Z2107">
            <v>3.0100048300503092E-2</v>
          </cell>
          <cell r="AA2107">
            <v>3.0038548936273113E-2</v>
          </cell>
        </row>
        <row r="2108">
          <cell r="Y2108">
            <v>53603</v>
          </cell>
          <cell r="Z2108">
            <v>3.0092233732040077E-2</v>
          </cell>
          <cell r="AA2108">
            <v>3.0030618278168442E-2</v>
          </cell>
        </row>
        <row r="2109">
          <cell r="Y2109">
            <v>53610</v>
          </cell>
          <cell r="Z2109">
            <v>3.008444619308696E-2</v>
          </cell>
          <cell r="AA2109">
            <v>3.0022714433658448E-2</v>
          </cell>
        </row>
        <row r="2110">
          <cell r="Y2110">
            <v>53617</v>
          </cell>
          <cell r="Z2110">
            <v>3.0076685683485174E-2</v>
          </cell>
          <cell r="AA2110">
            <v>3.0014837402337902E-2</v>
          </cell>
        </row>
        <row r="2111">
          <cell r="Y2111">
            <v>53624</v>
          </cell>
          <cell r="Z2111">
            <v>3.0068952203075264E-2</v>
          </cell>
          <cell r="AA2111">
            <v>3.0006987184125755E-2</v>
          </cell>
        </row>
        <row r="2112">
          <cell r="Y2112">
            <v>53631</v>
          </cell>
          <cell r="Z2112">
            <v>3.0061245751703075E-2</v>
          </cell>
          <cell r="AA2112">
            <v>2.9999163779346194E-2</v>
          </cell>
        </row>
        <row r="2113">
          <cell r="Y2113">
            <v>53638</v>
          </cell>
          <cell r="Z2113">
            <v>3.0053566329210909E-2</v>
          </cell>
          <cell r="AA2113">
            <v>2.9991367187918172E-2</v>
          </cell>
        </row>
        <row r="2114">
          <cell r="Y2114">
            <v>53645</v>
          </cell>
          <cell r="Z2114">
            <v>3.004591393544373E-2</v>
          </cell>
          <cell r="AA2114">
            <v>2.9983597409760643E-2</v>
          </cell>
        </row>
        <row r="2115">
          <cell r="Y2115">
            <v>53652</v>
          </cell>
          <cell r="Z2115">
            <v>3.0038288570245604E-2</v>
          </cell>
          <cell r="AA2115">
            <v>2.997585444479256E-2</v>
          </cell>
        </row>
        <row r="2116">
          <cell r="Y2116">
            <v>53659</v>
          </cell>
          <cell r="Z2116">
            <v>3.0030690233461492E-2</v>
          </cell>
          <cell r="AA2116">
            <v>2.9968138293338109E-2</v>
          </cell>
        </row>
        <row r="2117">
          <cell r="Y2117">
            <v>53666</v>
          </cell>
          <cell r="Z2117">
            <v>3.0021727133979364E-2</v>
          </cell>
          <cell r="AA2117">
            <v>2.9960448955073105E-2</v>
          </cell>
        </row>
        <row r="2118">
          <cell r="Y2118">
            <v>53673</v>
          </cell>
          <cell r="Z2118">
            <v>3.0014180229289356E-2</v>
          </cell>
          <cell r="AA2118">
            <v>2.9952786429835454E-2</v>
          </cell>
        </row>
        <row r="2119">
          <cell r="Y2119">
            <v>53680</v>
          </cell>
          <cell r="Z2119">
            <v>3.0006660347840941E-2</v>
          </cell>
          <cell r="AA2119">
            <v>2.9945150718192481E-2</v>
          </cell>
        </row>
        <row r="2120">
          <cell r="Y2120">
            <v>53688</v>
          </cell>
          <cell r="Z2120">
            <v>2.9998099287101843E-2</v>
          </cell>
          <cell r="AA2120">
            <v>2.9936457023050922E-2</v>
          </cell>
        </row>
        <row r="2121">
          <cell r="Y2121">
            <v>53695</v>
          </cell>
          <cell r="Z2121">
            <v>2.9990637312091815E-2</v>
          </cell>
          <cell r="AA2121">
            <v>2.9928878768601397E-2</v>
          </cell>
        </row>
        <row r="2122">
          <cell r="Y2122">
            <v>53702</v>
          </cell>
          <cell r="Z2122">
            <v>2.9983202359853314E-2</v>
          </cell>
          <cell r="AA2122">
            <v>2.9921327327098179E-2</v>
          </cell>
        </row>
        <row r="2123">
          <cell r="Y2123">
            <v>53709</v>
          </cell>
          <cell r="Z2123">
            <v>2.9975794430240454E-2</v>
          </cell>
          <cell r="AA2123">
            <v>2.9913802698946501E-2</v>
          </cell>
        </row>
        <row r="2124">
          <cell r="Y2124">
            <v>53716</v>
          </cell>
          <cell r="Z2124">
            <v>2.9968413523104656E-2</v>
          </cell>
          <cell r="AA2124">
            <v>2.9906304884146362E-2</v>
          </cell>
        </row>
        <row r="2125">
          <cell r="Y2125">
            <v>53723</v>
          </cell>
          <cell r="Z2125">
            <v>2.9960353238287208E-2</v>
          </cell>
          <cell r="AA2125">
            <v>2.9898833882616715E-2</v>
          </cell>
        </row>
        <row r="2126">
          <cell r="Y2126">
            <v>53730</v>
          </cell>
          <cell r="Z2126">
            <v>2.9953025044810136E-2</v>
          </cell>
          <cell r="AA2126">
            <v>2.9891389694195469E-2</v>
          </cell>
        </row>
        <row r="2127">
          <cell r="Y2127">
            <v>53737</v>
          </cell>
          <cell r="Z2127">
            <v>2.9945723871028434E-2</v>
          </cell>
          <cell r="AA2127">
            <v>2.9883972319125762E-2</v>
          </cell>
        </row>
        <row r="2128">
          <cell r="Y2128">
            <v>53744</v>
          </cell>
          <cell r="Z2128">
            <v>2.9938449716798224E-2</v>
          </cell>
          <cell r="AA2128">
            <v>2.9876581757569687E-2</v>
          </cell>
        </row>
        <row r="2129">
          <cell r="Y2129">
            <v>53751</v>
          </cell>
          <cell r="Z2129">
            <v>2.993333829488596E-2</v>
          </cell>
          <cell r="AA2129">
            <v>2.9869218009122012E-2</v>
          </cell>
        </row>
        <row r="2130">
          <cell r="Y2130">
            <v>53758</v>
          </cell>
          <cell r="Z2130">
            <v>2.9926122200871881E-2</v>
          </cell>
          <cell r="AA2130">
            <v>2.9861881073944829E-2</v>
          </cell>
        </row>
        <row r="2131">
          <cell r="Y2131">
            <v>53765</v>
          </cell>
          <cell r="Z2131">
            <v>2.9918933132998114E-2</v>
          </cell>
          <cell r="AA2131">
            <v>2.9854570951876047E-2</v>
          </cell>
        </row>
        <row r="2132">
          <cell r="Y2132">
            <v>53772</v>
          </cell>
          <cell r="Z2132">
            <v>2.9911771091120181E-2</v>
          </cell>
          <cell r="AA2132">
            <v>2.9847287643320897E-2</v>
          </cell>
        </row>
        <row r="2133">
          <cell r="Y2133">
            <v>53779</v>
          </cell>
          <cell r="Z2133">
            <v>2.990463607509097E-2</v>
          </cell>
          <cell r="AA2133">
            <v>2.9840031147955193E-2</v>
          </cell>
        </row>
        <row r="2134">
          <cell r="Y2134">
            <v>53786</v>
          </cell>
          <cell r="Z2134">
            <v>2.9896809286288972E-2</v>
          </cell>
          <cell r="AA2134">
            <v>2.9832801465697889E-2</v>
          </cell>
        </row>
        <row r="2135">
          <cell r="Y2135">
            <v>53793</v>
          </cell>
          <cell r="Z2135">
            <v>2.9889726969051039E-2</v>
          </cell>
          <cell r="AA2135">
            <v>2.9828420169859315E-2</v>
          </cell>
        </row>
        <row r="2136">
          <cell r="Y2136">
            <v>53800</v>
          </cell>
          <cell r="Z2136">
            <v>2.988267167490084E-2</v>
          </cell>
          <cell r="AA2136">
            <v>2.9818422541237899E-2</v>
          </cell>
        </row>
        <row r="2137">
          <cell r="Y2137">
            <v>53807</v>
          </cell>
          <cell r="Z2137">
            <v>2.9875643403694096E-2</v>
          </cell>
          <cell r="AA2137">
            <v>2.9811273298954166E-2</v>
          </cell>
        </row>
        <row r="2138">
          <cell r="Y2138">
            <v>53814</v>
          </cell>
          <cell r="Z2138">
            <v>2.9869366377643813E-2</v>
          </cell>
          <cell r="AA2138">
            <v>2.9804150869697787E-2</v>
          </cell>
        </row>
        <row r="2139">
          <cell r="Y2139">
            <v>53821</v>
          </cell>
          <cell r="Z2139">
            <v>2.9862393513694119E-2</v>
          </cell>
          <cell r="AA2139">
            <v>2.979705525395504E-2</v>
          </cell>
        </row>
        <row r="2140">
          <cell r="Y2140">
            <v>53828</v>
          </cell>
          <cell r="Z2140">
            <v>2.9855447674591522E-2</v>
          </cell>
          <cell r="AA2140">
            <v>2.9789986451320694E-2</v>
          </cell>
        </row>
        <row r="2141">
          <cell r="Y2141">
            <v>53835</v>
          </cell>
          <cell r="Z2141">
            <v>2.9848528860195067E-2</v>
          </cell>
          <cell r="AA2141">
            <v>2.9782944461875793E-2</v>
          </cell>
        </row>
        <row r="2142">
          <cell r="Y2142">
            <v>53842</v>
          </cell>
          <cell r="Z2142">
            <v>2.9841637070368212E-2</v>
          </cell>
          <cell r="AA2142">
            <v>2.9775929285863478E-2</v>
          </cell>
        </row>
        <row r="2143">
          <cell r="Y2143">
            <v>53849</v>
          </cell>
          <cell r="Z2143">
            <v>2.9834772304967363E-2</v>
          </cell>
          <cell r="AA2143">
            <v>2.9768940922959564E-2</v>
          </cell>
        </row>
        <row r="2144">
          <cell r="Y2144">
            <v>53856</v>
          </cell>
          <cell r="Z2144">
            <v>2.9827934563855095E-2</v>
          </cell>
          <cell r="AA2144">
            <v>2.9761979373488234E-2</v>
          </cell>
        </row>
        <row r="2145">
          <cell r="Y2145">
            <v>53863</v>
          </cell>
          <cell r="Z2145">
            <v>2.9821123846892218E-2</v>
          </cell>
          <cell r="AA2145">
            <v>2.9755044637044259E-2</v>
          </cell>
        </row>
        <row r="2146">
          <cell r="Y2146">
            <v>53870</v>
          </cell>
          <cell r="Z2146">
            <v>2.9814340153941302E-2</v>
          </cell>
          <cell r="AA2146">
            <v>2.9748136713951823E-2</v>
          </cell>
        </row>
        <row r="2147">
          <cell r="Y2147">
            <v>53877</v>
          </cell>
          <cell r="Z2147">
            <v>2.980758348486405E-2</v>
          </cell>
          <cell r="AA2147">
            <v>2.9741255604129879E-2</v>
          </cell>
        </row>
        <row r="2148">
          <cell r="Y2148">
            <v>53884</v>
          </cell>
          <cell r="Z2148">
            <v>2.980085383952567E-2</v>
          </cell>
          <cell r="AA2148">
            <v>2.9734401307497382E-2</v>
          </cell>
        </row>
        <row r="2149">
          <cell r="Y2149">
            <v>53891</v>
          </cell>
          <cell r="Z2149">
            <v>2.9794151217783452E-2</v>
          </cell>
          <cell r="AA2149">
            <v>2.9727573823973286E-2</v>
          </cell>
        </row>
        <row r="2150">
          <cell r="Y2150">
            <v>53898</v>
          </cell>
          <cell r="Z2150">
            <v>2.9787475619508782E-2</v>
          </cell>
          <cell r="AA2150">
            <v>2.9720773153881774E-2</v>
          </cell>
        </row>
        <row r="2151">
          <cell r="Y2151">
            <v>53905</v>
          </cell>
          <cell r="Z2151">
            <v>2.978082704456159E-2</v>
          </cell>
          <cell r="AA2151">
            <v>2.971399929697971E-2</v>
          </cell>
        </row>
        <row r="2152">
          <cell r="Y2152">
            <v>53912</v>
          </cell>
          <cell r="Z2152">
            <v>2.9774205492811491E-2</v>
          </cell>
          <cell r="AA2152">
            <v>2.9707252253348138E-2</v>
          </cell>
        </row>
        <row r="2153">
          <cell r="Y2153">
            <v>53919</v>
          </cell>
          <cell r="Z2153">
            <v>2.9767610964120186E-2</v>
          </cell>
          <cell r="AA2153">
            <v>2.9700532022906012E-2</v>
          </cell>
        </row>
        <row r="2154">
          <cell r="Y2154">
            <v>53926</v>
          </cell>
          <cell r="Z2154">
            <v>2.9761043458353769E-2</v>
          </cell>
          <cell r="AA2154">
            <v>2.9693838605653333E-2</v>
          </cell>
        </row>
        <row r="2155">
          <cell r="Y2155">
            <v>53933</v>
          </cell>
          <cell r="Z2155">
            <v>2.9754502975383623E-2</v>
          </cell>
          <cell r="AA2155">
            <v>2.9687172001752193E-2</v>
          </cell>
        </row>
        <row r="2156">
          <cell r="Y2156">
            <v>53940</v>
          </cell>
          <cell r="Z2156">
            <v>2.9747240426114274E-2</v>
          </cell>
          <cell r="AA2156">
            <v>2.9680532210878408E-2</v>
          </cell>
        </row>
        <row r="2157">
          <cell r="Y2157">
            <v>53947</v>
          </cell>
          <cell r="Z2157">
            <v>2.9740752584930398E-2</v>
          </cell>
          <cell r="AA2157">
            <v>2.9673919233356161E-2</v>
          </cell>
        </row>
        <row r="2158">
          <cell r="Y2158">
            <v>53954</v>
          </cell>
          <cell r="Z2158">
            <v>2.9734291763844456E-2</v>
          </cell>
          <cell r="AA2158">
            <v>2.9667333069104407E-2</v>
          </cell>
        </row>
        <row r="2159">
          <cell r="Y2159">
            <v>53961</v>
          </cell>
          <cell r="Z2159">
            <v>2.9728611268786818E-2</v>
          </cell>
          <cell r="AA2159">
            <v>2.9660773718123146E-2</v>
          </cell>
        </row>
        <row r="2160">
          <cell r="Y2160">
            <v>53968</v>
          </cell>
          <cell r="Z2160">
            <v>2.9722205897801824E-2</v>
          </cell>
          <cell r="AA2160">
            <v>2.9654241180088192E-2</v>
          </cell>
        </row>
        <row r="2161">
          <cell r="Y2161">
            <v>53975</v>
          </cell>
          <cell r="Z2161">
            <v>2.9715827548823778E-2</v>
          </cell>
          <cell r="AA2161">
            <v>2.964773545556687E-2</v>
          </cell>
        </row>
        <row r="2162">
          <cell r="Y2162">
            <v>53982</v>
          </cell>
          <cell r="Z2162">
            <v>2.9709476221723187E-2</v>
          </cell>
          <cell r="AA2162">
            <v>2.9641256544153949E-2</v>
          </cell>
        </row>
        <row r="2163">
          <cell r="Y2163">
            <v>53989</v>
          </cell>
          <cell r="Z2163">
            <v>2.9703151916369668E-2</v>
          </cell>
          <cell r="AA2163">
            <v>2.9634804445849428E-2</v>
          </cell>
        </row>
        <row r="2164">
          <cell r="Y2164">
            <v>53996</v>
          </cell>
          <cell r="Z2164">
            <v>2.9696854632635491E-2</v>
          </cell>
          <cell r="AA2164">
            <v>2.9628379160815399E-2</v>
          </cell>
        </row>
        <row r="2165">
          <cell r="Y2165">
            <v>54003</v>
          </cell>
          <cell r="Z2165">
            <v>2.9690584370393795E-2</v>
          </cell>
          <cell r="AA2165">
            <v>2.9621980689213956E-2</v>
          </cell>
        </row>
        <row r="2166">
          <cell r="Y2166">
            <v>54010</v>
          </cell>
          <cell r="Z2166">
            <v>2.9684341129516845E-2</v>
          </cell>
          <cell r="AA2166">
            <v>2.9615609030720913E-2</v>
          </cell>
        </row>
        <row r="2167">
          <cell r="Y2167">
            <v>54017</v>
          </cell>
          <cell r="Z2167">
            <v>2.9678124909876025E-2</v>
          </cell>
          <cell r="AA2167">
            <v>2.9609264185174178E-2</v>
          </cell>
        </row>
        <row r="2168">
          <cell r="Y2168">
            <v>54024</v>
          </cell>
          <cell r="Z2168">
            <v>2.9671935711348886E-2</v>
          </cell>
          <cell r="AA2168">
            <v>2.9602946153141074E-2</v>
          </cell>
        </row>
        <row r="2169">
          <cell r="Y2169">
            <v>54031</v>
          </cell>
          <cell r="Z2169">
            <v>2.9665006021755331E-2</v>
          </cell>
          <cell r="AA2169">
            <v>2.9596654934378464E-2</v>
          </cell>
        </row>
        <row r="2170">
          <cell r="Y2170">
            <v>54038</v>
          </cell>
          <cell r="Z2170">
            <v>2.9658869431904347E-2</v>
          </cell>
          <cell r="AA2170">
            <v>2.9590390528643207E-2</v>
          </cell>
        </row>
        <row r="2171">
          <cell r="Y2171">
            <v>54045</v>
          </cell>
          <cell r="Z2171">
            <v>2.9652759860508995E-2</v>
          </cell>
          <cell r="AA2171">
            <v>2.9584152936097396E-2</v>
          </cell>
        </row>
        <row r="2172">
          <cell r="Y2172">
            <v>54053</v>
          </cell>
          <cell r="Z2172">
            <v>2.9645810576867691E-2</v>
          </cell>
          <cell r="AA2172">
            <v>2.9578569395790625E-2</v>
          </cell>
        </row>
        <row r="2173">
          <cell r="Y2173">
            <v>54060</v>
          </cell>
          <cell r="Z2173">
            <v>2.9642853836206913E-2</v>
          </cell>
          <cell r="AA2173">
            <v>2.9572392089763925E-2</v>
          </cell>
        </row>
        <row r="2174">
          <cell r="Y2174">
            <v>54067</v>
          </cell>
          <cell r="Z2174">
            <v>2.9633734244714854E-2</v>
          </cell>
          <cell r="AA2174">
            <v>2.9566241601465263E-2</v>
          </cell>
        </row>
        <row r="2175">
          <cell r="Y2175">
            <v>54074</v>
          </cell>
          <cell r="Z2175">
            <v>2.9627736605624524E-2</v>
          </cell>
          <cell r="AA2175">
            <v>2.9560117930894639E-2</v>
          </cell>
        </row>
        <row r="2176">
          <cell r="Y2176">
            <v>54081</v>
          </cell>
          <cell r="Z2176">
            <v>2.9621765984368172E-2</v>
          </cell>
          <cell r="AA2176">
            <v>2.95540210781331E-2</v>
          </cell>
        </row>
        <row r="2177">
          <cell r="Y2177">
            <v>54088</v>
          </cell>
          <cell r="Z2177">
            <v>2.9615043313013373E-2</v>
          </cell>
          <cell r="AA2177">
            <v>2.9547951043072583E-2</v>
          </cell>
        </row>
        <row r="2178">
          <cell r="Y2178">
            <v>54095</v>
          </cell>
          <cell r="Z2178">
            <v>2.9609125275645461E-2</v>
          </cell>
          <cell r="AA2178">
            <v>2.9541907825794137E-2</v>
          </cell>
        </row>
        <row r="2179">
          <cell r="Y2179">
            <v>54102</v>
          </cell>
          <cell r="Z2179">
            <v>2.9603234253481155E-2</v>
          </cell>
          <cell r="AA2179">
            <v>2.9535891426216713E-2</v>
          </cell>
        </row>
        <row r="2180">
          <cell r="Y2180">
            <v>54109</v>
          </cell>
          <cell r="Z2180">
            <v>2.9597370246404287E-2</v>
          </cell>
          <cell r="AA2180">
            <v>2.952990184439434E-2</v>
          </cell>
        </row>
        <row r="2181">
          <cell r="Y2181">
            <v>54116</v>
          </cell>
          <cell r="Z2181">
            <v>2.9592318141401265E-2</v>
          </cell>
          <cell r="AA2181">
            <v>2.9523939080272992E-2</v>
          </cell>
        </row>
        <row r="2182">
          <cell r="Y2182">
            <v>54123</v>
          </cell>
          <cell r="Z2182">
            <v>2.9588869759789135E-2</v>
          </cell>
          <cell r="AA2182">
            <v>2.9518003133879683E-2</v>
          </cell>
        </row>
        <row r="2183">
          <cell r="Y2183">
            <v>54130</v>
          </cell>
          <cell r="Z2183">
            <v>2.9583092650021379E-2</v>
          </cell>
          <cell r="AA2183">
            <v>2.9512094005214411E-2</v>
          </cell>
        </row>
        <row r="2184">
          <cell r="Y2184">
            <v>54137</v>
          </cell>
          <cell r="Z2184">
            <v>2.9577342563934055E-2</v>
          </cell>
          <cell r="AA2184">
            <v>2.9506211694304195E-2</v>
          </cell>
        </row>
        <row r="2185">
          <cell r="Y2185">
            <v>54144</v>
          </cell>
          <cell r="Z2185">
            <v>2.9571619501410771E-2</v>
          </cell>
          <cell r="AA2185">
            <v>2.9500356201067984E-2</v>
          </cell>
        </row>
        <row r="2186">
          <cell r="Y2186">
            <v>54155</v>
          </cell>
          <cell r="Z2186">
            <v>2.9560300456718078E-2</v>
          </cell>
          <cell r="AA2186">
            <v>2.9489654910017649E-2</v>
          </cell>
        </row>
        <row r="2187">
          <cell r="Y2187">
            <v>54162</v>
          </cell>
          <cell r="Z2187">
            <v>2.9554642461807099E-2</v>
          </cell>
          <cell r="AA2187">
            <v>2.9483865480873783E-2</v>
          </cell>
        </row>
        <row r="2188">
          <cell r="Y2188">
            <v>54169</v>
          </cell>
          <cell r="Z2188">
            <v>2.9549011483263249E-2</v>
          </cell>
          <cell r="AA2188">
            <v>2.9478102865000411E-2</v>
          </cell>
        </row>
        <row r="2189">
          <cell r="Y2189">
            <v>54176</v>
          </cell>
          <cell r="Z2189">
            <v>2.9543407520971638E-2</v>
          </cell>
          <cell r="AA2189">
            <v>2.9472367062235438E-2</v>
          </cell>
        </row>
        <row r="2190">
          <cell r="Y2190">
            <v>54183</v>
          </cell>
          <cell r="Z2190">
            <v>2.9538629718179041E-2</v>
          </cell>
          <cell r="AA2190">
            <v>2.9466658072740959E-2</v>
          </cell>
        </row>
        <row r="2191">
          <cell r="Y2191">
            <v>54190</v>
          </cell>
          <cell r="Z2191">
            <v>2.9533081270464334E-2</v>
          </cell>
          <cell r="AA2191">
            <v>2.946097589635488E-2</v>
          </cell>
        </row>
        <row r="2192">
          <cell r="Y2192">
            <v>54197</v>
          </cell>
          <cell r="Z2192">
            <v>2.9527559840921858E-2</v>
          </cell>
          <cell r="AA2192">
            <v>2.9455320533239293E-2</v>
          </cell>
        </row>
        <row r="2193">
          <cell r="Y2193">
            <v>54204</v>
          </cell>
          <cell r="Z2193">
            <v>2.9522065429437087E-2</v>
          </cell>
          <cell r="AA2193">
            <v>2.9449691983313153E-2</v>
          </cell>
        </row>
        <row r="2194">
          <cell r="Y2194">
            <v>54211</v>
          </cell>
          <cell r="Z2194">
            <v>2.9516598035900784E-2</v>
          </cell>
          <cell r="AA2194">
            <v>2.9444090246495414E-2</v>
          </cell>
        </row>
        <row r="2195">
          <cell r="Y2195">
            <v>54218</v>
          </cell>
          <cell r="Z2195">
            <v>2.9511157660201074E-2</v>
          </cell>
          <cell r="AA2195">
            <v>2.9438515322786074E-2</v>
          </cell>
        </row>
        <row r="2196">
          <cell r="Y2196">
            <v>54225</v>
          </cell>
          <cell r="Z2196">
            <v>2.9505744302228722E-2</v>
          </cell>
          <cell r="AA2196">
            <v>2.9432967212266181E-2</v>
          </cell>
        </row>
        <row r="2197">
          <cell r="Y2197">
            <v>54232</v>
          </cell>
          <cell r="Z2197">
            <v>2.950035796187184E-2</v>
          </cell>
          <cell r="AA2197">
            <v>2.9427445915016781E-2</v>
          </cell>
        </row>
        <row r="2198">
          <cell r="Y2198">
            <v>54239</v>
          </cell>
          <cell r="Z2198">
            <v>2.9494998639024727E-2</v>
          </cell>
          <cell r="AA2198">
            <v>2.9421951430875781E-2</v>
          </cell>
        </row>
        <row r="2199">
          <cell r="Y2199">
            <v>54246</v>
          </cell>
          <cell r="Z2199">
            <v>2.9489666333574614E-2</v>
          </cell>
          <cell r="AA2199">
            <v>2.9416483759924228E-2</v>
          </cell>
        </row>
        <row r="2200">
          <cell r="Y2200">
            <v>54253</v>
          </cell>
          <cell r="Z2200">
            <v>2.9484361045416674E-2</v>
          </cell>
          <cell r="AA2200">
            <v>2.9411042902162121E-2</v>
          </cell>
        </row>
        <row r="2201">
          <cell r="Y2201">
            <v>54260</v>
          </cell>
          <cell r="Z2201">
            <v>2.9479082774441667E-2</v>
          </cell>
          <cell r="AA2201">
            <v>2.9405628857589461E-2</v>
          </cell>
        </row>
        <row r="2202">
          <cell r="Y2202">
            <v>54267</v>
          </cell>
          <cell r="Z2202">
            <v>2.9473831520544766E-2</v>
          </cell>
          <cell r="AA2202">
            <v>2.9400241626125201E-2</v>
          </cell>
        </row>
        <row r="2203">
          <cell r="Y2203">
            <v>54274</v>
          </cell>
          <cell r="Z2203">
            <v>2.946860728361585E-2</v>
          </cell>
          <cell r="AA2203">
            <v>2.9394881207850387E-2</v>
          </cell>
        </row>
        <row r="2204">
          <cell r="Y2204">
            <v>54281</v>
          </cell>
          <cell r="Z2204">
            <v>2.9463410063550969E-2</v>
          </cell>
          <cell r="AA2204">
            <v>2.938954760276502E-2</v>
          </cell>
        </row>
        <row r="2205">
          <cell r="Y2205">
            <v>54288</v>
          </cell>
          <cell r="Z2205">
            <v>2.9458239860244415E-2</v>
          </cell>
          <cell r="AA2205">
            <v>2.93842408108691E-2</v>
          </cell>
        </row>
        <row r="2206">
          <cell r="Y2206">
            <v>54295</v>
          </cell>
          <cell r="Z2206">
            <v>2.9453096673592229E-2</v>
          </cell>
          <cell r="AA2206">
            <v>2.9378960831919487E-2</v>
          </cell>
        </row>
        <row r="2207">
          <cell r="Y2207">
            <v>54302</v>
          </cell>
          <cell r="Z2207">
            <v>2.9447155853566869E-2</v>
          </cell>
          <cell r="AA2207">
            <v>2.9373707666240367E-2</v>
          </cell>
        </row>
        <row r="2208">
          <cell r="Y2208">
            <v>54309</v>
          </cell>
          <cell r="Z2208">
            <v>2.9442065179355575E-2</v>
          </cell>
          <cell r="AA2208">
            <v>2.9368481313912786E-2</v>
          </cell>
        </row>
        <row r="2209">
          <cell r="Y2209">
            <v>54316</v>
          </cell>
          <cell r="Z2209">
            <v>2.9437001519251021E-2</v>
          </cell>
          <cell r="AA2209">
            <v>2.936328177461256E-2</v>
          </cell>
        </row>
        <row r="2210">
          <cell r="Y2210">
            <v>54323</v>
          </cell>
          <cell r="Z2210">
            <v>2.9431964873154349E-2</v>
          </cell>
          <cell r="AA2210">
            <v>2.9358109048339687E-2</v>
          </cell>
        </row>
        <row r="2211">
          <cell r="Y2211">
            <v>54330</v>
          </cell>
          <cell r="Z2211">
            <v>2.9426955240964916E-2</v>
          </cell>
          <cell r="AA2211">
            <v>2.9352963135499399E-2</v>
          </cell>
        </row>
        <row r="2212">
          <cell r="Y2212">
            <v>54337</v>
          </cell>
          <cell r="Z2212">
            <v>2.9422804897605001E-2</v>
          </cell>
          <cell r="AA2212">
            <v>2.9347844035524373E-2</v>
          </cell>
        </row>
        <row r="2213">
          <cell r="Y2213">
            <v>54344</v>
          </cell>
          <cell r="Z2213">
            <v>2.9417850824641305E-2</v>
          </cell>
          <cell r="AA2213">
            <v>2.9342751748900886E-2</v>
          </cell>
        </row>
        <row r="2214">
          <cell r="Y2214">
            <v>54351</v>
          </cell>
          <cell r="Z2214">
            <v>2.941292376751007E-2</v>
          </cell>
          <cell r="AA2214">
            <v>2.9337686275223707E-2</v>
          </cell>
        </row>
        <row r="2215">
          <cell r="Y2215">
            <v>54358</v>
          </cell>
          <cell r="Z2215">
            <v>2.9408023726114386E-2</v>
          </cell>
          <cell r="AA2215">
            <v>2.9332647614979113E-2</v>
          </cell>
        </row>
        <row r="2216">
          <cell r="Y2216">
            <v>54365</v>
          </cell>
          <cell r="Z2216">
            <v>2.9403150700356474E-2</v>
          </cell>
          <cell r="AA2216">
            <v>2.9327635767842919E-2</v>
          </cell>
        </row>
        <row r="2217">
          <cell r="Y2217">
            <v>54372</v>
          </cell>
          <cell r="Z2217">
            <v>2.9398304690132382E-2</v>
          </cell>
          <cell r="AA2217">
            <v>2.9322650733653033E-2</v>
          </cell>
        </row>
        <row r="2218">
          <cell r="Y2218">
            <v>54379</v>
          </cell>
          <cell r="Z2218">
            <v>2.9393485695347849E-2</v>
          </cell>
          <cell r="AA2218">
            <v>2.9317692512652593E-2</v>
          </cell>
        </row>
        <row r="2219">
          <cell r="Y2219">
            <v>54386</v>
          </cell>
          <cell r="Z2219">
            <v>2.938869371590333E-2</v>
          </cell>
          <cell r="AA2219">
            <v>2.9312761104922647E-2</v>
          </cell>
        </row>
        <row r="2220">
          <cell r="Y2220">
            <v>54393</v>
          </cell>
          <cell r="Z2220">
            <v>2.9382239762620915E-2</v>
          </cell>
          <cell r="AA2220">
            <v>2.93078565103011E-2</v>
          </cell>
        </row>
        <row r="2221">
          <cell r="Y2221">
            <v>54400</v>
          </cell>
          <cell r="Z2221">
            <v>2.937749871482661E-2</v>
          </cell>
          <cell r="AA2221">
            <v>2.9302978728787954E-2</v>
          </cell>
        </row>
        <row r="2222">
          <cell r="Y2222">
            <v>54407</v>
          </cell>
          <cell r="Z2222">
            <v>2.9372784677643288E-2</v>
          </cell>
          <cell r="AA2222">
            <v>2.9298127760464254E-2</v>
          </cell>
        </row>
        <row r="2223">
          <cell r="Y2223">
            <v>54414</v>
          </cell>
          <cell r="Z2223">
            <v>2.9368097650977292E-2</v>
          </cell>
          <cell r="AA2223">
            <v>2.9293303605248955E-2</v>
          </cell>
        </row>
        <row r="2224">
          <cell r="Y2224">
            <v>54421</v>
          </cell>
          <cell r="Z2224">
            <v>2.9363437634734976E-2</v>
          </cell>
          <cell r="AA2224">
            <v>2.9288506263061009E-2</v>
          </cell>
        </row>
        <row r="2225">
          <cell r="Y2225">
            <v>54428</v>
          </cell>
          <cell r="Z2225">
            <v>2.9358804628824481E-2</v>
          </cell>
          <cell r="AA2225">
            <v>2.9283735734224603E-2</v>
          </cell>
        </row>
        <row r="2226">
          <cell r="Y2226">
            <v>54435</v>
          </cell>
          <cell r="Z2226">
            <v>2.9354198633153954E-2</v>
          </cell>
          <cell r="AA2226">
            <v>2.9278992018496597E-2</v>
          </cell>
        </row>
        <row r="2227">
          <cell r="Y2227">
            <v>54442</v>
          </cell>
          <cell r="Z2227">
            <v>2.9350474936809468E-2</v>
          </cell>
          <cell r="AA2227">
            <v>2.9274275115876991E-2</v>
          </cell>
        </row>
        <row r="2228">
          <cell r="Y2228">
            <v>54449</v>
          </cell>
          <cell r="Z2228">
            <v>2.9345067672165409E-2</v>
          </cell>
          <cell r="AA2228">
            <v>2.9269585026284739E-2</v>
          </cell>
        </row>
        <row r="2229">
          <cell r="Y2229">
            <v>54456</v>
          </cell>
          <cell r="Z2229">
            <v>2.9341401127554595E-2</v>
          </cell>
          <cell r="AA2229">
            <v>2.926492174996298E-2</v>
          </cell>
        </row>
        <row r="2230">
          <cell r="Y2230">
            <v>54463</v>
          </cell>
          <cell r="Z2230">
            <v>2.9336044751047119E-2</v>
          </cell>
          <cell r="AA2230">
            <v>2.9260285286749621E-2</v>
          </cell>
        </row>
        <row r="2231">
          <cell r="Y2231">
            <v>54470</v>
          </cell>
          <cell r="Z2231">
            <v>2.933157380521487E-2</v>
          </cell>
          <cell r="AA2231">
            <v>2.9255675636725709E-2</v>
          </cell>
        </row>
        <row r="2232">
          <cell r="Y2232">
            <v>54477</v>
          </cell>
          <cell r="Z2232">
            <v>2.9327129869080482E-2</v>
          </cell>
          <cell r="AA2232">
            <v>2.9251092799567058E-2</v>
          </cell>
        </row>
        <row r="2233">
          <cell r="Y2233">
            <v>54484</v>
          </cell>
          <cell r="Z2233">
            <v>2.9324442561074141E-2</v>
          </cell>
          <cell r="AA2233">
            <v>2.9246536775840992E-2</v>
          </cell>
        </row>
        <row r="2234">
          <cell r="Y2234">
            <v>54491</v>
          </cell>
          <cell r="Z2234">
            <v>2.9320055800393034E-2</v>
          </cell>
          <cell r="AA2234">
            <v>2.9242007565142281E-2</v>
          </cell>
        </row>
        <row r="2235">
          <cell r="Y2235">
            <v>54498</v>
          </cell>
          <cell r="Z2235">
            <v>2.9315696053561394E-2</v>
          </cell>
          <cell r="AA2235">
            <v>2.9237505167551969E-2</v>
          </cell>
        </row>
        <row r="2236">
          <cell r="Y2236">
            <v>54505</v>
          </cell>
          <cell r="Z2236">
            <v>2.9311363320494645E-2</v>
          </cell>
          <cell r="AA2236">
            <v>2.9233029583070058E-2</v>
          </cell>
        </row>
        <row r="2237">
          <cell r="Y2237">
            <v>54512</v>
          </cell>
          <cell r="Z2237">
            <v>2.9307057601102943E-2</v>
          </cell>
          <cell r="AA2237">
            <v>2.9228580811777594E-2</v>
          </cell>
        </row>
        <row r="2238">
          <cell r="Y2238">
            <v>54519</v>
          </cell>
          <cell r="Z2238">
            <v>2.9301906074058276E-2</v>
          </cell>
          <cell r="AA2238">
            <v>2.9224158853674576E-2</v>
          </cell>
        </row>
        <row r="2239">
          <cell r="Y2239">
            <v>54526</v>
          </cell>
          <cell r="Z2239">
            <v>2.9297652792426361E-2</v>
          </cell>
          <cell r="AA2239">
            <v>2.9219763708517865E-2</v>
          </cell>
        </row>
        <row r="2240">
          <cell r="Y2240">
            <v>54533</v>
          </cell>
          <cell r="Z2240">
            <v>2.9293426522008462E-2</v>
          </cell>
          <cell r="AA2240">
            <v>2.9215395376712694E-2</v>
          </cell>
        </row>
        <row r="2241">
          <cell r="Y2241">
            <v>54540</v>
          </cell>
          <cell r="Z2241">
            <v>2.9289227262717286E-2</v>
          </cell>
          <cell r="AA2241">
            <v>2.9211053857934877E-2</v>
          </cell>
        </row>
        <row r="2242">
          <cell r="Y2242">
            <v>54547</v>
          </cell>
          <cell r="Z2242">
            <v>2.9285934206250176E-2</v>
          </cell>
          <cell r="AA2242">
            <v>2.9206739152184413E-2</v>
          </cell>
        </row>
        <row r="2243">
          <cell r="Y2243">
            <v>54554</v>
          </cell>
          <cell r="Z2243">
            <v>2.928179056710015E-2</v>
          </cell>
          <cell r="AA2243">
            <v>2.9202451259623396E-2</v>
          </cell>
        </row>
        <row r="2244">
          <cell r="Y2244">
            <v>54561</v>
          </cell>
          <cell r="Z2244">
            <v>2.9277673941026129E-2</v>
          </cell>
          <cell r="AA2244">
            <v>2.919819018017078E-2</v>
          </cell>
        </row>
        <row r="2245">
          <cell r="Y2245">
            <v>54568</v>
          </cell>
          <cell r="Z2245">
            <v>2.9273584327945301E-2</v>
          </cell>
          <cell r="AA2245">
            <v>2.9193955913826564E-2</v>
          </cell>
        </row>
        <row r="2246">
          <cell r="Y2246">
            <v>54575</v>
          </cell>
          <cell r="Z2246">
            <v>2.9269521727773098E-2</v>
          </cell>
          <cell r="AA2246">
            <v>2.9189748460509701E-2</v>
          </cell>
        </row>
        <row r="2247">
          <cell r="Y2247">
            <v>54582</v>
          </cell>
          <cell r="Z2247">
            <v>2.9265486140430237E-2</v>
          </cell>
          <cell r="AA2247">
            <v>2.9185567820625424E-2</v>
          </cell>
        </row>
        <row r="2248">
          <cell r="Y2248">
            <v>54589</v>
          </cell>
          <cell r="Z2248">
            <v>2.9261477565832146E-2</v>
          </cell>
          <cell r="AA2248">
            <v>2.9181413993687455E-2</v>
          </cell>
        </row>
        <row r="2249">
          <cell r="Y2249">
            <v>54596</v>
          </cell>
          <cell r="Z2249">
            <v>2.9257496003899541E-2</v>
          </cell>
          <cell r="AA2249">
            <v>2.9177286979857886E-2</v>
          </cell>
        </row>
        <row r="2250">
          <cell r="Y2250">
            <v>54603</v>
          </cell>
          <cell r="Z2250">
            <v>2.9253541454548733E-2</v>
          </cell>
          <cell r="AA2250">
            <v>2.9173186778974625E-2</v>
          </cell>
        </row>
        <row r="2251">
          <cell r="Y2251">
            <v>54610</v>
          </cell>
          <cell r="Z2251">
            <v>2.9249613917703962E-2</v>
          </cell>
          <cell r="AA2251">
            <v>2.9169113391523949E-2</v>
          </cell>
        </row>
        <row r="2252">
          <cell r="Y2252">
            <v>54617</v>
          </cell>
          <cell r="Z2252">
            <v>2.9245713393280658E-2</v>
          </cell>
          <cell r="AA2252">
            <v>2.9165066816938534E-2</v>
          </cell>
        </row>
        <row r="2253">
          <cell r="Y2253">
            <v>54624</v>
          </cell>
          <cell r="Z2253">
            <v>2.9241839881203057E-2</v>
          </cell>
          <cell r="AA2253">
            <v>2.9161047055542566E-2</v>
          </cell>
        </row>
        <row r="2254">
          <cell r="Y2254">
            <v>54631</v>
          </cell>
          <cell r="Z2254">
            <v>2.9237993381392758E-2</v>
          </cell>
          <cell r="AA2254">
            <v>2.9157054107336045E-2</v>
          </cell>
        </row>
        <row r="2255">
          <cell r="Y2255">
            <v>54638</v>
          </cell>
          <cell r="Z2255">
            <v>2.923417389377048E-2</v>
          </cell>
          <cell r="AA2255">
            <v>2.9153087972237923E-2</v>
          </cell>
        </row>
        <row r="2256">
          <cell r="Y2256">
            <v>54645</v>
          </cell>
          <cell r="Z2256">
            <v>2.9230381418257814E-2</v>
          </cell>
          <cell r="AA2256">
            <v>2.9149148650167156E-2</v>
          </cell>
        </row>
        <row r="2257">
          <cell r="Y2257">
            <v>54652</v>
          </cell>
          <cell r="Z2257">
            <v>2.9226615954779003E-2</v>
          </cell>
          <cell r="AA2257">
            <v>2.9145236141123743E-2</v>
          </cell>
        </row>
        <row r="2258">
          <cell r="Y2258">
            <v>54659</v>
          </cell>
          <cell r="Z2258">
            <v>2.9222877503258284E-2</v>
          </cell>
          <cell r="AA2258">
            <v>2.9141350445269776E-2</v>
          </cell>
        </row>
        <row r="2259">
          <cell r="Y2259">
            <v>54666</v>
          </cell>
          <cell r="Z2259">
            <v>2.921825940494107E-2</v>
          </cell>
          <cell r="AA2259">
            <v>2.9137491562686302E-2</v>
          </cell>
        </row>
        <row r="2260">
          <cell r="Y2260">
            <v>54673</v>
          </cell>
          <cell r="Z2260">
            <v>2.921457334169281E-2</v>
          </cell>
          <cell r="AA2260">
            <v>2.9133659493049135E-2</v>
          </cell>
        </row>
        <row r="2261">
          <cell r="Y2261">
            <v>54680</v>
          </cell>
          <cell r="Z2261">
            <v>2.9210914287991326E-2</v>
          </cell>
          <cell r="AA2261">
            <v>2.9129854236520369E-2</v>
          </cell>
        </row>
        <row r="2262">
          <cell r="Y2262">
            <v>54687</v>
          </cell>
          <cell r="Z2262">
            <v>2.9207282243764471E-2</v>
          </cell>
          <cell r="AA2262">
            <v>2.912607579318105E-2</v>
          </cell>
        </row>
        <row r="2263">
          <cell r="Y2263">
            <v>54694</v>
          </cell>
          <cell r="Z2263">
            <v>2.9204590422389435E-2</v>
          </cell>
          <cell r="AA2263">
            <v>2.9122324162869084E-2</v>
          </cell>
        </row>
        <row r="2264">
          <cell r="Y2264">
            <v>54701</v>
          </cell>
          <cell r="Z2264">
            <v>2.9201014041041279E-2</v>
          </cell>
          <cell r="AA2264">
            <v>2.9118599345665519E-2</v>
          </cell>
        </row>
        <row r="2265">
          <cell r="Y2265">
            <v>54708</v>
          </cell>
          <cell r="Z2265">
            <v>2.919746467113234E-2</v>
          </cell>
          <cell r="AA2265">
            <v>2.9114901341570354E-2</v>
          </cell>
        </row>
        <row r="2266">
          <cell r="Y2266">
            <v>54715</v>
          </cell>
          <cell r="Z2266">
            <v>2.9193942312590385E-2</v>
          </cell>
          <cell r="AA2266">
            <v>2.9111230150583589E-2</v>
          </cell>
        </row>
        <row r="2267">
          <cell r="Y2267">
            <v>54722</v>
          </cell>
          <cell r="Z2267">
            <v>2.9190446965344941E-2</v>
          </cell>
          <cell r="AA2267">
            <v>2.9107585772867317E-2</v>
          </cell>
        </row>
        <row r="2268">
          <cell r="Y2268">
            <v>54729</v>
          </cell>
          <cell r="Z2268">
            <v>2.9186978629322003E-2</v>
          </cell>
          <cell r="AA2268">
            <v>2.9103968208016306E-2</v>
          </cell>
        </row>
        <row r="2269">
          <cell r="Y2269">
            <v>54736</v>
          </cell>
          <cell r="Z2269">
            <v>2.9183537304453746E-2</v>
          </cell>
          <cell r="AA2269">
            <v>2.9100377456273696E-2</v>
          </cell>
        </row>
        <row r="2270">
          <cell r="Y2270">
            <v>54743</v>
          </cell>
          <cell r="Z2270">
            <v>2.9180122990669691E-2</v>
          </cell>
          <cell r="AA2270">
            <v>2.9096813517801579E-2</v>
          </cell>
        </row>
        <row r="2271">
          <cell r="Y2271">
            <v>54750</v>
          </cell>
          <cell r="Z2271">
            <v>2.9176735687900242E-2</v>
          </cell>
          <cell r="AA2271">
            <v>2.9093276392194722E-2</v>
          </cell>
        </row>
        <row r="2272">
          <cell r="Y2272">
            <v>54757</v>
          </cell>
          <cell r="Z2272">
            <v>2.9171519425496034E-2</v>
          </cell>
          <cell r="AA2272">
            <v>2.9089766079777313E-2</v>
          </cell>
        </row>
        <row r="2273">
          <cell r="Y2273">
            <v>54764</v>
          </cell>
          <cell r="Z2273">
            <v>2.9168182817304763E-2</v>
          </cell>
          <cell r="AA2273">
            <v>2.908628258054935E-2</v>
          </cell>
        </row>
        <row r="2274">
          <cell r="Y2274">
            <v>54771</v>
          </cell>
          <cell r="Z2274">
            <v>2.9164873215574903E-2</v>
          </cell>
          <cell r="AA2274">
            <v>2.9082825894510833E-2</v>
          </cell>
        </row>
        <row r="2275">
          <cell r="Y2275">
            <v>54778</v>
          </cell>
          <cell r="Z2275">
            <v>2.9161590620235319E-2</v>
          </cell>
          <cell r="AA2275">
            <v>2.9079396021256532E-2</v>
          </cell>
        </row>
        <row r="2276">
          <cell r="Y2276">
            <v>54786</v>
          </cell>
          <cell r="Z2276">
            <v>2.915787215167509E-2</v>
          </cell>
          <cell r="AA2276">
            <v>2.9075508998674948E-2</v>
          </cell>
        </row>
        <row r="2277">
          <cell r="Y2277">
            <v>54793</v>
          </cell>
          <cell r="Z2277">
            <v>2.9154647426962242E-2</v>
          </cell>
          <cell r="AA2277">
            <v>2.9072136582208863E-2</v>
          </cell>
        </row>
        <row r="2278">
          <cell r="Y2278">
            <v>54800</v>
          </cell>
          <cell r="Z2278">
            <v>2.9151449708437947E-2</v>
          </cell>
          <cell r="AA2278">
            <v>2.9068790978932224E-2</v>
          </cell>
        </row>
        <row r="2279">
          <cell r="Y2279">
            <v>54807</v>
          </cell>
          <cell r="Z2279">
            <v>2.9148278996040975E-2</v>
          </cell>
          <cell r="AA2279">
            <v>2.9065472188682939E-2</v>
          </cell>
        </row>
        <row r="2280">
          <cell r="Y2280">
            <v>54814</v>
          </cell>
          <cell r="Z2280">
            <v>2.9145135289707389E-2</v>
          </cell>
          <cell r="AA2280">
            <v>2.9062180211461008E-2</v>
          </cell>
        </row>
        <row r="2281">
          <cell r="Y2281">
            <v>54821</v>
          </cell>
          <cell r="Z2281">
            <v>2.9142018589377757E-2</v>
          </cell>
          <cell r="AA2281">
            <v>2.9058915047428524E-2</v>
          </cell>
        </row>
        <row r="2282">
          <cell r="Y2282">
            <v>54828</v>
          </cell>
          <cell r="Z2282">
            <v>2.913798425149524E-2</v>
          </cell>
          <cell r="AA2282">
            <v>2.905567669650444E-2</v>
          </cell>
        </row>
        <row r="2283">
          <cell r="Y2283">
            <v>54835</v>
          </cell>
          <cell r="Z2283">
            <v>2.9134919877758458E-2</v>
          </cell>
          <cell r="AA2283">
            <v>2.9052465158445617E-2</v>
          </cell>
        </row>
        <row r="2284">
          <cell r="Y2284">
            <v>54842</v>
          </cell>
          <cell r="Z2284">
            <v>2.9131882507668058E-2</v>
          </cell>
          <cell r="AA2284">
            <v>2.9049280433576241E-2</v>
          </cell>
        </row>
        <row r="2285">
          <cell r="Y2285">
            <v>54849</v>
          </cell>
          <cell r="Z2285">
            <v>2.9131721893792054E-2</v>
          </cell>
          <cell r="AA2285">
            <v>2.9046122521896311E-2</v>
          </cell>
        </row>
        <row r="2286">
          <cell r="Y2286">
            <v>54856</v>
          </cell>
          <cell r="Z2286">
            <v>2.9128743606887962E-2</v>
          </cell>
          <cell r="AA2286">
            <v>2.9042991423324782E-2</v>
          </cell>
        </row>
        <row r="2287">
          <cell r="Y2287">
            <v>54863</v>
          </cell>
          <cell r="Z2287">
            <v>2.9125792329956331E-2</v>
          </cell>
          <cell r="AA2287">
            <v>2.903988713769956E-2</v>
          </cell>
        </row>
        <row r="2288">
          <cell r="Y2288">
            <v>54870</v>
          </cell>
          <cell r="Z2288">
            <v>2.9122868062936375E-2</v>
          </cell>
          <cell r="AA2288">
            <v>2.9036809665182739E-2</v>
          </cell>
        </row>
        <row r="2289">
          <cell r="Y2289">
            <v>54877</v>
          </cell>
          <cell r="Z2289">
            <v>2.911997080577259E-2</v>
          </cell>
          <cell r="AA2289">
            <v>2.903375900593641E-2</v>
          </cell>
        </row>
        <row r="2290">
          <cell r="Y2290">
            <v>54884</v>
          </cell>
          <cell r="Z2290">
            <v>2.9116141945754827E-2</v>
          </cell>
          <cell r="AA2290">
            <v>2.9030735159636389E-2</v>
          </cell>
        </row>
        <row r="2291">
          <cell r="Y2291">
            <v>54891</v>
          </cell>
          <cell r="Z2291">
            <v>2.9113297004980072E-2</v>
          </cell>
          <cell r="AA2291">
            <v>2.9027738126282676E-2</v>
          </cell>
        </row>
        <row r="2292">
          <cell r="Y2292">
            <v>54898</v>
          </cell>
          <cell r="Z2292">
            <v>2.9110479071723261E-2</v>
          </cell>
          <cell r="AA2292">
            <v>2.9024767906361548E-2</v>
          </cell>
        </row>
        <row r="2293">
          <cell r="Y2293">
            <v>54905</v>
          </cell>
          <cell r="Z2293">
            <v>2.9107688145924723E-2</v>
          </cell>
          <cell r="AA2293">
            <v>2.9021824499305682E-2</v>
          </cell>
        </row>
        <row r="2294">
          <cell r="Y2294">
            <v>54912</v>
          </cell>
          <cell r="Z2294">
            <v>2.9105889665727868E-2</v>
          </cell>
          <cell r="AA2294">
            <v>2.9018907905196123E-2</v>
          </cell>
        </row>
        <row r="2295">
          <cell r="Y2295">
            <v>54919</v>
          </cell>
          <cell r="Z2295">
            <v>2.9103154466476634E-2</v>
          </cell>
          <cell r="AA2295">
            <v>2.9016018124357057E-2</v>
          </cell>
        </row>
        <row r="2296">
          <cell r="Y2296">
            <v>54926</v>
          </cell>
          <cell r="Z2296">
            <v>2.9100446276676344E-2</v>
          </cell>
          <cell r="AA2296">
            <v>2.9013155156545345E-2</v>
          </cell>
        </row>
        <row r="2297">
          <cell r="Y2297">
            <v>54933</v>
          </cell>
          <cell r="Z2297">
            <v>2.9097765096278545E-2</v>
          </cell>
          <cell r="AA2297">
            <v>2.9010319001923079E-2</v>
          </cell>
        </row>
        <row r="2298">
          <cell r="Y2298">
            <v>54940</v>
          </cell>
          <cell r="Z2298">
            <v>2.9095110925224217E-2</v>
          </cell>
          <cell r="AA2298">
            <v>2.9007509660166075E-2</v>
          </cell>
        </row>
        <row r="2299">
          <cell r="Y2299">
            <v>54947</v>
          </cell>
          <cell r="Z2299">
            <v>2.9092483763462264E-2</v>
          </cell>
          <cell r="AA2299">
            <v>2.9004727131679564E-2</v>
          </cell>
        </row>
        <row r="2300">
          <cell r="Y2300">
            <v>54954</v>
          </cell>
          <cell r="Z2300">
            <v>2.9089883610937187E-2</v>
          </cell>
          <cell r="AA2300">
            <v>2.9001971416220407E-2</v>
          </cell>
        </row>
        <row r="2301">
          <cell r="Y2301">
            <v>54961</v>
          </cell>
          <cell r="Z2301">
            <v>2.9087310467599655E-2</v>
          </cell>
          <cell r="AA2301">
            <v>2.8999242513788603E-2</v>
          </cell>
        </row>
        <row r="2302">
          <cell r="Y2302">
            <v>54968</v>
          </cell>
          <cell r="Z2302">
            <v>2.9084764333393284E-2</v>
          </cell>
          <cell r="AA2302">
            <v>2.8996540424384154E-2</v>
          </cell>
        </row>
        <row r="2303">
          <cell r="Y2303">
            <v>54975</v>
          </cell>
          <cell r="Z2303">
            <v>2.9082245208270508E-2</v>
          </cell>
          <cell r="AA2303">
            <v>2.8993865148250197E-2</v>
          </cell>
        </row>
        <row r="2304">
          <cell r="Y2304">
            <v>54982</v>
          </cell>
          <cell r="Z2304">
            <v>2.9079753092178466E-2</v>
          </cell>
          <cell r="AA2304">
            <v>2.8991216685062549E-2</v>
          </cell>
        </row>
        <row r="2305">
          <cell r="Y2305">
            <v>54989</v>
          </cell>
          <cell r="Z2305">
            <v>2.9077287985066067E-2</v>
          </cell>
          <cell r="AA2305">
            <v>2.8988595034902254E-2</v>
          </cell>
        </row>
        <row r="2306">
          <cell r="Y2306">
            <v>54996</v>
          </cell>
          <cell r="Z2306">
            <v>2.9074849886882217E-2</v>
          </cell>
          <cell r="AA2306">
            <v>2.8986000197850359E-2</v>
          </cell>
        </row>
        <row r="2307">
          <cell r="Y2307">
            <v>55003</v>
          </cell>
          <cell r="Z2307">
            <v>2.9072438797581104E-2</v>
          </cell>
          <cell r="AA2307">
            <v>2.8983432173987911E-2</v>
          </cell>
        </row>
        <row r="2308">
          <cell r="Y2308">
            <v>55010</v>
          </cell>
          <cell r="Z2308">
            <v>2.9070054717111639E-2</v>
          </cell>
          <cell r="AA2308">
            <v>2.8980890963152817E-2</v>
          </cell>
        </row>
        <row r="2309">
          <cell r="Y2309">
            <v>55017</v>
          </cell>
          <cell r="Z2309">
            <v>2.9067697645424485E-2</v>
          </cell>
          <cell r="AA2309">
            <v>2.897837656526403E-2</v>
          </cell>
        </row>
        <row r="2310">
          <cell r="Y2310">
            <v>55024</v>
          </cell>
          <cell r="Z2310">
            <v>2.9065367582473831E-2</v>
          </cell>
          <cell r="AA2310">
            <v>2.897588898056469E-2</v>
          </cell>
        </row>
        <row r="2311">
          <cell r="Y2311">
            <v>55031</v>
          </cell>
          <cell r="Z2311">
            <v>2.9062069695832502E-2</v>
          </cell>
          <cell r="AA2311">
            <v>2.897342820897375E-2</v>
          </cell>
        </row>
        <row r="2312">
          <cell r="Y2312">
            <v>55038</v>
          </cell>
          <cell r="Z2312">
            <v>2.9059791901736819E-2</v>
          </cell>
          <cell r="AA2312">
            <v>2.8970994250329118E-2</v>
          </cell>
        </row>
        <row r="2313">
          <cell r="Y2313">
            <v>55045</v>
          </cell>
          <cell r="Z2313">
            <v>2.9057541114082323E-2</v>
          </cell>
          <cell r="AA2313">
            <v>2.8968587104792887E-2</v>
          </cell>
        </row>
        <row r="2314">
          <cell r="Y2314">
            <v>55052</v>
          </cell>
          <cell r="Z2314">
            <v>2.9055317332825369E-2</v>
          </cell>
          <cell r="AA2314">
            <v>2.8966206772365055E-2</v>
          </cell>
        </row>
        <row r="2315">
          <cell r="Y2315">
            <v>55059</v>
          </cell>
          <cell r="Z2315">
            <v>2.9053120557923213E-2</v>
          </cell>
          <cell r="AA2315">
            <v>2.8963853253045624E-2</v>
          </cell>
        </row>
        <row r="2316">
          <cell r="Y2316">
            <v>55066</v>
          </cell>
          <cell r="Z2316">
            <v>2.9051954385612179E-2</v>
          </cell>
          <cell r="AA2316">
            <v>2.89615265466725E-2</v>
          </cell>
        </row>
        <row r="2317">
          <cell r="Y2317">
            <v>55073</v>
          </cell>
          <cell r="Z2317">
            <v>2.904981338251943E-2</v>
          </cell>
          <cell r="AA2317">
            <v>2.8959226653407777E-2</v>
          </cell>
        </row>
        <row r="2318">
          <cell r="Y2318">
            <v>55080</v>
          </cell>
          <cell r="Z2318">
            <v>2.9047699387798474E-2</v>
          </cell>
          <cell r="AA2318">
            <v>2.89569535733325E-2</v>
          </cell>
        </row>
        <row r="2319">
          <cell r="Y2319">
            <v>55087</v>
          </cell>
          <cell r="Z2319">
            <v>2.9045612401409671E-2</v>
          </cell>
          <cell r="AA2319">
            <v>2.8954707306203531E-2</v>
          </cell>
        </row>
        <row r="2320">
          <cell r="Y2320">
            <v>55094</v>
          </cell>
          <cell r="Z2320">
            <v>2.9043552423308975E-2</v>
          </cell>
          <cell r="AA2320">
            <v>2.8952487852101916E-2</v>
          </cell>
        </row>
        <row r="2321">
          <cell r="Y2321">
            <v>55101</v>
          </cell>
          <cell r="Z2321">
            <v>2.9041519453453221E-2</v>
          </cell>
          <cell r="AA2321">
            <v>2.8950295211189747E-2</v>
          </cell>
        </row>
        <row r="2322">
          <cell r="Y2322">
            <v>55108</v>
          </cell>
          <cell r="Z2322">
            <v>2.9039513491802761E-2</v>
          </cell>
          <cell r="AA2322">
            <v>2.8948129383304932E-2</v>
          </cell>
        </row>
        <row r="2323">
          <cell r="Y2323">
            <v>55115</v>
          </cell>
          <cell r="Z2323">
            <v>2.9037534538316197E-2</v>
          </cell>
          <cell r="AA2323">
            <v>2.8945990368447472E-2</v>
          </cell>
        </row>
        <row r="2324">
          <cell r="Y2324">
            <v>55122</v>
          </cell>
          <cell r="Z2324">
            <v>2.9033547355503009E-2</v>
          </cell>
          <cell r="AA2324">
            <v>2.8943878166698411E-2</v>
          </cell>
        </row>
        <row r="2325">
          <cell r="Y2325">
            <v>55129</v>
          </cell>
          <cell r="Z2325">
            <v>2.9031618865654987E-2</v>
          </cell>
          <cell r="AA2325">
            <v>2.8941792777895659E-2</v>
          </cell>
        </row>
        <row r="2326">
          <cell r="Y2326">
            <v>55136</v>
          </cell>
          <cell r="Z2326">
            <v>2.902971737955783E-2</v>
          </cell>
          <cell r="AA2326">
            <v>2.8939734202444445E-2</v>
          </cell>
        </row>
        <row r="2327">
          <cell r="Y2327">
            <v>55143</v>
          </cell>
          <cell r="Z2327">
            <v>2.9027842897172813E-2</v>
          </cell>
          <cell r="AA2327">
            <v>2.89377024396964E-2</v>
          </cell>
        </row>
        <row r="2328">
          <cell r="Y2328">
            <v>55150</v>
          </cell>
          <cell r="Z2328">
            <v>2.9025995418463922E-2</v>
          </cell>
          <cell r="AA2328">
            <v>2.8935697490299894E-2</v>
          </cell>
        </row>
        <row r="2329">
          <cell r="Y2329">
            <v>55157</v>
          </cell>
          <cell r="Z2329">
            <v>2.9024174943393329E-2</v>
          </cell>
          <cell r="AA2329">
            <v>2.8933719353849696E-2</v>
          </cell>
        </row>
        <row r="2330">
          <cell r="Y2330">
            <v>55164</v>
          </cell>
          <cell r="Z2330">
            <v>2.9022381471925918E-2</v>
          </cell>
          <cell r="AA2330">
            <v>2.8931768030507898E-2</v>
          </cell>
        </row>
        <row r="2331">
          <cell r="Y2331">
            <v>55171</v>
          </cell>
          <cell r="Z2331">
            <v>2.9020615004024766E-2</v>
          </cell>
          <cell r="AA2331">
            <v>2.8929843520031362E-2</v>
          </cell>
        </row>
        <row r="2332">
          <cell r="Y2332">
            <v>55178</v>
          </cell>
          <cell r="Z2332">
            <v>2.9018875539657457E-2</v>
          </cell>
          <cell r="AA2332">
            <v>2.8927945822825318E-2</v>
          </cell>
        </row>
        <row r="2333">
          <cell r="Y2333">
            <v>55185</v>
          </cell>
          <cell r="Z2333">
            <v>2.9017163078786164E-2</v>
          </cell>
          <cell r="AA2333">
            <v>2.8926074938727675E-2</v>
          </cell>
        </row>
        <row r="2334">
          <cell r="Y2334">
            <v>55192</v>
          </cell>
          <cell r="Z2334">
            <v>2.9014442482561891E-2</v>
          </cell>
          <cell r="AA2334">
            <v>2.8924230867576339E-2</v>
          </cell>
        </row>
        <row r="2335">
          <cell r="Y2335">
            <v>55199</v>
          </cell>
          <cell r="Z2335">
            <v>2.9012782231283462E-2</v>
          </cell>
          <cell r="AA2335">
            <v>2.8922413609371311E-2</v>
          </cell>
        </row>
        <row r="2336">
          <cell r="Y2336">
            <v>55206</v>
          </cell>
          <cell r="Z2336">
            <v>2.901114898126101E-2</v>
          </cell>
          <cell r="AA2336">
            <v>2.8920623164436776E-2</v>
          </cell>
        </row>
        <row r="2337">
          <cell r="Y2337">
            <v>55213</v>
          </cell>
          <cell r="Z2337">
            <v>2.9012665025296664E-2</v>
          </cell>
          <cell r="AA2337">
            <v>2.8918859532610641E-2</v>
          </cell>
        </row>
        <row r="2338">
          <cell r="Y2338">
            <v>55220</v>
          </cell>
          <cell r="Z2338">
            <v>2.9011091189767794E-2</v>
          </cell>
          <cell r="AA2338">
            <v>2.8917122713568721E-2</v>
          </cell>
        </row>
        <row r="2339">
          <cell r="Y2339">
            <v>55227</v>
          </cell>
          <cell r="Z2339">
            <v>2.9009544361825804E-2</v>
          </cell>
          <cell r="AA2339">
            <v>2.8915412707797294E-2</v>
          </cell>
        </row>
        <row r="2340">
          <cell r="Y2340">
            <v>55234</v>
          </cell>
          <cell r="Z2340">
            <v>2.9008024541442502E-2</v>
          </cell>
          <cell r="AA2340">
            <v>2.8913729515053221E-2</v>
          </cell>
        </row>
        <row r="2341">
          <cell r="Y2341">
            <v>55241</v>
          </cell>
          <cell r="Z2341">
            <v>2.9006531728583536E-2</v>
          </cell>
          <cell r="AA2341">
            <v>2.891207313517441E-2</v>
          </cell>
        </row>
        <row r="2342">
          <cell r="Y2342">
            <v>55248</v>
          </cell>
          <cell r="Z2342">
            <v>2.9004015888749516E-2</v>
          </cell>
          <cell r="AA2342">
            <v>2.8910443568647137E-2</v>
          </cell>
        </row>
        <row r="2343">
          <cell r="Y2343">
            <v>55255</v>
          </cell>
          <cell r="Z2343">
            <v>2.9002575275815529E-2</v>
          </cell>
          <cell r="AA2343">
            <v>2.8908840814985126E-2</v>
          </cell>
        </row>
        <row r="2344">
          <cell r="Y2344">
            <v>55262</v>
          </cell>
          <cell r="Z2344">
            <v>2.9001161668177393E-2</v>
          </cell>
          <cell r="AA2344">
            <v>2.8907264874431515E-2</v>
          </cell>
        </row>
        <row r="2345">
          <cell r="Y2345">
            <v>55269</v>
          </cell>
          <cell r="Z2345">
            <v>2.8999775065804825E-2</v>
          </cell>
          <cell r="AA2345">
            <v>2.8905715746986305E-2</v>
          </cell>
        </row>
        <row r="2346">
          <cell r="Y2346">
            <v>55276</v>
          </cell>
          <cell r="Z2346">
            <v>2.8999472776140612E-2</v>
          </cell>
          <cell r="AA2346">
            <v>2.8904193432568448E-2</v>
          </cell>
        </row>
        <row r="2347">
          <cell r="Y2347">
            <v>55283</v>
          </cell>
          <cell r="Z2347">
            <v>2.8998142007820676E-2</v>
          </cell>
          <cell r="AA2347">
            <v>2.8902697931258992E-2</v>
          </cell>
        </row>
        <row r="2348">
          <cell r="Y2348">
            <v>55290</v>
          </cell>
          <cell r="Z2348">
            <v>2.8996838246827743E-2</v>
          </cell>
          <cell r="AA2348">
            <v>2.8901229242895843E-2</v>
          </cell>
        </row>
        <row r="2349">
          <cell r="Y2349">
            <v>55297</v>
          </cell>
          <cell r="Z2349">
            <v>2.899556149313362E-2</v>
          </cell>
          <cell r="AA2349">
            <v>2.8899787367560048E-2</v>
          </cell>
        </row>
        <row r="2350">
          <cell r="Y2350">
            <v>55304</v>
          </cell>
          <cell r="Z2350">
            <v>2.8994311746711885E-2</v>
          </cell>
          <cell r="AA2350">
            <v>2.88983723054137E-2</v>
          </cell>
        </row>
        <row r="2351">
          <cell r="Y2351">
            <v>55311</v>
          </cell>
          <cell r="Z2351">
            <v>2.8993089007538747E-2</v>
          </cell>
          <cell r="AA2351">
            <v>2.8896984056375752E-2</v>
          </cell>
        </row>
        <row r="2352">
          <cell r="Y2352">
            <v>55318</v>
          </cell>
          <cell r="Z2352">
            <v>2.8991893275587783E-2</v>
          </cell>
          <cell r="AA2352">
            <v>2.8895622620122019E-2</v>
          </cell>
        </row>
        <row r="2353">
          <cell r="Y2353">
            <v>55325</v>
          </cell>
          <cell r="Z2353">
            <v>2.8990724550836965E-2</v>
          </cell>
          <cell r="AA2353">
            <v>2.8894287997138779E-2</v>
          </cell>
        </row>
        <row r="2354">
          <cell r="Y2354">
            <v>55332</v>
          </cell>
          <cell r="Z2354">
            <v>2.898958283326163E-2</v>
          </cell>
          <cell r="AA2354">
            <v>2.8892980187263939E-2</v>
          </cell>
        </row>
        <row r="2355">
          <cell r="Y2355">
            <v>55339</v>
          </cell>
          <cell r="Z2355">
            <v>2.8988468122837108E-2</v>
          </cell>
          <cell r="AA2355">
            <v>2.8891699190173314E-2</v>
          </cell>
        </row>
        <row r="2356">
          <cell r="Y2356">
            <v>55346</v>
          </cell>
          <cell r="Z2356">
            <v>2.8987380419542259E-2</v>
          </cell>
          <cell r="AA2356">
            <v>2.8890445006353183E-2</v>
          </cell>
        </row>
        <row r="2357">
          <cell r="Y2357">
            <v>55353</v>
          </cell>
          <cell r="Z2357">
            <v>2.8986319723354179E-2</v>
          </cell>
          <cell r="AA2357">
            <v>2.8889217635560405E-2</v>
          </cell>
        </row>
        <row r="2358">
          <cell r="Y2358">
            <v>55360</v>
          </cell>
          <cell r="Z2358">
            <v>2.8985286034253484E-2</v>
          </cell>
          <cell r="AA2358">
            <v>2.8888017077713934E-2</v>
          </cell>
        </row>
        <row r="2359">
          <cell r="Y2359">
            <v>55367</v>
          </cell>
          <cell r="Z2359">
            <v>2.8984279352216397E-2</v>
          </cell>
          <cell r="AA2359">
            <v>2.8886843333056911E-2</v>
          </cell>
        </row>
        <row r="2360">
          <cell r="Y2360">
            <v>55374</v>
          </cell>
          <cell r="Z2360">
            <v>2.8983299677226172E-2</v>
          </cell>
          <cell r="AA2360">
            <v>2.8885696401346195E-2</v>
          </cell>
        </row>
        <row r="2361">
          <cell r="Y2361">
            <v>55381</v>
          </cell>
          <cell r="Z2361">
            <v>2.8982347009258141E-2</v>
          </cell>
          <cell r="AA2361">
            <v>2.8884576282743879E-2</v>
          </cell>
        </row>
        <row r="2362">
          <cell r="Y2362">
            <v>55388</v>
          </cell>
          <cell r="Z2362">
            <v>2.8981421348297339E-2</v>
          </cell>
          <cell r="AA2362">
            <v>2.888348297733101E-2</v>
          </cell>
        </row>
        <row r="2363">
          <cell r="Y2363">
            <v>55395</v>
          </cell>
          <cell r="Z2363">
            <v>2.8980522694320852E-2</v>
          </cell>
          <cell r="AA2363">
            <v>2.8882416484621309E-2</v>
          </cell>
        </row>
        <row r="2364">
          <cell r="Y2364">
            <v>55402</v>
          </cell>
          <cell r="Z2364">
            <v>2.8978560587678295E-2</v>
          </cell>
          <cell r="AA2364">
            <v>2.8881376805101056E-2</v>
          </cell>
        </row>
        <row r="2365">
          <cell r="Y2365">
            <v>55409</v>
          </cell>
          <cell r="Z2365">
            <v>2.8977714085522781E-2</v>
          </cell>
          <cell r="AA2365">
            <v>2.8880363938770248E-2</v>
          </cell>
        </row>
        <row r="2366">
          <cell r="Y2366">
            <v>55416</v>
          </cell>
          <cell r="Z2366">
            <v>2.8976894588164371E-2</v>
          </cell>
          <cell r="AA2366">
            <v>2.8879377885466795E-2</v>
          </cell>
        </row>
        <row r="2367">
          <cell r="Y2367">
            <v>55423</v>
          </cell>
          <cell r="Z2367">
            <v>2.8976102095584363E-2</v>
          </cell>
          <cell r="AA2367">
            <v>2.8878418645109649E-2</v>
          </cell>
        </row>
        <row r="2368">
          <cell r="Y2368">
            <v>55430</v>
          </cell>
          <cell r="Z2368">
            <v>2.897643452862441E-2</v>
          </cell>
          <cell r="AA2368">
            <v>2.887748621794195E-2</v>
          </cell>
        </row>
        <row r="2369">
          <cell r="Y2369">
            <v>55437</v>
          </cell>
          <cell r="Z2369">
            <v>2.89756979162041E-2</v>
          </cell>
          <cell r="AA2369">
            <v>2.8876580603639512E-2</v>
          </cell>
        </row>
        <row r="2370">
          <cell r="Y2370">
            <v>55444</v>
          </cell>
          <cell r="Z2370">
            <v>2.8974988310655345E-2</v>
          </cell>
          <cell r="AA2370">
            <v>2.8875701802526521E-2</v>
          </cell>
        </row>
        <row r="2371">
          <cell r="Y2371">
            <v>55451</v>
          </cell>
          <cell r="Z2371">
            <v>2.8974305711963175E-2</v>
          </cell>
          <cell r="AA2371">
            <v>2.8874849814440884E-2</v>
          </cell>
        </row>
        <row r="2372">
          <cell r="Y2372">
            <v>55458</v>
          </cell>
          <cell r="Z2372">
            <v>2.8973650120110848E-2</v>
          </cell>
          <cell r="AA2372">
            <v>2.8874024639301554E-2</v>
          </cell>
        </row>
        <row r="2373">
          <cell r="Y2373">
            <v>55465</v>
          </cell>
          <cell r="Z2373">
            <v>2.8973021535090435E-2</v>
          </cell>
          <cell r="AA2373">
            <v>2.8873226277432718E-2</v>
          </cell>
        </row>
        <row r="2374">
          <cell r="Y2374">
            <v>55472</v>
          </cell>
          <cell r="Z2374">
            <v>2.8972419956886084E-2</v>
          </cell>
          <cell r="AA2374">
            <v>2.8872454728348096E-2</v>
          </cell>
        </row>
        <row r="2375">
          <cell r="Y2375">
            <v>55479</v>
          </cell>
          <cell r="Z2375">
            <v>2.8971845385484574E-2</v>
          </cell>
          <cell r="AA2375">
            <v>2.8871709992615013E-2</v>
          </cell>
        </row>
        <row r="2376">
          <cell r="Y2376">
            <v>55486</v>
          </cell>
          <cell r="Z2376">
            <v>2.8971297820877102E-2</v>
          </cell>
          <cell r="AA2376">
            <v>2.8870992069747192E-2</v>
          </cell>
        </row>
        <row r="2377">
          <cell r="Y2377">
            <v>55493</v>
          </cell>
          <cell r="Z2377">
            <v>2.8969662429467601E-2</v>
          </cell>
          <cell r="AA2377">
            <v>2.8870300959825679E-2</v>
          </cell>
        </row>
        <row r="2378">
          <cell r="Y2378">
            <v>55500</v>
          </cell>
          <cell r="Z2378">
            <v>2.8969166988538901E-2</v>
          </cell>
          <cell r="AA2378">
            <v>2.8869636663093612E-2</v>
          </cell>
        </row>
        <row r="2379">
          <cell r="Y2379">
            <v>55507</v>
          </cell>
          <cell r="Z2379">
            <v>2.896869855223631E-2</v>
          </cell>
          <cell r="AA2379">
            <v>2.8868999179388899E-2</v>
          </cell>
        </row>
        <row r="2380">
          <cell r="Y2380">
            <v>55514</v>
          </cell>
          <cell r="Z2380">
            <v>2.8968257120549134E-2</v>
          </cell>
          <cell r="AA2380">
            <v>2.886838850871154E-2</v>
          </cell>
        </row>
        <row r="2381">
          <cell r="Y2381">
            <v>55521</v>
          </cell>
          <cell r="Z2381">
            <v>2.8967842693468471E-2</v>
          </cell>
          <cell r="AA2381">
            <v>2.8867804651061535E-2</v>
          </cell>
        </row>
        <row r="2382">
          <cell r="Y2382">
            <v>55528</v>
          </cell>
          <cell r="Z2382">
            <v>2.8967455270987198E-2</v>
          </cell>
          <cell r="AA2382">
            <v>2.886724760651993E-2</v>
          </cell>
        </row>
        <row r="2383">
          <cell r="Y2383">
            <v>55535</v>
          </cell>
          <cell r="Z2383">
            <v>2.8967094853097293E-2</v>
          </cell>
          <cell r="AA2383">
            <v>2.8866717375086726E-2</v>
          </cell>
        </row>
        <row r="2384">
          <cell r="Y2384">
            <v>55542</v>
          </cell>
          <cell r="Z2384">
            <v>2.8966761439788963E-2</v>
          </cell>
          <cell r="AA2384">
            <v>2.8866213956680875E-2</v>
          </cell>
        </row>
        <row r="2385">
          <cell r="Y2385">
            <v>55549</v>
          </cell>
          <cell r="Z2385">
            <v>2.8965325260247671E-2</v>
          </cell>
          <cell r="AA2385">
            <v>2.886573735105924E-2</v>
          </cell>
        </row>
        <row r="2386">
          <cell r="Y2386">
            <v>55556</v>
          </cell>
          <cell r="Z2386">
            <v>2.8965043949435495E-2</v>
          </cell>
          <cell r="AA2386">
            <v>2.8865287558708097E-2</v>
          </cell>
        </row>
        <row r="2387">
          <cell r="Y2387">
            <v>55563</v>
          </cell>
          <cell r="Z2387">
            <v>2.8964789641054031E-2</v>
          </cell>
          <cell r="AA2387">
            <v>2.8864864579465355E-2</v>
          </cell>
        </row>
        <row r="2388">
          <cell r="Y2388">
            <v>55570</v>
          </cell>
          <cell r="Z2388">
            <v>2.8964562335097872E-2</v>
          </cell>
          <cell r="AA2388">
            <v>2.8864468413087874E-2</v>
          </cell>
        </row>
        <row r="2389">
          <cell r="Y2389">
            <v>55577</v>
          </cell>
          <cell r="Z2389">
            <v>2.8964362031561622E-2</v>
          </cell>
          <cell r="AA2389">
            <v>2.8864099059899839E-2</v>
          </cell>
        </row>
        <row r="2390">
          <cell r="Y2390">
            <v>55584</v>
          </cell>
          <cell r="Z2390">
            <v>2.8966467624344298E-2</v>
          </cell>
          <cell r="AA2390">
            <v>2.8863756519820205E-2</v>
          </cell>
        </row>
        <row r="2391">
          <cell r="Y2391">
            <v>55591</v>
          </cell>
          <cell r="Z2391">
            <v>2.8966325160597276E-2</v>
          </cell>
          <cell r="AA2391">
            <v>2.8863440792605832E-2</v>
          </cell>
        </row>
        <row r="2392">
          <cell r="Y2392">
            <v>55598</v>
          </cell>
          <cell r="Z2392">
            <v>2.8966209703528891E-2</v>
          </cell>
          <cell r="AA2392">
            <v>2.886315187849986E-2</v>
          </cell>
        </row>
        <row r="2393">
          <cell r="Y2393">
            <v>55605</v>
          </cell>
          <cell r="Z2393">
            <v>2.8966121253140898E-2</v>
          </cell>
          <cell r="AA2393">
            <v>2.8862889777502287E-2</v>
          </cell>
        </row>
        <row r="2394">
          <cell r="Y2394">
            <v>55612</v>
          </cell>
          <cell r="Z2394">
            <v>2.8964912557609274E-2</v>
          </cell>
          <cell r="AA2394">
            <v>2.8862654489451023E-2</v>
          </cell>
        </row>
        <row r="2395">
          <cell r="Y2395">
            <v>55619</v>
          </cell>
          <cell r="Z2395">
            <v>2.8964876194399906E-2</v>
          </cell>
          <cell r="AA2395">
            <v>2.8862446014589205E-2</v>
          </cell>
        </row>
        <row r="2396">
          <cell r="Y2396">
            <v>55626</v>
          </cell>
          <cell r="Z2396">
            <v>2.8964866835727587E-2</v>
          </cell>
          <cell r="AA2396">
            <v>2.8862264352592648E-2</v>
          </cell>
        </row>
        <row r="2397">
          <cell r="Y2397">
            <v>55633</v>
          </cell>
          <cell r="Z2397">
            <v>2.8964884481598539E-2</v>
          </cell>
          <cell r="AA2397">
            <v>2.8862109503866584E-2</v>
          </cell>
        </row>
        <row r="2398">
          <cell r="Y2398">
            <v>55640</v>
          </cell>
          <cell r="Z2398">
            <v>2.8966084101325808E-2</v>
          </cell>
          <cell r="AA2398">
            <v>2.8861981468086828E-2</v>
          </cell>
        </row>
        <row r="2399">
          <cell r="Y2399">
            <v>55647</v>
          </cell>
          <cell r="Z2399">
            <v>2.8966157690987589E-2</v>
          </cell>
          <cell r="AA2399">
            <v>2.8861880245172333E-2</v>
          </cell>
        </row>
        <row r="2400">
          <cell r="Y2400">
            <v>55654</v>
          </cell>
          <cell r="Z2400">
            <v>2.8966258287327119E-2</v>
          </cell>
          <cell r="AA2400">
            <v>2.8861805835528331E-2</v>
          </cell>
        </row>
        <row r="2401">
          <cell r="Y2401">
            <v>55661</v>
          </cell>
          <cell r="Z2401">
            <v>2.8966385890344403E-2</v>
          </cell>
          <cell r="AA2401">
            <v>2.8861758238830637E-2</v>
          </cell>
        </row>
        <row r="2402">
          <cell r="Y2402">
            <v>55668</v>
          </cell>
          <cell r="Z2402">
            <v>2.8966540500045605E-2</v>
          </cell>
          <cell r="AA2402">
            <v>2.8861737455322389E-2</v>
          </cell>
        </row>
        <row r="2403">
          <cell r="Y2403">
            <v>55675</v>
          </cell>
          <cell r="Z2403">
            <v>2.8966722116429842E-2</v>
          </cell>
          <cell r="AA2403">
            <v>2.8861743484760449E-2</v>
          </cell>
        </row>
        <row r="2404">
          <cell r="Y2404">
            <v>55682</v>
          </cell>
          <cell r="Z2404">
            <v>2.8966930739503283E-2</v>
          </cell>
          <cell r="AA2404">
            <v>2.8861776327306909E-2</v>
          </cell>
        </row>
        <row r="2405">
          <cell r="Y2405">
            <v>55689</v>
          </cell>
          <cell r="Z2405">
            <v>2.8967166369268573E-2</v>
          </cell>
          <cell r="AA2405">
            <v>2.8861835982718631E-2</v>
          </cell>
        </row>
        <row r="2406">
          <cell r="Y2406">
            <v>55696</v>
          </cell>
          <cell r="Z2406">
            <v>2.8967429005732757E-2</v>
          </cell>
          <cell r="AA2406">
            <v>2.8861922451319799E-2</v>
          </cell>
        </row>
        <row r="2407">
          <cell r="Y2407">
            <v>55703</v>
          </cell>
          <cell r="Z2407">
            <v>2.8967718648900239E-2</v>
          </cell>
          <cell r="AA2407">
            <v>2.8862035732948321E-2</v>
          </cell>
        </row>
        <row r="2408">
          <cell r="Y2408">
            <v>55710</v>
          </cell>
          <cell r="Z2408">
            <v>2.8968035298776305E-2</v>
          </cell>
          <cell r="AA2408">
            <v>2.8862175827685244E-2</v>
          </cell>
        </row>
        <row r="2409">
          <cell r="Y2409">
            <v>55717</v>
          </cell>
          <cell r="Z2409">
            <v>2.8968378955367122E-2</v>
          </cell>
          <cell r="AA2409">
            <v>2.8862342735368474E-2</v>
          </cell>
        </row>
        <row r="2410">
          <cell r="Y2410">
            <v>55724</v>
          </cell>
          <cell r="Z2410">
            <v>2.8968749618678857E-2</v>
          </cell>
          <cell r="AA2410">
            <v>2.8862536456079058E-2</v>
          </cell>
        </row>
        <row r="2411">
          <cell r="Y2411">
            <v>55731</v>
          </cell>
          <cell r="Z2411">
            <v>2.89691472887212E-2</v>
          </cell>
          <cell r="AA2411">
            <v>2.8862756989898042E-2</v>
          </cell>
        </row>
        <row r="2412">
          <cell r="Y2412">
            <v>55738</v>
          </cell>
          <cell r="Z2412">
            <v>2.8969571965501196E-2</v>
          </cell>
          <cell r="AA2412">
            <v>2.8863004336825426E-2</v>
          </cell>
        </row>
        <row r="2413">
          <cell r="Y2413">
            <v>55745</v>
          </cell>
          <cell r="Z2413">
            <v>2.897002364902854E-2</v>
          </cell>
          <cell r="AA2413">
            <v>2.8863278496699118E-2</v>
          </cell>
        </row>
        <row r="2414">
          <cell r="Y2414">
            <v>55752</v>
          </cell>
          <cell r="Z2414">
            <v>2.8970502339309395E-2</v>
          </cell>
          <cell r="AA2414">
            <v>2.8863579469519118E-2</v>
          </cell>
        </row>
        <row r="2415">
          <cell r="Y2415">
            <v>55759</v>
          </cell>
          <cell r="Z2415">
            <v>2.8971008036356979E-2</v>
          </cell>
          <cell r="AA2415">
            <v>2.8863907255609611E-2</v>
          </cell>
        </row>
        <row r="2416">
          <cell r="Y2416">
            <v>55766</v>
          </cell>
          <cell r="Z2416">
            <v>2.897035061919543E-2</v>
          </cell>
          <cell r="AA2416">
            <v>2.8864261854646411E-2</v>
          </cell>
        </row>
        <row r="2417">
          <cell r="Y2417">
            <v>55773</v>
          </cell>
          <cell r="Z2417">
            <v>2.897090835663375E-2</v>
          </cell>
          <cell r="AA2417">
            <v>2.8864643266710566E-2</v>
          </cell>
        </row>
        <row r="2418">
          <cell r="Y2418">
            <v>55780</v>
          </cell>
          <cell r="Z2418">
            <v>2.8971493098734692E-2</v>
          </cell>
          <cell r="AA2418">
            <v>2.8865051491802074E-2</v>
          </cell>
        </row>
        <row r="2419">
          <cell r="Y2419">
            <v>55787</v>
          </cell>
          <cell r="Z2419">
            <v>2.8974497191311906E-2</v>
          </cell>
          <cell r="AA2419">
            <v>2.8865486530001983E-2</v>
          </cell>
        </row>
        <row r="2420">
          <cell r="Y2420">
            <v>55794</v>
          </cell>
          <cell r="Z2420">
            <v>2.8973941623451686E-2</v>
          </cell>
          <cell r="AA2420">
            <v>2.8865948381391338E-2</v>
          </cell>
        </row>
        <row r="2421">
          <cell r="Y2421">
            <v>55801</v>
          </cell>
          <cell r="Z2421">
            <v>2.8974609361322502E-2</v>
          </cell>
          <cell r="AA2421">
            <v>2.8866437045564908E-2</v>
          </cell>
        </row>
        <row r="2422">
          <cell r="Y2422">
            <v>55808</v>
          </cell>
          <cell r="Z2422">
            <v>2.8975304106044618E-2</v>
          </cell>
          <cell r="AA2422">
            <v>2.8866952522927924E-2</v>
          </cell>
        </row>
        <row r="2423">
          <cell r="Y2423">
            <v>55815</v>
          </cell>
          <cell r="Z2423">
            <v>2.8976025857626837E-2</v>
          </cell>
          <cell r="AA2423">
            <v>2.8867494813318295E-2</v>
          </cell>
        </row>
        <row r="2424">
          <cell r="Y2424">
            <v>55822</v>
          </cell>
          <cell r="Z2424">
            <v>2.8976774616090304E-2</v>
          </cell>
          <cell r="AA2424">
            <v>2.886806391673602E-2</v>
          </cell>
        </row>
        <row r="2425">
          <cell r="Y2425">
            <v>55829</v>
          </cell>
          <cell r="Z2425">
            <v>2.8977550381442948E-2</v>
          </cell>
          <cell r="AA2425">
            <v>2.8868659833181098E-2</v>
          </cell>
        </row>
        <row r="2426">
          <cell r="Y2426">
            <v>55836</v>
          </cell>
          <cell r="Z2426">
            <v>2.8978353153705914E-2</v>
          </cell>
          <cell r="AA2426">
            <v>2.8869282562815624E-2</v>
          </cell>
        </row>
        <row r="2427">
          <cell r="Y2427">
            <v>55843</v>
          </cell>
          <cell r="Z2427">
            <v>2.8979182932891531E-2</v>
          </cell>
          <cell r="AA2427">
            <v>2.8869932105396456E-2</v>
          </cell>
        </row>
        <row r="2428">
          <cell r="Y2428">
            <v>55850</v>
          </cell>
          <cell r="Z2428">
            <v>2.8980039719017418E-2</v>
          </cell>
          <cell r="AA2428">
            <v>2.8870608460923597E-2</v>
          </cell>
        </row>
        <row r="2429">
          <cell r="Y2429">
            <v>55857</v>
          </cell>
          <cell r="Z2429">
            <v>2.8978491889246224E-2</v>
          </cell>
          <cell r="AA2429">
            <v>2.8871311629559138E-2</v>
          </cell>
        </row>
        <row r="2430">
          <cell r="Y2430">
            <v>55864</v>
          </cell>
          <cell r="Z2430">
            <v>2.8979398687678948E-2</v>
          </cell>
          <cell r="AA2430">
            <v>2.8872041611384125E-2</v>
          </cell>
        </row>
        <row r="2431">
          <cell r="Y2431">
            <v>55871</v>
          </cell>
          <cell r="Z2431">
            <v>2.8980332488824246E-2</v>
          </cell>
          <cell r="AA2431">
            <v>2.8872798406236466E-2</v>
          </cell>
        </row>
        <row r="2432">
          <cell r="Y2432">
            <v>55880</v>
          </cell>
          <cell r="Z2432">
            <v>2.8981572767784323E-2</v>
          </cell>
          <cell r="AA2432">
            <v>2.8876210416053004E-2</v>
          </cell>
        </row>
        <row r="2433">
          <cell r="Y2433">
            <v>55887</v>
          </cell>
          <cell r="Z2433">
            <v>2.898256828949243E-2</v>
          </cell>
          <cell r="AA2433">
            <v>2.8877032458348349E-2</v>
          </cell>
        </row>
        <row r="2434">
          <cell r="Y2434">
            <v>55894</v>
          </cell>
          <cell r="Z2434">
            <v>2.8983590813977046E-2</v>
          </cell>
          <cell r="AA2434">
            <v>2.8877881317831425E-2</v>
          </cell>
        </row>
        <row r="2435">
          <cell r="Y2435">
            <v>55901</v>
          </cell>
          <cell r="Z2435">
            <v>2.8984640341258881E-2</v>
          </cell>
          <cell r="AA2435">
            <v>2.8878756994637305E-2</v>
          </cell>
        </row>
        <row r="2436">
          <cell r="Y2436">
            <v>55908</v>
          </cell>
          <cell r="Z2436">
            <v>2.8985716871360451E-2</v>
          </cell>
          <cell r="AA2436">
            <v>2.8879659488765995E-2</v>
          </cell>
        </row>
        <row r="2437">
          <cell r="Y2437">
            <v>55915</v>
          </cell>
          <cell r="Z2437">
            <v>2.898558833648178E-2</v>
          </cell>
          <cell r="AA2437">
            <v>2.8880588800163459E-2</v>
          </cell>
        </row>
        <row r="2438">
          <cell r="Y2438">
            <v>55922</v>
          </cell>
          <cell r="Z2438">
            <v>2.8986716854197934E-2</v>
          </cell>
          <cell r="AA2438">
            <v>2.8881544928883732E-2</v>
          </cell>
        </row>
        <row r="2439">
          <cell r="Y2439">
            <v>55929</v>
          </cell>
          <cell r="Z2439">
            <v>2.8987872372656466E-2</v>
          </cell>
          <cell r="AA2439">
            <v>2.888252787487278E-2</v>
          </cell>
        </row>
        <row r="2440">
          <cell r="Y2440">
            <v>55936</v>
          </cell>
          <cell r="Z2440">
            <v>2.8989054891881055E-2</v>
          </cell>
          <cell r="AA2440">
            <v>2.8883537638211648E-2</v>
          </cell>
        </row>
        <row r="2441">
          <cell r="Y2441">
            <v>55943</v>
          </cell>
          <cell r="Z2441">
            <v>2.8992744976773645E-2</v>
          </cell>
          <cell r="AA2441">
            <v>2.8884574218792279E-2</v>
          </cell>
        </row>
        <row r="2442">
          <cell r="Y2442">
            <v>55950</v>
          </cell>
          <cell r="Z2442">
            <v>2.8997714423140235E-2</v>
          </cell>
          <cell r="AA2442">
            <v>2.8885637616749747E-2</v>
          </cell>
        </row>
        <row r="2443">
          <cell r="Y2443">
            <v>55957</v>
          </cell>
          <cell r="Z2443">
            <v>2.8998988091938207E-2</v>
          </cell>
          <cell r="AA2443">
            <v>2.8886727831948976E-2</v>
          </cell>
        </row>
        <row r="2444">
          <cell r="Y2444">
            <v>55964</v>
          </cell>
          <cell r="Z2444">
            <v>2.9000288772317438E-2</v>
          </cell>
          <cell r="AA2444">
            <v>2.8887844864443995E-2</v>
          </cell>
        </row>
        <row r="2445">
          <cell r="Y2445">
            <v>55971</v>
          </cell>
          <cell r="Z2445">
            <v>2.9001616464304651E-2</v>
          </cell>
          <cell r="AA2445">
            <v>2.8888988714234808E-2</v>
          </cell>
        </row>
        <row r="2446">
          <cell r="Y2446">
            <v>55982</v>
          </cell>
          <cell r="Z2446">
            <v>2.9000000651074619E-2</v>
          </cell>
          <cell r="AA2446">
            <v>2.8888382655279932E-2</v>
          </cell>
        </row>
        <row r="2447">
          <cell r="Y2447">
            <v>55989</v>
          </cell>
          <cell r="Z2447">
            <v>2.9001391682967538E-2</v>
          </cell>
          <cell r="AA2447">
            <v>2.8889591441431106E-2</v>
          </cell>
        </row>
        <row r="2448">
          <cell r="Y2448">
            <v>55996</v>
          </cell>
          <cell r="Z2448">
            <v>2.9002809720134935E-2</v>
          </cell>
          <cell r="AA2448">
            <v>2.8890827040690681E-2</v>
          </cell>
        </row>
        <row r="2449">
          <cell r="Y2449">
            <v>56003</v>
          </cell>
          <cell r="Z2449">
            <v>2.9004254762602634E-2</v>
          </cell>
          <cell r="AA2449">
            <v>2.8892089453058656E-2</v>
          </cell>
        </row>
        <row r="2450">
          <cell r="Y2450">
            <v>56010</v>
          </cell>
          <cell r="Z2450">
            <v>2.9006986973119722E-2</v>
          </cell>
          <cell r="AA2450">
            <v>2.8893378678453985E-2</v>
          </cell>
        </row>
        <row r="2451">
          <cell r="Y2451">
            <v>56017</v>
          </cell>
          <cell r="Z2451">
            <v>2.9008488074088502E-2</v>
          </cell>
          <cell r="AA2451">
            <v>2.8894694716795621E-2</v>
          </cell>
        </row>
        <row r="2452">
          <cell r="Y2452">
            <v>56024</v>
          </cell>
          <cell r="Z2452">
            <v>2.9010016182593069E-2</v>
          </cell>
          <cell r="AA2452">
            <v>2.8896037568326705E-2</v>
          </cell>
        </row>
        <row r="2453">
          <cell r="Y2453">
            <v>56031</v>
          </cell>
          <cell r="Z2453">
            <v>2.9011571298663368E-2</v>
          </cell>
          <cell r="AA2453">
            <v>2.8897407232885142E-2</v>
          </cell>
        </row>
        <row r="2454">
          <cell r="Y2454">
            <v>56038</v>
          </cell>
          <cell r="Z2454">
            <v>2.9013153422332884E-2</v>
          </cell>
          <cell r="AA2454">
            <v>2.8898803710470933E-2</v>
          </cell>
        </row>
        <row r="2455">
          <cell r="Y2455">
            <v>56045</v>
          </cell>
          <cell r="Z2455">
            <v>2.9014762553629801E-2</v>
          </cell>
          <cell r="AA2455">
            <v>2.8900227001084078E-2</v>
          </cell>
        </row>
        <row r="2456">
          <cell r="Y2456">
            <v>56052</v>
          </cell>
          <cell r="Z2456">
            <v>2.9016398692590237E-2</v>
          </cell>
          <cell r="AA2456">
            <v>2.8901677104724577E-2</v>
          </cell>
        </row>
        <row r="2457">
          <cell r="Y2457">
            <v>56059</v>
          </cell>
          <cell r="Z2457">
            <v>2.9018061839247673E-2</v>
          </cell>
          <cell r="AA2457">
            <v>2.8903154021635569E-2</v>
          </cell>
        </row>
        <row r="2458">
          <cell r="Y2458">
            <v>56066</v>
          </cell>
          <cell r="Z2458">
            <v>2.9019751993632936E-2</v>
          </cell>
          <cell r="AA2458">
            <v>2.8904657751249729E-2</v>
          </cell>
        </row>
        <row r="2459">
          <cell r="Y2459">
            <v>56073</v>
          </cell>
          <cell r="Z2459">
            <v>2.9021469155781267E-2</v>
          </cell>
          <cell r="AA2459">
            <v>2.8906188294053337E-2</v>
          </cell>
        </row>
        <row r="2460">
          <cell r="Y2460">
            <v>56080</v>
          </cell>
          <cell r="Z2460">
            <v>2.9023213325730546E-2</v>
          </cell>
          <cell r="AA2460">
            <v>2.8907745650208483E-2</v>
          </cell>
        </row>
        <row r="2461">
          <cell r="Y2461">
            <v>56087</v>
          </cell>
          <cell r="Z2461">
            <v>2.9024984503512485E-2</v>
          </cell>
          <cell r="AA2461">
            <v>2.8909329819066798E-2</v>
          </cell>
        </row>
        <row r="2462">
          <cell r="Y2462">
            <v>56094</v>
          </cell>
          <cell r="Z2462">
            <v>2.9026782689163203E-2</v>
          </cell>
          <cell r="AA2462">
            <v>2.8910940800952467E-2</v>
          </cell>
        </row>
        <row r="2463">
          <cell r="Y2463">
            <v>56101</v>
          </cell>
          <cell r="Z2463">
            <v>2.9028607882722345E-2</v>
          </cell>
          <cell r="AA2463">
            <v>2.8912578596270722E-2</v>
          </cell>
        </row>
        <row r="2464">
          <cell r="Y2464">
            <v>56108</v>
          </cell>
          <cell r="Z2464">
            <v>2.9030460084222501E-2</v>
          </cell>
          <cell r="AA2464">
            <v>2.8914243204373191E-2</v>
          </cell>
        </row>
        <row r="2465">
          <cell r="Y2465">
            <v>56115</v>
          </cell>
          <cell r="Z2465">
            <v>2.9032339293704201E-2</v>
          </cell>
          <cell r="AA2465">
            <v>2.8915934625584061E-2</v>
          </cell>
        </row>
        <row r="2466">
          <cell r="Y2466">
            <v>56122</v>
          </cell>
          <cell r="Z2466">
            <v>2.9034245511204437E-2</v>
          </cell>
          <cell r="AA2466">
            <v>2.8917652859741239E-2</v>
          </cell>
        </row>
        <row r="2467">
          <cell r="Y2467">
            <v>56129</v>
          </cell>
          <cell r="Z2467">
            <v>2.9034883468917735E-2</v>
          </cell>
          <cell r="AA2467">
            <v>2.8919397907249955E-2</v>
          </cell>
        </row>
        <row r="2468">
          <cell r="Y2468">
            <v>56136</v>
          </cell>
          <cell r="Z2468">
            <v>2.9036841618202625E-2</v>
          </cell>
          <cell r="AA2468">
            <v>2.8921169767542887E-2</v>
          </cell>
        </row>
        <row r="2469">
          <cell r="Y2469">
            <v>56143</v>
          </cell>
          <cell r="Z2469">
            <v>2.9038826773469147E-2</v>
          </cell>
          <cell r="AA2469">
            <v>2.8922968440863173E-2</v>
          </cell>
        </row>
        <row r="2470">
          <cell r="Y2470">
            <v>56150</v>
          </cell>
          <cell r="Z2470">
            <v>2.9040838934758263E-2</v>
          </cell>
          <cell r="AA2470">
            <v>2.8924793927453951E-2</v>
          </cell>
        </row>
        <row r="2471">
          <cell r="Y2471">
            <v>56157</v>
          </cell>
          <cell r="Z2471">
            <v>2.904418172036325E-2</v>
          </cell>
          <cell r="AA2471">
            <v>2.8926646227072084E-2</v>
          </cell>
        </row>
        <row r="2472">
          <cell r="Y2472">
            <v>56164</v>
          </cell>
          <cell r="Z2472">
            <v>2.9046249986809849E-2</v>
          </cell>
          <cell r="AA2472">
            <v>2.892852533971757E-2</v>
          </cell>
        </row>
        <row r="2473">
          <cell r="Y2473">
            <v>56171</v>
          </cell>
          <cell r="Z2473">
            <v>2.9048345261553362E-2</v>
          </cell>
          <cell r="AA2473">
            <v>2.8930431265228318E-2</v>
          </cell>
        </row>
        <row r="2474">
          <cell r="Y2474">
            <v>56178</v>
          </cell>
          <cell r="Z2474">
            <v>2.9050467544642244E-2</v>
          </cell>
          <cell r="AA2474">
            <v>2.8932364004090605E-2</v>
          </cell>
        </row>
        <row r="2475">
          <cell r="Y2475">
            <v>56185</v>
          </cell>
          <cell r="Z2475">
            <v>2.9052616836117897E-2</v>
          </cell>
          <cell r="AA2475">
            <v>2.8934323555980246E-2</v>
          </cell>
        </row>
        <row r="2476">
          <cell r="Y2476">
            <v>56192</v>
          </cell>
          <cell r="Z2476">
            <v>2.9054793136022605E-2</v>
          </cell>
          <cell r="AA2476">
            <v>2.8936309920816194E-2</v>
          </cell>
        </row>
        <row r="2477">
          <cell r="Y2477">
            <v>56199</v>
          </cell>
          <cell r="Z2477">
            <v>2.905699644440218E-2</v>
          </cell>
          <cell r="AA2477">
            <v>2.8938323098760543E-2</v>
          </cell>
        </row>
        <row r="2478">
          <cell r="Y2478">
            <v>56206</v>
          </cell>
          <cell r="Z2478">
            <v>2.9059226761299784E-2</v>
          </cell>
          <cell r="AA2478">
            <v>2.8940363089732246E-2</v>
          </cell>
        </row>
        <row r="2479">
          <cell r="Y2479">
            <v>56213</v>
          </cell>
          <cell r="Z2479">
            <v>2.9061484086762988E-2</v>
          </cell>
          <cell r="AA2479">
            <v>2.8942429893893395E-2</v>
          </cell>
        </row>
        <row r="2480">
          <cell r="Y2480">
            <v>56220</v>
          </cell>
          <cell r="Z2480">
            <v>2.9061123626677149E-2</v>
          </cell>
          <cell r="AA2480">
            <v>2.8944523510919806E-2</v>
          </cell>
        </row>
        <row r="2481">
          <cell r="Y2481">
            <v>56227</v>
          </cell>
          <cell r="Z2481">
            <v>2.9063430744900823E-2</v>
          </cell>
          <cell r="AA2481">
            <v>2.894664394121671E-2</v>
          </cell>
        </row>
        <row r="2482">
          <cell r="Y2482">
            <v>56234</v>
          </cell>
          <cell r="Z2482">
            <v>2.9065764867505724E-2</v>
          </cell>
          <cell r="AA2482">
            <v>2.8948791184540967E-2</v>
          </cell>
        </row>
        <row r="2483">
          <cell r="Y2483">
            <v>56241</v>
          </cell>
          <cell r="Z2483">
            <v>2.9068125994539576E-2</v>
          </cell>
          <cell r="AA2483">
            <v>2.8950965240892579E-2</v>
          </cell>
        </row>
        <row r="2484">
          <cell r="Y2484">
            <v>56248</v>
          </cell>
          <cell r="Z2484">
            <v>2.9071844848711184E-2</v>
          </cell>
          <cell r="AA2484">
            <v>2.8953166110271544E-2</v>
          </cell>
        </row>
        <row r="2485">
          <cell r="Y2485">
            <v>56255</v>
          </cell>
          <cell r="Z2485">
            <v>2.907292926207514E-2</v>
          </cell>
          <cell r="AA2485">
            <v>2.895539379275891E-2</v>
          </cell>
        </row>
        <row r="2486">
          <cell r="Y2486">
            <v>56262</v>
          </cell>
          <cell r="Z2486">
            <v>2.9075371402674108E-2</v>
          </cell>
          <cell r="AA2486">
            <v>2.8957648288192583E-2</v>
          </cell>
        </row>
        <row r="2487">
          <cell r="Y2487">
            <v>56269</v>
          </cell>
          <cell r="Z2487">
            <v>2.9077840547892038E-2</v>
          </cell>
          <cell r="AA2487">
            <v>2.8959929596815703E-2</v>
          </cell>
        </row>
        <row r="2488">
          <cell r="Y2488">
            <v>56276</v>
          </cell>
          <cell r="Z2488">
            <v>2.9080336697774854E-2</v>
          </cell>
          <cell r="AA2488">
            <v>2.8962237718385131E-2</v>
          </cell>
        </row>
        <row r="2489">
          <cell r="Y2489">
            <v>56283</v>
          </cell>
          <cell r="Z2489">
            <v>2.9084201200358879E-2</v>
          </cell>
          <cell r="AA2489">
            <v>2.8964572653225051E-2</v>
          </cell>
        </row>
        <row r="2490">
          <cell r="Y2490">
            <v>56290</v>
          </cell>
          <cell r="Z2490">
            <v>2.9085410011742266E-2</v>
          </cell>
          <cell r="AA2490">
            <v>2.8966934401011279E-2</v>
          </cell>
        </row>
        <row r="2491">
          <cell r="Y2491">
            <v>56297</v>
          </cell>
          <cell r="Z2491">
            <v>2.9087987175928618E-2</v>
          </cell>
          <cell r="AA2491">
            <v>2.8969322961905908E-2</v>
          </cell>
        </row>
        <row r="2492">
          <cell r="Y2492">
            <v>56304</v>
          </cell>
          <cell r="Z2492">
            <v>2.9091939094133813E-2</v>
          </cell>
          <cell r="AA2492">
            <v>2.8971738335989983E-2</v>
          </cell>
        </row>
        <row r="2493">
          <cell r="Y2493">
            <v>56311</v>
          </cell>
          <cell r="Z2493">
            <v>2.9095922569073836E-2</v>
          </cell>
          <cell r="AA2493">
            <v>2.8974180523020365E-2</v>
          </cell>
        </row>
        <row r="2494">
          <cell r="Y2494">
            <v>56318</v>
          </cell>
          <cell r="Z2494">
            <v>2.9098585028793846E-2</v>
          </cell>
          <cell r="AA2494">
            <v>2.8976649522916009E-2</v>
          </cell>
        </row>
        <row r="2495">
          <cell r="Y2495">
            <v>56325</v>
          </cell>
          <cell r="Z2495">
            <v>2.9101274497874946E-2</v>
          </cell>
          <cell r="AA2495">
            <v>2.8979145336163192E-2</v>
          </cell>
        </row>
        <row r="2496">
          <cell r="Y2496">
            <v>56332</v>
          </cell>
          <cell r="Z2496">
            <v>2.9103990976373516E-2</v>
          </cell>
          <cell r="AA2496">
            <v>2.8981667962356683E-2</v>
          </cell>
        </row>
        <row r="2497">
          <cell r="Y2497">
            <v>56339</v>
          </cell>
          <cell r="Z2497">
            <v>2.9105375725520733E-2</v>
          </cell>
          <cell r="AA2497">
            <v>2.898421740173962E-2</v>
          </cell>
        </row>
        <row r="2498">
          <cell r="Y2498">
            <v>56346</v>
          </cell>
          <cell r="Z2498">
            <v>2.9108143717648742E-2</v>
          </cell>
          <cell r="AA2498">
            <v>2.8986793654068865E-2</v>
          </cell>
        </row>
        <row r="2499">
          <cell r="Y2499">
            <v>56353</v>
          </cell>
          <cell r="Z2499">
            <v>2.9110937077972465E-2</v>
          </cell>
          <cell r="AA2499">
            <v>2.8989396719587557E-2</v>
          </cell>
        </row>
        <row r="2500">
          <cell r="Y2500">
            <v>56360</v>
          </cell>
          <cell r="Z2500">
            <v>2.9113754372229225E-2</v>
          </cell>
          <cell r="AA2500">
            <v>2.8992026598133602E-2</v>
          </cell>
        </row>
        <row r="2501">
          <cell r="Y2501">
            <v>56367</v>
          </cell>
          <cell r="Z2501">
            <v>2.9116594166149232E-2</v>
          </cell>
          <cell r="AA2501">
            <v>2.8994683289707002E-2</v>
          </cell>
        </row>
        <row r="2502">
          <cell r="Y2502">
            <v>56374</v>
          </cell>
          <cell r="Z2502">
            <v>2.9120822126701983E-2</v>
          </cell>
          <cell r="AA2502">
            <v>2.8997366794307755E-2</v>
          </cell>
        </row>
        <row r="2503">
          <cell r="Y2503">
            <v>56381</v>
          </cell>
          <cell r="Z2503">
            <v>2.9123703866053306E-2</v>
          </cell>
          <cell r="AA2503">
            <v>2.9000077112260048E-2</v>
          </cell>
        </row>
        <row r="2504">
          <cell r="Y2504">
            <v>56388</v>
          </cell>
          <cell r="Z2504">
            <v>2.9126603696802974E-2</v>
          </cell>
          <cell r="AA2504">
            <v>2.9002814243077601E-2</v>
          </cell>
        </row>
        <row r="2505">
          <cell r="Y2505">
            <v>56395</v>
          </cell>
          <cell r="Z2505">
            <v>2.912952020015127E-2</v>
          </cell>
          <cell r="AA2505">
            <v>2.9005578186922509E-2</v>
          </cell>
        </row>
        <row r="2506">
          <cell r="Y2506">
            <v>56402</v>
          </cell>
          <cell r="Z2506">
            <v>2.9132451957287028E-2</v>
          </cell>
          <cell r="AA2506">
            <v>2.9008368943956864E-2</v>
          </cell>
        </row>
        <row r="2507">
          <cell r="Y2507">
            <v>56409</v>
          </cell>
          <cell r="Z2507">
            <v>2.9135397549400838E-2</v>
          </cell>
          <cell r="AA2507">
            <v>2.9011186514099618E-2</v>
          </cell>
        </row>
        <row r="2508">
          <cell r="Y2508">
            <v>56416</v>
          </cell>
          <cell r="Z2508">
            <v>2.9138355557676247E-2</v>
          </cell>
          <cell r="AA2508">
            <v>2.9014030897107634E-2</v>
          </cell>
        </row>
        <row r="2509">
          <cell r="Y2509">
            <v>56423</v>
          </cell>
          <cell r="Z2509">
            <v>2.9141324563293283E-2</v>
          </cell>
          <cell r="AA2509">
            <v>2.901690209346719E-2</v>
          </cell>
        </row>
        <row r="2510">
          <cell r="Y2510">
            <v>56430</v>
          </cell>
          <cell r="Z2510">
            <v>2.9144303148115575E-2</v>
          </cell>
          <cell r="AA2510">
            <v>2.9019799662043377E-2</v>
          </cell>
        </row>
        <row r="2511">
          <cell r="Y2511">
            <v>56437</v>
          </cell>
          <cell r="Z2511">
            <v>2.9147290244237681E-2</v>
          </cell>
          <cell r="AA2511">
            <v>2.9022711260703327E-2</v>
          </cell>
        </row>
        <row r="2512">
          <cell r="Y2512">
            <v>56444</v>
          </cell>
          <cell r="Z2512">
            <v>2.9150285702761732E-2</v>
          </cell>
          <cell r="AA2512">
            <v>2.9025631159231846E-2</v>
          </cell>
        </row>
        <row r="2513">
          <cell r="Y2513">
            <v>56451</v>
          </cell>
          <cell r="Z2513">
            <v>2.9153289523705345E-2</v>
          </cell>
          <cell r="AA2513">
            <v>2.9028559357628936E-2</v>
          </cell>
        </row>
        <row r="2514">
          <cell r="Y2514">
            <v>56458</v>
          </cell>
          <cell r="Z2514">
            <v>2.9156301707087898E-2</v>
          </cell>
          <cell r="AA2514">
            <v>2.9031495855975642E-2</v>
          </cell>
        </row>
        <row r="2515">
          <cell r="Y2515">
            <v>56465</v>
          </cell>
          <cell r="Z2515">
            <v>2.9159322252929654E-2</v>
          </cell>
          <cell r="AA2515">
            <v>2.9034440654190918E-2</v>
          </cell>
        </row>
        <row r="2516">
          <cell r="Y2516">
            <v>56472</v>
          </cell>
          <cell r="Z2516">
            <v>2.9162351161245593E-2</v>
          </cell>
          <cell r="AA2516">
            <v>2.9037393752193719E-2</v>
          </cell>
        </row>
        <row r="2517">
          <cell r="Y2517">
            <v>56479</v>
          </cell>
          <cell r="Z2517">
            <v>2.916538843205773E-2</v>
          </cell>
          <cell r="AA2517">
            <v>2.9040355150065089E-2</v>
          </cell>
        </row>
        <row r="2518">
          <cell r="Y2518">
            <v>56486</v>
          </cell>
          <cell r="Z2518">
            <v>2.9168434065384573E-2</v>
          </cell>
          <cell r="AA2518">
            <v>2.9043324847886076E-2</v>
          </cell>
        </row>
        <row r="2519">
          <cell r="Y2519">
            <v>56493</v>
          </cell>
          <cell r="Z2519">
            <v>2.9170105515275772E-2</v>
          </cell>
          <cell r="AA2519">
            <v>2.904630284565668E-2</v>
          </cell>
        </row>
        <row r="2520">
          <cell r="Y2520">
            <v>56500</v>
          </cell>
          <cell r="Z2520">
            <v>2.917316703255507E-2</v>
          </cell>
          <cell r="AA2520">
            <v>2.9049289143133761E-2</v>
          </cell>
        </row>
        <row r="2521">
          <cell r="Y2521">
            <v>56507</v>
          </cell>
          <cell r="Z2521">
            <v>2.9176236911714032E-2</v>
          </cell>
          <cell r="AA2521">
            <v>2.9052283740641505E-2</v>
          </cell>
        </row>
        <row r="2522">
          <cell r="Y2522">
            <v>56514</v>
          </cell>
          <cell r="Z2522">
            <v>2.9179315152772251E-2</v>
          </cell>
          <cell r="AA2522">
            <v>2.9055286638017819E-2</v>
          </cell>
        </row>
        <row r="2523">
          <cell r="Y2523">
            <v>56521</v>
          </cell>
          <cell r="Z2523">
            <v>2.9182401755745754E-2</v>
          </cell>
          <cell r="AA2523">
            <v>2.9058297834938518E-2</v>
          </cell>
        </row>
        <row r="2524">
          <cell r="Y2524">
            <v>56528</v>
          </cell>
          <cell r="Z2524">
            <v>2.9186883479231759E-2</v>
          </cell>
          <cell r="AA2524">
            <v>2.9061317332051972E-2</v>
          </cell>
        </row>
        <row r="2525">
          <cell r="Y2525">
            <v>56535</v>
          </cell>
          <cell r="Z2525">
            <v>2.918998765070065E-2</v>
          </cell>
          <cell r="AA2525">
            <v>2.9064345129033997E-2</v>
          </cell>
        </row>
        <row r="2526">
          <cell r="Y2526">
            <v>56542</v>
          </cell>
          <cell r="Z2526">
            <v>2.9193100184838408E-2</v>
          </cell>
          <cell r="AA2526">
            <v>2.9067381225884592E-2</v>
          </cell>
        </row>
        <row r="2527">
          <cell r="Y2527">
            <v>56549</v>
          </cell>
          <cell r="Z2527">
            <v>2.9196221081664416E-2</v>
          </cell>
          <cell r="AA2527">
            <v>2.9070425622441665E-2</v>
          </cell>
        </row>
        <row r="2528">
          <cell r="Y2528">
            <v>56556</v>
          </cell>
          <cell r="Z2528">
            <v>2.9199350341198048E-2</v>
          </cell>
          <cell r="AA2528">
            <v>2.9073478319191493E-2</v>
          </cell>
        </row>
        <row r="2529">
          <cell r="Y2529">
            <v>56563</v>
          </cell>
          <cell r="Z2529">
            <v>2.9202487963461334E-2</v>
          </cell>
          <cell r="AA2529">
            <v>2.9076539315566752E-2</v>
          </cell>
        </row>
        <row r="2530">
          <cell r="Y2530">
            <v>56570</v>
          </cell>
          <cell r="Z2530">
            <v>2.920563394847189E-2</v>
          </cell>
          <cell r="AA2530">
            <v>2.9079608611972674E-2</v>
          </cell>
        </row>
        <row r="2531">
          <cell r="Y2531">
            <v>56577</v>
          </cell>
          <cell r="Z2531">
            <v>2.9208788296249094E-2</v>
          </cell>
          <cell r="AA2531">
            <v>2.9082686208004027E-2</v>
          </cell>
        </row>
        <row r="2532">
          <cell r="Y2532">
            <v>56584</v>
          </cell>
          <cell r="Z2532">
            <v>2.9209164092333911E-2</v>
          </cell>
          <cell r="AA2532">
            <v>2.9085772104228136E-2</v>
          </cell>
        </row>
        <row r="2533">
          <cell r="Y2533">
            <v>56591</v>
          </cell>
          <cell r="Z2533">
            <v>2.9212333465506831E-2</v>
          </cell>
          <cell r="AA2533">
            <v>2.9088866300158722E-2</v>
          </cell>
        </row>
        <row r="2534">
          <cell r="Y2534">
            <v>56598</v>
          </cell>
          <cell r="Z2534">
            <v>2.9215511200115576E-2</v>
          </cell>
          <cell r="AA2534">
            <v>2.9091968795876832E-2</v>
          </cell>
        </row>
        <row r="2535">
          <cell r="Y2535">
            <v>56605</v>
          </cell>
          <cell r="Z2535">
            <v>2.921869729617816E-2</v>
          </cell>
          <cell r="AA2535">
            <v>2.9095079591544559E-2</v>
          </cell>
        </row>
        <row r="2536">
          <cell r="Y2536">
            <v>56612</v>
          </cell>
          <cell r="Z2536">
            <v>2.9221891753716197E-2</v>
          </cell>
          <cell r="AA2536">
            <v>2.9098198687323995E-2</v>
          </cell>
        </row>
        <row r="2537">
          <cell r="Y2537">
            <v>56619</v>
          </cell>
          <cell r="Z2537">
            <v>2.922509457274769E-2</v>
          </cell>
          <cell r="AA2537">
            <v>2.9101326082728862E-2</v>
          </cell>
        </row>
        <row r="2538">
          <cell r="Y2538">
            <v>56626</v>
          </cell>
          <cell r="Z2538">
            <v>2.9228305753293358E-2</v>
          </cell>
          <cell r="AA2538">
            <v>2.91044617780023E-2</v>
          </cell>
        </row>
        <row r="2539">
          <cell r="Y2539">
            <v>56633</v>
          </cell>
          <cell r="Z2539">
            <v>2.9232924639919309E-2</v>
          </cell>
          <cell r="AA2539">
            <v>2.9107605773225353E-2</v>
          </cell>
        </row>
        <row r="2540">
          <cell r="Y2540">
            <v>56640</v>
          </cell>
          <cell r="Z2540">
            <v>2.9234753199006456E-2</v>
          </cell>
          <cell r="AA2540">
            <v>2.9110758068398024E-2</v>
          </cell>
        </row>
        <row r="2541">
          <cell r="Y2541">
            <v>56647</v>
          </cell>
          <cell r="Z2541">
            <v>2.923939051928176E-2</v>
          </cell>
          <cell r="AA2541">
            <v>2.9113918663277172E-2</v>
          </cell>
        </row>
        <row r="2542">
          <cell r="Y2542">
            <v>56654</v>
          </cell>
          <cell r="Z2542">
            <v>2.9241234091012178E-2</v>
          </cell>
          <cell r="AA2542">
            <v>2.9117087558268029E-2</v>
          </cell>
        </row>
        <row r="2543">
          <cell r="Y2543">
            <v>56661</v>
          </cell>
          <cell r="Z2543">
            <v>2.9244487079423176E-2</v>
          </cell>
          <cell r="AA2543">
            <v>2.9120264752965364E-2</v>
          </cell>
        </row>
        <row r="2544">
          <cell r="Y2544">
            <v>56668</v>
          </cell>
          <cell r="Z2544">
            <v>2.9247748429469016E-2</v>
          </cell>
          <cell r="AA2544">
            <v>2.9123450247693361E-2</v>
          </cell>
        </row>
        <row r="2545">
          <cell r="Y2545">
            <v>56675</v>
          </cell>
          <cell r="Z2545">
            <v>2.9253827266879636E-2</v>
          </cell>
          <cell r="AA2545">
            <v>2.9126644042127836E-2</v>
          </cell>
        </row>
        <row r="2546">
          <cell r="Y2546">
            <v>56682</v>
          </cell>
          <cell r="Z2546">
            <v>2.9257107058571253E-2</v>
          </cell>
          <cell r="AA2546">
            <v>2.9129846136511928E-2</v>
          </cell>
        </row>
        <row r="2547">
          <cell r="Y2547">
            <v>56689</v>
          </cell>
          <cell r="Z2547">
            <v>2.9260395213352827E-2</v>
          </cell>
          <cell r="AA2547">
            <v>2.9133056530764589E-2</v>
          </cell>
        </row>
        <row r="2548">
          <cell r="Y2548">
            <v>56696</v>
          </cell>
          <cell r="Z2548">
            <v>2.9263691731248136E-2</v>
          </cell>
          <cell r="AA2548">
            <v>2.9136275224966868E-2</v>
          </cell>
        </row>
        <row r="2549">
          <cell r="Y2549">
            <v>56703</v>
          </cell>
          <cell r="Z2549">
            <v>2.9266996612271282E-2</v>
          </cell>
          <cell r="AA2549">
            <v>2.9139502218875624E-2</v>
          </cell>
        </row>
        <row r="2550">
          <cell r="Y2550">
            <v>56710</v>
          </cell>
          <cell r="Z2550">
            <v>2.9268900912132124E-2</v>
          </cell>
          <cell r="AA2550">
            <v>2.9142737512977135E-2</v>
          </cell>
        </row>
        <row r="2551">
          <cell r="Y2551">
            <v>56717</v>
          </cell>
          <cell r="Z2551">
            <v>2.9272221656766156E-2</v>
          </cell>
          <cell r="AA2551">
            <v>2.9145981106704077E-2</v>
          </cell>
        </row>
        <row r="2552">
          <cell r="Y2552">
            <v>56724</v>
          </cell>
          <cell r="Z2552">
            <v>2.9275550763893488E-2</v>
          </cell>
          <cell r="AA2552">
            <v>2.9149233000218544E-2</v>
          </cell>
        </row>
        <row r="2553">
          <cell r="Y2553">
            <v>56731</v>
          </cell>
          <cell r="Z2553">
            <v>2.9278888233537276E-2</v>
          </cell>
          <cell r="AA2553">
            <v>2.915249319384472E-2</v>
          </cell>
        </row>
        <row r="2554">
          <cell r="Y2554">
            <v>56738</v>
          </cell>
          <cell r="Z2554">
            <v>2.928364646509915E-2</v>
          </cell>
          <cell r="AA2554">
            <v>2.9155761687339465E-2</v>
          </cell>
        </row>
        <row r="2555">
          <cell r="Y2555">
            <v>56745</v>
          </cell>
          <cell r="Z2555">
            <v>2.9287001525352682E-2</v>
          </cell>
          <cell r="AA2555">
            <v>2.9159038480621735E-2</v>
          </cell>
        </row>
        <row r="2556">
          <cell r="Y2556">
            <v>56752</v>
          </cell>
          <cell r="Z2556">
            <v>2.9290364948882045E-2</v>
          </cell>
          <cell r="AA2556">
            <v>2.9162323573772575E-2</v>
          </cell>
        </row>
        <row r="2557">
          <cell r="Y2557">
            <v>56759</v>
          </cell>
          <cell r="Z2557">
            <v>2.929373673571279E-2</v>
          </cell>
          <cell r="AA2557">
            <v>2.9165616967035124E-2</v>
          </cell>
        </row>
        <row r="2558">
          <cell r="Y2558">
            <v>56766</v>
          </cell>
          <cell r="Z2558">
            <v>2.9297116885862534E-2</v>
          </cell>
          <cell r="AA2558">
            <v>2.9168918659923104E-2</v>
          </cell>
        </row>
        <row r="2559">
          <cell r="Y2559">
            <v>56773</v>
          </cell>
          <cell r="Z2559">
            <v>2.9300505399353298E-2</v>
          </cell>
          <cell r="AA2559">
            <v>2.9172228652679655E-2</v>
          </cell>
        </row>
        <row r="2560">
          <cell r="Y2560">
            <v>56780</v>
          </cell>
          <cell r="Z2560">
            <v>2.9303902276207109E-2</v>
          </cell>
          <cell r="AA2560">
            <v>2.9175546945466868E-2</v>
          </cell>
        </row>
        <row r="2561">
          <cell r="Y2561">
            <v>56787</v>
          </cell>
          <cell r="Z2561">
            <v>2.9307307516445107E-2</v>
          </cell>
          <cell r="AA2561">
            <v>2.9178873538203698E-2</v>
          </cell>
        </row>
        <row r="2562">
          <cell r="Y2562">
            <v>56794</v>
          </cell>
          <cell r="Z2562">
            <v>2.9310721120091077E-2</v>
          </cell>
          <cell r="AA2562">
            <v>2.9182208430647005E-2</v>
          </cell>
        </row>
        <row r="2563">
          <cell r="Y2563">
            <v>56801</v>
          </cell>
          <cell r="Z2563">
            <v>2.9314143087159999E-2</v>
          </cell>
          <cell r="AA2563">
            <v>2.9185551622958883E-2</v>
          </cell>
        </row>
        <row r="2564">
          <cell r="Y2564">
            <v>56808</v>
          </cell>
          <cell r="Z2564">
            <v>2.9317573417679179E-2</v>
          </cell>
          <cell r="AA2564">
            <v>2.9188903115301423E-2</v>
          </cell>
        </row>
        <row r="2565">
          <cell r="Y2565">
            <v>56815</v>
          </cell>
          <cell r="Z2565">
            <v>2.9321012111666236E-2</v>
          </cell>
          <cell r="AA2565">
            <v>2.9192262907431488E-2</v>
          </cell>
        </row>
        <row r="2566">
          <cell r="Y2566">
            <v>56822</v>
          </cell>
          <cell r="Z2566">
            <v>2.9324459169148477E-2</v>
          </cell>
          <cell r="AA2566">
            <v>2.9195630999592215E-2</v>
          </cell>
        </row>
        <row r="2567">
          <cell r="Y2567">
            <v>56829</v>
          </cell>
          <cell r="Z2567">
            <v>2.9327914590140003E-2</v>
          </cell>
          <cell r="AA2567">
            <v>2.9199007391297327E-2</v>
          </cell>
        </row>
        <row r="2568">
          <cell r="Y2568">
            <v>56836</v>
          </cell>
          <cell r="Z2568">
            <v>2.9331378374667236E-2</v>
          </cell>
          <cell r="AA2568">
            <v>2.9202392083276241E-2</v>
          </cell>
        </row>
        <row r="2569">
          <cell r="Y2569">
            <v>56843</v>
          </cell>
          <cell r="Z2569">
            <v>2.9334850522753083E-2</v>
          </cell>
          <cell r="AA2569">
            <v>2.9205785074961632E-2</v>
          </cell>
        </row>
        <row r="2570">
          <cell r="Y2570">
            <v>56850</v>
          </cell>
          <cell r="Z2570">
            <v>2.9338331034416926E-2</v>
          </cell>
          <cell r="AA2570">
            <v>2.920918636659664E-2</v>
          </cell>
        </row>
        <row r="2571">
          <cell r="Y2571">
            <v>56857</v>
          </cell>
          <cell r="Z2571">
            <v>2.9340392701043255E-2</v>
          </cell>
          <cell r="AA2571">
            <v>2.9212595958019172E-2</v>
          </cell>
        </row>
        <row r="2572">
          <cell r="Y2572">
            <v>56864</v>
          </cell>
          <cell r="Z2572">
            <v>2.9343889062467383E-2</v>
          </cell>
          <cell r="AA2572">
            <v>2.9216013849472366E-2</v>
          </cell>
        </row>
        <row r="2573">
          <cell r="Y2573">
            <v>56871</v>
          </cell>
          <cell r="Z2573">
            <v>2.9347393786829233E-2</v>
          </cell>
          <cell r="AA2573">
            <v>2.9219440040632039E-2</v>
          </cell>
        </row>
        <row r="2574">
          <cell r="Y2574">
            <v>56878</v>
          </cell>
          <cell r="Z2574">
            <v>2.9350906874150172E-2</v>
          </cell>
          <cell r="AA2574">
            <v>2.9222874531660281E-2</v>
          </cell>
        </row>
        <row r="2575">
          <cell r="Y2575">
            <v>56885</v>
          </cell>
          <cell r="Z2575">
            <v>2.9355859047170706E-2</v>
          </cell>
          <cell r="AA2575">
            <v>2.9226317322881279E-2</v>
          </cell>
        </row>
        <row r="2576">
          <cell r="Y2576">
            <v>56892</v>
          </cell>
          <cell r="Z2576">
            <v>2.9359389740764127E-2</v>
          </cell>
          <cell r="AA2576">
            <v>2.9229768413808754E-2</v>
          </cell>
        </row>
        <row r="2577">
          <cell r="Y2577">
            <v>56899</v>
          </cell>
          <cell r="Z2577">
            <v>2.9362928798089705E-2</v>
          </cell>
          <cell r="AA2577">
            <v>2.9233227804523754E-2</v>
          </cell>
        </row>
        <row r="2578">
          <cell r="Y2578">
            <v>56906</v>
          </cell>
          <cell r="Z2578">
            <v>2.9366476219169463E-2</v>
          </cell>
          <cell r="AA2578">
            <v>2.923669549518837E-2</v>
          </cell>
        </row>
        <row r="2579">
          <cell r="Y2579">
            <v>56913</v>
          </cell>
          <cell r="Z2579">
            <v>2.9370032004026311E-2</v>
          </cell>
          <cell r="AA2579">
            <v>2.9240171485883648E-2</v>
          </cell>
        </row>
        <row r="2580">
          <cell r="Y2580">
            <v>56920</v>
          </cell>
          <cell r="Z2580">
            <v>2.9373596152683149E-2</v>
          </cell>
          <cell r="AA2580">
            <v>2.9243655776285404E-2</v>
          </cell>
        </row>
        <row r="2581">
          <cell r="Y2581">
            <v>56927</v>
          </cell>
          <cell r="Z2581">
            <v>2.9377168665160238E-2</v>
          </cell>
          <cell r="AA2581">
            <v>2.9247148366474685E-2</v>
          </cell>
        </row>
        <row r="2582">
          <cell r="Y2582">
            <v>56934</v>
          </cell>
          <cell r="Z2582">
            <v>2.9380749541480483E-2</v>
          </cell>
          <cell r="AA2582">
            <v>2.925064925685672E-2</v>
          </cell>
        </row>
        <row r="2583">
          <cell r="Y2583">
            <v>56941</v>
          </cell>
          <cell r="Z2583">
            <v>2.9384338781668552E-2</v>
          </cell>
          <cell r="AA2583">
            <v>2.9254158447026279E-2</v>
          </cell>
        </row>
        <row r="2584">
          <cell r="Y2584">
            <v>56948</v>
          </cell>
          <cell r="Z2584">
            <v>2.938649771505791E-2</v>
          </cell>
          <cell r="AA2584">
            <v>2.9257675937064409E-2</v>
          </cell>
        </row>
        <row r="2585">
          <cell r="Y2585">
            <v>56955</v>
          </cell>
          <cell r="Z2585">
            <v>2.9390102796401946E-2</v>
          </cell>
          <cell r="AA2585">
            <v>2.9261201726890063E-2</v>
          </cell>
        </row>
        <row r="2586">
          <cell r="Y2586">
            <v>56962</v>
          </cell>
          <cell r="Z2586">
            <v>2.9393716240972256E-2</v>
          </cell>
          <cell r="AA2586">
            <v>2.9264735816746379E-2</v>
          </cell>
        </row>
        <row r="2587">
          <cell r="Y2587">
            <v>56969</v>
          </cell>
          <cell r="Z2587">
            <v>2.9397338048791112E-2</v>
          </cell>
          <cell r="AA2587">
            <v>2.9268278206471265E-2</v>
          </cell>
        </row>
        <row r="2588">
          <cell r="Y2588">
            <v>56977</v>
          </cell>
          <cell r="Z2588">
            <v>2.9401487498468441E-2</v>
          </cell>
          <cell r="AA2588">
            <v>2.9272336814970545E-2</v>
          </cell>
        </row>
        <row r="2589">
          <cell r="Y2589">
            <v>56984</v>
          </cell>
          <cell r="Z2589">
            <v>2.9405127227609622E-2</v>
          </cell>
          <cell r="AA2589">
            <v>2.927589699013966E-2</v>
          </cell>
        </row>
        <row r="2590">
          <cell r="Y2590">
            <v>56991</v>
          </cell>
          <cell r="Z2590">
            <v>2.9408775320069705E-2</v>
          </cell>
          <cell r="AA2590">
            <v>2.9279465465096299E-2</v>
          </cell>
        </row>
        <row r="2591">
          <cell r="Y2591">
            <v>56998</v>
          </cell>
          <cell r="Z2591">
            <v>2.9412431775873629E-2</v>
          </cell>
          <cell r="AA2591">
            <v>2.9283042240164647E-2</v>
          </cell>
        </row>
        <row r="2592">
          <cell r="Y2592">
            <v>57005</v>
          </cell>
          <cell r="Z2592">
            <v>2.9416096595040096E-2</v>
          </cell>
          <cell r="AA2592">
            <v>2.9286627314939473E-2</v>
          </cell>
        </row>
        <row r="2593">
          <cell r="Y2593">
            <v>57012</v>
          </cell>
          <cell r="Z2593">
            <v>2.9418323136716492E-2</v>
          </cell>
          <cell r="AA2593">
            <v>2.9290220689663915E-2</v>
          </cell>
        </row>
        <row r="2594">
          <cell r="Y2594">
            <v>57019</v>
          </cell>
          <cell r="Z2594">
            <v>2.9422003789680039E-2</v>
          </cell>
          <cell r="AA2594">
            <v>2.9293822364175881E-2</v>
          </cell>
        </row>
        <row r="2595">
          <cell r="Y2595">
            <v>57026</v>
          </cell>
          <cell r="Z2595">
            <v>2.9425692805367148E-2</v>
          </cell>
          <cell r="AA2595">
            <v>2.9297432338880602E-2</v>
          </cell>
        </row>
        <row r="2596">
          <cell r="Y2596">
            <v>57033</v>
          </cell>
          <cell r="Z2596">
            <v>2.9429390183798532E-2</v>
          </cell>
          <cell r="AA2596">
            <v>2.9301050613291801E-2</v>
          </cell>
        </row>
        <row r="2597">
          <cell r="Y2597">
            <v>57040</v>
          </cell>
          <cell r="Z2597">
            <v>2.9435996522442168E-2</v>
          </cell>
          <cell r="AA2597">
            <v>2.9304677187571571E-2</v>
          </cell>
        </row>
        <row r="2598">
          <cell r="Y2598">
            <v>57047</v>
          </cell>
          <cell r="Z2598">
            <v>2.9439712418246451E-2</v>
          </cell>
          <cell r="AA2598">
            <v>2.930831206171991E-2</v>
          </cell>
        </row>
        <row r="2599">
          <cell r="Y2599">
            <v>57054</v>
          </cell>
          <cell r="Z2599">
            <v>2.9443436678289431E-2</v>
          </cell>
          <cell r="AA2599">
            <v>2.9311955235898912E-2</v>
          </cell>
        </row>
        <row r="2600">
          <cell r="Y2600">
            <v>57061</v>
          </cell>
          <cell r="Z2600">
            <v>2.944716930259049E-2</v>
          </cell>
          <cell r="AA2600">
            <v>2.9315606709784392E-2</v>
          </cell>
        </row>
        <row r="2601">
          <cell r="Y2601">
            <v>57068</v>
          </cell>
          <cell r="Z2601">
            <v>2.9450910291174293E-2</v>
          </cell>
          <cell r="AA2601">
            <v>2.9319266483538442E-2</v>
          </cell>
        </row>
        <row r="2602">
          <cell r="Y2602">
            <v>57075</v>
          </cell>
          <cell r="Z2602">
            <v>2.945320477680392E-2</v>
          </cell>
          <cell r="AA2602">
            <v>2.9322934557485247E-2</v>
          </cell>
        </row>
        <row r="2603">
          <cell r="Y2603">
            <v>57082</v>
          </cell>
          <cell r="Z2603">
            <v>2.9456961594496445E-2</v>
          </cell>
          <cell r="AA2603">
            <v>2.9326610931219577E-2</v>
          </cell>
        </row>
        <row r="2604">
          <cell r="Y2604">
            <v>57089</v>
          </cell>
          <cell r="Z2604">
            <v>2.9460726775828498E-2</v>
          </cell>
          <cell r="AA2604">
            <v>2.9330295604579337E-2</v>
          </cell>
        </row>
        <row r="2605">
          <cell r="Y2605">
            <v>57096</v>
          </cell>
          <cell r="Z2605">
            <v>2.9464500320826793E-2</v>
          </cell>
          <cell r="AA2605">
            <v>2.9333988578131853E-2</v>
          </cell>
        </row>
        <row r="2606">
          <cell r="Y2606">
            <v>57103</v>
          </cell>
          <cell r="Z2606">
            <v>2.9469740699169605E-2</v>
          </cell>
          <cell r="AA2606">
            <v>2.9337689851471893E-2</v>
          </cell>
        </row>
        <row r="2607">
          <cell r="Y2607">
            <v>57110</v>
          </cell>
          <cell r="Z2607">
            <v>2.9473531873949368E-2</v>
          </cell>
          <cell r="AA2607">
            <v>2.9341399424761549E-2</v>
          </cell>
        </row>
        <row r="2608">
          <cell r="Y2608">
            <v>57117</v>
          </cell>
          <cell r="Z2608">
            <v>2.9477331413177491E-2</v>
          </cell>
          <cell r="AA2608">
            <v>2.9345117297919776E-2</v>
          </cell>
        </row>
        <row r="2609">
          <cell r="Y2609">
            <v>57124</v>
          </cell>
          <cell r="Z2609">
            <v>2.9481139316876879E-2</v>
          </cell>
          <cell r="AA2609">
            <v>2.9348843471027619E-2</v>
          </cell>
        </row>
        <row r="2610">
          <cell r="Y2610">
            <v>57131</v>
          </cell>
          <cell r="Z2610">
            <v>2.9484955585073962E-2</v>
          </cell>
          <cell r="AA2610">
            <v>2.935257794384194E-2</v>
          </cell>
        </row>
        <row r="2611">
          <cell r="Y2611">
            <v>57138</v>
          </cell>
          <cell r="Z2611">
            <v>2.948878021779076E-2</v>
          </cell>
          <cell r="AA2611">
            <v>2.9356320716605877E-2</v>
          </cell>
        </row>
        <row r="2612">
          <cell r="Y2612">
            <v>57145</v>
          </cell>
          <cell r="Z2612">
            <v>2.9492613215051942E-2</v>
          </cell>
          <cell r="AA2612">
            <v>2.9360071789400477E-2</v>
          </cell>
        </row>
        <row r="2613">
          <cell r="Y2613">
            <v>57152</v>
          </cell>
          <cell r="Z2613">
            <v>2.9496454576883057E-2</v>
          </cell>
          <cell r="AA2613">
            <v>2.9363831162144693E-2</v>
          </cell>
        </row>
        <row r="2614">
          <cell r="Y2614">
            <v>57159</v>
          </cell>
          <cell r="Z2614">
            <v>2.9500304303306125E-2</v>
          </cell>
          <cell r="AA2614">
            <v>2.9367598834595388E-2</v>
          </cell>
        </row>
        <row r="2615">
          <cell r="Y2615">
            <v>57166</v>
          </cell>
          <cell r="Z2615">
            <v>2.950416239434581E-2</v>
          </cell>
          <cell r="AA2615">
            <v>2.9371374806914652E-2</v>
          </cell>
        </row>
        <row r="2616">
          <cell r="Y2616">
            <v>57173</v>
          </cell>
          <cell r="Z2616">
            <v>2.9508028850025902E-2</v>
          </cell>
          <cell r="AA2616">
            <v>2.9375159079264579E-2</v>
          </cell>
        </row>
        <row r="2617">
          <cell r="Y2617">
            <v>57180</v>
          </cell>
          <cell r="Z2617">
            <v>2.9511903670371948E-2</v>
          </cell>
          <cell r="AA2617">
            <v>2.9378951651564122E-2</v>
          </cell>
        </row>
        <row r="2618">
          <cell r="Y2618">
            <v>57187</v>
          </cell>
          <cell r="Z2618">
            <v>2.9515786855408611E-2</v>
          </cell>
          <cell r="AA2618">
            <v>2.9382752523732236E-2</v>
          </cell>
        </row>
        <row r="2619">
          <cell r="Y2619">
            <v>57194</v>
          </cell>
          <cell r="Z2619">
            <v>2.9519678405157037E-2</v>
          </cell>
          <cell r="AA2619">
            <v>2.9386561695606828E-2</v>
          </cell>
        </row>
        <row r="2620">
          <cell r="Y2620">
            <v>57201</v>
          </cell>
          <cell r="Z2620">
            <v>2.9523578319643654E-2</v>
          </cell>
          <cell r="AA2620">
            <v>2.9390379167431036E-2</v>
          </cell>
        </row>
        <row r="2621">
          <cell r="Y2621">
            <v>57208</v>
          </cell>
          <cell r="Z2621">
            <v>2.9527486598894884E-2</v>
          </cell>
          <cell r="AA2621">
            <v>2.9394204939447999E-2</v>
          </cell>
        </row>
        <row r="2622">
          <cell r="Y2622">
            <v>57215</v>
          </cell>
          <cell r="Z2622">
            <v>2.9531403242932758E-2</v>
          </cell>
          <cell r="AA2622">
            <v>2.9398039011009347E-2</v>
          </cell>
        </row>
        <row r="2623">
          <cell r="Y2623">
            <v>57222</v>
          </cell>
          <cell r="Z2623">
            <v>2.953532825178282E-2</v>
          </cell>
          <cell r="AA2623">
            <v>2.9401881382601358E-2</v>
          </cell>
        </row>
        <row r="2624">
          <cell r="Y2624">
            <v>57229</v>
          </cell>
          <cell r="Z2624">
            <v>2.9537786803516604E-2</v>
          </cell>
          <cell r="AA2624">
            <v>2.9405732054224032E-2</v>
          </cell>
        </row>
        <row r="2625">
          <cell r="Y2625">
            <v>57236</v>
          </cell>
          <cell r="Z2625">
            <v>2.9541727626795165E-2</v>
          </cell>
          <cell r="AA2625">
            <v>2.9409591025553183E-2</v>
          </cell>
        </row>
        <row r="2626">
          <cell r="Y2626">
            <v>57243</v>
          </cell>
          <cell r="Z2626">
            <v>2.9545676814236928E-2</v>
          </cell>
          <cell r="AA2626">
            <v>2.9413458296831951E-2</v>
          </cell>
        </row>
        <row r="2627">
          <cell r="Y2627">
            <v>57250</v>
          </cell>
          <cell r="Z2627">
            <v>2.9549634365875748E-2</v>
          </cell>
          <cell r="AA2627">
            <v>2.9417333868141382E-2</v>
          </cell>
        </row>
        <row r="2628">
          <cell r="Y2628">
            <v>57257</v>
          </cell>
          <cell r="Z2628">
            <v>2.9555078769073987E-2</v>
          </cell>
          <cell r="AA2628">
            <v>2.942121773915729E-2</v>
          </cell>
        </row>
        <row r="2629">
          <cell r="Y2629">
            <v>57264</v>
          </cell>
          <cell r="Z2629">
            <v>2.9559053967315171E-2</v>
          </cell>
          <cell r="AA2629">
            <v>2.9425109910122815E-2</v>
          </cell>
        </row>
        <row r="2630">
          <cell r="Y2630">
            <v>57271</v>
          </cell>
          <cell r="Z2630">
            <v>2.9563037530540327E-2</v>
          </cell>
          <cell r="AA2630">
            <v>2.9429010381037957E-2</v>
          </cell>
        </row>
        <row r="2631">
          <cell r="Y2631">
            <v>57278</v>
          </cell>
          <cell r="Z2631">
            <v>2.9567029458776761E-2</v>
          </cell>
          <cell r="AA2631">
            <v>2.9432919151821668E-2</v>
          </cell>
        </row>
        <row r="2632">
          <cell r="Y2632">
            <v>57285</v>
          </cell>
          <cell r="Z2632">
            <v>2.9571029752050906E-2</v>
          </cell>
          <cell r="AA2632">
            <v>2.9436836222717089E-2</v>
          </cell>
        </row>
        <row r="2633">
          <cell r="Y2633">
            <v>57292</v>
          </cell>
          <cell r="Z2633">
            <v>2.9575038410383017E-2</v>
          </cell>
          <cell r="AA2633">
            <v>2.9440761593156894E-2</v>
          </cell>
        </row>
        <row r="2634">
          <cell r="Y2634">
            <v>57299</v>
          </cell>
          <cell r="Z2634">
            <v>2.9579055433802171E-2</v>
          </cell>
          <cell r="AA2634">
            <v>2.9444695263789455E-2</v>
          </cell>
        </row>
        <row r="2635">
          <cell r="Y2635">
            <v>57306</v>
          </cell>
          <cell r="Z2635">
            <v>2.9583080822330389E-2</v>
          </cell>
          <cell r="AA2635">
            <v>2.944863723420954E-2</v>
          </cell>
        </row>
        <row r="2636">
          <cell r="Y2636">
            <v>57313</v>
          </cell>
          <cell r="Z2636">
            <v>2.9585628723310515E-2</v>
          </cell>
          <cell r="AA2636">
            <v>2.9452587504579242E-2</v>
          </cell>
        </row>
        <row r="2637">
          <cell r="Y2637">
            <v>57320</v>
          </cell>
          <cell r="Z2637">
            <v>2.9588183309871674E-2</v>
          </cell>
          <cell r="AA2637">
            <v>2.9456546074655421E-2</v>
          </cell>
        </row>
        <row r="2638">
          <cell r="Y2638">
            <v>57327</v>
          </cell>
          <cell r="Z2638">
            <v>2.9592231944746302E-2</v>
          </cell>
          <cell r="AA2638">
            <v>2.9460512944762263E-2</v>
          </cell>
        </row>
        <row r="2639">
          <cell r="Y2639">
            <v>57334</v>
          </cell>
          <cell r="Z2639">
            <v>2.9596288943391787E-2</v>
          </cell>
          <cell r="AA2639">
            <v>2.9464488114818721E-2</v>
          </cell>
        </row>
        <row r="2640">
          <cell r="Y2640">
            <v>57341</v>
          </cell>
          <cell r="Z2640">
            <v>2.9600354305827945E-2</v>
          </cell>
          <cell r="AA2640">
            <v>2.9468471584581657E-2</v>
          </cell>
        </row>
        <row r="2641">
          <cell r="Y2641">
            <v>57348</v>
          </cell>
          <cell r="Z2641">
            <v>2.9604428032083595E-2</v>
          </cell>
          <cell r="AA2641">
            <v>2.9472463354537348E-2</v>
          </cell>
        </row>
        <row r="2642">
          <cell r="Y2642">
            <v>57355</v>
          </cell>
          <cell r="Z2642">
            <v>2.9608510122181242E-2</v>
          </cell>
          <cell r="AA2642">
            <v>2.947646342436161E-2</v>
          </cell>
        </row>
        <row r="2643">
          <cell r="Y2643">
            <v>57362</v>
          </cell>
          <cell r="Z2643">
            <v>2.9612600576147008E-2</v>
          </cell>
          <cell r="AA2643">
            <v>2.9480471793892349E-2</v>
          </cell>
        </row>
        <row r="2644">
          <cell r="Y2644">
            <v>57369</v>
          </cell>
          <cell r="Z2644">
            <v>2.9616699394007007E-2</v>
          </cell>
          <cell r="AA2644">
            <v>2.9484488463453751E-2</v>
          </cell>
        </row>
        <row r="2645">
          <cell r="Y2645">
            <v>57376</v>
          </cell>
          <cell r="Z2645">
            <v>2.9619312720415746E-2</v>
          </cell>
          <cell r="AA2645">
            <v>2.9488513432964769E-2</v>
          </cell>
        </row>
        <row r="2646">
          <cell r="Y2646">
            <v>57383</v>
          </cell>
          <cell r="Z2646">
            <v>2.9624922121504249E-2</v>
          </cell>
          <cell r="AA2646">
            <v>2.9492546702425404E-2</v>
          </cell>
        </row>
        <row r="2647">
          <cell r="Y2647">
            <v>57390</v>
          </cell>
          <cell r="Z2647">
            <v>2.9627550314784951E-2</v>
          </cell>
          <cell r="AA2647">
            <v>2.9496588271592517E-2</v>
          </cell>
        </row>
        <row r="2648">
          <cell r="Y2648">
            <v>57397</v>
          </cell>
          <cell r="Z2648">
            <v>2.9631681656860184E-2</v>
          </cell>
          <cell r="AA2648">
            <v>2.9500638140709246E-2</v>
          </cell>
        </row>
        <row r="2649">
          <cell r="Y2649">
            <v>57404</v>
          </cell>
          <cell r="Z2649">
            <v>2.9640314612649255E-2</v>
          </cell>
          <cell r="AA2649">
            <v>2.9504696309856637E-2</v>
          </cell>
        </row>
        <row r="2650">
          <cell r="Y2650">
            <v>57411</v>
          </cell>
          <cell r="Z2650">
            <v>2.9644465480908176E-2</v>
          </cell>
          <cell r="AA2650">
            <v>2.9508762778872599E-2</v>
          </cell>
        </row>
        <row r="2651">
          <cell r="Y2651">
            <v>57418</v>
          </cell>
          <cell r="Z2651">
            <v>2.9648624714684033E-2</v>
          </cell>
          <cell r="AA2651">
            <v>2.9512837547595039E-2</v>
          </cell>
        </row>
        <row r="2652">
          <cell r="Y2652">
            <v>57425</v>
          </cell>
          <cell r="Z2652">
            <v>2.9652792314010305E-2</v>
          </cell>
          <cell r="AA2652">
            <v>2.9516920616429188E-2</v>
          </cell>
        </row>
        <row r="2653">
          <cell r="Y2653">
            <v>57432</v>
          </cell>
          <cell r="Z2653">
            <v>2.9656968278909894E-2</v>
          </cell>
          <cell r="AA2653">
            <v>2.9521011985212953E-2</v>
          </cell>
        </row>
        <row r="2654">
          <cell r="Y2654">
            <v>57439</v>
          </cell>
          <cell r="Z2654">
            <v>2.9659650015615106E-2</v>
          </cell>
          <cell r="AA2654">
            <v>2.9525111653865288E-2</v>
          </cell>
        </row>
        <row r="2655">
          <cell r="Y2655">
            <v>57446</v>
          </cell>
          <cell r="Z2655">
            <v>2.9663841774789937E-2</v>
          </cell>
          <cell r="AA2655">
            <v>2.9529219622386194E-2</v>
          </cell>
        </row>
        <row r="2656">
          <cell r="Y2656">
            <v>57453</v>
          </cell>
          <cell r="Z2656">
            <v>2.966804189889213E-2</v>
          </cell>
          <cell r="AA2656">
            <v>2.9533335890856716E-2</v>
          </cell>
        </row>
        <row r="2657">
          <cell r="Y2657">
            <v>57460</v>
          </cell>
          <cell r="Z2657">
            <v>2.9672250387943053E-2</v>
          </cell>
          <cell r="AA2657">
            <v>2.9537460459195808E-2</v>
          </cell>
        </row>
        <row r="2658">
          <cell r="Y2658">
            <v>57467</v>
          </cell>
          <cell r="Z2658">
            <v>2.9677973587936134E-2</v>
          </cell>
          <cell r="AA2658">
            <v>2.954159332740347E-2</v>
          </cell>
        </row>
        <row r="2659">
          <cell r="Y2659">
            <v>57474</v>
          </cell>
          <cell r="Z2659">
            <v>2.9682199746831506E-2</v>
          </cell>
          <cell r="AA2659">
            <v>2.9545734495479703E-2</v>
          </cell>
        </row>
        <row r="2660">
          <cell r="Y2660">
            <v>57481</v>
          </cell>
          <cell r="Z2660">
            <v>2.9686434271484315E-2</v>
          </cell>
          <cell r="AA2660">
            <v>2.9549883963586598E-2</v>
          </cell>
        </row>
        <row r="2661">
          <cell r="Y2661">
            <v>57488</v>
          </cell>
          <cell r="Z2661">
            <v>2.9690677161925388E-2</v>
          </cell>
          <cell r="AA2661">
            <v>2.955404173164311E-2</v>
          </cell>
        </row>
        <row r="2662">
          <cell r="Y2662">
            <v>57495</v>
          </cell>
          <cell r="Z2662">
            <v>2.9694928418174112E-2</v>
          </cell>
          <cell r="AA2662">
            <v>2.95582077994061E-2</v>
          </cell>
        </row>
        <row r="2663">
          <cell r="Y2663">
            <v>57502</v>
          </cell>
          <cell r="Z2663">
            <v>2.9699188040261316E-2</v>
          </cell>
          <cell r="AA2663">
            <v>2.9562382167199752E-2</v>
          </cell>
        </row>
        <row r="2664">
          <cell r="Y2664">
            <v>57509</v>
          </cell>
          <cell r="Z2664">
            <v>2.9703456028216075E-2</v>
          </cell>
          <cell r="AA2664">
            <v>2.9566564834943021E-2</v>
          </cell>
        </row>
        <row r="2665">
          <cell r="Y2665">
            <v>57516</v>
          </cell>
          <cell r="Z2665">
            <v>2.9707732382061286E-2</v>
          </cell>
          <cell r="AA2665">
            <v>2.9570755802635906E-2</v>
          </cell>
        </row>
        <row r="2666">
          <cell r="Y2666">
            <v>57523</v>
          </cell>
          <cell r="Z2666">
            <v>2.9712017101825146E-2</v>
          </cell>
          <cell r="AA2666">
            <v>2.9574955069954223E-2</v>
          </cell>
        </row>
        <row r="2667">
          <cell r="Y2667">
            <v>57530</v>
          </cell>
          <cell r="Z2667">
            <v>2.9716310187534959E-2</v>
          </cell>
          <cell r="AA2667">
            <v>2.9579162637546341E-2</v>
          </cell>
        </row>
        <row r="2668">
          <cell r="Y2668">
            <v>57537</v>
          </cell>
          <cell r="Z2668">
            <v>2.9720611639217159E-2</v>
          </cell>
          <cell r="AA2668">
            <v>2.9583378504844937E-2</v>
          </cell>
        </row>
        <row r="2669">
          <cell r="Y2669">
            <v>57544</v>
          </cell>
          <cell r="Z2669">
            <v>2.9724921456899929E-2</v>
          </cell>
          <cell r="AA2669">
            <v>2.958760267209315E-2</v>
          </cell>
        </row>
        <row r="2670">
          <cell r="Y2670">
            <v>57551</v>
          </cell>
          <cell r="Z2670">
            <v>2.9729239640607939E-2</v>
          </cell>
          <cell r="AA2670">
            <v>2.9591835139290978E-2</v>
          </cell>
        </row>
        <row r="2671">
          <cell r="Y2671">
            <v>57558</v>
          </cell>
          <cell r="Z2671">
            <v>2.9733566190370261E-2</v>
          </cell>
          <cell r="AA2671">
            <v>2.9596075906438424E-2</v>
          </cell>
        </row>
        <row r="2672">
          <cell r="Y2672">
            <v>57565</v>
          </cell>
          <cell r="Z2672">
            <v>2.9737901106214205E-2</v>
          </cell>
          <cell r="AA2672">
            <v>2.9600324973454439E-2</v>
          </cell>
        </row>
        <row r="2673">
          <cell r="Y2673">
            <v>57572</v>
          </cell>
          <cell r="Z2673">
            <v>2.9742244388164432E-2</v>
          </cell>
          <cell r="AA2673">
            <v>2.9604582340339025E-2</v>
          </cell>
        </row>
        <row r="2674">
          <cell r="Y2674">
            <v>57579</v>
          </cell>
          <cell r="Z2674">
            <v>2.9746596036250014E-2</v>
          </cell>
          <cell r="AA2674">
            <v>2.9608848007173227E-2</v>
          </cell>
        </row>
        <row r="2675">
          <cell r="Y2675">
            <v>57586</v>
          </cell>
          <cell r="Z2675">
            <v>2.9750956050499145E-2</v>
          </cell>
          <cell r="AA2675">
            <v>2.9613121973957046E-2</v>
          </cell>
        </row>
        <row r="2676">
          <cell r="Y2676">
            <v>57593</v>
          </cell>
          <cell r="Z2676">
            <v>2.9753801055804566E-2</v>
          </cell>
          <cell r="AA2676">
            <v>2.9617404240609435E-2</v>
          </cell>
        </row>
        <row r="2677">
          <cell r="Y2677">
            <v>57600</v>
          </cell>
          <cell r="Z2677">
            <v>2.9758176849443731E-2</v>
          </cell>
          <cell r="AA2677">
            <v>2.9621694807049348E-2</v>
          </cell>
        </row>
        <row r="2678">
          <cell r="Y2678">
            <v>57607</v>
          </cell>
          <cell r="Z2678">
            <v>2.9762561008595392E-2</v>
          </cell>
          <cell r="AA2678">
            <v>2.9625993673519924E-2</v>
          </cell>
        </row>
        <row r="2679">
          <cell r="Y2679">
            <v>57614</v>
          </cell>
          <cell r="Z2679">
            <v>2.9768479769671154E-2</v>
          </cell>
          <cell r="AA2679">
            <v>2.9630300840021162E-2</v>
          </cell>
        </row>
        <row r="2680">
          <cell r="Y2680">
            <v>57621</v>
          </cell>
          <cell r="Z2680">
            <v>2.9772881615144135E-2</v>
          </cell>
          <cell r="AA2680">
            <v>2.9634616306309924E-2</v>
          </cell>
        </row>
        <row r="2681">
          <cell r="Y2681">
            <v>57628</v>
          </cell>
          <cell r="Z2681">
            <v>2.9777291826944514E-2</v>
          </cell>
          <cell r="AA2681">
            <v>2.9638940072467257E-2</v>
          </cell>
        </row>
        <row r="2682">
          <cell r="Y2682">
            <v>57635</v>
          </cell>
          <cell r="Z2682">
            <v>2.9781710405101365E-2</v>
          </cell>
          <cell r="AA2682">
            <v>2.9643272138736299E-2</v>
          </cell>
        </row>
        <row r="2683">
          <cell r="Y2683">
            <v>57642</v>
          </cell>
          <cell r="Z2683">
            <v>2.9786137349642E-2</v>
          </cell>
          <cell r="AA2683">
            <v>2.9647612504711818E-2</v>
          </cell>
        </row>
        <row r="2684">
          <cell r="Y2684">
            <v>57649</v>
          </cell>
          <cell r="Z2684">
            <v>2.979057266059108E-2</v>
          </cell>
          <cell r="AA2684">
            <v>2.9651961170636953E-2</v>
          </cell>
        </row>
        <row r="2685">
          <cell r="Y2685">
            <v>57656</v>
          </cell>
          <cell r="Z2685">
            <v>2.9795016337980321E-2</v>
          </cell>
          <cell r="AA2685">
            <v>2.9656318136592752E-2</v>
          </cell>
        </row>
        <row r="2686">
          <cell r="Y2686">
            <v>57663</v>
          </cell>
          <cell r="Z2686">
            <v>2.9799468381836156E-2</v>
          </cell>
          <cell r="AA2686">
            <v>2.9660683402417121E-2</v>
          </cell>
        </row>
        <row r="2687">
          <cell r="Y2687">
            <v>57670</v>
          </cell>
          <cell r="Z2687">
            <v>2.9803928792185887E-2</v>
          </cell>
          <cell r="AA2687">
            <v>2.9665056968029013E-2</v>
          </cell>
        </row>
        <row r="2688">
          <cell r="Y2688">
            <v>57677</v>
          </cell>
          <cell r="Z2688">
            <v>2.9808397569059467E-2</v>
          </cell>
          <cell r="AA2688">
            <v>2.9669438833752615E-2</v>
          </cell>
        </row>
        <row r="2689">
          <cell r="Y2689">
            <v>57684</v>
          </cell>
          <cell r="Z2689">
            <v>2.9809803244284901E-2</v>
          </cell>
          <cell r="AA2689">
            <v>2.9673828999425833E-2</v>
          </cell>
        </row>
        <row r="2690">
          <cell r="Y2690">
            <v>57691</v>
          </cell>
          <cell r="Z2690">
            <v>2.9814286829264829E-2</v>
          </cell>
          <cell r="AA2690">
            <v>2.9678227464805529E-2</v>
          </cell>
        </row>
        <row r="2691">
          <cell r="Y2691">
            <v>57698</v>
          </cell>
          <cell r="Z2691">
            <v>2.9818778779378996E-2</v>
          </cell>
          <cell r="AA2691">
            <v>2.9682634230134841E-2</v>
          </cell>
        </row>
        <row r="2692">
          <cell r="Y2692">
            <v>57706</v>
          </cell>
          <cell r="Z2692">
            <v>2.9823922679703255E-2</v>
          </cell>
          <cell r="AA2692">
            <v>2.9687680696514063E-2</v>
          </cell>
        </row>
        <row r="2693">
          <cell r="Y2693">
            <v>57713</v>
          </cell>
          <cell r="Z2693">
            <v>2.9828432555191658E-2</v>
          </cell>
          <cell r="AA2693">
            <v>2.9692105247611789E-2</v>
          </cell>
        </row>
        <row r="2694">
          <cell r="Y2694">
            <v>57720</v>
          </cell>
          <cell r="Z2694">
            <v>2.9832950795897147E-2</v>
          </cell>
          <cell r="AA2694">
            <v>2.9696538098497038E-2</v>
          </cell>
        </row>
        <row r="2695">
          <cell r="Y2695">
            <v>57727</v>
          </cell>
          <cell r="Z2695">
            <v>2.9837477401848538E-2</v>
          </cell>
          <cell r="AA2695">
            <v>2.9700979249250858E-2</v>
          </cell>
        </row>
        <row r="2696">
          <cell r="Y2696">
            <v>57734</v>
          </cell>
          <cell r="Z2696">
            <v>2.984201237307375E-2</v>
          </cell>
          <cell r="AA2696">
            <v>2.9705428699873249E-2</v>
          </cell>
        </row>
        <row r="2697">
          <cell r="Y2697">
            <v>57741</v>
          </cell>
          <cell r="Z2697">
            <v>2.9845012380750324E-2</v>
          </cell>
          <cell r="AA2697">
            <v>2.9709886450688394E-2</v>
          </cell>
        </row>
        <row r="2698">
          <cell r="Y2698">
            <v>57748</v>
          </cell>
          <cell r="Z2698">
            <v>2.9849563114286045E-2</v>
          </cell>
          <cell r="AA2698">
            <v>2.9714352501128971E-2</v>
          </cell>
        </row>
        <row r="2699">
          <cell r="Y2699">
            <v>57755</v>
          </cell>
          <cell r="Z2699">
            <v>2.9854122212439028E-2</v>
          </cell>
          <cell r="AA2699">
            <v>2.9718826851600211E-2</v>
          </cell>
        </row>
        <row r="2700">
          <cell r="Y2700">
            <v>57762</v>
          </cell>
          <cell r="Z2700">
            <v>2.9858689675235684E-2</v>
          </cell>
          <cell r="AA2700">
            <v>2.9723309501940021E-2</v>
          </cell>
        </row>
        <row r="2701">
          <cell r="Y2701">
            <v>57769</v>
          </cell>
          <cell r="Z2701">
            <v>2.986790765269022E-2</v>
          </cell>
          <cell r="AA2701">
            <v>2.9727800452310493E-2</v>
          </cell>
        </row>
        <row r="2702">
          <cell r="Y2702">
            <v>57776</v>
          </cell>
          <cell r="Z2702">
            <v>2.9872494759123805E-2</v>
          </cell>
          <cell r="AA2702">
            <v>2.9732299702549536E-2</v>
          </cell>
        </row>
        <row r="2703">
          <cell r="Y2703">
            <v>57783</v>
          </cell>
          <cell r="Z2703">
            <v>2.9877090232510256E-2</v>
          </cell>
          <cell r="AA2703">
            <v>2.9736807252657149E-2</v>
          </cell>
        </row>
        <row r="2704">
          <cell r="Y2704">
            <v>57790</v>
          </cell>
          <cell r="Z2704">
            <v>2.9881694072877763E-2</v>
          </cell>
          <cell r="AA2704">
            <v>2.9741323102633332E-2</v>
          </cell>
        </row>
        <row r="2705">
          <cell r="Y2705">
            <v>57797</v>
          </cell>
          <cell r="Z2705">
            <v>2.98863062802554E-2</v>
          </cell>
          <cell r="AA2705">
            <v>2.9745847252640178E-2</v>
          </cell>
        </row>
        <row r="2706">
          <cell r="Y2706">
            <v>57804</v>
          </cell>
          <cell r="Z2706">
            <v>2.9889374429389545E-2</v>
          </cell>
          <cell r="AA2706">
            <v>2.9750379702596641E-2</v>
          </cell>
        </row>
        <row r="2707">
          <cell r="Y2707">
            <v>57811</v>
          </cell>
          <cell r="Z2707">
            <v>2.9894002395607515E-2</v>
          </cell>
          <cell r="AA2707">
            <v>2.9761071584422316E-2</v>
          </cell>
        </row>
        <row r="2708">
          <cell r="Y2708">
            <v>57818</v>
          </cell>
          <cell r="Z2708">
            <v>2.9898638728182284E-2</v>
          </cell>
          <cell r="AA2708">
            <v>2.9759469502196323E-2</v>
          </cell>
        </row>
        <row r="2709">
          <cell r="Y2709">
            <v>57825</v>
          </cell>
          <cell r="Z2709">
            <v>2.9903283427138792E-2</v>
          </cell>
          <cell r="AA2709">
            <v>2.9764026851920589E-2</v>
          </cell>
        </row>
        <row r="2710">
          <cell r="Y2710">
            <v>57832</v>
          </cell>
          <cell r="Z2710">
            <v>2.9909492823324446E-2</v>
          </cell>
          <cell r="AA2710">
            <v>2.9768592501432378E-2</v>
          </cell>
        </row>
        <row r="2711">
          <cell r="Y2711">
            <v>57839</v>
          </cell>
          <cell r="Z2711">
            <v>2.9914155233376868E-2</v>
          </cell>
          <cell r="AA2711">
            <v>2.9773166450974831E-2</v>
          </cell>
        </row>
        <row r="2712">
          <cell r="Y2712">
            <v>57846</v>
          </cell>
          <cell r="Z2712">
            <v>2.9918826010642913E-2</v>
          </cell>
          <cell r="AA2712">
            <v>2.9777748700547946E-2</v>
          </cell>
        </row>
        <row r="2713">
          <cell r="Y2713">
            <v>57853</v>
          </cell>
          <cell r="Z2713">
            <v>2.9923505155154295E-2</v>
          </cell>
          <cell r="AA2713">
            <v>2.9782339249989631E-2</v>
          </cell>
        </row>
        <row r="2714">
          <cell r="Y2714">
            <v>57860</v>
          </cell>
          <cell r="Z2714">
            <v>2.9928192666935683E-2</v>
          </cell>
          <cell r="AA2714">
            <v>2.9786938099137794E-2</v>
          </cell>
        </row>
        <row r="2715">
          <cell r="Y2715">
            <v>57867</v>
          </cell>
          <cell r="Z2715">
            <v>2.9932888546021434E-2</v>
          </cell>
          <cell r="AA2715">
            <v>2.9791545248397666E-2</v>
          </cell>
        </row>
        <row r="2716">
          <cell r="Y2716">
            <v>57874</v>
          </cell>
          <cell r="Z2716">
            <v>2.9937592792439734E-2</v>
          </cell>
          <cell r="AA2716">
            <v>2.9796160697607155E-2</v>
          </cell>
        </row>
        <row r="2717">
          <cell r="Y2717">
            <v>57881</v>
          </cell>
          <cell r="Z2717">
            <v>2.9942305406220539E-2</v>
          </cell>
          <cell r="AA2717">
            <v>2.980078444676626E-2</v>
          </cell>
        </row>
        <row r="2718">
          <cell r="Y2718">
            <v>57888</v>
          </cell>
          <cell r="Z2718">
            <v>2.9947026387389396E-2</v>
          </cell>
          <cell r="AA2718">
            <v>2.9805416495631842E-2</v>
          </cell>
        </row>
        <row r="2719">
          <cell r="Y2719">
            <v>57895</v>
          </cell>
          <cell r="Z2719">
            <v>2.9951755735980658E-2</v>
          </cell>
          <cell r="AA2719">
            <v>2.981005684469018E-2</v>
          </cell>
        </row>
        <row r="2720">
          <cell r="Y2720">
            <v>57902</v>
          </cell>
          <cell r="Z2720">
            <v>2.9956493452021636E-2</v>
          </cell>
          <cell r="AA2720">
            <v>2.9814705493536042E-2</v>
          </cell>
        </row>
        <row r="2721">
          <cell r="Y2721">
            <v>57909</v>
          </cell>
          <cell r="Z2721">
            <v>2.9961239535543166E-2</v>
          </cell>
          <cell r="AA2721">
            <v>2.9819362442250474E-2</v>
          </cell>
        </row>
        <row r="2722">
          <cell r="Y2722">
            <v>57916</v>
          </cell>
          <cell r="Z2722">
            <v>2.9965993986574312E-2</v>
          </cell>
          <cell r="AA2722">
            <v>2.9824027690995569E-2</v>
          </cell>
        </row>
        <row r="2723">
          <cell r="Y2723">
            <v>57923</v>
          </cell>
          <cell r="Z2723">
            <v>2.9970756805145032E-2</v>
          </cell>
          <cell r="AA2723">
            <v>2.9828701239690281E-2</v>
          </cell>
        </row>
        <row r="2724">
          <cell r="Y2724">
            <v>57930</v>
          </cell>
          <cell r="Z2724">
            <v>2.9975527991287918E-2</v>
          </cell>
          <cell r="AA2724">
            <v>2.9833383088334609E-2</v>
          </cell>
        </row>
        <row r="2725">
          <cell r="Y2725">
            <v>57937</v>
          </cell>
          <cell r="Z2725">
            <v>2.9980307545025876E-2</v>
          </cell>
          <cell r="AA2725">
            <v>2.9838073236685414E-2</v>
          </cell>
        </row>
        <row r="2726">
          <cell r="Y2726">
            <v>57944</v>
          </cell>
          <cell r="Z2726">
            <v>2.9985095466395904E-2</v>
          </cell>
          <cell r="AA2726">
            <v>2.9842771685147929E-2</v>
          </cell>
        </row>
        <row r="2727">
          <cell r="Y2727">
            <v>57951</v>
          </cell>
          <cell r="Z2727">
            <v>2.9989891755427073E-2</v>
          </cell>
          <cell r="AA2727">
            <v>2.984747843356006E-2</v>
          </cell>
        </row>
        <row r="2728">
          <cell r="Y2728">
            <v>57958</v>
          </cell>
          <cell r="Z2728">
            <v>2.9993122358804716E-2</v>
          </cell>
          <cell r="AA2728">
            <v>2.9852193481921807E-2</v>
          </cell>
        </row>
        <row r="2729">
          <cell r="Y2729">
            <v>57965</v>
          </cell>
          <cell r="Z2729">
            <v>2.9997934391550171E-2</v>
          </cell>
          <cell r="AA2729">
            <v>2.9856916830071079E-2</v>
          </cell>
        </row>
        <row r="2730">
          <cell r="Y2730">
            <v>57972</v>
          </cell>
          <cell r="Z2730">
            <v>3.0002754791298131E-2</v>
          </cell>
          <cell r="AA2730">
            <v>2.9861648478251013E-2</v>
          </cell>
        </row>
        <row r="2731">
          <cell r="Y2731">
            <v>57979</v>
          </cell>
          <cell r="Z2731">
            <v>3.0009160588745459E-2</v>
          </cell>
          <cell r="AA2731">
            <v>2.9866388426380563E-2</v>
          </cell>
        </row>
        <row r="2732">
          <cell r="Y2732">
            <v>57986</v>
          </cell>
          <cell r="Z2732">
            <v>3.0013998716526328E-2</v>
          </cell>
          <cell r="AA2732">
            <v>2.9871136674297638E-2</v>
          </cell>
        </row>
        <row r="2733">
          <cell r="Y2733">
            <v>57993</v>
          </cell>
          <cell r="Z2733">
            <v>3.0018845212147167E-2</v>
          </cell>
          <cell r="AA2733">
            <v>2.9875893222245375E-2</v>
          </cell>
        </row>
        <row r="2734">
          <cell r="Y2734">
            <v>58000</v>
          </cell>
          <cell r="Z2734">
            <v>3.0023700075641452E-2</v>
          </cell>
          <cell r="AA2734">
            <v>2.9880658070223776E-2</v>
          </cell>
        </row>
        <row r="2735">
          <cell r="Y2735">
            <v>58007</v>
          </cell>
          <cell r="Z2735">
            <v>3.0028563307037376E-2</v>
          </cell>
          <cell r="AA2735">
            <v>2.98854312179897E-2</v>
          </cell>
        </row>
        <row r="2736">
          <cell r="Y2736">
            <v>58014</v>
          </cell>
          <cell r="Z2736">
            <v>3.0033434906364009E-2</v>
          </cell>
          <cell r="AA2736">
            <v>2.989021266570524E-2</v>
          </cell>
        </row>
        <row r="2737">
          <cell r="Y2737">
            <v>58021</v>
          </cell>
          <cell r="Z2737">
            <v>3.0038314873654826E-2</v>
          </cell>
          <cell r="AA2737">
            <v>2.989500241353249E-2</v>
          </cell>
        </row>
        <row r="2738">
          <cell r="Y2738">
            <v>58028</v>
          </cell>
          <cell r="Z2738">
            <v>3.0043203208939776E-2</v>
          </cell>
          <cell r="AA2738">
            <v>2.9899800461066217E-2</v>
          </cell>
        </row>
        <row r="2739">
          <cell r="Y2739">
            <v>58035</v>
          </cell>
          <cell r="Z2739">
            <v>3.0048099912247935E-2</v>
          </cell>
          <cell r="AA2739">
            <v>2.9904606808549561E-2</v>
          </cell>
        </row>
        <row r="2740">
          <cell r="Y2740">
            <v>58042</v>
          </cell>
          <cell r="Z2740">
            <v>3.0053004983611898E-2</v>
          </cell>
          <cell r="AA2740">
            <v>2.9909421455982521E-2</v>
          </cell>
        </row>
        <row r="2741">
          <cell r="Y2741">
            <v>58049</v>
          </cell>
          <cell r="Z2741">
            <v>3.0054744597429628E-2</v>
          </cell>
          <cell r="AA2741">
            <v>2.9914244403446144E-2</v>
          </cell>
        </row>
        <row r="2742">
          <cell r="Y2742">
            <v>58056</v>
          </cell>
          <cell r="Z2742">
            <v>3.0059664402191297E-2</v>
          </cell>
          <cell r="AA2742">
            <v>2.9919075650859384E-2</v>
          </cell>
        </row>
        <row r="2743">
          <cell r="Y2743">
            <v>58063</v>
          </cell>
          <cell r="Z2743">
            <v>3.0064592573590166E-2</v>
          </cell>
          <cell r="AA2743">
            <v>2.9923915198141193E-2</v>
          </cell>
        </row>
        <row r="2744">
          <cell r="Y2744">
            <v>58071</v>
          </cell>
          <cell r="Z2744">
            <v>3.0070235014376966E-2</v>
          </cell>
          <cell r="AA2744">
            <v>2.9932604077188566E-2</v>
          </cell>
        </row>
        <row r="2745">
          <cell r="Y2745">
            <v>58078</v>
          </cell>
          <cell r="Z2745">
            <v>3.0075181114388314E-2</v>
          </cell>
          <cell r="AA2745">
            <v>2.9937463392657834E-2</v>
          </cell>
        </row>
        <row r="2746">
          <cell r="Y2746">
            <v>58085</v>
          </cell>
          <cell r="Z2746">
            <v>3.0080135581134121E-2</v>
          </cell>
          <cell r="AA2746">
            <v>2.9942331009562565E-2</v>
          </cell>
        </row>
        <row r="2747">
          <cell r="Y2747">
            <v>58092</v>
          </cell>
          <cell r="Z2747">
            <v>3.0085098414643192E-2</v>
          </cell>
          <cell r="AA2747">
            <v>2.9947206927875746E-2</v>
          </cell>
        </row>
        <row r="2748">
          <cell r="Y2748">
            <v>58099</v>
          </cell>
          <cell r="Z2748">
            <v>3.0090069614947954E-2</v>
          </cell>
          <cell r="AA2748">
            <v>2.9952091147570362E-2</v>
          </cell>
        </row>
        <row r="2749">
          <cell r="Y2749">
            <v>58106</v>
          </cell>
          <cell r="Z2749">
            <v>3.009345436816141E-2</v>
          </cell>
          <cell r="AA2749">
            <v>2.9956983668808505E-2</v>
          </cell>
        </row>
        <row r="2750">
          <cell r="Y2750">
            <v>58113</v>
          </cell>
          <cell r="Z2750">
            <v>3.0098441294800167E-2</v>
          </cell>
          <cell r="AA2750">
            <v>2.9961884491401067E-2</v>
          </cell>
        </row>
        <row r="2751">
          <cell r="Y2751">
            <v>58120</v>
          </cell>
          <cell r="Z2751">
            <v>3.0103436587566923E-2</v>
          </cell>
          <cell r="AA2751">
            <v>2.9966793615429092E-2</v>
          </cell>
        </row>
        <row r="2752">
          <cell r="Y2752">
            <v>58127</v>
          </cell>
          <cell r="Z2752">
            <v>3.0108440246492646E-2</v>
          </cell>
          <cell r="AA2752">
            <v>2.9971711040919599E-2</v>
          </cell>
        </row>
        <row r="2753">
          <cell r="Y2753">
            <v>58134</v>
          </cell>
          <cell r="Z2753">
            <v>3.0116650151287856E-2</v>
          </cell>
          <cell r="AA2753">
            <v>2.9976636767845569E-2</v>
          </cell>
        </row>
        <row r="2754">
          <cell r="Y2754">
            <v>58141</v>
          </cell>
          <cell r="Z2754">
            <v>3.0126473795663872E-2</v>
          </cell>
          <cell r="AA2754">
            <v>2.9981570796179989E-2</v>
          </cell>
        </row>
        <row r="2755">
          <cell r="Y2755">
            <v>58148</v>
          </cell>
          <cell r="Z2755">
            <v>3.0131507610353953E-2</v>
          </cell>
          <cell r="AA2755">
            <v>2.9986513125949875E-2</v>
          </cell>
        </row>
        <row r="2756">
          <cell r="Y2756">
            <v>58155</v>
          </cell>
          <cell r="Z2756">
            <v>3.0136549795121099E-2</v>
          </cell>
          <cell r="AA2756">
            <v>2.9991463757155227E-2</v>
          </cell>
        </row>
        <row r="2757">
          <cell r="Y2757">
            <v>58166</v>
          </cell>
          <cell r="Z2757">
            <v>3.013967805859322E-2</v>
          </cell>
          <cell r="AA2757">
            <v>2.9996085253957139E-2</v>
          </cell>
        </row>
        <row r="2758">
          <cell r="Y2758">
            <v>58173</v>
          </cell>
          <cell r="Z2758">
            <v>3.014473872373578E-2</v>
          </cell>
          <cell r="AA2758">
            <v>3.0001055228775497E-2</v>
          </cell>
        </row>
        <row r="2759">
          <cell r="Y2759">
            <v>58180</v>
          </cell>
          <cell r="Z2759">
            <v>3.0149807756789267E-2</v>
          </cell>
          <cell r="AA2759">
            <v>3.0006033503705565E-2</v>
          </cell>
        </row>
        <row r="2760">
          <cell r="Y2760">
            <v>58187</v>
          </cell>
          <cell r="Z2760">
            <v>3.0154885157785753E-2</v>
          </cell>
          <cell r="AA2760">
            <v>3.0011020078504203E-2</v>
          </cell>
        </row>
        <row r="2761">
          <cell r="Y2761">
            <v>58194</v>
          </cell>
          <cell r="Z2761">
            <v>3.0159970926754619E-2</v>
          </cell>
          <cell r="AA2761">
            <v>3.0016014953009318E-2</v>
          </cell>
        </row>
        <row r="2762">
          <cell r="Y2762">
            <v>58201</v>
          </cell>
          <cell r="Z2762">
            <v>3.016667398423151E-2</v>
          </cell>
          <cell r="AA2762">
            <v>3.0021018127788235E-2</v>
          </cell>
        </row>
        <row r="2763">
          <cell r="Y2763">
            <v>58208</v>
          </cell>
          <cell r="Z2763">
            <v>3.0171777507185367E-2</v>
          </cell>
          <cell r="AA2763">
            <v>3.0026029602435722E-2</v>
          </cell>
        </row>
        <row r="2764">
          <cell r="Y2764">
            <v>58215</v>
          </cell>
          <cell r="Z2764">
            <v>3.0176889398970251E-2</v>
          </cell>
          <cell r="AA2764">
            <v>3.0031049376870733E-2</v>
          </cell>
        </row>
        <row r="2765">
          <cell r="Y2765">
            <v>58222</v>
          </cell>
          <cell r="Z2765">
            <v>3.0182009659620514E-2</v>
          </cell>
          <cell r="AA2765">
            <v>3.0036077451417453E-2</v>
          </cell>
        </row>
        <row r="2766">
          <cell r="Y2766">
            <v>58229</v>
          </cell>
          <cell r="Z2766">
            <v>3.0187138289165236E-2</v>
          </cell>
          <cell r="AA2766">
            <v>3.0041113825832744E-2</v>
          </cell>
        </row>
        <row r="2767">
          <cell r="Y2767">
            <v>58236</v>
          </cell>
          <cell r="Z2767">
            <v>3.0192275287637883E-2</v>
          </cell>
          <cell r="AA2767">
            <v>3.0046158500197651E-2</v>
          </cell>
        </row>
        <row r="2768">
          <cell r="Y2768">
            <v>58243</v>
          </cell>
          <cell r="Z2768">
            <v>3.0197420655069297E-2</v>
          </cell>
          <cell r="AA2768">
            <v>3.0051211474431128E-2</v>
          </cell>
        </row>
        <row r="2769">
          <cell r="Y2769">
            <v>58250</v>
          </cell>
          <cell r="Z2769">
            <v>3.0202574391494711E-2</v>
          </cell>
          <cell r="AA2769">
            <v>3.0056272748614221E-2</v>
          </cell>
        </row>
        <row r="2770">
          <cell r="Y2770">
            <v>58257</v>
          </cell>
          <cell r="Z2770">
            <v>3.0207736496944956E-2</v>
          </cell>
          <cell r="AA2770">
            <v>3.0061342322909024E-2</v>
          </cell>
        </row>
        <row r="2771">
          <cell r="Y2771">
            <v>58264</v>
          </cell>
          <cell r="Z2771">
            <v>3.021290697145175E-2</v>
          </cell>
          <cell r="AA2771">
            <v>3.006642019699135E-2</v>
          </cell>
        </row>
        <row r="2772">
          <cell r="Y2772">
            <v>58271</v>
          </cell>
          <cell r="Z2772">
            <v>3.0218085815047681E-2</v>
          </cell>
          <cell r="AA2772">
            <v>3.0071506370942247E-2</v>
          </cell>
        </row>
        <row r="2773">
          <cell r="Y2773">
            <v>58278</v>
          </cell>
          <cell r="Z2773">
            <v>3.0223273027767113E-2</v>
          </cell>
          <cell r="AA2773">
            <v>3.0076600845085899E-2</v>
          </cell>
        </row>
        <row r="2774">
          <cell r="Y2774">
            <v>58285</v>
          </cell>
          <cell r="Z2774">
            <v>3.0228468609639996E-2</v>
          </cell>
          <cell r="AA2774">
            <v>3.0081703619017075E-2</v>
          </cell>
        </row>
        <row r="2775">
          <cell r="Y2775">
            <v>58292</v>
          </cell>
          <cell r="Z2775">
            <v>3.0233672560701565E-2</v>
          </cell>
          <cell r="AA2775">
            <v>3.0086814692897867E-2</v>
          </cell>
        </row>
        <row r="2776">
          <cell r="Y2776">
            <v>58299</v>
          </cell>
          <cell r="Z2776">
            <v>3.0238884880982655E-2</v>
          </cell>
          <cell r="AA2776">
            <v>3.0091934066728276E-2</v>
          </cell>
        </row>
        <row r="2777">
          <cell r="Y2777">
            <v>58306</v>
          </cell>
          <cell r="Z2777">
            <v>3.0244105570515861E-2</v>
          </cell>
          <cell r="AA2777">
            <v>3.0097061740670394E-2</v>
          </cell>
        </row>
        <row r="2778">
          <cell r="Y2778">
            <v>58313</v>
          </cell>
          <cell r="Z2778">
            <v>3.0249334629336419E-2</v>
          </cell>
          <cell r="AA2778">
            <v>3.0102197714400036E-2</v>
          </cell>
        </row>
        <row r="2779">
          <cell r="Y2779">
            <v>58320</v>
          </cell>
          <cell r="Z2779">
            <v>3.0252945728061042E-2</v>
          </cell>
          <cell r="AA2779">
            <v>3.0107341988079295E-2</v>
          </cell>
        </row>
        <row r="2780">
          <cell r="Y2780">
            <v>58327</v>
          </cell>
          <cell r="Z2780">
            <v>3.0258190494601475E-2</v>
          </cell>
          <cell r="AA2780">
            <v>3.011249456170817E-2</v>
          </cell>
        </row>
        <row r="2781">
          <cell r="Y2781">
            <v>58334</v>
          </cell>
          <cell r="Z2781">
            <v>3.0263443629756429E-2</v>
          </cell>
          <cell r="AA2781">
            <v>3.0117655435286661E-2</v>
          </cell>
        </row>
        <row r="2782">
          <cell r="Y2782">
            <v>58341</v>
          </cell>
          <cell r="Z2782">
            <v>3.0268705133560635E-2</v>
          </cell>
          <cell r="AA2782">
            <v>3.0122824608895815E-2</v>
          </cell>
        </row>
        <row r="2783">
          <cell r="Y2783">
            <v>58348</v>
          </cell>
          <cell r="Z2783">
            <v>3.0275605463863878E-2</v>
          </cell>
          <cell r="AA2783">
            <v>3.0128002082292493E-2</v>
          </cell>
        </row>
        <row r="2784">
          <cell r="Y2784">
            <v>58355</v>
          </cell>
          <cell r="Z2784">
            <v>3.0280884739088635E-2</v>
          </cell>
          <cell r="AA2784">
            <v>3.013318785580088E-2</v>
          </cell>
        </row>
        <row r="2785">
          <cell r="Y2785">
            <v>58362</v>
          </cell>
          <cell r="Z2785">
            <v>3.0286172383828028E-2</v>
          </cell>
          <cell r="AA2785">
            <v>3.0138381929177838E-2</v>
          </cell>
        </row>
        <row r="2786">
          <cell r="Y2786">
            <v>58369</v>
          </cell>
          <cell r="Z2786">
            <v>3.0291468398118172E-2</v>
          </cell>
          <cell r="AA2786">
            <v>3.0143584302504411E-2</v>
          </cell>
        </row>
        <row r="2787">
          <cell r="Y2787">
            <v>58376</v>
          </cell>
          <cell r="Z2787">
            <v>3.0296772781989022E-2</v>
          </cell>
          <cell r="AA2787">
            <v>3.0148794975780602E-2</v>
          </cell>
        </row>
        <row r="2788">
          <cell r="Y2788">
            <v>58383</v>
          </cell>
          <cell r="Z2788">
            <v>3.0302085535476694E-2</v>
          </cell>
          <cell r="AA2788">
            <v>3.0154013949006409E-2</v>
          </cell>
        </row>
        <row r="2789">
          <cell r="Y2789">
            <v>58390</v>
          </cell>
          <cell r="Z2789">
            <v>3.0307406658616424E-2</v>
          </cell>
          <cell r="AA2789">
            <v>3.0159241222343924E-2</v>
          </cell>
        </row>
        <row r="2790">
          <cell r="Y2790">
            <v>58397</v>
          </cell>
          <cell r="Z2790">
            <v>3.0312736151435527E-2</v>
          </cell>
          <cell r="AA2790">
            <v>3.0164476795306872E-2</v>
          </cell>
        </row>
        <row r="2791">
          <cell r="Y2791">
            <v>58404</v>
          </cell>
          <cell r="Z2791">
            <v>3.0318074013972761E-2</v>
          </cell>
          <cell r="AA2791">
            <v>3.0169720668462574E-2</v>
          </cell>
        </row>
        <row r="2792">
          <cell r="Y2792">
            <v>58411</v>
          </cell>
          <cell r="Z2792">
            <v>3.0321780454466866E-2</v>
          </cell>
          <cell r="AA2792">
            <v>3.0174972841567893E-2</v>
          </cell>
        </row>
        <row r="2793">
          <cell r="Y2793">
            <v>58418</v>
          </cell>
          <cell r="Z2793">
            <v>3.032713401556816E-2</v>
          </cell>
          <cell r="AA2793">
            <v>3.0180233314460736E-2</v>
          </cell>
        </row>
        <row r="2794">
          <cell r="Y2794">
            <v>58425</v>
          </cell>
          <cell r="Z2794">
            <v>3.0332495945714136E-2</v>
          </cell>
          <cell r="AA2794">
            <v>3.0185502087465288E-2</v>
          </cell>
        </row>
        <row r="2795">
          <cell r="Y2795">
            <v>58432</v>
          </cell>
          <cell r="Z2795">
            <v>3.0337866244938647E-2</v>
          </cell>
          <cell r="AA2795">
            <v>3.0190779160419456E-2</v>
          </cell>
        </row>
        <row r="2796">
          <cell r="Y2796">
            <v>58439</v>
          </cell>
          <cell r="Z2796">
            <v>3.0343244913272862E-2</v>
          </cell>
          <cell r="AA2796">
            <v>3.0196064533242195E-2</v>
          </cell>
        </row>
        <row r="2797">
          <cell r="Y2797">
            <v>58446</v>
          </cell>
          <cell r="Z2797">
            <v>3.034863195074795E-2</v>
          </cell>
          <cell r="AA2797">
            <v>3.020135820601455E-2</v>
          </cell>
        </row>
        <row r="2798">
          <cell r="Y2798">
            <v>58453</v>
          </cell>
          <cell r="Z2798">
            <v>3.0354027357403991E-2</v>
          </cell>
          <cell r="AA2798">
            <v>3.0206660178817568E-2</v>
          </cell>
        </row>
        <row r="2799">
          <cell r="Y2799">
            <v>58460</v>
          </cell>
          <cell r="Z2799">
            <v>3.0359431133270377E-2</v>
          </cell>
          <cell r="AA2799">
            <v>3.0211970451570203E-2</v>
          </cell>
        </row>
        <row r="2800">
          <cell r="Y2800">
            <v>58467</v>
          </cell>
          <cell r="Z2800">
            <v>3.0364843278379166E-2</v>
          </cell>
          <cell r="AA2800">
            <v>3.0217289024191407E-2</v>
          </cell>
        </row>
        <row r="2801">
          <cell r="Y2801">
            <v>58474</v>
          </cell>
          <cell r="Z2801">
            <v>3.0370263792765986E-2</v>
          </cell>
          <cell r="AA2801">
            <v>3.0222615896681182E-2</v>
          </cell>
        </row>
        <row r="2802">
          <cell r="Y2802">
            <v>58481</v>
          </cell>
          <cell r="Z2802">
            <v>3.0374042631370324E-2</v>
          </cell>
          <cell r="AA2802">
            <v>3.0227951069444758E-2</v>
          </cell>
        </row>
        <row r="2803">
          <cell r="Y2803">
            <v>58488</v>
          </cell>
          <cell r="Z2803">
            <v>3.0379478835845811E-2</v>
          </cell>
          <cell r="AA2803">
            <v>3.0233294541995859E-2</v>
          </cell>
        </row>
        <row r="2804">
          <cell r="Y2804">
            <v>58495</v>
          </cell>
          <cell r="Z2804">
            <v>3.0384923408923417E-2</v>
          </cell>
          <cell r="AA2804">
            <v>3.0238646314415529E-2</v>
          </cell>
        </row>
        <row r="2805">
          <cell r="Y2805">
            <v>58502</v>
          </cell>
          <cell r="Z2805">
            <v>3.0393682928561351E-2</v>
          </cell>
          <cell r="AA2805">
            <v>3.0244006386865863E-2</v>
          </cell>
        </row>
        <row r="2806">
          <cell r="Y2806">
            <v>58509</v>
          </cell>
          <cell r="Z2806">
            <v>3.0399146340892916E-2</v>
          </cell>
          <cell r="AA2806">
            <v>3.0249374759346859E-2</v>
          </cell>
        </row>
        <row r="2807">
          <cell r="Y2807">
            <v>58516</v>
          </cell>
          <cell r="Z2807">
            <v>3.0404618123484387E-2</v>
          </cell>
          <cell r="AA2807">
            <v>3.0254751431777471E-2</v>
          </cell>
        </row>
        <row r="2808">
          <cell r="Y2808">
            <v>58523</v>
          </cell>
          <cell r="Z2808">
            <v>3.0410098276368359E-2</v>
          </cell>
          <cell r="AA2808">
            <v>3.0260136403914561E-2</v>
          </cell>
        </row>
        <row r="2809">
          <cell r="Y2809">
            <v>58530</v>
          </cell>
          <cell r="Z2809">
            <v>3.0415586799578311E-2</v>
          </cell>
          <cell r="AA2809">
            <v>3.0265529676244407E-2</v>
          </cell>
        </row>
        <row r="2810">
          <cell r="Y2810">
            <v>58537</v>
          </cell>
          <cell r="Z2810">
            <v>3.0419425045330423E-2</v>
          </cell>
          <cell r="AA2810">
            <v>3.0270931248523869E-2</v>
          </cell>
        </row>
        <row r="2811">
          <cell r="Y2811">
            <v>58544</v>
          </cell>
          <cell r="Z2811">
            <v>3.0424929254356265E-2</v>
          </cell>
          <cell r="AA2811">
            <v>3.0276341120752948E-2</v>
          </cell>
        </row>
        <row r="2812">
          <cell r="Y2812">
            <v>58551</v>
          </cell>
          <cell r="Z2812">
            <v>3.0430441833032416E-2</v>
          </cell>
          <cell r="AA2812">
            <v>3.028175929276955E-2</v>
          </cell>
        </row>
        <row r="2813">
          <cell r="Y2813">
            <v>58558</v>
          </cell>
          <cell r="Z2813">
            <v>3.0435962781396278E-2</v>
          </cell>
          <cell r="AA2813">
            <v>3.0287185764978908E-2</v>
          </cell>
        </row>
        <row r="2814">
          <cell r="Y2814">
            <v>58565</v>
          </cell>
          <cell r="Z2814">
            <v>3.0443154971755461E-2</v>
          </cell>
          <cell r="AA2814">
            <v>3.0292620537056836E-2</v>
          </cell>
        </row>
        <row r="2815">
          <cell r="Y2815">
            <v>58572</v>
          </cell>
          <cell r="Z2815">
            <v>3.0448693717655982E-2</v>
          </cell>
          <cell r="AA2815">
            <v>3.029806360908438E-2</v>
          </cell>
        </row>
        <row r="2816">
          <cell r="Y2816">
            <v>58579</v>
          </cell>
          <cell r="Z2816">
            <v>3.0454240834128267E-2</v>
          </cell>
          <cell r="AA2816">
            <v>3.0303514981142587E-2</v>
          </cell>
        </row>
        <row r="2817">
          <cell r="Y2817">
            <v>58586</v>
          </cell>
          <cell r="Z2817">
            <v>3.0459796321204023E-2</v>
          </cell>
          <cell r="AA2817">
            <v>3.0308974653069365E-2</v>
          </cell>
        </row>
        <row r="2818">
          <cell r="Y2818">
            <v>58593</v>
          </cell>
          <cell r="Z2818">
            <v>3.0465360178919373E-2</v>
          </cell>
          <cell r="AA2818">
            <v>3.0314442625026805E-2</v>
          </cell>
        </row>
        <row r="2819">
          <cell r="Y2819">
            <v>58600</v>
          </cell>
          <cell r="Z2819">
            <v>3.047093240730955E-2</v>
          </cell>
          <cell r="AA2819">
            <v>3.0319918896771769E-2</v>
          </cell>
        </row>
        <row r="2820">
          <cell r="Y2820">
            <v>58607</v>
          </cell>
          <cell r="Z2820">
            <v>3.0476513006408034E-2</v>
          </cell>
          <cell r="AA2820">
            <v>3.0325403468709489E-2</v>
          </cell>
        </row>
        <row r="2821">
          <cell r="Y2821">
            <v>58614</v>
          </cell>
          <cell r="Z2821">
            <v>3.048210197625182E-2</v>
          </cell>
          <cell r="AA2821">
            <v>3.0330896340596825E-2</v>
          </cell>
        </row>
        <row r="2822">
          <cell r="Y2822">
            <v>58621</v>
          </cell>
          <cell r="Z2822">
            <v>3.0487699316875273E-2</v>
          </cell>
          <cell r="AA2822">
            <v>3.0336397512271684E-2</v>
          </cell>
        </row>
        <row r="2823">
          <cell r="Y2823">
            <v>58628</v>
          </cell>
          <cell r="Z2823">
            <v>3.0493305028312739E-2</v>
          </cell>
          <cell r="AA2823">
            <v>3.0341906983977207E-2</v>
          </cell>
        </row>
        <row r="2824">
          <cell r="Y2824">
            <v>58635</v>
          </cell>
          <cell r="Z2824">
            <v>3.0498919110600341E-2</v>
          </cell>
          <cell r="AA2824">
            <v>3.0347424755794439E-2</v>
          </cell>
        </row>
        <row r="2825">
          <cell r="Y2825">
            <v>58642</v>
          </cell>
          <cell r="Z2825">
            <v>3.0504541563774201E-2</v>
          </cell>
          <cell r="AA2825">
            <v>3.0352950827399194E-2</v>
          </cell>
        </row>
        <row r="2826">
          <cell r="Y2826">
            <v>58649</v>
          </cell>
          <cell r="Z2826">
            <v>3.0510172387866026E-2</v>
          </cell>
          <cell r="AA2826">
            <v>3.0358485198953566E-2</v>
          </cell>
        </row>
        <row r="2827">
          <cell r="Y2827">
            <v>58656</v>
          </cell>
          <cell r="Z2827">
            <v>3.0515811582915463E-2</v>
          </cell>
          <cell r="AA2827">
            <v>3.0364027870619648E-2</v>
          </cell>
        </row>
        <row r="2828">
          <cell r="Y2828">
            <v>58663</v>
          </cell>
          <cell r="Z2828">
            <v>3.0521459148955106E-2</v>
          </cell>
          <cell r="AA2828">
            <v>3.0369578842235345E-2</v>
          </cell>
        </row>
        <row r="2829">
          <cell r="Y2829">
            <v>58670</v>
          </cell>
          <cell r="Z2829">
            <v>3.0527115086022835E-2</v>
          </cell>
          <cell r="AA2829">
            <v>3.0375138113719613E-2</v>
          </cell>
        </row>
        <row r="2830">
          <cell r="Y2830">
            <v>58677</v>
          </cell>
          <cell r="Z2830">
            <v>3.053277939414948E-2</v>
          </cell>
          <cell r="AA2830">
            <v>3.0380705685072451E-2</v>
          </cell>
        </row>
        <row r="2831">
          <cell r="Y2831">
            <v>58684</v>
          </cell>
          <cell r="Z2831">
            <v>3.0536771107420525E-2</v>
          </cell>
          <cell r="AA2831">
            <v>3.0386281556699091E-2</v>
          </cell>
        </row>
        <row r="2832">
          <cell r="Y2832">
            <v>58691</v>
          </cell>
          <cell r="Z2832">
            <v>3.0542451086373854E-2</v>
          </cell>
          <cell r="AA2832">
            <v>3.0391865728194301E-2</v>
          </cell>
        </row>
        <row r="2833">
          <cell r="Y2833">
            <v>58698</v>
          </cell>
          <cell r="Z2833">
            <v>3.054813943570691E-2</v>
          </cell>
          <cell r="AA2833">
            <v>3.0397458199395988E-2</v>
          </cell>
        </row>
        <row r="2834">
          <cell r="Y2834">
            <v>58705</v>
          </cell>
          <cell r="Z2834">
            <v>3.0553836155457988E-2</v>
          </cell>
          <cell r="AA2834">
            <v>3.0403058970790431E-2</v>
          </cell>
        </row>
        <row r="2835">
          <cell r="Y2835">
            <v>58712</v>
          </cell>
          <cell r="Z2835">
            <v>3.0561226501968519E-2</v>
          </cell>
          <cell r="AA2835">
            <v>3.040866804213449E-2</v>
          </cell>
        </row>
        <row r="2836">
          <cell r="Y2836">
            <v>58719</v>
          </cell>
          <cell r="Z2836">
            <v>3.0566941037219499E-2</v>
          </cell>
          <cell r="AA2836">
            <v>3.0414285413509212E-2</v>
          </cell>
        </row>
        <row r="2837">
          <cell r="Y2837">
            <v>58726</v>
          </cell>
          <cell r="Z2837">
            <v>3.0572663943779582E-2</v>
          </cell>
          <cell r="AA2837">
            <v>3.0419911084590412E-2</v>
          </cell>
        </row>
        <row r="2838">
          <cell r="Y2838">
            <v>58733</v>
          </cell>
          <cell r="Z2838">
            <v>3.0578395221689293E-2</v>
          </cell>
          <cell r="AA2838">
            <v>3.042554505602646E-2</v>
          </cell>
        </row>
        <row r="2839">
          <cell r="Y2839">
            <v>58740</v>
          </cell>
          <cell r="Z2839">
            <v>3.0584134870983871E-2</v>
          </cell>
          <cell r="AA2839">
            <v>3.0431187327168985E-2</v>
          </cell>
        </row>
        <row r="2840">
          <cell r="Y2840">
            <v>58747</v>
          </cell>
          <cell r="Z2840">
            <v>3.0589882891696788E-2</v>
          </cell>
          <cell r="AA2840">
            <v>3.0436837898342173E-2</v>
          </cell>
        </row>
        <row r="2841">
          <cell r="Y2841">
            <v>58754</v>
          </cell>
          <cell r="Z2841">
            <v>3.0595639283866806E-2</v>
          </cell>
          <cell r="AA2841">
            <v>3.0442496769383931E-2</v>
          </cell>
        </row>
        <row r="2842">
          <cell r="Y2842">
            <v>58761</v>
          </cell>
          <cell r="Z2842">
            <v>3.0601404047528286E-2</v>
          </cell>
          <cell r="AA2842">
            <v>3.0448163940618445E-2</v>
          </cell>
        </row>
        <row r="2843">
          <cell r="Y2843">
            <v>58768</v>
          </cell>
          <cell r="Z2843">
            <v>3.0607177182718225E-2</v>
          </cell>
          <cell r="AA2843">
            <v>3.0453839411640482E-2</v>
          </cell>
        </row>
        <row r="2844">
          <cell r="Y2844">
            <v>58775</v>
          </cell>
          <cell r="Z2844">
            <v>3.0609568975378896E-2</v>
          </cell>
          <cell r="AA2844">
            <v>3.0459523182612136E-2</v>
          </cell>
        </row>
        <row r="2845">
          <cell r="Y2845">
            <v>58782</v>
          </cell>
          <cell r="Z2845">
            <v>3.0615356690522698E-2</v>
          </cell>
          <cell r="AA2845">
            <v>3.0465215253695499E-2</v>
          </cell>
        </row>
        <row r="2846">
          <cell r="Y2846">
            <v>58789</v>
          </cell>
          <cell r="Z2846">
            <v>3.0621152775716642E-2</v>
          </cell>
          <cell r="AA2846">
            <v>3.0470915624809525E-2</v>
          </cell>
        </row>
        <row r="2847">
          <cell r="Y2847">
            <v>58796</v>
          </cell>
          <cell r="Z2847">
            <v>3.0626957230995858E-2</v>
          </cell>
          <cell r="AA2847">
            <v>3.0476624295630028E-2</v>
          </cell>
        </row>
        <row r="2848">
          <cell r="Y2848">
            <v>58804</v>
          </cell>
          <cell r="Z2848">
            <v>3.0633601143305354E-2</v>
          </cell>
          <cell r="AA2848">
            <v>3.048315865436968E-2</v>
          </cell>
        </row>
        <row r="2849">
          <cell r="Y2849">
            <v>58811</v>
          </cell>
          <cell r="Z2849">
            <v>3.0639423534604682E-2</v>
          </cell>
          <cell r="AA2849">
            <v>3.0488885110958597E-2</v>
          </cell>
        </row>
        <row r="2850">
          <cell r="Y2850">
            <v>58818</v>
          </cell>
          <cell r="Z2850">
            <v>3.0645254296101841E-2</v>
          </cell>
          <cell r="AA2850">
            <v>3.0494619867578177E-2</v>
          </cell>
        </row>
        <row r="2851">
          <cell r="Y2851">
            <v>58825</v>
          </cell>
          <cell r="Z2851">
            <v>3.065109342783465E-2</v>
          </cell>
          <cell r="AA2851">
            <v>3.0500362924147373E-2</v>
          </cell>
        </row>
        <row r="2852">
          <cell r="Y2852">
            <v>58832</v>
          </cell>
          <cell r="Z2852">
            <v>3.0656940929835536E-2</v>
          </cell>
          <cell r="AA2852">
            <v>3.0506114280585139E-2</v>
          </cell>
        </row>
        <row r="2853">
          <cell r="Y2853">
            <v>58839</v>
          </cell>
          <cell r="Z2853">
            <v>3.0662796802145009E-2</v>
          </cell>
          <cell r="AA2853">
            <v>3.0511873937134615E-2</v>
          </cell>
        </row>
        <row r="2854">
          <cell r="Y2854">
            <v>58846</v>
          </cell>
          <cell r="Z2854">
            <v>3.0666955478974835E-2</v>
          </cell>
          <cell r="AA2854">
            <v>3.0517641893633707E-2</v>
          </cell>
        </row>
        <row r="2855">
          <cell r="Y2855">
            <v>58853</v>
          </cell>
          <cell r="Z2855">
            <v>3.067282700256467E-2</v>
          </cell>
          <cell r="AA2855">
            <v>3.0523418150163462E-2</v>
          </cell>
        </row>
        <row r="2856">
          <cell r="Y2856">
            <v>58860</v>
          </cell>
          <cell r="Z2856">
            <v>3.0678706895770236E-2</v>
          </cell>
          <cell r="AA2856">
            <v>3.0529202706561787E-2</v>
          </cell>
        </row>
        <row r="2857">
          <cell r="Y2857">
            <v>58867</v>
          </cell>
          <cell r="Z2857">
            <v>3.0689722266893055E-2</v>
          </cell>
          <cell r="AA2857">
            <v>3.0534995562990774E-2</v>
          </cell>
        </row>
        <row r="2858">
          <cell r="Y2858">
            <v>58874</v>
          </cell>
          <cell r="Z2858">
            <v>3.0695622175403069E-2</v>
          </cell>
          <cell r="AA2858">
            <v>3.0540796719450425E-2</v>
          </cell>
        </row>
        <row r="2859">
          <cell r="Y2859">
            <v>58881</v>
          </cell>
          <cell r="Z2859">
            <v>3.0701530456032654E-2</v>
          </cell>
          <cell r="AA2859">
            <v>3.0546606175778646E-2</v>
          </cell>
        </row>
        <row r="2860">
          <cell r="Y2860">
            <v>58888</v>
          </cell>
          <cell r="Z2860">
            <v>3.0707447108817926E-2</v>
          </cell>
          <cell r="AA2860">
            <v>3.0552423932056483E-2</v>
          </cell>
        </row>
        <row r="2861">
          <cell r="Y2861">
            <v>58895</v>
          </cell>
          <cell r="Z2861">
            <v>3.0713372133799405E-2</v>
          </cell>
          <cell r="AA2861">
            <v>3.0558249988527075E-2</v>
          </cell>
        </row>
        <row r="2862">
          <cell r="Y2862">
            <v>58902</v>
          </cell>
          <cell r="Z2862">
            <v>3.0717590826648516E-2</v>
          </cell>
          <cell r="AA2862">
            <v>3.0564084344785192E-2</v>
          </cell>
        </row>
        <row r="2863">
          <cell r="Y2863">
            <v>58909</v>
          </cell>
          <cell r="Z2863">
            <v>3.0723531499987779E-2</v>
          </cell>
          <cell r="AA2863">
            <v>3.0569927001073971E-2</v>
          </cell>
        </row>
        <row r="2864">
          <cell r="Y2864">
            <v>58916</v>
          </cell>
          <cell r="Z2864">
            <v>3.0729480544832509E-2</v>
          </cell>
          <cell r="AA2864">
            <v>3.057577795723132E-2</v>
          </cell>
        </row>
        <row r="2865">
          <cell r="Y2865">
            <v>58923</v>
          </cell>
          <cell r="Z2865">
            <v>3.0735437961220111E-2</v>
          </cell>
          <cell r="AA2865">
            <v>3.0581637213662471E-2</v>
          </cell>
        </row>
        <row r="2866">
          <cell r="Y2866">
            <v>58930</v>
          </cell>
          <cell r="Z2866">
            <v>3.0743122842915846E-2</v>
          </cell>
          <cell r="AA2866">
            <v>3.0587504769962193E-2</v>
          </cell>
        </row>
        <row r="2867">
          <cell r="Y2867">
            <v>58937</v>
          </cell>
          <cell r="Z2867">
            <v>3.0749098101841878E-2</v>
          </cell>
          <cell r="AA2867">
            <v>3.0593380625968392E-2</v>
          </cell>
        </row>
        <row r="2868">
          <cell r="Y2868">
            <v>58944</v>
          </cell>
          <cell r="Z2868">
            <v>3.0755081733225755E-2</v>
          </cell>
          <cell r="AA2868">
            <v>3.0599264782248392E-2</v>
          </cell>
        </row>
        <row r="2869">
          <cell r="Y2869">
            <v>58951</v>
          </cell>
          <cell r="Z2869">
            <v>3.0761073737101841E-2</v>
          </cell>
          <cell r="AA2869">
            <v>3.0605157238396963E-2</v>
          </cell>
        </row>
        <row r="2870">
          <cell r="Y2870">
            <v>58958</v>
          </cell>
          <cell r="Z2870">
            <v>3.0767074113511532E-2</v>
          </cell>
          <cell r="AA2870">
            <v>3.0611057994576196E-2</v>
          </cell>
        </row>
        <row r="2871">
          <cell r="Y2871">
            <v>58965</v>
          </cell>
          <cell r="Z2871">
            <v>3.0773082862485666E-2</v>
          </cell>
          <cell r="AA2871">
            <v>3.0616967050624E-2</v>
          </cell>
        </row>
        <row r="2872">
          <cell r="Y2872">
            <v>58972</v>
          </cell>
          <cell r="Z2872">
            <v>3.0779099984067405E-2</v>
          </cell>
          <cell r="AA2872">
            <v>3.0622884406864559E-2</v>
          </cell>
        </row>
        <row r="2873">
          <cell r="Y2873">
            <v>58979</v>
          </cell>
          <cell r="Z2873">
            <v>3.0785125478293752E-2</v>
          </cell>
          <cell r="AA2873">
            <v>3.0628810062892642E-2</v>
          </cell>
        </row>
        <row r="2874">
          <cell r="Y2874">
            <v>58986</v>
          </cell>
          <cell r="Z2874">
            <v>3.0791159345201706E-2</v>
          </cell>
          <cell r="AA2874">
            <v>3.0634744019032434E-2</v>
          </cell>
        </row>
        <row r="2875">
          <cell r="Y2875">
            <v>58993</v>
          </cell>
          <cell r="Z2875">
            <v>3.0797201584829147E-2</v>
          </cell>
          <cell r="AA2875">
            <v>3.064068627495975E-2</v>
          </cell>
        </row>
        <row r="2876">
          <cell r="Y2876">
            <v>59000</v>
          </cell>
          <cell r="Z2876">
            <v>3.080325219721395E-2</v>
          </cell>
          <cell r="AA2876">
            <v>3.0646636831160867E-2</v>
          </cell>
        </row>
        <row r="2877">
          <cell r="Y2877">
            <v>59007</v>
          </cell>
          <cell r="Z2877">
            <v>3.0809311182395768E-2</v>
          </cell>
          <cell r="AA2877">
            <v>3.0652595687149509E-2</v>
          </cell>
        </row>
        <row r="2878">
          <cell r="Y2878">
            <v>59014</v>
          </cell>
          <cell r="Z2878">
            <v>3.0815378540408948E-2</v>
          </cell>
          <cell r="AA2878">
            <v>3.0658562843087767E-2</v>
          </cell>
        </row>
        <row r="2879">
          <cell r="Y2879">
            <v>59021</v>
          </cell>
          <cell r="Z2879">
            <v>3.0821454271294017E-2</v>
          </cell>
          <cell r="AA2879">
            <v>3.0664538299137734E-2</v>
          </cell>
        </row>
        <row r="2880">
          <cell r="Y2880">
            <v>59028</v>
          </cell>
          <cell r="Z2880">
            <v>3.0827538375090616E-2</v>
          </cell>
          <cell r="AA2880">
            <v>3.0670522055218363E-2</v>
          </cell>
        </row>
        <row r="2881">
          <cell r="Y2881">
            <v>59035</v>
          </cell>
          <cell r="Z2881">
            <v>3.0833630851834864E-2</v>
          </cell>
          <cell r="AA2881">
            <v>3.0676514111248609E-2</v>
          </cell>
        </row>
        <row r="2882">
          <cell r="Y2882">
            <v>59042</v>
          </cell>
          <cell r="Z2882">
            <v>3.0839731701564642E-2</v>
          </cell>
          <cell r="AA2882">
            <v>3.068251446706638E-2</v>
          </cell>
        </row>
        <row r="2883">
          <cell r="Y2883">
            <v>59049</v>
          </cell>
          <cell r="Z2883">
            <v>3.084410303229429E-2</v>
          </cell>
          <cell r="AA2883">
            <v>3.0688523123157951E-2</v>
          </cell>
        </row>
        <row r="2884">
          <cell r="Y2884">
            <v>59056</v>
          </cell>
          <cell r="Z2884">
            <v>3.0850219515067095E-2</v>
          </cell>
          <cell r="AA2884">
            <v>3.0694540079037047E-2</v>
          </cell>
        </row>
        <row r="2885">
          <cell r="Y2885">
            <v>59063</v>
          </cell>
          <cell r="Z2885">
            <v>3.0856344370131784E-2</v>
          </cell>
          <cell r="AA2885">
            <v>3.0700565334865759E-2</v>
          </cell>
        </row>
        <row r="2886">
          <cell r="Y2886">
            <v>59070</v>
          </cell>
          <cell r="Z2886">
            <v>3.0862477597526652E-2</v>
          </cell>
          <cell r="AA2886">
            <v>3.0706598890887227E-2</v>
          </cell>
        </row>
        <row r="2887">
          <cell r="Y2887">
            <v>59077</v>
          </cell>
          <cell r="Z2887">
            <v>3.0868619197290888E-2</v>
          </cell>
          <cell r="AA2887">
            <v>3.0712640746858311E-2</v>
          </cell>
        </row>
        <row r="2888">
          <cell r="Y2888">
            <v>59084</v>
          </cell>
          <cell r="Z2888">
            <v>3.0876512634805661E-2</v>
          </cell>
          <cell r="AA2888">
            <v>3.0718690902697965E-2</v>
          </cell>
        </row>
        <row r="2889">
          <cell r="Y2889">
            <v>59091</v>
          </cell>
          <cell r="Z2889">
            <v>3.0882672096514175E-2</v>
          </cell>
          <cell r="AA2889">
            <v>3.0724749358487236E-2</v>
          </cell>
        </row>
        <row r="2890">
          <cell r="Y2890">
            <v>59098</v>
          </cell>
          <cell r="Z2890">
            <v>3.0888839931519193E-2</v>
          </cell>
          <cell r="AA2890">
            <v>3.0730816114550308E-2</v>
          </cell>
        </row>
        <row r="2891">
          <cell r="Y2891">
            <v>59105</v>
          </cell>
          <cell r="Z2891">
            <v>3.0895016139854185E-2</v>
          </cell>
          <cell r="AA2891">
            <v>3.0736891170238811E-2</v>
          </cell>
        </row>
        <row r="2892">
          <cell r="Y2892">
            <v>59112</v>
          </cell>
          <cell r="Z2892">
            <v>3.0901200721563198E-2</v>
          </cell>
          <cell r="AA2892">
            <v>3.0742974526039024E-2</v>
          </cell>
        </row>
        <row r="2893">
          <cell r="Y2893">
            <v>59119</v>
          </cell>
          <cell r="Z2893">
            <v>3.0907393676682354E-2</v>
          </cell>
          <cell r="AA2893">
            <v>3.0749066181950946E-2</v>
          </cell>
        </row>
        <row r="2894">
          <cell r="Y2894">
            <v>59126</v>
          </cell>
          <cell r="Z2894">
            <v>3.0913595005248654E-2</v>
          </cell>
          <cell r="AA2894">
            <v>3.0755166137812484E-2</v>
          </cell>
        </row>
        <row r="2895">
          <cell r="Y2895">
            <v>59133</v>
          </cell>
          <cell r="Z2895">
            <v>3.0919804707307021E-2</v>
          </cell>
          <cell r="AA2895">
            <v>3.0761274393623639E-2</v>
          </cell>
        </row>
        <row r="2896">
          <cell r="Y2896">
            <v>59140</v>
          </cell>
          <cell r="Z2896">
            <v>3.0922518138889382E-2</v>
          </cell>
          <cell r="AA2896">
            <v>3.076739094938441E-2</v>
          </cell>
        </row>
        <row r="2897">
          <cell r="Y2897">
            <v>59147</v>
          </cell>
          <cell r="Z2897">
            <v>3.0928742340995692E-2</v>
          </cell>
          <cell r="AA2897">
            <v>3.077351580525689E-2</v>
          </cell>
        </row>
        <row r="2898">
          <cell r="Y2898">
            <v>59154</v>
          </cell>
          <cell r="Z2898">
            <v>3.0934974915077452E-2</v>
          </cell>
          <cell r="AA2898">
            <v>3.0779648961078987E-2</v>
          </cell>
        </row>
        <row r="2899">
          <cell r="Y2899">
            <v>59161</v>
          </cell>
          <cell r="Z2899">
            <v>3.0941215861173377E-2</v>
          </cell>
          <cell r="AA2899">
            <v>3.0785790416931746E-2</v>
          </cell>
        </row>
        <row r="2900">
          <cell r="Y2900">
            <v>59168</v>
          </cell>
          <cell r="Z2900">
            <v>3.0947465179320396E-2</v>
          </cell>
          <cell r="AA2900">
            <v>3.079194017257203E-2</v>
          </cell>
        </row>
        <row r="2901">
          <cell r="Y2901">
            <v>59175</v>
          </cell>
          <cell r="Z2901">
            <v>3.0953722869559025E-2</v>
          </cell>
          <cell r="AA2901">
            <v>3.0798098228486115E-2</v>
          </cell>
        </row>
        <row r="2902">
          <cell r="Y2902">
            <v>59182</v>
          </cell>
          <cell r="Z2902">
            <v>3.0959988931925284E-2</v>
          </cell>
          <cell r="AA2902">
            <v>3.080426458426877E-2</v>
          </cell>
        </row>
        <row r="2903">
          <cell r="Y2903">
            <v>59189</v>
          </cell>
          <cell r="Z2903">
            <v>3.0966263366458802E-2</v>
          </cell>
          <cell r="AA2903">
            <v>3.0810439240001042E-2</v>
          </cell>
        </row>
        <row r="2904">
          <cell r="Y2904">
            <v>59196</v>
          </cell>
          <cell r="Z2904">
            <v>3.0972546173197398E-2</v>
          </cell>
          <cell r="AA2904">
            <v>3.0816622195763976E-2</v>
          </cell>
        </row>
        <row r="2905">
          <cell r="Y2905">
            <v>59203</v>
          </cell>
          <cell r="Z2905">
            <v>3.0978837352180693E-2</v>
          </cell>
          <cell r="AA2905">
            <v>3.0822813451557574E-2</v>
          </cell>
        </row>
        <row r="2906">
          <cell r="Y2906">
            <v>59210</v>
          </cell>
          <cell r="Z2906">
            <v>3.0983373620494289E-2</v>
          </cell>
          <cell r="AA2906">
            <v>3.082901300746288E-2</v>
          </cell>
        </row>
        <row r="2907">
          <cell r="Y2907">
            <v>59217</v>
          </cell>
          <cell r="Z2907">
            <v>3.0989680412633044E-2</v>
          </cell>
          <cell r="AA2907">
            <v>3.0835220862993618E-2</v>
          </cell>
        </row>
        <row r="2908">
          <cell r="Y2908">
            <v>59224</v>
          </cell>
          <cell r="Z2908">
            <v>3.0995995576313516E-2</v>
          </cell>
          <cell r="AA2908">
            <v>3.0841437018879203E-2</v>
          </cell>
        </row>
        <row r="2909">
          <cell r="Y2909">
            <v>59231</v>
          </cell>
          <cell r="Z2909">
            <v>3.1007619774292425E-2</v>
          </cell>
          <cell r="AA2909">
            <v>3.0847661474633359E-2</v>
          </cell>
        </row>
        <row r="2910">
          <cell r="Y2910">
            <v>59238</v>
          </cell>
          <cell r="Z2910">
            <v>3.1013955083379653E-2</v>
          </cell>
          <cell r="AA2910">
            <v>3.0853894230256085E-2</v>
          </cell>
        </row>
        <row r="2911">
          <cell r="Y2911">
            <v>59245</v>
          </cell>
          <cell r="Z2911">
            <v>3.1020298766586175E-2</v>
          </cell>
          <cell r="AA2911">
            <v>3.086013528599052E-2</v>
          </cell>
        </row>
        <row r="2912">
          <cell r="Y2912">
            <v>59252</v>
          </cell>
          <cell r="Z2912">
            <v>3.1026650823951639E-2</v>
          </cell>
          <cell r="AA2912">
            <v>3.0866384641836664E-2</v>
          </cell>
        </row>
        <row r="2913">
          <cell r="Y2913">
            <v>59259</v>
          </cell>
          <cell r="Z2913">
            <v>3.10330112555148E-2</v>
          </cell>
          <cell r="AA2913">
            <v>3.0872642297632424E-2</v>
          </cell>
        </row>
        <row r="2914">
          <cell r="Y2914">
            <v>59266</v>
          </cell>
          <cell r="Z2914">
            <v>3.1037607286542212E-2</v>
          </cell>
          <cell r="AA2914">
            <v>3.0878908253296755E-2</v>
          </cell>
        </row>
        <row r="2915">
          <cell r="Y2915">
            <v>59273</v>
          </cell>
          <cell r="Z2915">
            <v>3.1043983328279963E-2</v>
          </cell>
          <cell r="AA2915">
            <v>3.0885182509234888E-2</v>
          </cell>
        </row>
        <row r="2916">
          <cell r="Y2916">
            <v>59280</v>
          </cell>
          <cell r="Z2916">
            <v>3.105036774351282E-2</v>
          </cell>
          <cell r="AA2916">
            <v>3.0891465064879498E-2</v>
          </cell>
        </row>
        <row r="2917">
          <cell r="Y2917">
            <v>59287</v>
          </cell>
          <cell r="Z2917">
            <v>3.1056760532280864E-2</v>
          </cell>
          <cell r="AA2917">
            <v>3.0897755920716863E-2</v>
          </cell>
        </row>
        <row r="2918">
          <cell r="Y2918">
            <v>59294</v>
          </cell>
          <cell r="Z2918">
            <v>3.1064939027699443E-2</v>
          </cell>
          <cell r="AA2918">
            <v>3.0904055076260706E-2</v>
          </cell>
        </row>
        <row r="2919">
          <cell r="Y2919">
            <v>59301</v>
          </cell>
          <cell r="Z2919">
            <v>3.1071349705290983E-2</v>
          </cell>
          <cell r="AA2919">
            <v>3.0910362532159397E-2</v>
          </cell>
        </row>
        <row r="2920">
          <cell r="Y2920">
            <v>59308</v>
          </cell>
          <cell r="Z2920">
            <v>3.107776875736212E-2</v>
          </cell>
          <cell r="AA2920">
            <v>3.0916678288007704E-2</v>
          </cell>
        </row>
        <row r="2921">
          <cell r="Y2921">
            <v>59315</v>
          </cell>
          <cell r="Z2921">
            <v>3.1084196183950741E-2</v>
          </cell>
          <cell r="AA2921">
            <v>3.0923002343562489E-2</v>
          </cell>
        </row>
        <row r="2922">
          <cell r="Y2922">
            <v>59322</v>
          </cell>
          <cell r="Z2922">
            <v>3.1090631985099124E-2</v>
          </cell>
          <cell r="AA2922">
            <v>3.0929334699391076E-2</v>
          </cell>
        </row>
        <row r="2923">
          <cell r="Y2923">
            <v>59329</v>
          </cell>
          <cell r="Z2923">
            <v>3.1097076160847798E-2</v>
          </cell>
          <cell r="AA2923">
            <v>3.0935675355169279E-2</v>
          </cell>
        </row>
        <row r="2924">
          <cell r="Y2924">
            <v>59336</v>
          </cell>
          <cell r="Z2924">
            <v>3.1103528711237283E-2</v>
          </cell>
          <cell r="AA2924">
            <v>3.0942024311059191E-2</v>
          </cell>
        </row>
        <row r="2925">
          <cell r="Y2925">
            <v>59343</v>
          </cell>
          <cell r="Z2925">
            <v>3.1109989636305461E-2</v>
          </cell>
          <cell r="AA2925">
            <v>3.0948381566736627E-2</v>
          </cell>
        </row>
        <row r="2926">
          <cell r="Y2926">
            <v>59350</v>
          </cell>
          <cell r="Z2926">
            <v>3.1116458936096377E-2</v>
          </cell>
          <cell r="AA2926">
            <v>3.0954747122525772E-2</v>
          </cell>
        </row>
        <row r="2927">
          <cell r="Y2927">
            <v>59357</v>
          </cell>
          <cell r="Z2927">
            <v>3.1122936610648792E-2</v>
          </cell>
          <cell r="AA2927">
            <v>3.096112097834558E-2</v>
          </cell>
        </row>
        <row r="2928">
          <cell r="Y2928">
            <v>59364</v>
          </cell>
          <cell r="Z2928">
            <v>3.1129422660004992E-2</v>
          </cell>
          <cell r="AA2928">
            <v>3.0967503134115004E-2</v>
          </cell>
        </row>
        <row r="2929">
          <cell r="Y2929">
            <v>59371</v>
          </cell>
          <cell r="Z2929">
            <v>3.1135917084202859E-2</v>
          </cell>
          <cell r="AA2929">
            <v>3.0973893589915091E-2</v>
          </cell>
        </row>
        <row r="2930">
          <cell r="Y2930">
            <v>59378</v>
          </cell>
          <cell r="Z2930">
            <v>3.1142419883284679E-2</v>
          </cell>
          <cell r="AA2930">
            <v>3.0980292345745841E-2</v>
          </cell>
        </row>
        <row r="2931">
          <cell r="Y2931">
            <v>59385</v>
          </cell>
          <cell r="Z2931">
            <v>3.1148931057292731E-2</v>
          </cell>
          <cell r="AA2931">
            <v>3.0986699401607254E-2</v>
          </cell>
        </row>
        <row r="2932">
          <cell r="Y2932">
            <v>59392</v>
          </cell>
          <cell r="Z2932">
            <v>3.1155450606264901E-2</v>
          </cell>
          <cell r="AA2932">
            <v>3.0993114757337237E-2</v>
          </cell>
        </row>
        <row r="2933">
          <cell r="Y2933">
            <v>59399</v>
          </cell>
          <cell r="Z2933">
            <v>3.1161978530244352E-2</v>
          </cell>
          <cell r="AA2933">
            <v>3.0999538413097882E-2</v>
          </cell>
        </row>
        <row r="2934">
          <cell r="Y2934">
            <v>59406</v>
          </cell>
          <cell r="Z2934">
            <v>3.1168514829271608E-2</v>
          </cell>
          <cell r="AA2934">
            <v>3.1005970369051283E-2</v>
          </cell>
        </row>
        <row r="2935">
          <cell r="Y2935">
            <v>59413</v>
          </cell>
          <cell r="Z2935">
            <v>3.1175059503388954E-2</v>
          </cell>
          <cell r="AA2935">
            <v>3.1012410624954301E-2</v>
          </cell>
        </row>
        <row r="2936">
          <cell r="Y2936">
            <v>59420</v>
          </cell>
          <cell r="Z2936">
            <v>3.1179814543554493E-2</v>
          </cell>
          <cell r="AA2936">
            <v>3.1018859180725888E-2</v>
          </cell>
        </row>
        <row r="2937">
          <cell r="Y2937">
            <v>59427</v>
          </cell>
          <cell r="Z2937">
            <v>3.1186374811421235E-2</v>
          </cell>
          <cell r="AA2937">
            <v>3.1025316036609185E-2</v>
          </cell>
        </row>
        <row r="2938">
          <cell r="Y2938">
            <v>59434</v>
          </cell>
          <cell r="Z2938">
            <v>3.1192943453666577E-2</v>
          </cell>
          <cell r="AA2938">
            <v>3.1031781192523145E-2</v>
          </cell>
        </row>
        <row r="2939">
          <cell r="Y2939">
            <v>59441</v>
          </cell>
          <cell r="Z2939">
            <v>3.1199520470331494E-2</v>
          </cell>
          <cell r="AA2939">
            <v>3.1038254648386721E-2</v>
          </cell>
        </row>
        <row r="2940">
          <cell r="Y2940">
            <v>59448</v>
          </cell>
          <cell r="Z2940">
            <v>3.1207908501739177E-2</v>
          </cell>
          <cell r="AA2940">
            <v>3.1044736404280959E-2</v>
          </cell>
        </row>
        <row r="2941">
          <cell r="Y2941">
            <v>59455</v>
          </cell>
          <cell r="Z2941">
            <v>3.1214503427251575E-2</v>
          </cell>
          <cell r="AA2941">
            <v>3.1051226460286907E-2</v>
          </cell>
        </row>
        <row r="2942">
          <cell r="Y2942">
            <v>59462</v>
          </cell>
          <cell r="Z2942">
            <v>3.122110672814301E-2</v>
          </cell>
          <cell r="AA2942">
            <v>3.1057724816161425E-2</v>
          </cell>
        </row>
        <row r="2943">
          <cell r="Y2943">
            <v>59469</v>
          </cell>
          <cell r="Z2943">
            <v>3.1227718404452241E-2</v>
          </cell>
          <cell r="AA2943">
            <v>3.1064231472066606E-2</v>
          </cell>
        </row>
        <row r="2944">
          <cell r="Y2944">
            <v>59476</v>
          </cell>
          <cell r="Z2944">
            <v>3.1234338456220676E-2</v>
          </cell>
          <cell r="AA2944">
            <v>3.1070746428002449E-2</v>
          </cell>
        </row>
        <row r="2945">
          <cell r="Y2945">
            <v>59483</v>
          </cell>
          <cell r="Z2945">
            <v>3.1240966883492361E-2</v>
          </cell>
          <cell r="AA2945">
            <v>3.1077269684050002E-2</v>
          </cell>
        </row>
        <row r="2946">
          <cell r="Y2946">
            <v>59490</v>
          </cell>
          <cell r="Z2946">
            <v>3.1247603686309581E-2</v>
          </cell>
          <cell r="AA2946">
            <v>3.1083801240047171E-2</v>
          </cell>
        </row>
        <row r="2947">
          <cell r="Y2947">
            <v>59497</v>
          </cell>
          <cell r="Z2947">
            <v>3.1254248864708456E-2</v>
          </cell>
          <cell r="AA2947">
            <v>3.109034109591291E-2</v>
          </cell>
        </row>
        <row r="2948">
          <cell r="Y2948">
            <v>59504</v>
          </cell>
          <cell r="Z2948">
            <v>3.1259090475977566E-2</v>
          </cell>
          <cell r="AA2948">
            <v>3.1096889251971405E-2</v>
          </cell>
        </row>
        <row r="2949">
          <cell r="Y2949">
            <v>59511</v>
          </cell>
          <cell r="Z2949">
            <v>3.1263938344210054E-2</v>
          </cell>
          <cell r="AA2949">
            <v>3.1103445708060562E-2</v>
          </cell>
        </row>
        <row r="2950">
          <cell r="Y2950">
            <v>59518</v>
          </cell>
          <cell r="Z2950">
            <v>3.127060631495672E-2</v>
          </cell>
          <cell r="AA2950">
            <v>3.1110010463937243E-2</v>
          </cell>
        </row>
        <row r="2951">
          <cell r="Y2951">
            <v>59525</v>
          </cell>
          <cell r="Z2951">
            <v>3.1277282659778832E-2</v>
          </cell>
          <cell r="AA2951">
            <v>3.111658352000668E-2</v>
          </cell>
        </row>
        <row r="2952">
          <cell r="Y2952">
            <v>59532</v>
          </cell>
          <cell r="Z2952">
            <v>3.128396737871781E-2</v>
          </cell>
          <cell r="AA2952">
            <v>3.1123164876187825E-2</v>
          </cell>
        </row>
        <row r="2953">
          <cell r="Y2953">
            <v>59539</v>
          </cell>
          <cell r="Z2953">
            <v>3.1290660471812379E-2</v>
          </cell>
          <cell r="AA2953">
            <v>3.1129754532318588E-2</v>
          </cell>
        </row>
        <row r="2954">
          <cell r="Y2954">
            <v>59546</v>
          </cell>
          <cell r="Z2954">
            <v>3.1297361939103971E-2</v>
          </cell>
          <cell r="AA2954">
            <v>3.1136352488236874E-2</v>
          </cell>
        </row>
        <row r="2955">
          <cell r="Y2955">
            <v>59553</v>
          </cell>
          <cell r="Z2955">
            <v>3.1304071780637592E-2</v>
          </cell>
          <cell r="AA2955">
            <v>3.1142958744510008E-2</v>
          </cell>
        </row>
        <row r="2956">
          <cell r="Y2956">
            <v>59560</v>
          </cell>
          <cell r="Z2956">
            <v>3.1310789996449283E-2</v>
          </cell>
          <cell r="AA2956">
            <v>3.1149573300732758E-2</v>
          </cell>
        </row>
        <row r="2957">
          <cell r="Y2957">
            <v>59567</v>
          </cell>
          <cell r="Z2957">
            <v>3.1315694545981564E-2</v>
          </cell>
          <cell r="AA2957">
            <v>3.1156196156661986E-2</v>
          </cell>
        </row>
        <row r="2958">
          <cell r="Y2958">
            <v>59574</v>
          </cell>
          <cell r="Z2958">
            <v>3.1324251551080637E-2</v>
          </cell>
          <cell r="AA2958">
            <v>3.1162827312865016E-2</v>
          </cell>
        </row>
        <row r="2959">
          <cell r="Y2959">
            <v>59581</v>
          </cell>
          <cell r="Z2959">
            <v>3.1329170500939696E-2</v>
          </cell>
          <cell r="AA2959">
            <v>3.1169466769179754E-2</v>
          </cell>
        </row>
        <row r="2960">
          <cell r="Y2960">
            <v>59588</v>
          </cell>
          <cell r="Z2960">
            <v>3.1335921038803352E-2</v>
          </cell>
          <cell r="AA2960">
            <v>3.1176114525282017E-2</v>
          </cell>
        </row>
        <row r="2961">
          <cell r="Y2961">
            <v>59595</v>
          </cell>
          <cell r="Z2961">
            <v>3.1348160822227369E-2</v>
          </cell>
          <cell r="AA2961">
            <v>3.1182770581577035E-2</v>
          </cell>
        </row>
        <row r="2962">
          <cell r="Y2962">
            <v>59602</v>
          </cell>
          <cell r="Z2962">
            <v>3.1354931639440226E-2</v>
          </cell>
          <cell r="AA2962">
            <v>3.118943493782167E-2</v>
          </cell>
        </row>
        <row r="2963">
          <cell r="Y2963">
            <v>59609</v>
          </cell>
          <cell r="Z2963">
            <v>3.1361710832914814E-2</v>
          </cell>
          <cell r="AA2963">
            <v>3.1196107594096967E-2</v>
          </cell>
        </row>
        <row r="2964">
          <cell r="Y2964">
            <v>59616</v>
          </cell>
          <cell r="Z2964">
            <v>3.1368498402692548E-2</v>
          </cell>
          <cell r="AA2964">
            <v>3.1202788550483973E-2</v>
          </cell>
        </row>
        <row r="2965">
          <cell r="Y2965">
            <v>59623</v>
          </cell>
          <cell r="Z2965">
            <v>3.1375294348810416E-2</v>
          </cell>
          <cell r="AA2965">
            <v>3.1209477806658503E-2</v>
          </cell>
        </row>
        <row r="2966">
          <cell r="Y2966">
            <v>59630</v>
          </cell>
          <cell r="Z2966">
            <v>3.1380265601546872E-2</v>
          </cell>
          <cell r="AA2966">
            <v>3.1216175363187881E-2</v>
          </cell>
        </row>
        <row r="2967">
          <cell r="Y2967">
            <v>59637</v>
          </cell>
          <cell r="Z2967">
            <v>3.1387077118745242E-2</v>
          </cell>
          <cell r="AA2967">
            <v>3.1222881219423737E-2</v>
          </cell>
        </row>
        <row r="2968">
          <cell r="Y2968">
            <v>59644</v>
          </cell>
          <cell r="Z2968">
            <v>3.1393897011569978E-2</v>
          </cell>
          <cell r="AA2968">
            <v>3.1229595375771302E-2</v>
          </cell>
        </row>
        <row r="2969">
          <cell r="Y2969">
            <v>59651</v>
          </cell>
          <cell r="Z2969">
            <v>3.1400725280061145E-2</v>
          </cell>
          <cell r="AA2969">
            <v>3.1236317832149529E-2</v>
          </cell>
        </row>
        <row r="2970">
          <cell r="Y2970">
            <v>59658</v>
          </cell>
          <cell r="Z2970">
            <v>3.1409399726071714E-2</v>
          </cell>
          <cell r="AA2970">
            <v>3.1243048588720512E-2</v>
          </cell>
        </row>
        <row r="2971">
          <cell r="Y2971">
            <v>59665</v>
          </cell>
          <cell r="Z2971">
            <v>3.1416245931157182E-2</v>
          </cell>
          <cell r="AA2971">
            <v>3.1249787645241112E-2</v>
          </cell>
        </row>
        <row r="2972">
          <cell r="Y2972">
            <v>59672</v>
          </cell>
          <cell r="Z2972">
            <v>3.1423100512883183E-2</v>
          </cell>
          <cell r="AA2972">
            <v>3.1256535001711327E-2</v>
          </cell>
        </row>
        <row r="2973">
          <cell r="Y2973">
            <v>59679</v>
          </cell>
          <cell r="Z2973">
            <v>3.1429963471298179E-2</v>
          </cell>
          <cell r="AA2973">
            <v>3.1263290658293252E-2</v>
          </cell>
        </row>
        <row r="2974">
          <cell r="Y2974">
            <v>59686</v>
          </cell>
          <cell r="Z2974">
            <v>3.1436834806442694E-2</v>
          </cell>
          <cell r="AA2974">
            <v>3.1270054614824794E-2</v>
          </cell>
        </row>
        <row r="2975">
          <cell r="Y2975">
            <v>59693</v>
          </cell>
          <cell r="Z2975">
            <v>3.1443714518360762E-2</v>
          </cell>
          <cell r="AA2975">
            <v>3.1276826871224905E-2</v>
          </cell>
        </row>
        <row r="2976">
          <cell r="Y2976">
            <v>59700</v>
          </cell>
          <cell r="Z2976">
            <v>3.1450602607094688E-2</v>
          </cell>
          <cell r="AA2976">
            <v>3.1283607427817772E-2</v>
          </cell>
        </row>
        <row r="2977">
          <cell r="Y2977">
            <v>59707</v>
          </cell>
          <cell r="Z2977">
            <v>3.1457499072691145E-2</v>
          </cell>
          <cell r="AA2977">
            <v>3.1290396284603395E-2</v>
          </cell>
        </row>
        <row r="2978">
          <cell r="Y2978">
            <v>59714</v>
          </cell>
          <cell r="Z2978">
            <v>3.1464403915188899E-2</v>
          </cell>
          <cell r="AA2978">
            <v>3.1297193441176541E-2</v>
          </cell>
        </row>
        <row r="2979">
          <cell r="Y2979">
            <v>59721</v>
          </cell>
          <cell r="Z2979">
            <v>3.147131713463288E-2</v>
          </cell>
          <cell r="AA2979">
            <v>3.130399889778035E-2</v>
          </cell>
        </row>
        <row r="2980">
          <cell r="Y2980">
            <v>59728</v>
          </cell>
          <cell r="Z2980">
            <v>3.1478238731065374E-2</v>
          </cell>
          <cell r="AA2980">
            <v>3.1310812654495868E-2</v>
          </cell>
        </row>
        <row r="2981">
          <cell r="Y2981">
            <v>59735</v>
          </cell>
          <cell r="Z2981">
            <v>3.1485168704533065E-2</v>
          </cell>
          <cell r="AA2981">
            <v>3.1317634711404141E-2</v>
          </cell>
        </row>
        <row r="2982">
          <cell r="Y2982">
            <v>59742</v>
          </cell>
          <cell r="Z2982">
            <v>3.1492107055077365E-2</v>
          </cell>
          <cell r="AA2982">
            <v>3.1324465068180984E-2</v>
          </cell>
        </row>
        <row r="2983">
          <cell r="Y2983">
            <v>59749</v>
          </cell>
          <cell r="Z2983">
            <v>3.1499053782741433E-2</v>
          </cell>
          <cell r="AA2983">
            <v>3.1331303724907444E-2</v>
          </cell>
        </row>
        <row r="2984">
          <cell r="Y2984">
            <v>59756</v>
          </cell>
          <cell r="Z2984">
            <v>3.1506008887569326E-2</v>
          </cell>
          <cell r="AA2984">
            <v>3.133815068182666E-2</v>
          </cell>
        </row>
        <row r="2985">
          <cell r="Y2985">
            <v>59763</v>
          </cell>
          <cell r="Z2985">
            <v>3.1512972369605076E-2</v>
          </cell>
          <cell r="AA2985">
            <v>3.1345005938614445E-2</v>
          </cell>
        </row>
        <row r="2986">
          <cell r="Y2986">
            <v>59770</v>
          </cell>
          <cell r="Z2986">
            <v>3.1519944228892739E-2</v>
          </cell>
          <cell r="AA2986">
            <v>3.135186949551394E-2</v>
          </cell>
        </row>
        <row r="2987">
          <cell r="Y2987">
            <v>59777</v>
          </cell>
          <cell r="Z2987">
            <v>3.152692446547372E-2</v>
          </cell>
          <cell r="AA2987">
            <v>3.1358741352444097E-2</v>
          </cell>
        </row>
        <row r="2988">
          <cell r="Y2988">
            <v>59784</v>
          </cell>
          <cell r="Z2988">
            <v>3.1532053815039908E-2</v>
          </cell>
          <cell r="AA2988">
            <v>3.1365621509404917E-2</v>
          </cell>
        </row>
        <row r="2989">
          <cell r="Y2989">
            <v>59791</v>
          </cell>
          <cell r="Z2989">
            <v>3.1539049605865739E-2</v>
          </cell>
          <cell r="AA2989">
            <v>3.13725099663964E-2</v>
          </cell>
        </row>
        <row r="2990">
          <cell r="Y2990">
            <v>59798</v>
          </cell>
          <cell r="Z2990">
            <v>3.1546053773260203E-2</v>
          </cell>
          <cell r="AA2990">
            <v>3.1379406723418546E-2</v>
          </cell>
        </row>
        <row r="2991">
          <cell r="Y2991">
            <v>59805</v>
          </cell>
          <cell r="Z2991">
            <v>3.1554929185631984E-2</v>
          </cell>
          <cell r="AA2991">
            <v>3.1386311780633447E-2</v>
          </cell>
        </row>
        <row r="2992">
          <cell r="Y2992">
            <v>59812</v>
          </cell>
          <cell r="Z2992">
            <v>3.1561951309349058E-2</v>
          </cell>
          <cell r="AA2992">
            <v>3.1393225137716918E-2</v>
          </cell>
        </row>
        <row r="2993">
          <cell r="Y2993">
            <v>59819</v>
          </cell>
          <cell r="Z2993">
            <v>3.1568981810624605E-2</v>
          </cell>
          <cell r="AA2993">
            <v>3.1400146794831052E-2</v>
          </cell>
        </row>
        <row r="2994">
          <cell r="Y2994">
            <v>59826</v>
          </cell>
          <cell r="Z2994">
            <v>3.1576020689501792E-2</v>
          </cell>
          <cell r="AA2994">
            <v>3.1407076751975849E-2</v>
          </cell>
        </row>
        <row r="2995">
          <cell r="Y2995">
            <v>59833</v>
          </cell>
          <cell r="Z2995">
            <v>3.1583067946027318E-2</v>
          </cell>
          <cell r="AA2995">
            <v>3.1414015009151308E-2</v>
          </cell>
        </row>
        <row r="2996">
          <cell r="Y2996">
            <v>59840</v>
          </cell>
          <cell r="Z2996">
            <v>3.1590123580245225E-2</v>
          </cell>
          <cell r="AA2996">
            <v>3.1420961566438477E-2</v>
          </cell>
        </row>
        <row r="2997">
          <cell r="Y2997">
            <v>59847</v>
          </cell>
          <cell r="Z2997">
            <v>3.1597187592196915E-2</v>
          </cell>
          <cell r="AA2997">
            <v>3.1427916423675262E-2</v>
          </cell>
        </row>
        <row r="2998">
          <cell r="Y2998">
            <v>59854</v>
          </cell>
          <cell r="Z2998">
            <v>3.1604259981929957E-2</v>
          </cell>
          <cell r="AA2998">
            <v>3.1434879581023756E-2</v>
          </cell>
        </row>
        <row r="2999">
          <cell r="Y2999">
            <v>59861</v>
          </cell>
          <cell r="Z2999">
            <v>3.1611340749486641E-2</v>
          </cell>
          <cell r="AA2999">
            <v>3.1441851038402913E-2</v>
          </cell>
        </row>
        <row r="3000">
          <cell r="Y3000">
            <v>59868</v>
          </cell>
          <cell r="Z3000">
            <v>3.1618429894914542E-2</v>
          </cell>
          <cell r="AA3000">
            <v>3.1448830795812732E-2</v>
          </cell>
        </row>
        <row r="3001">
          <cell r="Y3001">
            <v>59875</v>
          </cell>
          <cell r="Z3001">
            <v>3.1623652480668091E-2</v>
          </cell>
          <cell r="AA3001">
            <v>3.1455818853253215E-2</v>
          </cell>
        </row>
        <row r="3002">
          <cell r="Y3002">
            <v>59882</v>
          </cell>
          <cell r="Z3002">
            <v>3.1630757170304342E-2</v>
          </cell>
          <cell r="AA3002">
            <v>3.146281521072436E-2</v>
          </cell>
        </row>
        <row r="3003">
          <cell r="Y3003">
            <v>59889</v>
          </cell>
          <cell r="Z3003">
            <v>3.1637870237079223E-2</v>
          </cell>
          <cell r="AA3003">
            <v>3.1469819868226168E-2</v>
          </cell>
        </row>
        <row r="3004">
          <cell r="Y3004">
            <v>59897</v>
          </cell>
          <cell r="Z3004">
            <v>3.1646009714029283E-2</v>
          </cell>
          <cell r="AA3004">
            <v>3.1477835354474237E-2</v>
          </cell>
        </row>
        <row r="3005">
          <cell r="Y3005">
            <v>59904</v>
          </cell>
          <cell r="Z3005">
            <v>3.1653140731963993E-2</v>
          </cell>
          <cell r="AA3005">
            <v>3.1484857797744459E-2</v>
          </cell>
        </row>
        <row r="3006">
          <cell r="Y3006">
            <v>59911</v>
          </cell>
          <cell r="Z3006">
            <v>3.1660280127177157E-2</v>
          </cell>
          <cell r="AA3006">
            <v>3.1491888541045343E-2</v>
          </cell>
        </row>
        <row r="3007">
          <cell r="Y3007">
            <v>59918</v>
          </cell>
          <cell r="Z3007">
            <v>3.166742789971419E-2</v>
          </cell>
          <cell r="AA3007">
            <v>3.1498927584538983E-2</v>
          </cell>
        </row>
        <row r="3008">
          <cell r="Y3008">
            <v>59925</v>
          </cell>
          <cell r="Z3008">
            <v>3.1674584049616081E-2</v>
          </cell>
          <cell r="AA3008">
            <v>3.1505974927982239E-2</v>
          </cell>
        </row>
        <row r="3009">
          <cell r="Y3009">
            <v>59932</v>
          </cell>
          <cell r="Z3009">
            <v>3.1679863972637841E-2</v>
          </cell>
          <cell r="AA3009">
            <v>3.1513030571375111E-2</v>
          </cell>
        </row>
        <row r="3010">
          <cell r="Y3010">
            <v>59939</v>
          </cell>
          <cell r="Z3010">
            <v>3.1687035658874506E-2</v>
          </cell>
          <cell r="AA3010">
            <v>3.1520094514960739E-2</v>
          </cell>
        </row>
        <row r="3011">
          <cell r="Y3011">
            <v>59946</v>
          </cell>
          <cell r="Z3011">
            <v>3.1694215721744974E-2</v>
          </cell>
          <cell r="AA3011">
            <v>3.152716675857703E-2</v>
          </cell>
        </row>
        <row r="3012">
          <cell r="Y3012">
            <v>59953</v>
          </cell>
          <cell r="Z3012">
            <v>3.1701404161291573E-2</v>
          </cell>
          <cell r="AA3012">
            <v>3.1534247302142937E-2</v>
          </cell>
        </row>
        <row r="3013">
          <cell r="Y3013">
            <v>59960</v>
          </cell>
          <cell r="Z3013">
            <v>3.1708600977559329E-2</v>
          </cell>
          <cell r="AA3013">
            <v>3.1541336145820553E-2</v>
          </cell>
        </row>
        <row r="3014">
          <cell r="Y3014">
            <v>59967</v>
          </cell>
          <cell r="Z3014">
            <v>3.171958780757618E-2</v>
          </cell>
          <cell r="AA3014">
            <v>3.1548433289609878E-2</v>
          </cell>
        </row>
        <row r="3015">
          <cell r="Y3015">
            <v>59974</v>
          </cell>
          <cell r="Z3015">
            <v>3.1726803823346243E-2</v>
          </cell>
          <cell r="AA3015">
            <v>3.155553873334882E-2</v>
          </cell>
        </row>
        <row r="3016">
          <cell r="Y3016">
            <v>59981</v>
          </cell>
          <cell r="Z3016">
            <v>3.1734028217710764E-2</v>
          </cell>
          <cell r="AA3016">
            <v>3.1562652477199471E-2</v>
          </cell>
        </row>
        <row r="3017">
          <cell r="Y3017">
            <v>59988</v>
          </cell>
          <cell r="Z3017">
            <v>3.1741260990712034E-2</v>
          </cell>
          <cell r="AA3017">
            <v>3.1569774520918692E-2</v>
          </cell>
        </row>
        <row r="3018">
          <cell r="Y3018">
            <v>59995</v>
          </cell>
          <cell r="Z3018">
            <v>3.174660613324598E-2</v>
          </cell>
          <cell r="AA3018">
            <v>3.158440854491773E-2</v>
          </cell>
        </row>
        <row r="3019">
          <cell r="Y3019">
            <v>60002</v>
          </cell>
          <cell r="Z3019">
            <v>3.1753852782915336E-2</v>
          </cell>
          <cell r="AA3019">
            <v>3.1584043508854354E-2</v>
          </cell>
        </row>
        <row r="3020">
          <cell r="Y3020">
            <v>60009</v>
          </cell>
          <cell r="Z3020">
            <v>3.1761104618960638E-2</v>
          </cell>
          <cell r="AA3020">
            <v>3.1591190452746609E-2</v>
          </cell>
        </row>
        <row r="3021">
          <cell r="Y3021">
            <v>60016</v>
          </cell>
          <cell r="Z3021">
            <v>3.1768359922897921E-2</v>
          </cell>
          <cell r="AA3021">
            <v>3.1598345696750574E-2</v>
          </cell>
        </row>
        <row r="3022">
          <cell r="Y3022">
            <v>60023</v>
          </cell>
          <cell r="Z3022">
            <v>3.1777515120543193E-2</v>
          </cell>
          <cell r="AA3022">
            <v>3.160550924102834E-2</v>
          </cell>
        </row>
        <row r="3023">
          <cell r="Y3023">
            <v>60030</v>
          </cell>
          <cell r="Z3023">
            <v>3.178477238311149E-2</v>
          </cell>
          <cell r="AA3023">
            <v>3.1612681085174676E-2</v>
          </cell>
        </row>
        <row r="3024">
          <cell r="Y3024">
            <v>60037</v>
          </cell>
          <cell r="Z3024">
            <v>3.1792027824592763E-2</v>
          </cell>
          <cell r="AA3024">
            <v>3.1619861229270629E-2</v>
          </cell>
        </row>
        <row r="3025">
          <cell r="Y3025">
            <v>60044</v>
          </cell>
          <cell r="Z3025">
            <v>3.1799279744984012E-2</v>
          </cell>
          <cell r="AA3025">
            <v>3.1627049673478291E-2</v>
          </cell>
        </row>
        <row r="3026">
          <cell r="Y3026">
            <v>60051</v>
          </cell>
          <cell r="Z3026">
            <v>3.1806526444267257E-2</v>
          </cell>
          <cell r="AA3026">
            <v>3.1634246417878709E-2</v>
          </cell>
        </row>
        <row r="3027">
          <cell r="Y3027">
            <v>60058</v>
          </cell>
          <cell r="Z3027">
            <v>3.1813766222412186E-2</v>
          </cell>
          <cell r="AA3027">
            <v>3.164145146206665E-2</v>
          </cell>
        </row>
        <row r="3028">
          <cell r="Y3028">
            <v>60065</v>
          </cell>
          <cell r="Z3028">
            <v>3.1820997379380565E-2</v>
          </cell>
          <cell r="AA3028">
            <v>3.1648664806528393E-2</v>
          </cell>
        </row>
        <row r="3029">
          <cell r="Y3029">
            <v>60072</v>
          </cell>
          <cell r="Z3029">
            <v>3.1828218215113016E-2</v>
          </cell>
          <cell r="AA3029">
            <v>3.1655886451101845E-2</v>
          </cell>
        </row>
        <row r="3030">
          <cell r="Y3030">
            <v>60079</v>
          </cell>
          <cell r="Z3030">
            <v>3.1835427029548398E-2</v>
          </cell>
          <cell r="AA3030">
            <v>3.1663116395543867E-2</v>
          </cell>
        </row>
        <row r="3031">
          <cell r="Y3031">
            <v>60086</v>
          </cell>
          <cell r="Z3031">
            <v>3.1842622301031326E-2</v>
          </cell>
          <cell r="AA3031">
            <v>3.1670345064479521E-2</v>
          </cell>
        </row>
        <row r="3032">
          <cell r="Y3032">
            <v>60093</v>
          </cell>
          <cell r="Z3032">
            <v>3.1849803609030274E-2</v>
          </cell>
          <cell r="AA3032">
            <v>3.1677559941850619E-2</v>
          </cell>
        </row>
        <row r="3033">
          <cell r="Y3033">
            <v>60100</v>
          </cell>
          <cell r="Z3033">
            <v>3.1856970952644045E-2</v>
          </cell>
          <cell r="AA3033">
            <v>3.1684760952446211E-2</v>
          </cell>
        </row>
        <row r="3034">
          <cell r="Y3034">
            <v>60107</v>
          </cell>
          <cell r="Z3034">
            <v>3.186412433179775E-2</v>
          </cell>
          <cell r="AA3034">
            <v>3.169194809578002E-2</v>
          </cell>
        </row>
        <row r="3035">
          <cell r="Y3035">
            <v>60114</v>
          </cell>
          <cell r="Z3035">
            <v>3.1871263746412998E-2</v>
          </cell>
          <cell r="AA3035">
            <v>3.1699121372014138E-2</v>
          </cell>
        </row>
        <row r="3036">
          <cell r="Y3036">
            <v>60121</v>
          </cell>
          <cell r="Z3036">
            <v>3.187838919641843E-2</v>
          </cell>
          <cell r="AA3036">
            <v>3.1706280781472751E-2</v>
          </cell>
        </row>
        <row r="3037">
          <cell r="Y3037">
            <v>60128</v>
          </cell>
          <cell r="Z3037">
            <v>3.1885500681740037E-2</v>
          </cell>
          <cell r="AA3037">
            <v>3.1713426323831673E-2</v>
          </cell>
        </row>
        <row r="3038">
          <cell r="Y3038">
            <v>60135</v>
          </cell>
          <cell r="Z3038">
            <v>3.1892598202299428E-2</v>
          </cell>
          <cell r="AA3038">
            <v>3.1720557999090904E-2</v>
          </cell>
        </row>
        <row r="3039">
          <cell r="Y3039">
            <v>60142</v>
          </cell>
          <cell r="Z3039">
            <v>3.1899681758027001E-2</v>
          </cell>
          <cell r="AA3039">
            <v>3.1727675807493583E-2</v>
          </cell>
        </row>
        <row r="3040">
          <cell r="Y3040">
            <v>60149</v>
          </cell>
          <cell r="Z3040">
            <v>3.1904858247519513E-2</v>
          </cell>
          <cell r="AA3040">
            <v>3.1734779748796571E-2</v>
          </cell>
        </row>
        <row r="3041">
          <cell r="Y3041">
            <v>60156</v>
          </cell>
          <cell r="Z3041">
            <v>3.1911914256436455E-2</v>
          </cell>
          <cell r="AA3041">
            <v>3.1741869823324054E-2</v>
          </cell>
        </row>
        <row r="3042">
          <cell r="Y3042">
            <v>60163</v>
          </cell>
          <cell r="Z3042">
            <v>3.1918956301380245E-2</v>
          </cell>
          <cell r="AA3042">
            <v>3.1748946030508707E-2</v>
          </cell>
        </row>
        <row r="3043">
          <cell r="Y3043">
            <v>60170</v>
          </cell>
          <cell r="Z3043">
            <v>3.1933552615079019E-2</v>
          </cell>
          <cell r="AA3043">
            <v>3.1756008370836808E-2</v>
          </cell>
        </row>
        <row r="3044">
          <cell r="Y3044">
            <v>60177</v>
          </cell>
          <cell r="Z3044">
            <v>3.1934890061548357E-2</v>
          </cell>
          <cell r="AA3044">
            <v>3.1763056844146265E-2</v>
          </cell>
        </row>
        <row r="3045">
          <cell r="Y3045">
            <v>60184</v>
          </cell>
          <cell r="Z3045">
            <v>3.194188982671433E-2</v>
          </cell>
          <cell r="AA3045">
            <v>3.1770091450437077E-2</v>
          </cell>
        </row>
        <row r="3046">
          <cell r="Y3046">
            <v>60191</v>
          </cell>
          <cell r="Z3046">
            <v>3.1948875626529614E-2</v>
          </cell>
          <cell r="AA3046">
            <v>3.1777112189628198E-2</v>
          </cell>
        </row>
        <row r="3047">
          <cell r="Y3047">
            <v>60198</v>
          </cell>
          <cell r="Z3047">
            <v>3.1955847460919333E-2</v>
          </cell>
          <cell r="AA3047">
            <v>3.1784119062043814E-2</v>
          </cell>
        </row>
        <row r="3048">
          <cell r="Y3048">
            <v>60205</v>
          </cell>
          <cell r="Z3048">
            <v>3.1962805329813007E-2</v>
          </cell>
          <cell r="AA3048">
            <v>3.1791112067278693E-2</v>
          </cell>
        </row>
        <row r="3049">
          <cell r="Y3049">
            <v>60212</v>
          </cell>
          <cell r="Z3049">
            <v>3.1969749233136641E-2</v>
          </cell>
          <cell r="AA3049">
            <v>3.1798091205413881E-2</v>
          </cell>
        </row>
        <row r="3050">
          <cell r="Y3050">
            <v>60219</v>
          </cell>
          <cell r="Z3050">
            <v>3.1976679170816237E-2</v>
          </cell>
          <cell r="AA3050">
            <v>3.1805056476692517E-2</v>
          </cell>
        </row>
        <row r="3051">
          <cell r="Y3051">
            <v>60226</v>
          </cell>
          <cell r="Z3051">
            <v>3.1983595142781318E-2</v>
          </cell>
          <cell r="AA3051">
            <v>3.1812007880952509E-2</v>
          </cell>
        </row>
        <row r="3052">
          <cell r="Y3052">
            <v>60233</v>
          </cell>
          <cell r="Z3052">
            <v>3.199049714895788E-2</v>
          </cell>
          <cell r="AA3052">
            <v>3.181894541811281E-2</v>
          </cell>
        </row>
        <row r="3053">
          <cell r="Y3053">
            <v>60240</v>
          </cell>
          <cell r="Z3053">
            <v>3.199360918854486E-2</v>
          </cell>
          <cell r="AA3053">
            <v>3.1825869088254466E-2</v>
          </cell>
        </row>
        <row r="3054">
          <cell r="Y3054">
            <v>60247</v>
          </cell>
          <cell r="Z3054">
            <v>3.2000484057352924E-2</v>
          </cell>
          <cell r="AA3054">
            <v>3.1832778891458524E-2</v>
          </cell>
        </row>
        <row r="3055">
          <cell r="Y3055">
            <v>60254</v>
          </cell>
          <cell r="Z3055">
            <v>3.200734496234877E-2</v>
          </cell>
          <cell r="AA3055">
            <v>3.1839674827481845E-2</v>
          </cell>
        </row>
        <row r="3056">
          <cell r="Y3056">
            <v>60265</v>
          </cell>
          <cell r="Z3056">
            <v>3.2021871325139548E-2</v>
          </cell>
          <cell r="AA3056">
            <v>3.1850483281544717E-2</v>
          </cell>
        </row>
        <row r="3057">
          <cell r="Y3057">
            <v>60272</v>
          </cell>
          <cell r="Z3057">
            <v>3.202680930931371E-2</v>
          </cell>
          <cell r="AA3057">
            <v>3.1857343559635876E-2</v>
          </cell>
        </row>
        <row r="3058">
          <cell r="Y3058">
            <v>60279</v>
          </cell>
          <cell r="Z3058">
            <v>3.2033619940800027E-2</v>
          </cell>
          <cell r="AA3058">
            <v>3.1864189970627343E-2</v>
          </cell>
        </row>
        <row r="3059">
          <cell r="Y3059">
            <v>60286</v>
          </cell>
          <cell r="Z3059">
            <v>3.2040416607055644E-2</v>
          </cell>
          <cell r="AA3059">
            <v>3.1871022514681213E-2</v>
          </cell>
        </row>
        <row r="3060">
          <cell r="Y3060">
            <v>60293</v>
          </cell>
          <cell r="Z3060">
            <v>3.2047199308010199E-2</v>
          </cell>
          <cell r="AA3060">
            <v>3.1877841191716438E-2</v>
          </cell>
        </row>
        <row r="3061">
          <cell r="Y3061">
            <v>60300</v>
          </cell>
          <cell r="Z3061">
            <v>3.2055852639142429E-2</v>
          </cell>
          <cell r="AA3061">
            <v>3.1884646001651973E-2</v>
          </cell>
        </row>
        <row r="3062">
          <cell r="Y3062">
            <v>60307</v>
          </cell>
          <cell r="Z3062">
            <v>3.2060722813723984E-2</v>
          </cell>
          <cell r="AA3062">
            <v>3.1891436944487817E-2</v>
          </cell>
        </row>
        <row r="3063">
          <cell r="Y3063">
            <v>60314</v>
          </cell>
          <cell r="Z3063">
            <v>3.2067463618348738E-2</v>
          </cell>
          <cell r="AA3063">
            <v>3.1898214020548155E-2</v>
          </cell>
        </row>
        <row r="3064">
          <cell r="Y3064">
            <v>60321</v>
          </cell>
          <cell r="Z3064">
            <v>3.2076073829566142E-2</v>
          </cell>
          <cell r="AA3064">
            <v>3.1904977229427756E-2</v>
          </cell>
        </row>
        <row r="3065">
          <cell r="Y3065">
            <v>60328</v>
          </cell>
          <cell r="Z3065">
            <v>3.2082786292952921E-2</v>
          </cell>
          <cell r="AA3065">
            <v>3.1911726571288712E-2</v>
          </cell>
        </row>
        <row r="3066">
          <cell r="Y3066">
            <v>60335</v>
          </cell>
          <cell r="Z3066">
            <v>3.2089484789510805E-2</v>
          </cell>
          <cell r="AA3066">
            <v>3.1918462045968932E-2</v>
          </cell>
        </row>
        <row r="3067">
          <cell r="Y3067">
            <v>60342</v>
          </cell>
          <cell r="Z3067">
            <v>3.2096169319171954E-2</v>
          </cell>
          <cell r="AA3067">
            <v>3.1925183653873646E-2</v>
          </cell>
        </row>
        <row r="3068">
          <cell r="Y3068">
            <v>60349</v>
          </cell>
          <cell r="Z3068">
            <v>3.2102839881865006E-2</v>
          </cell>
          <cell r="AA3068">
            <v>3.1931891394678669E-2</v>
          </cell>
        </row>
        <row r="3069">
          <cell r="Y3069">
            <v>60357</v>
          </cell>
          <cell r="Z3069">
            <v>3.2108565027766656E-2</v>
          </cell>
          <cell r="AA3069">
            <v>3.1939540404071209E-2</v>
          </cell>
        </row>
        <row r="3070">
          <cell r="Y3070">
            <v>60364</v>
          </cell>
          <cell r="Z3070">
            <v>3.2115206076700487E-2</v>
          </cell>
          <cell r="AA3070">
            <v>3.1946218429824702E-2</v>
          </cell>
        </row>
        <row r="3071">
          <cell r="Y3071">
            <v>60371</v>
          </cell>
          <cell r="Z3071">
            <v>3.2121833159553956E-2</v>
          </cell>
          <cell r="AA3071">
            <v>3.1952882588397458E-2</v>
          </cell>
        </row>
        <row r="3072">
          <cell r="Y3072">
            <v>60378</v>
          </cell>
          <cell r="Z3072">
            <v>3.2128446276262948E-2</v>
          </cell>
          <cell r="AA3072">
            <v>3.1959532880032615E-2</v>
          </cell>
        </row>
        <row r="3073">
          <cell r="Y3073">
            <v>60385</v>
          </cell>
          <cell r="Z3073">
            <v>3.2135045426756215E-2</v>
          </cell>
          <cell r="AA3073">
            <v>3.1966169304649128E-2</v>
          </cell>
        </row>
        <row r="3074">
          <cell r="Y3074">
            <v>60392</v>
          </cell>
          <cell r="Z3074">
            <v>3.2143509773217269E-2</v>
          </cell>
          <cell r="AA3074">
            <v>3.1972791862084904E-2</v>
          </cell>
        </row>
        <row r="3075">
          <cell r="Y3075">
            <v>60399</v>
          </cell>
          <cell r="Z3075">
            <v>3.215008056982651E-2</v>
          </cell>
          <cell r="AA3075">
            <v>3.1979400552745174E-2</v>
          </cell>
        </row>
        <row r="3076">
          <cell r="Y3076">
            <v>60406</v>
          </cell>
          <cell r="Z3076">
            <v>3.215663739890387E-2</v>
          </cell>
          <cell r="AA3076">
            <v>3.1985995376305754E-2</v>
          </cell>
        </row>
        <row r="3077">
          <cell r="Y3077">
            <v>60413</v>
          </cell>
          <cell r="Z3077">
            <v>3.2163180260377976E-2</v>
          </cell>
          <cell r="AA3077">
            <v>3.1992576332685596E-2</v>
          </cell>
        </row>
        <row r="3078">
          <cell r="Y3078">
            <v>60420</v>
          </cell>
          <cell r="Z3078">
            <v>3.2169709154181894E-2</v>
          </cell>
          <cell r="AA3078">
            <v>3.1999143422046794E-2</v>
          </cell>
        </row>
        <row r="3079">
          <cell r="Y3079">
            <v>60427</v>
          </cell>
          <cell r="Z3079">
            <v>3.2176224080246014E-2</v>
          </cell>
          <cell r="AA3079">
            <v>3.200569664455144E-2</v>
          </cell>
        </row>
        <row r="3080">
          <cell r="Y3080">
            <v>60434</v>
          </cell>
          <cell r="Z3080">
            <v>3.2182725038503397E-2</v>
          </cell>
          <cell r="AA3080">
            <v>3.2012235999794303E-2</v>
          </cell>
        </row>
        <row r="3081">
          <cell r="Y3081">
            <v>60441</v>
          </cell>
          <cell r="Z3081">
            <v>3.2189212028886201E-2</v>
          </cell>
          <cell r="AA3081">
            <v>3.2018761488099567E-2</v>
          </cell>
        </row>
        <row r="3082">
          <cell r="Y3082">
            <v>60448</v>
          </cell>
          <cell r="Z3082">
            <v>3.2195685051323079E-2</v>
          </cell>
          <cell r="AA3082">
            <v>3.2025273109305141E-2</v>
          </cell>
        </row>
        <row r="3083">
          <cell r="Y3083">
            <v>60455</v>
          </cell>
          <cell r="Z3083">
            <v>3.2202144105749717E-2</v>
          </cell>
          <cell r="AA3083">
            <v>3.2031770863573117E-2</v>
          </cell>
        </row>
        <row r="3084">
          <cell r="Y3084">
            <v>60462</v>
          </cell>
          <cell r="Z3084">
            <v>3.220858919210004E-2</v>
          </cell>
          <cell r="AA3084">
            <v>3.2038254750822448E-2</v>
          </cell>
        </row>
        <row r="3085">
          <cell r="Y3085">
            <v>60469</v>
          </cell>
          <cell r="Z3085">
            <v>3.221502031030006E-2</v>
          </cell>
          <cell r="AA3085">
            <v>3.2044724770809996E-2</v>
          </cell>
        </row>
        <row r="3086">
          <cell r="Y3086">
            <v>60476</v>
          </cell>
          <cell r="Z3086">
            <v>3.2221437460287224E-2</v>
          </cell>
          <cell r="AA3086">
            <v>3.2051180923859945E-2</v>
          </cell>
        </row>
        <row r="3087">
          <cell r="Y3087">
            <v>60483</v>
          </cell>
          <cell r="Z3087">
            <v>3.2227840641993702E-2</v>
          </cell>
          <cell r="AA3087">
            <v>3.2057623210053343E-2</v>
          </cell>
        </row>
        <row r="3088">
          <cell r="Y3088">
            <v>60490</v>
          </cell>
          <cell r="Z3088">
            <v>3.2234229855352549E-2</v>
          </cell>
          <cell r="AA3088">
            <v>3.2064051628984958E-2</v>
          </cell>
        </row>
        <row r="3089">
          <cell r="Y3089">
            <v>60497</v>
          </cell>
          <cell r="Z3089">
            <v>3.2240605100294153E-2</v>
          </cell>
          <cell r="AA3089">
            <v>3.2070466180897927E-2</v>
          </cell>
        </row>
        <row r="3090">
          <cell r="Y3090">
            <v>60504</v>
          </cell>
          <cell r="Z3090">
            <v>3.224696637675422E-2</v>
          </cell>
          <cell r="AA3090">
            <v>3.2076866865792253E-2</v>
          </cell>
        </row>
        <row r="3091">
          <cell r="Y3091">
            <v>60511</v>
          </cell>
          <cell r="Z3091">
            <v>3.2251441835499141E-2</v>
          </cell>
          <cell r="AA3091">
            <v>3.2083253683667934E-2</v>
          </cell>
        </row>
        <row r="3092">
          <cell r="Y3092">
            <v>60518</v>
          </cell>
          <cell r="Z3092">
            <v>3.2257775615063287E-2</v>
          </cell>
          <cell r="AA3092">
            <v>3.2089626634362878E-2</v>
          </cell>
        </row>
        <row r="3093">
          <cell r="Y3093">
            <v>60525</v>
          </cell>
          <cell r="Z3093">
            <v>3.2264095427072217E-2</v>
          </cell>
          <cell r="AA3093">
            <v>3.2095985718120223E-2</v>
          </cell>
        </row>
        <row r="3094">
          <cell r="Y3094">
            <v>60532</v>
          </cell>
          <cell r="Z3094">
            <v>3.2270401271460025E-2</v>
          </cell>
          <cell r="AA3094">
            <v>3.2102330934777878E-2</v>
          </cell>
        </row>
        <row r="3095">
          <cell r="Y3095">
            <v>60539</v>
          </cell>
          <cell r="Z3095">
            <v>3.2276693148160791E-2</v>
          </cell>
          <cell r="AA3095">
            <v>3.2108662284578982E-2</v>
          </cell>
        </row>
        <row r="3096">
          <cell r="Y3096">
            <v>60546</v>
          </cell>
          <cell r="Z3096">
            <v>3.2284840693666224E-2</v>
          </cell>
          <cell r="AA3096">
            <v>3.2114979767037255E-2</v>
          </cell>
        </row>
        <row r="3097">
          <cell r="Y3097">
            <v>60553</v>
          </cell>
          <cell r="Z3097">
            <v>3.2291104188893201E-2</v>
          </cell>
          <cell r="AA3097">
            <v>3.2121283382638977E-2</v>
          </cell>
        </row>
        <row r="3098">
          <cell r="Y3098">
            <v>60560</v>
          </cell>
          <cell r="Z3098">
            <v>3.2297353715106558E-2</v>
          </cell>
          <cell r="AA3098">
            <v>3.2127573131222054E-2</v>
          </cell>
        </row>
        <row r="3099">
          <cell r="Y3099">
            <v>60567</v>
          </cell>
          <cell r="Z3099">
            <v>3.2303589272245505E-2</v>
          </cell>
          <cell r="AA3099">
            <v>3.2133849012543347E-2</v>
          </cell>
        </row>
        <row r="3100">
          <cell r="Y3100">
            <v>60574</v>
          </cell>
          <cell r="Z3100">
            <v>3.2309810860239555E-2</v>
          </cell>
          <cell r="AA3100">
            <v>3.2140111026845997E-2</v>
          </cell>
        </row>
        <row r="3101">
          <cell r="Y3101">
            <v>60581</v>
          </cell>
          <cell r="Z3101">
            <v>3.2316018479027063E-2</v>
          </cell>
          <cell r="AA3101">
            <v>3.2146359174292094E-2</v>
          </cell>
        </row>
        <row r="3102">
          <cell r="Y3102">
            <v>60588</v>
          </cell>
          <cell r="Z3102">
            <v>3.2322212128541944E-2</v>
          </cell>
          <cell r="AA3102">
            <v>3.2152593454476408E-2</v>
          </cell>
        </row>
        <row r="3103">
          <cell r="Y3103">
            <v>60595</v>
          </cell>
          <cell r="Z3103">
            <v>3.2328391808719013E-2</v>
          </cell>
          <cell r="AA3103">
            <v>3.2158813867642078E-2</v>
          </cell>
        </row>
        <row r="3104">
          <cell r="Y3104">
            <v>60602</v>
          </cell>
          <cell r="Z3104">
            <v>3.2330825510412206E-2</v>
          </cell>
          <cell r="AA3104">
            <v>3.2165020413789103E-2</v>
          </cell>
        </row>
        <row r="3105">
          <cell r="Y3105">
            <v>60609</v>
          </cell>
          <cell r="Z3105">
            <v>3.2336978161518225E-2</v>
          </cell>
          <cell r="AA3105">
            <v>3.217121309299853E-2</v>
          </cell>
        </row>
        <row r="3106">
          <cell r="Y3106">
            <v>60616</v>
          </cell>
          <cell r="Z3106">
            <v>3.2343116845360349E-2</v>
          </cell>
          <cell r="AA3106">
            <v>3.2177391905027219E-2</v>
          </cell>
        </row>
        <row r="3107">
          <cell r="Y3107">
            <v>60623</v>
          </cell>
          <cell r="Z3107">
            <v>3.2349241561878253E-2</v>
          </cell>
          <cell r="AA3107">
            <v>3.2183556849956219E-2</v>
          </cell>
        </row>
        <row r="3108">
          <cell r="Y3108">
            <v>60630</v>
          </cell>
          <cell r="Z3108">
            <v>3.2355352311006197E-2</v>
          </cell>
          <cell r="AA3108">
            <v>3.2189707927866573E-2</v>
          </cell>
        </row>
        <row r="3109">
          <cell r="Y3109">
            <v>60637</v>
          </cell>
          <cell r="Z3109">
            <v>3.2361449092685644E-2</v>
          </cell>
          <cell r="AA3109">
            <v>3.2195845138758283E-2</v>
          </cell>
        </row>
        <row r="3110">
          <cell r="Y3110">
            <v>60644</v>
          </cell>
          <cell r="Z3110">
            <v>3.2369395132173261E-2</v>
          </cell>
          <cell r="AA3110">
            <v>3.2201968482550303E-2</v>
          </cell>
        </row>
        <row r="3111">
          <cell r="Y3111">
            <v>60651</v>
          </cell>
          <cell r="Z3111">
            <v>3.2373600753439709E-2</v>
          </cell>
          <cell r="AA3111">
            <v>3.2208077959161585E-2</v>
          </cell>
        </row>
        <row r="3112">
          <cell r="Y3112">
            <v>60658</v>
          </cell>
          <cell r="Z3112">
            <v>3.2379655632390057E-2</v>
          </cell>
          <cell r="AA3112">
            <v>3.2214173568916316E-2</v>
          </cell>
        </row>
        <row r="3113">
          <cell r="Y3113">
            <v>60665</v>
          </cell>
          <cell r="Z3113">
            <v>3.2387558380571363E-2</v>
          </cell>
          <cell r="AA3113">
            <v>3.2220255311571355E-2</v>
          </cell>
        </row>
        <row r="3114">
          <cell r="Y3114">
            <v>60672</v>
          </cell>
          <cell r="Z3114">
            <v>3.2391723487131201E-2</v>
          </cell>
          <cell r="AA3114">
            <v>3.2226323187045658E-2</v>
          </cell>
        </row>
        <row r="3115">
          <cell r="Y3115">
            <v>60679</v>
          </cell>
          <cell r="Z3115">
            <v>3.239773646279593E-2</v>
          </cell>
          <cell r="AA3115">
            <v>3.2232377195582362E-2</v>
          </cell>
        </row>
        <row r="3116">
          <cell r="Y3116">
            <v>60686</v>
          </cell>
          <cell r="Z3116">
            <v>3.2403735470573611E-2</v>
          </cell>
          <cell r="AA3116">
            <v>3.223841733693833E-2</v>
          </cell>
        </row>
        <row r="3117">
          <cell r="Y3117">
            <v>60693</v>
          </cell>
          <cell r="Z3117">
            <v>3.2413440514736991E-2</v>
          </cell>
          <cell r="AA3117">
            <v>3.2244443611356699E-2</v>
          </cell>
        </row>
        <row r="3118">
          <cell r="Y3118">
            <v>60700</v>
          </cell>
          <cell r="Z3118">
            <v>3.2419410647158052E-2</v>
          </cell>
          <cell r="AA3118">
            <v>3.2250456018513285E-2</v>
          </cell>
        </row>
        <row r="3119">
          <cell r="Y3119">
            <v>60707</v>
          </cell>
          <cell r="Z3119">
            <v>3.2425366809222061E-2</v>
          </cell>
          <cell r="AA3119">
            <v>3.2256454558813319E-2</v>
          </cell>
        </row>
        <row r="3120">
          <cell r="Y3120">
            <v>60714</v>
          </cell>
          <cell r="Z3120">
            <v>3.2431309000867339E-2</v>
          </cell>
          <cell r="AA3120">
            <v>3.226243923185157E-2</v>
          </cell>
        </row>
        <row r="3121">
          <cell r="Y3121">
            <v>60721</v>
          </cell>
          <cell r="Z3121">
            <v>3.2437237222031352E-2</v>
          </cell>
          <cell r="AA3121">
            <v>3.2268410037871176E-2</v>
          </cell>
        </row>
        <row r="3122">
          <cell r="Y3122">
            <v>60728</v>
          </cell>
          <cell r="Z3122">
            <v>3.2441293798340626E-2</v>
          </cell>
          <cell r="AA3122">
            <v>3.2274366976872138E-2</v>
          </cell>
        </row>
        <row r="3123">
          <cell r="Y3123">
            <v>60735</v>
          </cell>
          <cell r="Z3123">
            <v>3.2447194553841208E-2</v>
          </cell>
          <cell r="AA3123">
            <v>3.2280310048854455E-2</v>
          </cell>
        </row>
        <row r="3124">
          <cell r="Y3124">
            <v>60742</v>
          </cell>
          <cell r="Z3124">
            <v>3.2453081339820083E-2</v>
          </cell>
          <cell r="AA3124">
            <v>3.2286239253737081E-2</v>
          </cell>
        </row>
        <row r="3125">
          <cell r="Y3125">
            <v>60749</v>
          </cell>
          <cell r="Z3125">
            <v>3.2458954156216691E-2</v>
          </cell>
          <cell r="AA3125">
            <v>3.2292154591357924E-2</v>
          </cell>
        </row>
        <row r="3126">
          <cell r="Y3126">
            <v>60756</v>
          </cell>
          <cell r="Z3126">
            <v>3.2466668768465268E-2</v>
          </cell>
          <cell r="AA3126">
            <v>3.2298056062284308E-2</v>
          </cell>
        </row>
        <row r="3127">
          <cell r="Y3127">
            <v>60763</v>
          </cell>
          <cell r="Z3127">
            <v>3.2472513165441405E-2</v>
          </cell>
          <cell r="AA3127">
            <v>3.2303943665867862E-2</v>
          </cell>
        </row>
        <row r="3128">
          <cell r="Y3128">
            <v>60770</v>
          </cell>
          <cell r="Z3128">
            <v>3.2478343591504602E-2</v>
          </cell>
          <cell r="AA3128">
            <v>3.2309817402351726E-2</v>
          </cell>
        </row>
        <row r="3129">
          <cell r="Y3129">
            <v>60777</v>
          </cell>
          <cell r="Z3129">
            <v>3.2484160046594976E-2</v>
          </cell>
          <cell r="AA3129">
            <v>3.2315677271897991E-2</v>
          </cell>
        </row>
        <row r="3130">
          <cell r="Y3130">
            <v>60784</v>
          </cell>
          <cell r="Z3130">
            <v>3.2489962530649084E-2</v>
          </cell>
          <cell r="AA3130">
            <v>3.2321523274425612E-2</v>
          </cell>
        </row>
        <row r="3131">
          <cell r="Y3131">
            <v>60791</v>
          </cell>
          <cell r="Z3131">
            <v>3.2495751043607912E-2</v>
          </cell>
          <cell r="AA3131">
            <v>3.2327355409691449E-2</v>
          </cell>
        </row>
        <row r="3132">
          <cell r="Y3132">
            <v>60798</v>
          </cell>
          <cell r="Z3132">
            <v>3.2501525585408031E-2</v>
          </cell>
          <cell r="AA3132">
            <v>3.2333173677857596E-2</v>
          </cell>
        </row>
        <row r="3133">
          <cell r="Y3133">
            <v>60805</v>
          </cell>
          <cell r="Z3133">
            <v>3.2507286155992174E-2</v>
          </cell>
          <cell r="AA3133">
            <v>3.2338978079086145E-2</v>
          </cell>
        </row>
        <row r="3134">
          <cell r="Y3134">
            <v>60812</v>
          </cell>
          <cell r="Z3134">
            <v>3.2513032755298682E-2</v>
          </cell>
          <cell r="AA3134">
            <v>3.2344768613296049E-2</v>
          </cell>
        </row>
        <row r="3135">
          <cell r="Y3135">
            <v>60819</v>
          </cell>
          <cell r="Z3135">
            <v>3.2518765383268526E-2</v>
          </cell>
          <cell r="AA3135">
            <v>3.2350545280325216E-2</v>
          </cell>
        </row>
        <row r="3136">
          <cell r="Y3136">
            <v>60826</v>
          </cell>
          <cell r="Z3136">
            <v>3.252448403983741E-2</v>
          </cell>
          <cell r="AA3136">
            <v>3.23563080800926E-2</v>
          </cell>
        </row>
        <row r="3137">
          <cell r="Y3137">
            <v>60833</v>
          </cell>
          <cell r="Z3137">
            <v>3.2530188724949817E-2</v>
          </cell>
          <cell r="AA3137">
            <v>3.2362057013084478E-2</v>
          </cell>
        </row>
        <row r="3138">
          <cell r="Y3138">
            <v>60840</v>
          </cell>
          <cell r="Z3138">
            <v>3.2535879438544094E-2</v>
          </cell>
          <cell r="AA3138">
            <v>3.2367792078976665E-2</v>
          </cell>
        </row>
        <row r="3139">
          <cell r="Y3139">
            <v>60847</v>
          </cell>
          <cell r="Z3139">
            <v>3.2541556180560337E-2</v>
          </cell>
          <cell r="AA3139">
            <v>3.2373513277444976E-2</v>
          </cell>
        </row>
        <row r="3140">
          <cell r="Y3140">
            <v>60854</v>
          </cell>
          <cell r="Z3140">
            <v>3.2547218950940399E-2</v>
          </cell>
          <cell r="AA3140">
            <v>3.2379220609056736E-2</v>
          </cell>
        </row>
        <row r="3141">
          <cell r="Y3141">
            <v>60861</v>
          </cell>
          <cell r="Z3141">
            <v>3.2552867749624383E-2</v>
          </cell>
          <cell r="AA3141">
            <v>3.2384914073730897E-2</v>
          </cell>
        </row>
        <row r="3142">
          <cell r="Y3142">
            <v>60868</v>
          </cell>
          <cell r="Z3142">
            <v>3.2558502576554134E-2</v>
          </cell>
          <cell r="AA3142">
            <v>3.2390593671224321E-2</v>
          </cell>
        </row>
        <row r="3143">
          <cell r="Y3143">
            <v>60875</v>
          </cell>
          <cell r="Z3143">
            <v>3.2562275984243244E-2</v>
          </cell>
          <cell r="AA3143">
            <v>3.2396259401374916E-2</v>
          </cell>
        </row>
        <row r="3144">
          <cell r="Y3144">
            <v>60882</v>
          </cell>
          <cell r="Z3144">
            <v>3.2567883367191103E-2</v>
          </cell>
          <cell r="AA3144">
            <v>3.2401911264831051E-2</v>
          </cell>
        </row>
        <row r="3145">
          <cell r="Y3145">
            <v>60889</v>
          </cell>
          <cell r="Z3145">
            <v>3.2573476779366832E-2</v>
          </cell>
          <cell r="AA3145">
            <v>3.2407549261025403E-2</v>
          </cell>
        </row>
        <row r="3146">
          <cell r="Y3146">
            <v>60896</v>
          </cell>
          <cell r="Z3146">
            <v>3.2579056220711645E-2</v>
          </cell>
          <cell r="AA3146">
            <v>3.2413173390201111E-2</v>
          </cell>
        </row>
        <row r="3147">
          <cell r="Y3147">
            <v>60903</v>
          </cell>
          <cell r="Z3147">
            <v>3.258646713279819E-2</v>
          </cell>
          <cell r="AA3147">
            <v>3.2418783652115035E-2</v>
          </cell>
        </row>
        <row r="3148">
          <cell r="Y3148">
            <v>60910</v>
          </cell>
          <cell r="Z3148">
            <v>3.2592018127957832E-2</v>
          </cell>
          <cell r="AA3148">
            <v>3.2424380047091361E-2</v>
          </cell>
        </row>
        <row r="3149">
          <cell r="Y3149">
            <v>60917</v>
          </cell>
          <cell r="Z3149">
            <v>3.2597555150951855E-2</v>
          </cell>
          <cell r="AA3149">
            <v>3.2429962574967997E-2</v>
          </cell>
        </row>
        <row r="3150">
          <cell r="Y3150">
            <v>60924</v>
          </cell>
          <cell r="Z3150">
            <v>3.2603078201721231E-2</v>
          </cell>
          <cell r="AA3150">
            <v>3.2435531235663895E-2</v>
          </cell>
        </row>
        <row r="3151">
          <cell r="Y3151">
            <v>60931</v>
          </cell>
          <cell r="Z3151">
            <v>3.2608587280208698E-2</v>
          </cell>
          <cell r="AA3151">
            <v>3.2441086029341148E-2</v>
          </cell>
        </row>
        <row r="3152">
          <cell r="Y3152">
            <v>60938</v>
          </cell>
          <cell r="Z3152">
            <v>3.2614082386356116E-2</v>
          </cell>
          <cell r="AA3152">
            <v>3.2446626955999758E-2</v>
          </cell>
        </row>
        <row r="3153">
          <cell r="Y3153">
            <v>60945</v>
          </cell>
          <cell r="Z3153">
            <v>3.261956352010887E-2</v>
          </cell>
          <cell r="AA3153">
            <v>3.245215401547763E-2</v>
          </cell>
        </row>
        <row r="3154">
          <cell r="Y3154">
            <v>60952</v>
          </cell>
          <cell r="Z3154">
            <v>3.262503068140353E-2</v>
          </cell>
          <cell r="AA3154">
            <v>3.2457667207774765E-2</v>
          </cell>
        </row>
        <row r="3155">
          <cell r="Y3155">
            <v>60959</v>
          </cell>
          <cell r="Z3155">
            <v>3.2630483870188118E-2</v>
          </cell>
          <cell r="AA3155">
            <v>3.2463166533134302E-2</v>
          </cell>
        </row>
        <row r="3156">
          <cell r="Y3156">
            <v>60966</v>
          </cell>
          <cell r="Z3156">
            <v>3.263224142542815E-2</v>
          </cell>
          <cell r="AA3156">
            <v>3.2468651991394148E-2</v>
          </cell>
        </row>
        <row r="3157">
          <cell r="Y3157">
            <v>60973</v>
          </cell>
          <cell r="Z3157">
            <v>3.2637667698577941E-2</v>
          </cell>
          <cell r="AA3157">
            <v>3.2474123582473258E-2</v>
          </cell>
        </row>
        <row r="3158">
          <cell r="Y3158">
            <v>60980</v>
          </cell>
          <cell r="Z3158">
            <v>3.2643080001380477E-2</v>
          </cell>
          <cell r="AA3158">
            <v>3.2479581306452676E-2</v>
          </cell>
        </row>
        <row r="3159">
          <cell r="Y3159">
            <v>60987</v>
          </cell>
          <cell r="Z3159">
            <v>3.2648478333782635E-2</v>
          </cell>
          <cell r="AA3159">
            <v>3.2485025163494496E-2</v>
          </cell>
        </row>
        <row r="3160">
          <cell r="Y3160">
            <v>60995</v>
          </cell>
          <cell r="Z3160">
            <v>3.2654630749843629E-2</v>
          </cell>
          <cell r="AA3160">
            <v>3.2491229734219473E-2</v>
          </cell>
        </row>
        <row r="3161">
          <cell r="Y3161">
            <v>61002</v>
          </cell>
          <cell r="Z3161">
            <v>3.265999914548405E-2</v>
          </cell>
          <cell r="AA3161">
            <v>3.2496643875966624E-2</v>
          </cell>
        </row>
        <row r="3162">
          <cell r="Y3162">
            <v>61009</v>
          </cell>
          <cell r="Z3162">
            <v>3.2665353570551191E-2</v>
          </cell>
          <cell r="AA3162">
            <v>3.2502044150533038E-2</v>
          </cell>
        </row>
        <row r="3163">
          <cell r="Y3163">
            <v>61016</v>
          </cell>
          <cell r="Z3163">
            <v>3.2670694024987422E-2</v>
          </cell>
          <cell r="AA3163">
            <v>3.2507430557999761E-2</v>
          </cell>
        </row>
        <row r="3164">
          <cell r="Y3164">
            <v>61023</v>
          </cell>
          <cell r="Z3164">
            <v>3.2676020508738711E-2</v>
          </cell>
          <cell r="AA3164">
            <v>3.2512803098609933E-2</v>
          </cell>
        </row>
        <row r="3165">
          <cell r="Y3165">
            <v>61030</v>
          </cell>
          <cell r="Z3165">
            <v>3.2681333021750122E-2</v>
          </cell>
          <cell r="AA3165">
            <v>3.251816177195832E-2</v>
          </cell>
        </row>
        <row r="3166">
          <cell r="Y3166">
            <v>61037</v>
          </cell>
          <cell r="Z3166">
            <v>3.2684796097345002E-2</v>
          </cell>
          <cell r="AA3166">
            <v>3.2523506578125971E-2</v>
          </cell>
        </row>
        <row r="3167">
          <cell r="Y3167">
            <v>61044</v>
          </cell>
          <cell r="Z3167">
            <v>3.269008119518773E-2</v>
          </cell>
          <cell r="AA3167">
            <v>3.2528837517356024E-2</v>
          </cell>
        </row>
        <row r="3168">
          <cell r="Y3168">
            <v>61051</v>
          </cell>
          <cell r="Z3168">
            <v>3.2695352323303402E-2</v>
          </cell>
          <cell r="AA3168">
            <v>3.253415458940534E-2</v>
          </cell>
        </row>
        <row r="3169">
          <cell r="Y3169">
            <v>61058</v>
          </cell>
          <cell r="Z3169">
            <v>3.2706111308075971E-2</v>
          </cell>
          <cell r="AA3169">
            <v>3.2539457794273918E-2</v>
          </cell>
        </row>
        <row r="3170">
          <cell r="Y3170">
            <v>61065</v>
          </cell>
          <cell r="Z3170">
            <v>3.2711352906203549E-2</v>
          </cell>
          <cell r="AA3170">
            <v>3.2544747132042806E-2</v>
          </cell>
        </row>
        <row r="3171">
          <cell r="Y3171">
            <v>61072</v>
          </cell>
          <cell r="Z3171">
            <v>3.271658053091369E-2</v>
          </cell>
          <cell r="AA3171">
            <v>3.2550022602874096E-2</v>
          </cell>
        </row>
        <row r="3172">
          <cell r="Y3172">
            <v>61079</v>
          </cell>
          <cell r="Z3172">
            <v>3.272179418215266E-2</v>
          </cell>
          <cell r="AA3172">
            <v>3.2555284206524648E-2</v>
          </cell>
        </row>
        <row r="3173">
          <cell r="Y3173">
            <v>61086</v>
          </cell>
          <cell r="Z3173">
            <v>3.2726993859865841E-2</v>
          </cell>
          <cell r="AA3173">
            <v>3.256053194307551E-2</v>
          </cell>
        </row>
        <row r="3174">
          <cell r="Y3174">
            <v>61093</v>
          </cell>
          <cell r="Z3174">
            <v>3.2730348226408947E-2</v>
          </cell>
          <cell r="AA3174">
            <v>3.2565765812364589E-2</v>
          </cell>
        </row>
        <row r="3175">
          <cell r="Y3175">
            <v>61100</v>
          </cell>
          <cell r="Z3175">
            <v>3.2735520493045206E-2</v>
          </cell>
          <cell r="AA3175">
            <v>3.2570985814878162E-2</v>
          </cell>
        </row>
        <row r="3176">
          <cell r="Y3176">
            <v>61107</v>
          </cell>
          <cell r="Z3176">
            <v>3.2740678787169061E-2</v>
          </cell>
          <cell r="AA3176">
            <v>3.2576191950048905E-2</v>
          </cell>
        </row>
        <row r="3177">
          <cell r="Y3177">
            <v>61114</v>
          </cell>
          <cell r="Z3177">
            <v>3.274582310872886E-2</v>
          </cell>
          <cell r="AA3177">
            <v>3.2581384218119958E-2</v>
          </cell>
        </row>
        <row r="3178">
          <cell r="Y3178">
            <v>61121</v>
          </cell>
          <cell r="Z3178">
            <v>3.2752782643631483E-2</v>
          </cell>
          <cell r="AA3178">
            <v>3.2586562619172366E-2</v>
          </cell>
        </row>
        <row r="3179">
          <cell r="Y3179">
            <v>61128</v>
          </cell>
          <cell r="Z3179">
            <v>3.2757898479046463E-2</v>
          </cell>
          <cell r="AA3179">
            <v>3.2591727153125083E-2</v>
          </cell>
        </row>
        <row r="3180">
          <cell r="Y3180">
            <v>61135</v>
          </cell>
          <cell r="Z3180">
            <v>3.2763000340555966E-2</v>
          </cell>
          <cell r="AA3180">
            <v>3.2596877819897063E-2</v>
          </cell>
        </row>
        <row r="3181">
          <cell r="Y3181">
            <v>61142</v>
          </cell>
          <cell r="Z3181">
            <v>3.2768088228108019E-2</v>
          </cell>
          <cell r="AA3181">
            <v>3.2602014619569353E-2</v>
          </cell>
        </row>
        <row r="3182">
          <cell r="Y3182">
            <v>61149</v>
          </cell>
          <cell r="Z3182">
            <v>3.2773162141648E-2</v>
          </cell>
          <cell r="AA3182">
            <v>3.2607137552304044E-2</v>
          </cell>
        </row>
        <row r="3183">
          <cell r="Y3183">
            <v>61156</v>
          </cell>
          <cell r="Z3183">
            <v>3.2778222081124825E-2</v>
          </cell>
          <cell r="AA3183">
            <v>3.2612246617857998E-2</v>
          </cell>
        </row>
        <row r="3184">
          <cell r="Y3184">
            <v>61163</v>
          </cell>
          <cell r="Z3184">
            <v>3.2783268046479463E-2</v>
          </cell>
          <cell r="AA3184">
            <v>3.2617341816069123E-2</v>
          </cell>
        </row>
        <row r="3185">
          <cell r="Y3185">
            <v>61170</v>
          </cell>
          <cell r="Z3185">
            <v>3.2788300037666106E-2</v>
          </cell>
          <cell r="AA3185">
            <v>3.2622423147261603E-2</v>
          </cell>
        </row>
        <row r="3186">
          <cell r="Y3186">
            <v>61177</v>
          </cell>
          <cell r="Z3186">
            <v>3.2793318054628373E-2</v>
          </cell>
          <cell r="AA3186">
            <v>3.2627490611516485E-2</v>
          </cell>
        </row>
        <row r="3187">
          <cell r="Y3187">
            <v>61184</v>
          </cell>
          <cell r="Z3187">
            <v>3.2798322097315175E-2</v>
          </cell>
          <cell r="AA3187">
            <v>3.263254420859063E-2</v>
          </cell>
        </row>
        <row r="3188">
          <cell r="Y3188">
            <v>61191</v>
          </cell>
          <cell r="Z3188">
            <v>3.2803312165671887E-2</v>
          </cell>
          <cell r="AA3188">
            <v>3.2637583938402992E-2</v>
          </cell>
        </row>
        <row r="3189">
          <cell r="Y3189">
            <v>61198</v>
          </cell>
          <cell r="Z3189">
            <v>3.2808288259649182E-2</v>
          </cell>
          <cell r="AA3189">
            <v>3.2642609801358802E-2</v>
          </cell>
        </row>
        <row r="3190">
          <cell r="Y3190">
            <v>61205</v>
          </cell>
          <cell r="Z3190">
            <v>3.2813250379193318E-2</v>
          </cell>
          <cell r="AA3190">
            <v>3.2647621797052828E-2</v>
          </cell>
        </row>
        <row r="3191">
          <cell r="Y3191">
            <v>61212</v>
          </cell>
          <cell r="Z3191">
            <v>3.2818198524251448E-2</v>
          </cell>
          <cell r="AA3191">
            <v>3.2652619925566118E-2</v>
          </cell>
        </row>
        <row r="3192">
          <cell r="Y3192">
            <v>61219</v>
          </cell>
          <cell r="Z3192">
            <v>3.282313269477246E-2</v>
          </cell>
          <cell r="AA3192">
            <v>3.2657604187060763E-2</v>
          </cell>
        </row>
        <row r="3193">
          <cell r="Y3193">
            <v>61226</v>
          </cell>
          <cell r="Z3193">
            <v>3.2828052890705277E-2</v>
          </cell>
          <cell r="AA3193">
            <v>3.2662574581455717E-2</v>
          </cell>
        </row>
        <row r="3194">
          <cell r="Y3194">
            <v>61233</v>
          </cell>
          <cell r="Z3194">
            <v>3.283295911199792E-2</v>
          </cell>
          <cell r="AA3194">
            <v>3.266753110875098E-2</v>
          </cell>
        </row>
        <row r="3195">
          <cell r="Y3195">
            <v>61240</v>
          </cell>
          <cell r="Z3195">
            <v>3.2836031528361002E-2</v>
          </cell>
          <cell r="AA3195">
            <v>3.267247376878446E-2</v>
          </cell>
        </row>
        <row r="3196">
          <cell r="Y3196">
            <v>61247</v>
          </cell>
          <cell r="Z3196">
            <v>3.2840910361245694E-2</v>
          </cell>
          <cell r="AA3196">
            <v>3.2677402561880342E-2</v>
          </cell>
        </row>
        <row r="3197">
          <cell r="Y3197">
            <v>61254</v>
          </cell>
          <cell r="Z3197">
            <v>3.2845775220527861E-2</v>
          </cell>
          <cell r="AA3197">
            <v>3.2682317487714441E-2</v>
          </cell>
        </row>
        <row r="3198">
          <cell r="Y3198">
            <v>61261</v>
          </cell>
          <cell r="Z3198">
            <v>3.2850626106156744E-2</v>
          </cell>
          <cell r="AA3198">
            <v>3.2687218546610941E-2</v>
          </cell>
        </row>
        <row r="3199">
          <cell r="Y3199">
            <v>61268</v>
          </cell>
          <cell r="Z3199">
            <v>3.2855463018078908E-2</v>
          </cell>
          <cell r="AA3199">
            <v>3.2692105738083566E-2</v>
          </cell>
        </row>
        <row r="3200">
          <cell r="Y3200">
            <v>61275</v>
          </cell>
          <cell r="Z3200">
            <v>3.2862102969432892E-2</v>
          </cell>
          <cell r="AA3200">
            <v>3.2696979062861731E-2</v>
          </cell>
        </row>
        <row r="3201">
          <cell r="Y3201">
            <v>61282</v>
          </cell>
          <cell r="Z3201">
            <v>3.2866911366811892E-2</v>
          </cell>
          <cell r="AA3201">
            <v>3.270183852021602E-2</v>
          </cell>
        </row>
        <row r="3202">
          <cell r="Y3202">
            <v>61289</v>
          </cell>
          <cell r="Z3202">
            <v>3.2871705789141073E-2</v>
          </cell>
          <cell r="AA3202">
            <v>3.2706684110470619E-2</v>
          </cell>
        </row>
        <row r="3203">
          <cell r="Y3203">
            <v>61296</v>
          </cell>
          <cell r="Z3203">
            <v>3.2876486236372869E-2</v>
          </cell>
          <cell r="AA3203">
            <v>3.2711515833706573E-2</v>
          </cell>
        </row>
        <row r="3204">
          <cell r="Y3204">
            <v>61303</v>
          </cell>
          <cell r="Z3204">
            <v>3.2881252708456189E-2</v>
          </cell>
          <cell r="AA3204">
            <v>3.271633368976179E-2</v>
          </cell>
        </row>
        <row r="3205">
          <cell r="Y3205">
            <v>61310</v>
          </cell>
          <cell r="Z3205">
            <v>3.2886005205344342E-2</v>
          </cell>
          <cell r="AA3205">
            <v>3.2721137678798362E-2</v>
          </cell>
        </row>
        <row r="3206">
          <cell r="Y3206">
            <v>61317</v>
          </cell>
          <cell r="Z3206">
            <v>3.2890743726980066E-2</v>
          </cell>
          <cell r="AA3206">
            <v>3.2725927800411059E-2</v>
          </cell>
        </row>
        <row r="3207">
          <cell r="Y3207">
            <v>61324</v>
          </cell>
          <cell r="Z3207">
            <v>3.2895468273320197E-2</v>
          </cell>
          <cell r="AA3207">
            <v>3.273070405524825E-2</v>
          </cell>
        </row>
        <row r="3208">
          <cell r="Y3208">
            <v>61331</v>
          </cell>
          <cell r="Z3208">
            <v>3.2898366400509561E-2</v>
          </cell>
          <cell r="AA3208">
            <v>3.2735466442742611E-2</v>
          </cell>
        </row>
        <row r="3209">
          <cell r="Y3209">
            <v>61338</v>
          </cell>
          <cell r="Z3209">
            <v>3.2903063572662372E-2</v>
          </cell>
          <cell r="AA3209">
            <v>3.2740214963218328E-2</v>
          </cell>
        </row>
        <row r="3210">
          <cell r="Y3210">
            <v>61345</v>
          </cell>
          <cell r="Z3210">
            <v>3.2907746770568742E-2</v>
          </cell>
          <cell r="AA3210">
            <v>3.2744949616513308E-2</v>
          </cell>
        </row>
        <row r="3211">
          <cell r="Y3211">
            <v>61352</v>
          </cell>
          <cell r="Z3211">
            <v>3.2912415994179697E-2</v>
          </cell>
          <cell r="AA3211">
            <v>3.274967040287069E-2</v>
          </cell>
        </row>
        <row r="3212">
          <cell r="Y3212">
            <v>61359</v>
          </cell>
          <cell r="Z3212">
            <v>3.2917071243445353E-2</v>
          </cell>
          <cell r="AA3212">
            <v>3.2754377321966288E-2</v>
          </cell>
        </row>
        <row r="3213">
          <cell r="Y3213">
            <v>61366</v>
          </cell>
          <cell r="Z3213">
            <v>3.2921712518319407E-2</v>
          </cell>
          <cell r="AA3213">
            <v>3.275907037388115E-2</v>
          </cell>
        </row>
        <row r="3214">
          <cell r="Y3214">
            <v>61373</v>
          </cell>
          <cell r="Z3214">
            <v>3.2926339818751975E-2</v>
          </cell>
          <cell r="AA3214">
            <v>3.2763749558777366E-2</v>
          </cell>
        </row>
        <row r="3215">
          <cell r="Y3215">
            <v>61380</v>
          </cell>
          <cell r="Z3215">
            <v>3.2930953144694963E-2</v>
          </cell>
          <cell r="AA3215">
            <v>3.27684148764118E-2</v>
          </cell>
        </row>
        <row r="3216">
          <cell r="Y3216">
            <v>61387</v>
          </cell>
          <cell r="Z3216">
            <v>3.2935552496103852E-2</v>
          </cell>
          <cell r="AA3216">
            <v>3.2773066327027589E-2</v>
          </cell>
        </row>
        <row r="3217">
          <cell r="Y3217">
            <v>61394</v>
          </cell>
          <cell r="Z3217">
            <v>3.2938330713517816E-2</v>
          </cell>
          <cell r="AA3217">
            <v>3.2777703910381595E-2</v>
          </cell>
        </row>
        <row r="3218">
          <cell r="Y3218">
            <v>61401</v>
          </cell>
          <cell r="Z3218">
            <v>3.2942902702936157E-2</v>
          </cell>
          <cell r="AA3218">
            <v>3.2782327626798002E-2</v>
          </cell>
        </row>
        <row r="3219">
          <cell r="Y3219">
            <v>61408</v>
          </cell>
          <cell r="Z3219">
            <v>3.294746071887706E-2</v>
          </cell>
          <cell r="AA3219">
            <v>3.2786937476033673E-2</v>
          </cell>
        </row>
        <row r="3220">
          <cell r="Y3220">
            <v>61415</v>
          </cell>
          <cell r="Z3220">
            <v>3.2952004761293702E-2</v>
          </cell>
          <cell r="AA3220">
            <v>3.2791533457926514E-2</v>
          </cell>
        </row>
        <row r="3221">
          <cell r="Y3221">
            <v>61422</v>
          </cell>
          <cell r="Z3221">
            <v>3.2960144488371666E-2</v>
          </cell>
          <cell r="AA3221">
            <v>3.2796115572881757E-2</v>
          </cell>
        </row>
        <row r="3222">
          <cell r="Y3222">
            <v>61429</v>
          </cell>
          <cell r="Z3222">
            <v>3.2964659399387045E-2</v>
          </cell>
          <cell r="AA3222">
            <v>3.2800683820818355E-2</v>
          </cell>
        </row>
        <row r="3223">
          <cell r="Y3223">
            <v>61436</v>
          </cell>
          <cell r="Z3223">
            <v>3.2969160334330727E-2</v>
          </cell>
          <cell r="AA3223">
            <v>3.280523820149317E-2</v>
          </cell>
        </row>
        <row r="3224">
          <cell r="Y3224">
            <v>61443</v>
          </cell>
          <cell r="Z3224">
            <v>3.297364729315249E-2</v>
          </cell>
          <cell r="AA3224">
            <v>3.2809778714906201E-2</v>
          </cell>
        </row>
        <row r="3225">
          <cell r="Y3225">
            <v>61450</v>
          </cell>
          <cell r="Z3225">
            <v>3.2978120275810048E-2</v>
          </cell>
          <cell r="AA3225">
            <v>3.2814305361462681E-2</v>
          </cell>
        </row>
        <row r="3226">
          <cell r="Y3226">
            <v>61457</v>
          </cell>
          <cell r="Z3226">
            <v>3.2980777400243459E-2</v>
          </cell>
          <cell r="AA3226">
            <v>3.2818818140676331E-2</v>
          </cell>
        </row>
        <row r="3227">
          <cell r="Y3227">
            <v>61464</v>
          </cell>
          <cell r="Z3227">
            <v>3.2985223028631515E-2</v>
          </cell>
          <cell r="AA3227">
            <v>3.2823317052709244E-2</v>
          </cell>
        </row>
        <row r="3228">
          <cell r="Y3228">
            <v>61471</v>
          </cell>
          <cell r="Z3228">
            <v>3.29896546819217E-2</v>
          </cell>
          <cell r="AA3228">
            <v>3.2827802097804559E-2</v>
          </cell>
        </row>
        <row r="3229">
          <cell r="Y3229">
            <v>61478</v>
          </cell>
          <cell r="Z3229">
            <v>3.2994072360066816E-2</v>
          </cell>
          <cell r="AA3229">
            <v>3.2832273275719137E-2</v>
          </cell>
        </row>
        <row r="3230">
          <cell r="Y3230">
            <v>61485</v>
          </cell>
          <cell r="Z3230">
            <v>3.3000275544956693E-2</v>
          </cell>
          <cell r="AA3230">
            <v>3.2836730586534024E-2</v>
          </cell>
        </row>
        <row r="3231">
          <cell r="Y3231">
            <v>61492</v>
          </cell>
          <cell r="Z3231">
            <v>3.3004664669632713E-2</v>
          </cell>
          <cell r="AA3231">
            <v>3.2841174030006082E-2</v>
          </cell>
        </row>
        <row r="3232">
          <cell r="Y3232">
            <v>61499</v>
          </cell>
          <cell r="Z3232">
            <v>3.3009039817817713E-2</v>
          </cell>
          <cell r="AA3232">
            <v>3.2845603606621587E-2</v>
          </cell>
        </row>
        <row r="3233">
          <cell r="Y3233">
            <v>61506</v>
          </cell>
          <cell r="Z3233">
            <v>3.3013400989464994E-2</v>
          </cell>
          <cell r="AA3233">
            <v>3.285001931597531E-2</v>
          </cell>
        </row>
        <row r="3234">
          <cell r="Y3234">
            <v>61513</v>
          </cell>
          <cell r="Z3234">
            <v>3.3017748184528753E-2</v>
          </cell>
          <cell r="AA3234">
            <v>3.2854421158229341E-2</v>
          </cell>
        </row>
        <row r="3235">
          <cell r="Y3235">
            <v>61520</v>
          </cell>
          <cell r="Z3235">
            <v>3.3022081402961416E-2</v>
          </cell>
          <cell r="AA3235">
            <v>3.2858809133059497E-2</v>
          </cell>
        </row>
        <row r="3236">
          <cell r="Y3236">
            <v>61527</v>
          </cell>
          <cell r="Z3236">
            <v>3.3026400644722453E-2</v>
          </cell>
          <cell r="AA3236">
            <v>3.2863183241195193E-2</v>
          </cell>
        </row>
        <row r="3237">
          <cell r="Y3237">
            <v>61534</v>
          </cell>
          <cell r="Z3237">
            <v>3.3030705909762544E-2</v>
          </cell>
          <cell r="AA3237">
            <v>3.2867543481907013E-2</v>
          </cell>
        </row>
        <row r="3238">
          <cell r="Y3238">
            <v>61541</v>
          </cell>
          <cell r="Z3238">
            <v>3.3034997198038513E-2</v>
          </cell>
          <cell r="AA3238">
            <v>3.2871889855438097E-2</v>
          </cell>
        </row>
        <row r="3239">
          <cell r="Y3239">
            <v>61548</v>
          </cell>
          <cell r="Z3239">
            <v>3.3039274509503676E-2</v>
          </cell>
          <cell r="AA3239">
            <v>3.2876222362031582E-2</v>
          </cell>
        </row>
        <row r="3240">
          <cell r="Y3240">
            <v>61555</v>
          </cell>
          <cell r="Z3240">
            <v>3.3043537844114859E-2</v>
          </cell>
          <cell r="AA3240">
            <v>3.2880541001525376E-2</v>
          </cell>
        </row>
        <row r="3241">
          <cell r="Y3241">
            <v>61562</v>
          </cell>
          <cell r="Z3241">
            <v>3.3047787201827147E-2</v>
          </cell>
          <cell r="AA3241">
            <v>3.2884845773757387E-2</v>
          </cell>
        </row>
        <row r="3242">
          <cell r="Y3242">
            <v>61569</v>
          </cell>
          <cell r="Z3242">
            <v>3.3052022582593842E-2</v>
          </cell>
          <cell r="AA3242">
            <v>3.2889136678808661E-2</v>
          </cell>
        </row>
        <row r="3243">
          <cell r="Y3243">
            <v>61576</v>
          </cell>
          <cell r="Z3243">
            <v>3.3056243986372663E-2</v>
          </cell>
          <cell r="AA3243">
            <v>3.2893413716760245E-2</v>
          </cell>
        </row>
        <row r="3244">
          <cell r="Y3244">
            <v>61583</v>
          </cell>
          <cell r="Z3244">
            <v>3.3060451413119564E-2</v>
          </cell>
          <cell r="AA3244">
            <v>3.2897676887612137E-2</v>
          </cell>
        </row>
        <row r="3245">
          <cell r="Y3245">
            <v>61590</v>
          </cell>
          <cell r="Z3245">
            <v>3.3064644862790489E-2</v>
          </cell>
          <cell r="AA3245">
            <v>3.2901926191283293E-2</v>
          </cell>
        </row>
        <row r="3246">
          <cell r="Y3246">
            <v>61597</v>
          </cell>
          <cell r="Z3246">
            <v>3.3068824335337872E-2</v>
          </cell>
          <cell r="AA3246">
            <v>3.2906161627692665E-2</v>
          </cell>
        </row>
        <row r="3247">
          <cell r="Y3247">
            <v>61604</v>
          </cell>
          <cell r="Z3247">
            <v>3.3072989830722953E-2</v>
          </cell>
          <cell r="AA3247">
            <v>3.2910383197164439E-2</v>
          </cell>
        </row>
        <row r="3248">
          <cell r="Y3248">
            <v>61611</v>
          </cell>
          <cell r="Z3248">
            <v>3.3075352907146548E-2</v>
          </cell>
          <cell r="AA3248">
            <v>3.291459089937443E-2</v>
          </cell>
        </row>
        <row r="3249">
          <cell r="Y3249">
            <v>61618</v>
          </cell>
          <cell r="Z3249">
            <v>3.3079491072955935E-2</v>
          </cell>
          <cell r="AA3249">
            <v>3.2918784734403683E-2</v>
          </cell>
        </row>
        <row r="3250">
          <cell r="Y3250">
            <v>61625</v>
          </cell>
          <cell r="Z3250">
            <v>3.3083615262691338E-2</v>
          </cell>
          <cell r="AA3250">
            <v>3.2922964702414292E-2</v>
          </cell>
        </row>
        <row r="3251">
          <cell r="Y3251">
            <v>61632</v>
          </cell>
          <cell r="Z3251">
            <v>3.3089512039744355E-2</v>
          </cell>
          <cell r="AA3251">
            <v>3.2927130803325211E-2</v>
          </cell>
        </row>
        <row r="3252">
          <cell r="Y3252">
            <v>61639</v>
          </cell>
          <cell r="Z3252">
            <v>3.3093607648655467E-2</v>
          </cell>
          <cell r="AA3252">
            <v>3.2931283036974346E-2</v>
          </cell>
        </row>
        <row r="3253">
          <cell r="Y3253">
            <v>61646</v>
          </cell>
          <cell r="Z3253">
            <v>3.3097689280139113E-2</v>
          </cell>
          <cell r="AA3253">
            <v>3.2935421403361698E-2</v>
          </cell>
        </row>
        <row r="3254">
          <cell r="Y3254">
            <v>61653</v>
          </cell>
          <cell r="Z3254">
            <v>3.3101756934158288E-2</v>
          </cell>
          <cell r="AA3254">
            <v>3.2939545902811451E-2</v>
          </cell>
        </row>
        <row r="3255">
          <cell r="Y3255">
            <v>61660</v>
          </cell>
          <cell r="Z3255">
            <v>3.3105810610667197E-2</v>
          </cell>
          <cell r="AA3255">
            <v>3.2943656535080468E-2</v>
          </cell>
        </row>
        <row r="3256">
          <cell r="Y3256">
            <v>61667</v>
          </cell>
          <cell r="Z3256">
            <v>3.3109850309624433E-2</v>
          </cell>
          <cell r="AA3256">
            <v>3.2947753300087701E-2</v>
          </cell>
        </row>
        <row r="3257">
          <cell r="Y3257">
            <v>61674</v>
          </cell>
          <cell r="Z3257">
            <v>3.3113876030985055E-2</v>
          </cell>
          <cell r="AA3257">
            <v>3.295183619807629E-2</v>
          </cell>
        </row>
        <row r="3258">
          <cell r="Y3258">
            <v>61681</v>
          </cell>
          <cell r="Z3258">
            <v>3.3117887774709441E-2</v>
          </cell>
          <cell r="AA3258">
            <v>3.2955905228803095E-2</v>
          </cell>
        </row>
        <row r="3259">
          <cell r="Y3259">
            <v>61688</v>
          </cell>
          <cell r="Z3259">
            <v>3.3121885540756173E-2</v>
          </cell>
          <cell r="AA3259">
            <v>3.2959960392511256E-2</v>
          </cell>
        </row>
        <row r="3260">
          <cell r="Y3260">
            <v>61695</v>
          </cell>
          <cell r="Z3260">
            <v>3.3125869329082083E-2</v>
          </cell>
          <cell r="AA3260">
            <v>3.2964001688957634E-2</v>
          </cell>
        </row>
        <row r="3261">
          <cell r="Y3261">
            <v>61702</v>
          </cell>
          <cell r="Z3261">
            <v>3.3126278739597725E-2</v>
          </cell>
          <cell r="AA3261">
            <v>3.2968029118304321E-2</v>
          </cell>
        </row>
        <row r="3262">
          <cell r="Y3262">
            <v>61709</v>
          </cell>
          <cell r="Z3262">
            <v>3.3130235853731503E-2</v>
          </cell>
          <cell r="AA3262">
            <v>3.2972042680551317E-2</v>
          </cell>
        </row>
        <row r="3263">
          <cell r="Y3263">
            <v>61716</v>
          </cell>
          <cell r="Z3263">
            <v>3.3134178992467941E-2</v>
          </cell>
          <cell r="AA3263">
            <v>3.297604237553653E-2</v>
          </cell>
        </row>
        <row r="3264">
          <cell r="Y3264">
            <v>61724</v>
          </cell>
          <cell r="Z3264">
            <v>3.3138668323954269E-2</v>
          </cell>
          <cell r="AA3264">
            <v>3.2980596475467028E-2</v>
          </cell>
        </row>
        <row r="3265">
          <cell r="Y3265">
            <v>61731</v>
          </cell>
          <cell r="Z3265">
            <v>3.3142581515274092E-2</v>
          </cell>
          <cell r="AA3265">
            <v>3.2984566454995479E-2</v>
          </cell>
        </row>
        <row r="3266">
          <cell r="Y3266">
            <v>61738</v>
          </cell>
          <cell r="Z3266">
            <v>3.3146480731069607E-2</v>
          </cell>
          <cell r="AA3266">
            <v>3.2988522567748424E-2</v>
          </cell>
        </row>
        <row r="3267">
          <cell r="Y3267">
            <v>61745</v>
          </cell>
          <cell r="Z3267">
            <v>3.3150365971300291E-2</v>
          </cell>
          <cell r="AA3267">
            <v>3.2992464813077493E-2</v>
          </cell>
        </row>
        <row r="3268">
          <cell r="Y3268">
            <v>61752</v>
          </cell>
          <cell r="Z3268">
            <v>3.3154237235927426E-2</v>
          </cell>
          <cell r="AA3268">
            <v>3.2996393191387918E-2</v>
          </cell>
        </row>
        <row r="3269">
          <cell r="Y3269">
            <v>61759</v>
          </cell>
          <cell r="Z3269">
            <v>3.3156319644966008E-2</v>
          </cell>
          <cell r="AA3269">
            <v>3.3000307702355514E-2</v>
          </cell>
        </row>
        <row r="3270">
          <cell r="Y3270">
            <v>61766</v>
          </cell>
          <cell r="Z3270">
            <v>3.3160163608719484E-2</v>
          </cell>
          <cell r="AA3270">
            <v>3.3004208346466557E-2</v>
          </cell>
        </row>
        <row r="3271">
          <cell r="Y3271">
            <v>61773</v>
          </cell>
          <cell r="Z3271">
            <v>3.3163993597975117E-2</v>
          </cell>
          <cell r="AA3271">
            <v>3.3008095123234771E-2</v>
          </cell>
        </row>
        <row r="3272">
          <cell r="Y3272">
            <v>61780</v>
          </cell>
          <cell r="Z3272">
            <v>3.3167809612696476E-2</v>
          </cell>
          <cell r="AA3272">
            <v>3.3011968032822248E-2</v>
          </cell>
        </row>
        <row r="3273">
          <cell r="Y3273">
            <v>61787</v>
          </cell>
          <cell r="Z3273">
            <v>3.3176928598288309E-2</v>
          </cell>
          <cell r="AA3273">
            <v>3.3015827075310034E-2</v>
          </cell>
        </row>
        <row r="3274">
          <cell r="Y3274">
            <v>61794</v>
          </cell>
          <cell r="Z3274">
            <v>3.3180714697299836E-2</v>
          </cell>
          <cell r="AA3274">
            <v>3.3019672250698129E-2</v>
          </cell>
        </row>
        <row r="3275">
          <cell r="Y3275">
            <v>61801</v>
          </cell>
          <cell r="Z3275">
            <v>3.3184486817976533E-2</v>
          </cell>
          <cell r="AA3275">
            <v>3.3023503558905487E-2</v>
          </cell>
        </row>
        <row r="3276">
          <cell r="Y3276">
            <v>61808</v>
          </cell>
          <cell r="Z3276">
            <v>3.3188244960274352E-2</v>
          </cell>
          <cell r="AA3276">
            <v>3.3027320999770016E-2</v>
          </cell>
        </row>
        <row r="3277">
          <cell r="Y3277">
            <v>61815</v>
          </cell>
          <cell r="Z3277">
            <v>3.3191989124157176E-2</v>
          </cell>
          <cell r="AA3277">
            <v>3.3031124573777992E-2</v>
          </cell>
        </row>
        <row r="3278">
          <cell r="Y3278">
            <v>61822</v>
          </cell>
          <cell r="Z3278">
            <v>3.3193950240624839E-2</v>
          </cell>
          <cell r="AA3278">
            <v>3.3034914280524186E-2</v>
          </cell>
        </row>
        <row r="3279">
          <cell r="Y3279">
            <v>61829</v>
          </cell>
          <cell r="Z3279">
            <v>3.3197667109356913E-2</v>
          </cell>
          <cell r="AA3279">
            <v>3.3045748155887678E-2</v>
          </cell>
        </row>
        <row r="3280">
          <cell r="Y3280">
            <v>61836</v>
          </cell>
          <cell r="Z3280">
            <v>3.3201370000790403E-2</v>
          </cell>
          <cell r="AA3280">
            <v>3.3042452092312269E-2</v>
          </cell>
        </row>
        <row r="3281">
          <cell r="Y3281">
            <v>61843</v>
          </cell>
          <cell r="Z3281">
            <v>3.3205058914883442E-2</v>
          </cell>
          <cell r="AA3281">
            <v>3.3046200197678344E-2</v>
          </cell>
        </row>
        <row r="3282">
          <cell r="Y3282">
            <v>61850</v>
          </cell>
          <cell r="Z3282">
            <v>3.3210500265951841E-2</v>
          </cell>
          <cell r="AA3282">
            <v>3.3049934435782635E-2</v>
          </cell>
        </row>
        <row r="3283">
          <cell r="Y3283">
            <v>61857</v>
          </cell>
          <cell r="Z3283">
            <v>3.3214160558514845E-2</v>
          </cell>
          <cell r="AA3283">
            <v>3.3053654806544097E-2</v>
          </cell>
        </row>
        <row r="3284">
          <cell r="Y3284">
            <v>61864</v>
          </cell>
          <cell r="Z3284">
            <v>3.3217806872389767E-2</v>
          </cell>
          <cell r="AA3284">
            <v>3.3057361310367961E-2</v>
          </cell>
        </row>
        <row r="3285">
          <cell r="Y3285">
            <v>61871</v>
          </cell>
          <cell r="Z3285">
            <v>3.3221439207538721E-2</v>
          </cell>
          <cell r="AA3285">
            <v>3.3061053947011088E-2</v>
          </cell>
        </row>
        <row r="3286">
          <cell r="Y3286">
            <v>61878</v>
          </cell>
          <cell r="Z3286">
            <v>3.3225057563924708E-2</v>
          </cell>
          <cell r="AA3286">
            <v>3.3064732716473477E-2</v>
          </cell>
        </row>
        <row r="3287">
          <cell r="Y3287">
            <v>61885</v>
          </cell>
          <cell r="Z3287">
            <v>3.322866194150545E-2</v>
          </cell>
          <cell r="AA3287">
            <v>3.3068397618674084E-2</v>
          </cell>
        </row>
        <row r="3288">
          <cell r="Y3288">
            <v>61892</v>
          </cell>
          <cell r="Z3288">
            <v>3.3232252340247459E-2</v>
          </cell>
          <cell r="AA3288">
            <v>3.3072048653856045E-2</v>
          </cell>
        </row>
        <row r="3289">
          <cell r="Y3289">
            <v>61899</v>
          </cell>
          <cell r="Z3289">
            <v>3.323582876011022E-2</v>
          </cell>
          <cell r="AA3289">
            <v>3.3075685821776224E-2</v>
          </cell>
        </row>
        <row r="3290">
          <cell r="Y3290">
            <v>61906</v>
          </cell>
          <cell r="Z3290">
            <v>3.3239391201059378E-2</v>
          </cell>
          <cell r="AA3290">
            <v>3.3079309122515665E-2</v>
          </cell>
        </row>
        <row r="3291">
          <cell r="Y3291">
            <v>61913</v>
          </cell>
          <cell r="Z3291">
            <v>3.3242939663055283E-2</v>
          </cell>
          <cell r="AA3291">
            <v>3.3082918556155416E-2</v>
          </cell>
        </row>
        <row r="3292">
          <cell r="Y3292">
            <v>61920</v>
          </cell>
          <cell r="Z3292">
            <v>3.324647414606182E-2</v>
          </cell>
          <cell r="AA3292">
            <v>3.3086514122776522E-2</v>
          </cell>
        </row>
        <row r="3293">
          <cell r="Y3293">
            <v>61927</v>
          </cell>
          <cell r="Z3293">
            <v>3.324999465004199E-2</v>
          </cell>
          <cell r="AA3293">
            <v>3.3090095822054799E-2</v>
          </cell>
        </row>
        <row r="3294">
          <cell r="Y3294">
            <v>61934</v>
          </cell>
          <cell r="Z3294">
            <v>3.3253501174955277E-2</v>
          </cell>
          <cell r="AA3294">
            <v>3.3093663654071293E-2</v>
          </cell>
        </row>
        <row r="3295">
          <cell r="Y3295">
            <v>61941</v>
          </cell>
          <cell r="Z3295">
            <v>3.3256993720769956E-2</v>
          </cell>
          <cell r="AA3295">
            <v>3.3097217619150188E-2</v>
          </cell>
        </row>
        <row r="3296">
          <cell r="Y3296">
            <v>61948</v>
          </cell>
          <cell r="Z3296">
            <v>3.3260472287446385E-2</v>
          </cell>
          <cell r="AA3296">
            <v>3.3100757717048346E-2</v>
          </cell>
        </row>
        <row r="3297">
          <cell r="Y3297">
            <v>61955</v>
          </cell>
          <cell r="Z3297">
            <v>3.326393687495198E-2</v>
          </cell>
          <cell r="AA3297">
            <v>3.3104283947603674E-2</v>
          </cell>
        </row>
        <row r="3298">
          <cell r="Y3298">
            <v>61962</v>
          </cell>
          <cell r="Z3298">
            <v>3.3267387483242691E-2</v>
          </cell>
          <cell r="AA3298">
            <v>3.3107796310978266E-2</v>
          </cell>
        </row>
        <row r="3299">
          <cell r="Y3299">
            <v>61969</v>
          </cell>
          <cell r="Z3299">
            <v>3.3270824112289439E-2</v>
          </cell>
          <cell r="AA3299">
            <v>3.3111294807415259E-2</v>
          </cell>
        </row>
        <row r="3300">
          <cell r="Y3300">
            <v>61976</v>
          </cell>
          <cell r="Z3300">
            <v>3.3272492537869444E-2</v>
          </cell>
          <cell r="AA3300">
            <v>3.3114779436509423E-2</v>
          </cell>
        </row>
        <row r="3301">
          <cell r="Y3301">
            <v>61983</v>
          </cell>
          <cell r="Z3301">
            <v>3.3275901897304568E-2</v>
          </cell>
          <cell r="AA3301">
            <v>3.3118250198422849E-2</v>
          </cell>
        </row>
        <row r="3302">
          <cell r="Y3302">
            <v>61990</v>
          </cell>
          <cell r="Z3302">
            <v>3.3279297278627079E-2</v>
          </cell>
          <cell r="AA3302">
            <v>3.3121707093155539E-2</v>
          </cell>
        </row>
        <row r="3303">
          <cell r="Y3303">
            <v>61997</v>
          </cell>
          <cell r="Z3303">
            <v>3.3284430835297744E-2</v>
          </cell>
          <cell r="AA3303">
            <v>3.3125150121031677E-2</v>
          </cell>
        </row>
        <row r="3304">
          <cell r="Y3304">
            <v>62004</v>
          </cell>
          <cell r="Z3304">
            <v>3.3287797567576757E-2</v>
          </cell>
          <cell r="AA3304">
            <v>3.3128579281483939E-2</v>
          </cell>
        </row>
        <row r="3305">
          <cell r="Y3305">
            <v>62011</v>
          </cell>
          <cell r="Z3305">
            <v>3.3291150320394224E-2</v>
          </cell>
          <cell r="AA3305">
            <v>3.3131994574674417E-2</v>
          </cell>
        </row>
        <row r="3306">
          <cell r="Y3306">
            <v>62018</v>
          </cell>
          <cell r="Z3306">
            <v>3.3294489093715782E-2</v>
          </cell>
          <cell r="AA3306">
            <v>3.3135396000927297E-2</v>
          </cell>
        </row>
        <row r="3307">
          <cell r="Y3307">
            <v>62025</v>
          </cell>
          <cell r="Z3307">
            <v>3.3297813887507959E-2</v>
          </cell>
          <cell r="AA3307">
            <v>3.3138783559918394E-2</v>
          </cell>
        </row>
        <row r="3308">
          <cell r="Y3308">
            <v>62032</v>
          </cell>
          <cell r="Z3308">
            <v>3.3301124701735518E-2</v>
          </cell>
          <cell r="AA3308">
            <v>3.3142157251647708E-2</v>
          </cell>
        </row>
        <row r="3309">
          <cell r="Y3309">
            <v>62039</v>
          </cell>
          <cell r="Z3309">
            <v>3.3304421536362337E-2</v>
          </cell>
          <cell r="AA3309">
            <v>3.3145517076196285E-2</v>
          </cell>
        </row>
        <row r="3310">
          <cell r="Y3310">
            <v>62046</v>
          </cell>
          <cell r="Z3310">
            <v>3.3307704391355823E-2</v>
          </cell>
          <cell r="AA3310">
            <v>3.3148863033888309E-2</v>
          </cell>
        </row>
        <row r="3311">
          <cell r="Y3311">
            <v>62053</v>
          </cell>
          <cell r="Z3311">
            <v>3.3310973266679859E-2</v>
          </cell>
          <cell r="AA3311">
            <v>3.3152195123994366E-2</v>
          </cell>
        </row>
        <row r="3312">
          <cell r="Y3312">
            <v>62060</v>
          </cell>
          <cell r="Z3312">
            <v>3.331422816229921E-2</v>
          </cell>
          <cell r="AA3312">
            <v>3.3155513347081778E-2</v>
          </cell>
        </row>
        <row r="3313">
          <cell r="Y3313">
            <v>62067</v>
          </cell>
          <cell r="Z3313">
            <v>3.3313978775680431E-2</v>
          </cell>
          <cell r="AA3313">
            <v>3.3158817703231591E-2</v>
          </cell>
        </row>
        <row r="3314">
          <cell r="Y3314">
            <v>62074</v>
          </cell>
          <cell r="Z3314">
            <v>3.3317207121922925E-2</v>
          </cell>
          <cell r="AA3314">
            <v>3.3162108191957529E-2</v>
          </cell>
        </row>
        <row r="3315">
          <cell r="Y3315">
            <v>62081</v>
          </cell>
          <cell r="Z3315">
            <v>3.3320421490850891E-2</v>
          </cell>
          <cell r="AA3315">
            <v>3.3165384813583776E-2</v>
          </cell>
        </row>
        <row r="3316">
          <cell r="Y3316">
            <v>62089</v>
          </cell>
          <cell r="Z3316">
            <v>3.332407794021798E-2</v>
          </cell>
          <cell r="AA3316">
            <v>3.3172591537212748E-2</v>
          </cell>
        </row>
        <row r="3317">
          <cell r="Y3317">
            <v>62096</v>
          </cell>
          <cell r="Z3317">
            <v>3.3327262357645493E-2</v>
          </cell>
          <cell r="AA3317">
            <v>3.317583705219581E-2</v>
          </cell>
        </row>
        <row r="3318">
          <cell r="Y3318">
            <v>62103</v>
          </cell>
          <cell r="Z3318">
            <v>3.3330432797653117E-2</v>
          </cell>
          <cell r="AA3318">
            <v>3.3179068697620773E-2</v>
          </cell>
        </row>
        <row r="3319">
          <cell r="Y3319">
            <v>62110</v>
          </cell>
          <cell r="Z3319">
            <v>3.3333589260212043E-2</v>
          </cell>
          <cell r="AA3319">
            <v>3.3182286473433617E-2</v>
          </cell>
        </row>
        <row r="3320">
          <cell r="Y3320">
            <v>62117</v>
          </cell>
          <cell r="Z3320">
            <v>3.3336731745286237E-2</v>
          </cell>
          <cell r="AA3320">
            <v>3.3185490379553283E-2</v>
          </cell>
        </row>
        <row r="3321">
          <cell r="Y3321">
            <v>62124</v>
          </cell>
          <cell r="Z3321">
            <v>3.333812093492497E-2</v>
          </cell>
          <cell r="AA3321">
            <v>3.318868041603381E-2</v>
          </cell>
        </row>
        <row r="3322">
          <cell r="Y3322">
            <v>62131</v>
          </cell>
          <cell r="Z3322">
            <v>3.3341236179921505E-2</v>
          </cell>
          <cell r="AA3322">
            <v>3.3191856582875198E-2</v>
          </cell>
        </row>
        <row r="3323">
          <cell r="Y3323">
            <v>62138</v>
          </cell>
          <cell r="Z3323">
            <v>3.3344337448587086E-2</v>
          </cell>
          <cell r="AA3323">
            <v>3.3195018880104454E-2</v>
          </cell>
        </row>
        <row r="3324">
          <cell r="Y3324">
            <v>62145</v>
          </cell>
          <cell r="Z3324">
            <v>3.3347424740886193E-2</v>
          </cell>
          <cell r="AA3324">
            <v>3.3198167307613533E-2</v>
          </cell>
        </row>
        <row r="3325">
          <cell r="Y3325">
            <v>62152</v>
          </cell>
          <cell r="Z3325">
            <v>3.335397099441121E-2</v>
          </cell>
          <cell r="AA3325">
            <v>3.3201301865537491E-2</v>
          </cell>
        </row>
        <row r="3326">
          <cell r="Y3326">
            <v>62159</v>
          </cell>
          <cell r="Z3326">
            <v>3.336223641349504E-2</v>
          </cell>
          <cell r="AA3326">
            <v>3.3204422553849332E-2</v>
          </cell>
        </row>
        <row r="3327">
          <cell r="Y3327">
            <v>62166</v>
          </cell>
          <cell r="Z3327">
            <v>3.3365278168854699E-2</v>
          </cell>
          <cell r="AA3327">
            <v>3.3207529372495014E-2</v>
          </cell>
        </row>
        <row r="3328">
          <cell r="Y3328">
            <v>62173</v>
          </cell>
          <cell r="Z3328">
            <v>3.3368305941477147E-2</v>
          </cell>
          <cell r="AA3328">
            <v>3.3210622321474537E-2</v>
          </cell>
        </row>
        <row r="3329">
          <cell r="Y3329">
            <v>62184</v>
          </cell>
          <cell r="Z3329">
            <v>3.3367835848834987E-2</v>
          </cell>
          <cell r="AA3329">
            <v>3.3211994745010465E-2</v>
          </cell>
        </row>
        <row r="3330">
          <cell r="Y3330">
            <v>62191</v>
          </cell>
          <cell r="Z3330">
            <v>3.3370829844156395E-2</v>
          </cell>
          <cell r="AA3330">
            <v>3.3215053453773402E-2</v>
          </cell>
        </row>
        <row r="3331">
          <cell r="Y3331">
            <v>62198</v>
          </cell>
          <cell r="Z3331">
            <v>3.3373809860381062E-2</v>
          </cell>
          <cell r="AA3331">
            <v>3.3218098295598741E-2</v>
          </cell>
        </row>
        <row r="3332">
          <cell r="Y3332">
            <v>62205</v>
          </cell>
          <cell r="Z3332">
            <v>3.337677589747514E-2</v>
          </cell>
          <cell r="AA3332">
            <v>3.3221129270081251E-2</v>
          </cell>
        </row>
        <row r="3333">
          <cell r="Y3333">
            <v>62212</v>
          </cell>
          <cell r="Z3333">
            <v>3.3379727955411019E-2</v>
          </cell>
          <cell r="AA3333">
            <v>3.3224146377301977E-2</v>
          </cell>
        </row>
        <row r="3334">
          <cell r="Y3334">
            <v>62219</v>
          </cell>
          <cell r="Z3334">
            <v>3.338439561247402E-2</v>
          </cell>
          <cell r="AA3334">
            <v>3.3227149617423013E-2</v>
          </cell>
        </row>
        <row r="3335">
          <cell r="Y3335">
            <v>62226</v>
          </cell>
          <cell r="Z3335">
            <v>3.3387318979742835E-2</v>
          </cell>
          <cell r="AA3335">
            <v>3.323013899060645E-2</v>
          </cell>
        </row>
        <row r="3336">
          <cell r="Y3336">
            <v>62233</v>
          </cell>
          <cell r="Z3336">
            <v>3.3390228366509712E-2</v>
          </cell>
          <cell r="AA3336">
            <v>3.3233114496284966E-2</v>
          </cell>
        </row>
        <row r="3337">
          <cell r="Y3337">
            <v>62240</v>
          </cell>
          <cell r="Z3337">
            <v>3.3393123772739411E-2</v>
          </cell>
          <cell r="AA3337">
            <v>3.323607613486379E-2</v>
          </cell>
        </row>
        <row r="3338">
          <cell r="Y3338">
            <v>62247</v>
          </cell>
          <cell r="Z3338">
            <v>3.3396005198408157E-2</v>
          </cell>
          <cell r="AA3338">
            <v>3.323902390642397E-2</v>
          </cell>
        </row>
        <row r="3339">
          <cell r="Y3339">
            <v>62254</v>
          </cell>
          <cell r="Z3339">
            <v>3.3398872643479821E-2</v>
          </cell>
          <cell r="AA3339">
            <v>3.324195781064132E-2</v>
          </cell>
        </row>
        <row r="3340">
          <cell r="Y3340">
            <v>62261</v>
          </cell>
          <cell r="Z3340">
            <v>3.3401726107927979E-2</v>
          </cell>
          <cell r="AA3340">
            <v>3.3244877847677934E-2</v>
          </cell>
        </row>
        <row r="3341">
          <cell r="Y3341">
            <v>62268</v>
          </cell>
          <cell r="Z3341">
            <v>3.340456559171915E-2</v>
          </cell>
          <cell r="AA3341">
            <v>3.3247784017614856E-2</v>
          </cell>
        </row>
        <row r="3342">
          <cell r="Y3342">
            <v>62275</v>
          </cell>
          <cell r="Z3342">
            <v>3.34073910948278E-2</v>
          </cell>
          <cell r="AA3342">
            <v>3.3250676320289996E-2</v>
          </cell>
        </row>
        <row r="3343">
          <cell r="Y3343">
            <v>62282</v>
          </cell>
          <cell r="Z3343">
            <v>3.3410202617222197E-2</v>
          </cell>
          <cell r="AA3343">
            <v>3.3253554755784398E-2</v>
          </cell>
        </row>
        <row r="3344">
          <cell r="Y3344">
            <v>62289</v>
          </cell>
          <cell r="Z3344">
            <v>3.3413000158873288E-2</v>
          </cell>
          <cell r="AA3344">
            <v>3.3256419324098063E-2</v>
          </cell>
        </row>
        <row r="3345">
          <cell r="Y3345">
            <v>62296</v>
          </cell>
          <cell r="Z3345">
            <v>3.3415783719750229E-2</v>
          </cell>
          <cell r="AA3345">
            <v>3.3259270025230991E-2</v>
          </cell>
        </row>
        <row r="3346">
          <cell r="Y3346">
            <v>62303</v>
          </cell>
          <cell r="Z3346">
            <v>3.3418553299824828E-2</v>
          </cell>
          <cell r="AA3346">
            <v>3.3262106859264229E-2</v>
          </cell>
        </row>
        <row r="3347">
          <cell r="Y3347">
            <v>62310</v>
          </cell>
          <cell r="Z3347">
            <v>3.3421308899070669E-2</v>
          </cell>
          <cell r="AA3347">
            <v>3.3264929826116729E-2</v>
          </cell>
        </row>
        <row r="3348">
          <cell r="Y3348">
            <v>62317</v>
          </cell>
          <cell r="Z3348">
            <v>3.3424050517454264E-2</v>
          </cell>
          <cell r="AA3348">
            <v>3.3267738925545354E-2</v>
          </cell>
        </row>
        <row r="3349">
          <cell r="Y3349">
            <v>62324</v>
          </cell>
          <cell r="Z3349">
            <v>3.3426778154950078E-2</v>
          </cell>
          <cell r="AA3349">
            <v>3.327053415803638E-2</v>
          </cell>
        </row>
        <row r="3350">
          <cell r="Y3350">
            <v>62331</v>
          </cell>
          <cell r="Z3350">
            <v>3.3429491811528142E-2</v>
          </cell>
          <cell r="AA3350">
            <v>3.3273315523265623E-2</v>
          </cell>
        </row>
        <row r="3351">
          <cell r="Y3351">
            <v>62338</v>
          </cell>
          <cell r="Z3351">
            <v>3.343047452772302E-2</v>
          </cell>
          <cell r="AA3351">
            <v>3.3276083021476222E-2</v>
          </cell>
        </row>
        <row r="3352">
          <cell r="Y3352">
            <v>62345</v>
          </cell>
          <cell r="Z3352">
            <v>3.3433160975969226E-2</v>
          </cell>
          <cell r="AA3352">
            <v>3.3278836652181898E-2</v>
          </cell>
        </row>
        <row r="3353">
          <cell r="Y3353">
            <v>62352</v>
          </cell>
          <cell r="Z3353">
            <v>3.3435833444473873E-2</v>
          </cell>
          <cell r="AA3353">
            <v>3.3281576415949976E-2</v>
          </cell>
        </row>
        <row r="3354">
          <cell r="Y3354">
            <v>62359</v>
          </cell>
          <cell r="Z3354">
            <v>3.343849193320491E-2</v>
          </cell>
          <cell r="AA3354">
            <v>3.3284302312375225E-2</v>
          </cell>
        </row>
        <row r="3355">
          <cell r="Y3355">
            <v>62366</v>
          </cell>
          <cell r="Z3355">
            <v>3.3442850379668383E-2</v>
          </cell>
          <cell r="AA3355">
            <v>3.3287014341619736E-2</v>
          </cell>
        </row>
        <row r="3356">
          <cell r="Y3356">
            <v>62373</v>
          </cell>
          <cell r="Z3356">
            <v>3.3445480150150662E-2</v>
          </cell>
          <cell r="AA3356">
            <v>3.3289712503845603E-2</v>
          </cell>
        </row>
        <row r="3357">
          <cell r="Y3357">
            <v>62380</v>
          </cell>
          <cell r="Z3357">
            <v>3.344809593951964E-2</v>
          </cell>
          <cell r="AA3357">
            <v>3.3292396798809687E-2</v>
          </cell>
        </row>
        <row r="3358">
          <cell r="Y3358">
            <v>62387</v>
          </cell>
          <cell r="Z3358">
            <v>3.3450697747747997E-2</v>
          </cell>
          <cell r="AA3358">
            <v>3.3295067226593034E-2</v>
          </cell>
        </row>
        <row r="3359">
          <cell r="Y3359">
            <v>62394</v>
          </cell>
          <cell r="Z3359">
            <v>3.3453285574806667E-2</v>
          </cell>
          <cell r="AA3359">
            <v>3.3297723787033551E-2</v>
          </cell>
        </row>
        <row r="3360">
          <cell r="Y3360">
            <v>62401</v>
          </cell>
          <cell r="Z3360">
            <v>3.3455859420670982E-2</v>
          </cell>
          <cell r="AA3360">
            <v>3.3300366480455423E-2</v>
          </cell>
        </row>
        <row r="3361">
          <cell r="Y3361">
            <v>62408</v>
          </cell>
          <cell r="Z3361">
            <v>3.3458419285312749E-2</v>
          </cell>
          <cell r="AA3361">
            <v>3.3302995306696559E-2</v>
          </cell>
        </row>
        <row r="3362">
          <cell r="Y3362">
            <v>62415</v>
          </cell>
          <cell r="Z3362">
            <v>3.3460965168705545E-2</v>
          </cell>
          <cell r="AA3362">
            <v>3.3305610265675911E-2</v>
          </cell>
        </row>
        <row r="3363">
          <cell r="Y3363">
            <v>62422</v>
          </cell>
          <cell r="Z3363">
            <v>3.3463497070822946E-2</v>
          </cell>
          <cell r="AA3363">
            <v>3.330821135739348E-2</v>
          </cell>
        </row>
        <row r="3364">
          <cell r="Y3364">
            <v>62429</v>
          </cell>
          <cell r="Z3364">
            <v>3.3462600892902934E-2</v>
          </cell>
          <cell r="AA3364">
            <v>3.3310798582092405E-2</v>
          </cell>
        </row>
        <row r="3365">
          <cell r="Y3365">
            <v>62436</v>
          </cell>
          <cell r="Z3365">
            <v>3.3465106372155509E-2</v>
          </cell>
          <cell r="AA3365">
            <v>3.3313371939610592E-2</v>
          </cell>
        </row>
        <row r="3366">
          <cell r="Y3366">
            <v>62443</v>
          </cell>
          <cell r="Z3366">
            <v>3.3467597872575292E-2</v>
          </cell>
          <cell r="AA3366">
            <v>3.331593142978595E-2</v>
          </cell>
        </row>
        <row r="3367">
          <cell r="Y3367">
            <v>62450</v>
          </cell>
          <cell r="Z3367">
            <v>3.347007539413796E-2</v>
          </cell>
          <cell r="AA3367">
            <v>3.3318477052942663E-2</v>
          </cell>
        </row>
        <row r="3368">
          <cell r="Y3368">
            <v>62457</v>
          </cell>
          <cell r="Z3368">
            <v>3.3472538936817404E-2</v>
          </cell>
          <cell r="AA3368">
            <v>3.3321008808756547E-2</v>
          </cell>
        </row>
        <row r="3369">
          <cell r="Y3369">
            <v>62464</v>
          </cell>
          <cell r="Z3369">
            <v>3.3474988500588415E-2</v>
          </cell>
          <cell r="AA3369">
            <v>3.3323526697389694E-2</v>
          </cell>
        </row>
        <row r="3370">
          <cell r="Y3370">
            <v>62471</v>
          </cell>
          <cell r="Z3370">
            <v>3.3477424085425769E-2</v>
          </cell>
          <cell r="AA3370">
            <v>3.3326030718842103E-2</v>
          </cell>
        </row>
        <row r="3371">
          <cell r="Y3371">
            <v>62478</v>
          </cell>
          <cell r="Z3371">
            <v>3.3481547310327542E-2</v>
          </cell>
          <cell r="AA3371">
            <v>3.3328520873194822E-2</v>
          </cell>
        </row>
        <row r="3372">
          <cell r="Y3372">
            <v>62485</v>
          </cell>
          <cell r="Z3372">
            <v>3.3482253318200469E-2</v>
          </cell>
          <cell r="AA3372">
            <v>3.3330997160366804E-2</v>
          </cell>
        </row>
        <row r="3373">
          <cell r="Y3373">
            <v>62492</v>
          </cell>
          <cell r="Z3373">
            <v>3.3486347026570343E-2</v>
          </cell>
          <cell r="AA3373">
            <v>3.3333459580277003E-2</v>
          </cell>
        </row>
        <row r="3374">
          <cell r="Y3374">
            <v>62499</v>
          </cell>
          <cell r="Z3374">
            <v>3.3487026634944281E-2</v>
          </cell>
          <cell r="AA3374">
            <v>3.3335908133006464E-2</v>
          </cell>
        </row>
        <row r="3375">
          <cell r="Y3375">
            <v>62506</v>
          </cell>
          <cell r="Z3375">
            <v>3.3489392324742365E-2</v>
          </cell>
          <cell r="AA3375">
            <v>3.3338342818555189E-2</v>
          </cell>
        </row>
        <row r="3376">
          <cell r="Y3376">
            <v>62513</v>
          </cell>
          <cell r="Z3376">
            <v>3.3493441748654047E-2</v>
          </cell>
          <cell r="AA3376">
            <v>3.3340763636923176E-2</v>
          </cell>
        </row>
        <row r="3377">
          <cell r="Y3377">
            <v>62520</v>
          </cell>
          <cell r="Z3377">
            <v>3.3497475651903828E-2</v>
          </cell>
          <cell r="AA3377">
            <v>3.3343170587948334E-2</v>
          </cell>
        </row>
        <row r="3378">
          <cell r="Y3378">
            <v>62527</v>
          </cell>
          <cell r="Z3378">
            <v>3.3499797831780503E-2</v>
          </cell>
          <cell r="AA3378">
            <v>3.3345563672035894E-2</v>
          </cell>
        </row>
        <row r="3379">
          <cell r="Y3379">
            <v>62534</v>
          </cell>
          <cell r="Z3379">
            <v>3.3502106029973902E-2</v>
          </cell>
          <cell r="AA3379">
            <v>3.3347942888618531E-2</v>
          </cell>
        </row>
        <row r="3380">
          <cell r="Y3380">
            <v>62541</v>
          </cell>
          <cell r="Z3380">
            <v>3.3504400246462007E-2</v>
          </cell>
          <cell r="AA3380">
            <v>3.3350308238182524E-2</v>
          </cell>
        </row>
        <row r="3381">
          <cell r="Y3381">
            <v>62548</v>
          </cell>
          <cell r="Z3381">
            <v>3.3504986677742821E-2</v>
          </cell>
          <cell r="AA3381">
            <v>3.3352659720646827E-2</v>
          </cell>
        </row>
        <row r="3382">
          <cell r="Y3382">
            <v>62555</v>
          </cell>
          <cell r="Z3382">
            <v>3.3507253722189344E-2</v>
          </cell>
          <cell r="AA3382">
            <v>3.3354997335849346E-2</v>
          </cell>
        </row>
        <row r="3383">
          <cell r="Y3383">
            <v>62562</v>
          </cell>
          <cell r="Z3383">
            <v>3.3509506786120372E-2</v>
          </cell>
          <cell r="AA3383">
            <v>3.3357321083871128E-2</v>
          </cell>
        </row>
        <row r="3384">
          <cell r="Y3384">
            <v>62569</v>
          </cell>
          <cell r="Z3384">
            <v>3.3511745869517197E-2</v>
          </cell>
          <cell r="AA3384">
            <v>3.3359630964631126E-2</v>
          </cell>
        </row>
        <row r="3385">
          <cell r="Y3385">
            <v>62576</v>
          </cell>
          <cell r="Z3385">
            <v>3.351397097235221E-2</v>
          </cell>
          <cell r="AA3385">
            <v>3.3361926978210388E-2</v>
          </cell>
        </row>
        <row r="3386">
          <cell r="Y3386">
            <v>62583</v>
          </cell>
          <cell r="Z3386">
            <v>3.35178719281954E-2</v>
          </cell>
          <cell r="AA3386">
            <v>3.3364209124689959E-2</v>
          </cell>
        </row>
        <row r="3387">
          <cell r="Y3387">
            <v>62590</v>
          </cell>
          <cell r="Z3387">
            <v>3.3520068272067209E-2</v>
          </cell>
          <cell r="AA3387">
            <v>3.33664774038267E-2</v>
          </cell>
        </row>
        <row r="3388">
          <cell r="Y3388">
            <v>62597</v>
          </cell>
          <cell r="Z3388">
            <v>3.3522250634042558E-2</v>
          </cell>
          <cell r="AA3388">
            <v>3.3368731815782704E-2</v>
          </cell>
        </row>
        <row r="3389">
          <cell r="Y3389">
            <v>62604</v>
          </cell>
          <cell r="Z3389">
            <v>3.3524419014100304E-2</v>
          </cell>
          <cell r="AA3389">
            <v>3.3370972360720064E-2</v>
          </cell>
        </row>
        <row r="3390">
          <cell r="Y3390">
            <v>62611</v>
          </cell>
          <cell r="Z3390">
            <v>3.3526573412216661E-2</v>
          </cell>
          <cell r="AA3390">
            <v>3.337319903839564E-2</v>
          </cell>
        </row>
        <row r="3391">
          <cell r="Y3391">
            <v>62618</v>
          </cell>
          <cell r="Z3391">
            <v>3.3528713828370478E-2</v>
          </cell>
          <cell r="AA3391">
            <v>3.3375411848728387E-2</v>
          </cell>
        </row>
        <row r="3392">
          <cell r="Y3392">
            <v>62625</v>
          </cell>
          <cell r="Z3392">
            <v>3.3530840262537102E-2</v>
          </cell>
          <cell r="AA3392">
            <v>3.3377610791880397E-2</v>
          </cell>
        </row>
        <row r="3393">
          <cell r="Y3393">
            <v>62632</v>
          </cell>
          <cell r="Z3393">
            <v>3.3532952714695384E-2</v>
          </cell>
          <cell r="AA3393">
            <v>3.3379795868175854E-2</v>
          </cell>
        </row>
        <row r="3394">
          <cell r="Y3394">
            <v>62639</v>
          </cell>
          <cell r="Z3394">
            <v>3.3535051184824187E-2</v>
          </cell>
          <cell r="AA3394">
            <v>3.3381967076885344E-2</v>
          </cell>
        </row>
        <row r="3395">
          <cell r="Y3395">
            <v>62646</v>
          </cell>
          <cell r="Z3395">
            <v>3.3537135672897955E-2</v>
          </cell>
          <cell r="AA3395">
            <v>3.3384124418414096E-2</v>
          </cell>
        </row>
        <row r="3396">
          <cell r="Y3396">
            <v>62653</v>
          </cell>
          <cell r="Z3396">
            <v>3.3539206178899952E-2</v>
          </cell>
          <cell r="AA3396">
            <v>3.338626789300525E-2</v>
          </cell>
        </row>
        <row r="3397">
          <cell r="Y3397">
            <v>62660</v>
          </cell>
          <cell r="Z3397">
            <v>3.3541262702803762E-2</v>
          </cell>
          <cell r="AA3397">
            <v>3.3388397500253575E-2</v>
          </cell>
        </row>
        <row r="3398">
          <cell r="Y3398">
            <v>62667</v>
          </cell>
          <cell r="Z3398">
            <v>3.3543305244592626E-2</v>
          </cell>
          <cell r="AA3398">
            <v>3.3390513240240116E-2</v>
          </cell>
        </row>
        <row r="3399">
          <cell r="Y3399">
            <v>62674</v>
          </cell>
          <cell r="Z3399">
            <v>3.3545333804240136E-2</v>
          </cell>
          <cell r="AA3399">
            <v>3.3392615113126967E-2</v>
          </cell>
        </row>
        <row r="3400">
          <cell r="Y3400">
            <v>62681</v>
          </cell>
          <cell r="Z3400">
            <v>3.3547348381726898E-2</v>
          </cell>
          <cell r="AA3400">
            <v>3.339470311883308E-2</v>
          </cell>
        </row>
        <row r="3401">
          <cell r="Y3401">
            <v>62688</v>
          </cell>
          <cell r="Z3401">
            <v>3.3549348977033537E-2</v>
          </cell>
          <cell r="AA3401">
            <v>3.3396777257196364E-2</v>
          </cell>
        </row>
        <row r="3402">
          <cell r="Y3402">
            <v>62695</v>
          </cell>
          <cell r="Z3402">
            <v>3.3551335590137149E-2</v>
          </cell>
          <cell r="AA3402">
            <v>3.3398837528378911E-2</v>
          </cell>
        </row>
        <row r="3403">
          <cell r="Y3403">
            <v>62702</v>
          </cell>
          <cell r="Z3403">
            <v>3.3551632122130359E-2</v>
          </cell>
          <cell r="AA3403">
            <v>3.3400883932380721E-2</v>
          </cell>
        </row>
        <row r="3404">
          <cell r="Y3404">
            <v>62709</v>
          </cell>
          <cell r="Z3404">
            <v>3.3553591590117504E-2</v>
          </cell>
          <cell r="AA3404">
            <v>3.3402916469444932E-2</v>
          </cell>
        </row>
        <row r="3405">
          <cell r="Y3405">
            <v>62716</v>
          </cell>
          <cell r="Z3405">
            <v>3.355553707711089E-2</v>
          </cell>
          <cell r="AA3405">
            <v>3.3404935139085268E-2</v>
          </cell>
        </row>
        <row r="3406">
          <cell r="Y3406">
            <v>62723</v>
          </cell>
          <cell r="Z3406">
            <v>3.3557468583090916E-2</v>
          </cell>
          <cell r="AA3406">
            <v>3.3406939941544866E-2</v>
          </cell>
        </row>
        <row r="3407">
          <cell r="Y3407">
            <v>62730</v>
          </cell>
          <cell r="Z3407">
            <v>3.3559386108037104E-2</v>
          </cell>
          <cell r="AA3407">
            <v>3.3408930876904774E-2</v>
          </cell>
        </row>
        <row r="3408">
          <cell r="Y3408">
            <v>62737</v>
          </cell>
          <cell r="Z3408">
            <v>3.3562961641350884E-2</v>
          </cell>
          <cell r="AA3408">
            <v>3.3410907944840806E-2</v>
          </cell>
        </row>
        <row r="3409">
          <cell r="Y3409">
            <v>62744</v>
          </cell>
          <cell r="Z3409">
            <v>3.356485037846333E-2</v>
          </cell>
          <cell r="AA3409">
            <v>3.3412871145596101E-2</v>
          </cell>
        </row>
        <row r="3410">
          <cell r="Y3410">
            <v>62751</v>
          </cell>
          <cell r="Z3410">
            <v>3.3566725133209775E-2</v>
          </cell>
          <cell r="AA3410">
            <v>3.3414820479332752E-2</v>
          </cell>
        </row>
        <row r="3411">
          <cell r="Y3411">
            <v>62758</v>
          </cell>
          <cell r="Z3411">
            <v>3.356858590557172E-2</v>
          </cell>
          <cell r="AA3411">
            <v>3.3416755945888665E-2</v>
          </cell>
        </row>
        <row r="3412">
          <cell r="Y3412">
            <v>62765</v>
          </cell>
          <cell r="Z3412">
            <v>3.3570432695530658E-2</v>
          </cell>
          <cell r="AA3412">
            <v>3.3418677545182796E-2</v>
          </cell>
        </row>
        <row r="3413">
          <cell r="Y3413">
            <v>62772</v>
          </cell>
          <cell r="Z3413">
            <v>3.3572265503062818E-2</v>
          </cell>
          <cell r="AA3413">
            <v>3.3420585276972004E-2</v>
          </cell>
        </row>
        <row r="3414">
          <cell r="Y3414">
            <v>62779</v>
          </cell>
          <cell r="Z3414">
            <v>3.3574084328154973E-2</v>
          </cell>
          <cell r="AA3414">
            <v>3.3422479141985706E-2</v>
          </cell>
        </row>
        <row r="3415">
          <cell r="Y3415">
            <v>62786</v>
          </cell>
          <cell r="Z3415">
            <v>3.3575889170784218E-2</v>
          </cell>
          <cell r="AA3415">
            <v>3.3424359139656579E-2</v>
          </cell>
        </row>
        <row r="3416">
          <cell r="Y3416">
            <v>62793</v>
          </cell>
          <cell r="Z3416">
            <v>3.3576014682803308E-2</v>
          </cell>
          <cell r="AA3416">
            <v>3.3426225270065668E-2</v>
          </cell>
        </row>
        <row r="3417">
          <cell r="Y3417">
            <v>62800</v>
          </cell>
          <cell r="Z3417">
            <v>3.3577792396342357E-2</v>
          </cell>
          <cell r="AA3417">
            <v>3.3428077533294021E-2</v>
          </cell>
        </row>
        <row r="3418">
          <cell r="Y3418">
            <v>62807</v>
          </cell>
          <cell r="Z3418">
            <v>3.3579556128639165E-2</v>
          </cell>
          <cell r="AA3418">
            <v>3.3429915929503728E-2</v>
          </cell>
        </row>
        <row r="3419">
          <cell r="Y3419">
            <v>62814</v>
          </cell>
          <cell r="Z3419">
            <v>3.3581305879671459E-2</v>
          </cell>
          <cell r="AA3419">
            <v>3.3431740458208514E-2</v>
          </cell>
        </row>
        <row r="3420">
          <cell r="Y3420">
            <v>62821</v>
          </cell>
          <cell r="Z3420">
            <v>3.3583041649423211E-2</v>
          </cell>
          <cell r="AA3420">
            <v>3.3433551119894656E-2</v>
          </cell>
        </row>
        <row r="3421">
          <cell r="Y3421">
            <v>62828</v>
          </cell>
          <cell r="Z3421">
            <v>3.358476343787483E-2</v>
          </cell>
          <cell r="AA3421">
            <v>3.3435347914237967E-2</v>
          </cell>
        </row>
        <row r="3422">
          <cell r="Y3422">
            <v>62835</v>
          </cell>
          <cell r="Z3422">
            <v>3.3586471245012066E-2</v>
          </cell>
          <cell r="AA3422">
            <v>3.3437130841562634E-2</v>
          </cell>
        </row>
        <row r="3423">
          <cell r="Y3423">
            <v>62842</v>
          </cell>
          <cell r="Z3423">
            <v>3.3588165070814427E-2</v>
          </cell>
          <cell r="AA3423">
            <v>3.3438899901625518E-2</v>
          </cell>
        </row>
        <row r="3424">
          <cell r="Y3424">
            <v>62849</v>
          </cell>
          <cell r="Z3424">
            <v>3.3589844915262332E-2</v>
          </cell>
          <cell r="AA3424">
            <v>3.3440655094345573E-2</v>
          </cell>
        </row>
        <row r="3425">
          <cell r="Y3425">
            <v>62856</v>
          </cell>
          <cell r="Z3425">
            <v>3.3591510778343305E-2</v>
          </cell>
          <cell r="AA3425">
            <v>3.3442396420128029E-2</v>
          </cell>
        </row>
        <row r="3426">
          <cell r="Y3426">
            <v>62863</v>
          </cell>
          <cell r="Z3426">
            <v>3.359150574843453E-2</v>
          </cell>
          <cell r="AA3426">
            <v>3.3444123878486609E-2</v>
          </cell>
        </row>
        <row r="3427">
          <cell r="Y3427">
            <v>62870</v>
          </cell>
          <cell r="Z3427">
            <v>3.3593144497192036E-2</v>
          </cell>
          <cell r="AA3427">
            <v>3.3445837469583406E-2</v>
          </cell>
        </row>
        <row r="3428">
          <cell r="Y3428">
            <v>62877</v>
          </cell>
          <cell r="Z3428">
            <v>3.3594769265802897E-2</v>
          </cell>
          <cell r="AA3428">
            <v>3.3447537193742605E-2</v>
          </cell>
        </row>
        <row r="3429">
          <cell r="Y3429">
            <v>62884</v>
          </cell>
          <cell r="Z3429">
            <v>3.3599688798782168E-2</v>
          </cell>
          <cell r="AA3429">
            <v>3.344922305064002E-2</v>
          </cell>
        </row>
        <row r="3430">
          <cell r="Y3430">
            <v>62891</v>
          </cell>
          <cell r="Z3430">
            <v>3.3601283902296331E-2</v>
          </cell>
          <cell r="AA3430">
            <v>3.3450895040194606E-2</v>
          </cell>
        </row>
        <row r="3431">
          <cell r="Y3431">
            <v>62898</v>
          </cell>
          <cell r="Z3431">
            <v>3.3602865023062166E-2</v>
          </cell>
          <cell r="AA3431">
            <v>3.3452553162487408E-2</v>
          </cell>
        </row>
        <row r="3432">
          <cell r="Y3432">
            <v>62905</v>
          </cell>
          <cell r="Z3432">
            <v>3.3604432161066462E-2</v>
          </cell>
          <cell r="AA3432">
            <v>3.3454197417761566E-2</v>
          </cell>
        </row>
        <row r="3433">
          <cell r="Y3433">
            <v>62912</v>
          </cell>
          <cell r="Z3433">
            <v>3.3605985316289833E-2</v>
          </cell>
          <cell r="AA3433">
            <v>3.3455827805692895E-2</v>
          </cell>
        </row>
        <row r="3434">
          <cell r="Y3434">
            <v>62919</v>
          </cell>
          <cell r="Z3434">
            <v>3.3605874381638923E-2</v>
          </cell>
          <cell r="AA3434">
            <v>3.3457444326524532E-2</v>
          </cell>
        </row>
        <row r="3435">
          <cell r="Y3435">
            <v>62926</v>
          </cell>
          <cell r="Z3435">
            <v>3.3607400430096725E-2</v>
          </cell>
          <cell r="AA3435">
            <v>3.3459046980013341E-2</v>
          </cell>
        </row>
        <row r="3436">
          <cell r="Y3436">
            <v>62933</v>
          </cell>
          <cell r="Z3436">
            <v>3.3608912497006808E-2</v>
          </cell>
          <cell r="AA3436">
            <v>3.3460635766483504E-2</v>
          </cell>
        </row>
        <row r="3437">
          <cell r="Y3437">
            <v>62940</v>
          </cell>
          <cell r="Z3437">
            <v>3.36104105823469E-2</v>
          </cell>
          <cell r="AA3437">
            <v>3.3462210685691884E-2</v>
          </cell>
        </row>
        <row r="3438">
          <cell r="Y3438">
            <v>62947</v>
          </cell>
          <cell r="Z3438">
            <v>3.3613541350142238E-2</v>
          </cell>
          <cell r="AA3438">
            <v>3.3463771737557435E-2</v>
          </cell>
        </row>
        <row r="3439">
          <cell r="Y3439">
            <v>62954</v>
          </cell>
          <cell r="Z3439">
            <v>3.3615010608348837E-2</v>
          </cell>
          <cell r="AA3439">
            <v>3.3465318922323295E-2</v>
          </cell>
        </row>
        <row r="3440">
          <cell r="Y3440">
            <v>62961</v>
          </cell>
          <cell r="Z3440">
            <v>3.3616465883664397E-2</v>
          </cell>
          <cell r="AA3440">
            <v>3.3466852239989464E-2</v>
          </cell>
        </row>
        <row r="3441">
          <cell r="Y3441">
            <v>62968</v>
          </cell>
          <cell r="Z3441">
            <v>3.3617907176075698E-2</v>
          </cell>
          <cell r="AA3441">
            <v>3.3468371690312804E-2</v>
          </cell>
        </row>
        <row r="3442">
          <cell r="Y3442">
            <v>62975</v>
          </cell>
          <cell r="Z3442">
            <v>3.361933448556248E-2</v>
          </cell>
          <cell r="AA3442">
            <v>3.3469877273293314E-2</v>
          </cell>
        </row>
        <row r="3443">
          <cell r="Y3443">
            <v>62982</v>
          </cell>
          <cell r="Z3443">
            <v>3.3620747812115055E-2</v>
          </cell>
          <cell r="AA3443">
            <v>3.3471368989336225E-2</v>
          </cell>
        </row>
        <row r="3444">
          <cell r="Y3444">
            <v>62989</v>
          </cell>
          <cell r="Z3444">
            <v>3.3622147155716695E-2</v>
          </cell>
          <cell r="AA3444">
            <v>3.3472846838117354E-2</v>
          </cell>
        </row>
        <row r="3445">
          <cell r="Y3445">
            <v>62996</v>
          </cell>
          <cell r="Z3445">
            <v>3.3623532516352403E-2</v>
          </cell>
          <cell r="AA3445">
            <v>3.3474310819636699E-2</v>
          </cell>
        </row>
        <row r="3446">
          <cell r="Y3446">
            <v>63003</v>
          </cell>
          <cell r="Z3446">
            <v>3.3624903894006339E-2</v>
          </cell>
          <cell r="AA3446">
            <v>3.3475760933813214E-2</v>
          </cell>
        </row>
        <row r="3447">
          <cell r="Y3447">
            <v>63010</v>
          </cell>
          <cell r="Z3447">
            <v>3.3626261288666165E-2</v>
          </cell>
          <cell r="AA3447">
            <v>3.3477197180971086E-2</v>
          </cell>
        </row>
        <row r="3448">
          <cell r="Y3448">
            <v>63017</v>
          </cell>
          <cell r="Z3448">
            <v>3.3627604700319551E-2</v>
          </cell>
          <cell r="AA3448">
            <v>3.347861956094822E-2</v>
          </cell>
        </row>
        <row r="3449">
          <cell r="Y3449">
            <v>63024</v>
          </cell>
          <cell r="Z3449">
            <v>3.3628934128946228E-2</v>
          </cell>
          <cell r="AA3449">
            <v>3.3480028073501478E-2</v>
          </cell>
        </row>
        <row r="3450">
          <cell r="Y3450">
            <v>63031</v>
          </cell>
          <cell r="Z3450">
            <v>3.3630249574539146E-2</v>
          </cell>
          <cell r="AA3450">
            <v>3.3481422718955045E-2</v>
          </cell>
        </row>
        <row r="3451">
          <cell r="Y3451">
            <v>63038</v>
          </cell>
          <cell r="Z3451">
            <v>3.3631551037080702E-2</v>
          </cell>
          <cell r="AA3451">
            <v>3.3482803497389968E-2</v>
          </cell>
        </row>
        <row r="3452">
          <cell r="Y3452">
            <v>63045</v>
          </cell>
          <cell r="Z3452">
            <v>3.3632838516556789E-2</v>
          </cell>
          <cell r="AA3452">
            <v>3.3484170408401015E-2</v>
          </cell>
        </row>
        <row r="3453">
          <cell r="Y3453">
            <v>63052</v>
          </cell>
          <cell r="Z3453">
            <v>3.3634112012955956E-2</v>
          </cell>
          <cell r="AA3453">
            <v>3.3485523452150279E-2</v>
          </cell>
        </row>
        <row r="3454">
          <cell r="Y3454">
            <v>63059</v>
          </cell>
          <cell r="Z3454">
            <v>3.3635371526263232E-2</v>
          </cell>
          <cell r="AA3454">
            <v>3.3486862628880898E-2</v>
          </cell>
        </row>
        <row r="3455">
          <cell r="Y3455">
            <v>63066</v>
          </cell>
          <cell r="Z3455">
            <v>3.3636617056467158E-2</v>
          </cell>
          <cell r="AA3455">
            <v>3.3488187938349734E-2</v>
          </cell>
        </row>
        <row r="3456">
          <cell r="Y3456">
            <v>63073</v>
          </cell>
          <cell r="Z3456">
            <v>3.3636217686263827E-2</v>
          </cell>
          <cell r="AA3456">
            <v>3.3489499380394694E-2</v>
          </cell>
        </row>
        <row r="3457">
          <cell r="Y3457">
            <v>63080</v>
          </cell>
          <cell r="Z3457">
            <v>3.3637436137190224E-2</v>
          </cell>
          <cell r="AA3457">
            <v>3.3490796955421009E-2</v>
          </cell>
        </row>
        <row r="3458">
          <cell r="Y3458">
            <v>63087</v>
          </cell>
          <cell r="Z3458">
            <v>3.3638640606257174E-2</v>
          </cell>
          <cell r="AA3458">
            <v>3.3492080663347634E-2</v>
          </cell>
        </row>
        <row r="3459">
          <cell r="Y3459">
            <v>63094</v>
          </cell>
          <cell r="Z3459">
            <v>3.3641459345977183E-2</v>
          </cell>
          <cell r="AA3459">
            <v>3.3493350503931429E-2</v>
          </cell>
        </row>
        <row r="3460">
          <cell r="Y3460">
            <v>63101</v>
          </cell>
          <cell r="Z3460">
            <v>3.3642634960465288E-2</v>
          </cell>
          <cell r="AA3460">
            <v>3.3494606477253441E-2</v>
          </cell>
        </row>
        <row r="3461">
          <cell r="Y3461">
            <v>63108</v>
          </cell>
          <cell r="Z3461">
            <v>3.3643796591772517E-2</v>
          </cell>
          <cell r="AA3461">
            <v>3.3495848583475762E-2</v>
          </cell>
        </row>
        <row r="3462">
          <cell r="Y3462">
            <v>63115</v>
          </cell>
          <cell r="Z3462">
            <v>3.3644944239889188E-2</v>
          </cell>
          <cell r="AA3462">
            <v>3.3497076822517347E-2</v>
          </cell>
        </row>
        <row r="3463">
          <cell r="Y3463">
            <v>63122</v>
          </cell>
          <cell r="Z3463">
            <v>3.3646077904799447E-2</v>
          </cell>
          <cell r="AA3463">
            <v>3.3498291194216101E-2</v>
          </cell>
        </row>
        <row r="3464">
          <cell r="Y3464">
            <v>63129</v>
          </cell>
          <cell r="Z3464">
            <v>3.3647197586491831E-2</v>
          </cell>
          <cell r="AA3464">
            <v>3.3499491698653072E-2</v>
          </cell>
        </row>
        <row r="3465">
          <cell r="Y3465">
            <v>63136</v>
          </cell>
          <cell r="Z3465">
            <v>3.3648303284957541E-2</v>
          </cell>
          <cell r="AA3465">
            <v>3.3500678336071399E-2</v>
          </cell>
        </row>
        <row r="3466">
          <cell r="Y3466">
            <v>63143</v>
          </cell>
          <cell r="Z3466">
            <v>3.364939500018424E-2</v>
          </cell>
          <cell r="AA3466">
            <v>3.3501851106227942E-2</v>
          </cell>
        </row>
        <row r="3467">
          <cell r="Y3467">
            <v>63150</v>
          </cell>
          <cell r="Z3467">
            <v>3.3650472732158716E-2</v>
          </cell>
          <cell r="AA3467">
            <v>3.3503010009041656E-2</v>
          </cell>
        </row>
        <row r="3468">
          <cell r="Y3468">
            <v>63157</v>
          </cell>
          <cell r="Z3468">
            <v>3.3649916291760125E-2</v>
          </cell>
          <cell r="AA3468">
            <v>3.3504155044755679E-2</v>
          </cell>
        </row>
        <row r="3469">
          <cell r="Y3469">
            <v>63164</v>
          </cell>
          <cell r="Z3469">
            <v>3.364934768569397E-2</v>
          </cell>
          <cell r="AA3469">
            <v>3.3505286213370011E-2</v>
          </cell>
        </row>
        <row r="3470">
          <cell r="Y3470">
            <v>63171</v>
          </cell>
          <cell r="Z3470">
            <v>3.3650385274918974E-2</v>
          </cell>
          <cell r="AA3470">
            <v>3.3506403514641514E-2</v>
          </cell>
        </row>
        <row r="3471">
          <cell r="Y3471">
            <v>63178</v>
          </cell>
          <cell r="Z3471">
            <v>3.3651408883412004E-2</v>
          </cell>
          <cell r="AA3471">
            <v>3.3507506948651233E-2</v>
          </cell>
        </row>
        <row r="3472">
          <cell r="Y3472">
            <v>63186</v>
          </cell>
          <cell r="Z3472">
            <v>3.3652561602410702E-2</v>
          </cell>
          <cell r="AA3472">
            <v>3.3508751035887796E-2</v>
          </cell>
        </row>
        <row r="3473">
          <cell r="Y3473">
            <v>63193</v>
          </cell>
          <cell r="Z3473">
            <v>3.3653555252155042E-2</v>
          </cell>
          <cell r="AA3473">
            <v>3.35098247545218E-2</v>
          </cell>
        </row>
        <row r="3474">
          <cell r="Y3474">
            <v>63200</v>
          </cell>
          <cell r="Z3474">
            <v>3.3654534921134981E-2</v>
          </cell>
          <cell r="AA3474">
            <v>3.3510884605975066E-2</v>
          </cell>
        </row>
        <row r="3475">
          <cell r="Y3475">
            <v>63207</v>
          </cell>
          <cell r="Z3475">
            <v>3.3655500609338813E-2</v>
          </cell>
          <cell r="AA3475">
            <v>3.351193059016655E-2</v>
          </cell>
        </row>
        <row r="3476">
          <cell r="Y3476">
            <v>63214</v>
          </cell>
          <cell r="Z3476">
            <v>3.3656452316758442E-2</v>
          </cell>
          <cell r="AA3476">
            <v>3.3512962707177296E-2</v>
          </cell>
        </row>
        <row r="3477">
          <cell r="Y3477">
            <v>63221</v>
          </cell>
          <cell r="Z3477">
            <v>3.3657390043383049E-2</v>
          </cell>
          <cell r="AA3477">
            <v>3.3513980957007306E-2</v>
          </cell>
        </row>
        <row r="3478">
          <cell r="Y3478">
            <v>63228</v>
          </cell>
          <cell r="Z3478">
            <v>3.3656702834516501E-2</v>
          </cell>
          <cell r="AA3478">
            <v>3.3514985339494485E-2</v>
          </cell>
        </row>
        <row r="3479">
          <cell r="Y3479">
            <v>63235</v>
          </cell>
          <cell r="Z3479">
            <v>3.365761351451655E-2</v>
          </cell>
          <cell r="AA3479">
            <v>3.3515975854800928E-2</v>
          </cell>
        </row>
        <row r="3480">
          <cell r="Y3480">
            <v>63242</v>
          </cell>
          <cell r="Z3480">
            <v>3.3658510214975665E-2</v>
          </cell>
          <cell r="AA3480">
            <v>3.3516952502845587E-2</v>
          </cell>
        </row>
        <row r="3481">
          <cell r="Y3481">
            <v>63249</v>
          </cell>
          <cell r="Z3481">
            <v>3.3664217585879466E-2</v>
          </cell>
          <cell r="AA3481">
            <v>3.3517915283790556E-2</v>
          </cell>
        </row>
        <row r="3482">
          <cell r="Y3482">
            <v>63256</v>
          </cell>
          <cell r="Z3482">
            <v>3.3665083570180332E-2</v>
          </cell>
          <cell r="AA3482">
            <v>3.3518864197554787E-2</v>
          </cell>
        </row>
        <row r="3483">
          <cell r="Y3483">
            <v>63263</v>
          </cell>
          <cell r="Z3483">
            <v>3.3665935571062469E-2</v>
          </cell>
          <cell r="AA3483">
            <v>3.3519799243976189E-2</v>
          </cell>
        </row>
        <row r="3484">
          <cell r="Y3484">
            <v>63270</v>
          </cell>
          <cell r="Z3484">
            <v>3.3666773588519723E-2</v>
          </cell>
          <cell r="AA3484">
            <v>3.3520720423297901E-2</v>
          </cell>
        </row>
        <row r="3485">
          <cell r="Y3485">
            <v>63277</v>
          </cell>
          <cell r="Z3485">
            <v>3.3667597622544156E-2</v>
          </cell>
          <cell r="AA3485">
            <v>3.3521627735438875E-2</v>
          </cell>
        </row>
        <row r="3486">
          <cell r="Y3486">
            <v>63284</v>
          </cell>
          <cell r="Z3486">
            <v>3.3666804054456052E-2</v>
          </cell>
          <cell r="AA3486">
            <v>3.3522521180318066E-2</v>
          </cell>
        </row>
        <row r="3487">
          <cell r="Y3487">
            <v>63291</v>
          </cell>
          <cell r="Z3487">
            <v>3.3667601047194927E-2</v>
          </cell>
          <cell r="AA3487">
            <v>3.3523400757854427E-2</v>
          </cell>
        </row>
        <row r="3488">
          <cell r="Y3488">
            <v>63298</v>
          </cell>
          <cell r="Z3488">
            <v>3.3668384057759973E-2</v>
          </cell>
          <cell r="AA3488">
            <v>3.3524266468372144E-2</v>
          </cell>
        </row>
        <row r="3489">
          <cell r="Y3489">
            <v>63305</v>
          </cell>
          <cell r="Z3489">
            <v>3.3669153086139603E-2</v>
          </cell>
          <cell r="AA3489">
            <v>3.3525118311628077E-2</v>
          </cell>
        </row>
        <row r="3490">
          <cell r="Y3490">
            <v>63312</v>
          </cell>
          <cell r="Z3490">
            <v>3.3671508040864856E-2</v>
          </cell>
          <cell r="AA3490">
            <v>3.3525956287541181E-2</v>
          </cell>
        </row>
        <row r="3491">
          <cell r="Y3491">
            <v>63319</v>
          </cell>
          <cell r="Z3491">
            <v>3.3672248174111789E-2</v>
          </cell>
          <cell r="AA3491">
            <v>3.3526780396354594E-2</v>
          </cell>
        </row>
        <row r="3492">
          <cell r="Y3492">
            <v>63326</v>
          </cell>
          <cell r="Z3492">
            <v>3.3672974323866886E-2</v>
          </cell>
          <cell r="AA3492">
            <v>3.352759063798727E-2</v>
          </cell>
        </row>
        <row r="3493">
          <cell r="Y3493">
            <v>63333</v>
          </cell>
          <cell r="Z3493">
            <v>3.3673686490124859E-2</v>
          </cell>
          <cell r="AA3493">
            <v>3.3528387012358163E-2</v>
          </cell>
        </row>
        <row r="3494">
          <cell r="Y3494">
            <v>63340</v>
          </cell>
          <cell r="Z3494">
            <v>3.367438467287337E-2</v>
          </cell>
          <cell r="AA3494">
            <v>3.3529169519386226E-2</v>
          </cell>
        </row>
        <row r="3495">
          <cell r="Y3495">
            <v>63347</v>
          </cell>
          <cell r="Z3495">
            <v>3.3675068872110657E-2</v>
          </cell>
          <cell r="AA3495">
            <v>3.3529938159395645E-2</v>
          </cell>
        </row>
        <row r="3496">
          <cell r="Y3496">
            <v>63354</v>
          </cell>
          <cell r="Z3496">
            <v>3.3675739087827922E-2</v>
          </cell>
          <cell r="AA3496">
            <v>3.3530692932224326E-2</v>
          </cell>
        </row>
        <row r="3497">
          <cell r="Y3497">
            <v>63361</v>
          </cell>
          <cell r="Z3497">
            <v>3.36763953200181E-2</v>
          </cell>
          <cell r="AA3497">
            <v>3.3531433837629132E-2</v>
          </cell>
        </row>
        <row r="3498">
          <cell r="Y3498">
            <v>63368</v>
          </cell>
          <cell r="Z3498">
            <v>3.3677037568670638E-2</v>
          </cell>
          <cell r="AA3498">
            <v>3.3532160875934247E-2</v>
          </cell>
        </row>
        <row r="3499">
          <cell r="Y3499">
            <v>63375</v>
          </cell>
          <cell r="Z3499">
            <v>3.367766583378376E-2</v>
          </cell>
          <cell r="AA3499">
            <v>3.3532874047058625E-2</v>
          </cell>
        </row>
        <row r="3500">
          <cell r="Y3500">
            <v>63382</v>
          </cell>
          <cell r="Z3500">
            <v>3.367828011534954E-2</v>
          </cell>
          <cell r="AA3500">
            <v>3.353357335092122E-2</v>
          </cell>
        </row>
        <row r="3501">
          <cell r="Y3501">
            <v>63389</v>
          </cell>
          <cell r="Z3501">
            <v>3.3678880413360056E-2</v>
          </cell>
          <cell r="AA3501">
            <v>3.3534258787440985E-2</v>
          </cell>
        </row>
        <row r="3502">
          <cell r="Y3502">
            <v>63396</v>
          </cell>
          <cell r="Z3502">
            <v>3.3679466727810019E-2</v>
          </cell>
          <cell r="AA3502">
            <v>3.3534930356942105E-2</v>
          </cell>
        </row>
        <row r="3503">
          <cell r="Y3503">
            <v>63403</v>
          </cell>
          <cell r="Z3503">
            <v>3.3680039058695023E-2</v>
          </cell>
          <cell r="AA3503">
            <v>3.3535588059262489E-2</v>
          </cell>
        </row>
        <row r="3504">
          <cell r="Y3504">
            <v>63410</v>
          </cell>
          <cell r="Z3504">
            <v>3.3680597406006256E-2</v>
          </cell>
          <cell r="AA3504">
            <v>3.3536231894240043E-2</v>
          </cell>
        </row>
        <row r="3505">
          <cell r="Y3505">
            <v>63417</v>
          </cell>
          <cell r="Z3505">
            <v>3.3681141769738437E-2</v>
          </cell>
          <cell r="AA3505">
            <v>3.3536861861955813E-2</v>
          </cell>
        </row>
        <row r="3506">
          <cell r="Y3506">
            <v>63424</v>
          </cell>
          <cell r="Z3506">
            <v>3.3681672149886287E-2</v>
          </cell>
          <cell r="AA3506">
            <v>3.353747796265294E-2</v>
          </cell>
        </row>
        <row r="3507">
          <cell r="Y3507">
            <v>63431</v>
          </cell>
          <cell r="Z3507">
            <v>3.3682188546444503E-2</v>
          </cell>
          <cell r="AA3507">
            <v>3.3538080196007236E-2</v>
          </cell>
        </row>
        <row r="3508">
          <cell r="Y3508">
            <v>63438</v>
          </cell>
          <cell r="Z3508">
            <v>3.368110800066737E-2</v>
          </cell>
          <cell r="AA3508">
            <v>3.3538668562099749E-2</v>
          </cell>
        </row>
        <row r="3509">
          <cell r="Y3509">
            <v>63445</v>
          </cell>
          <cell r="Z3509">
            <v>3.3681597383887103E-2</v>
          </cell>
          <cell r="AA3509">
            <v>3.3539243061092572E-2</v>
          </cell>
        </row>
        <row r="3510">
          <cell r="Y3510">
            <v>63452</v>
          </cell>
          <cell r="Z3510">
            <v>3.3682072784785168E-2</v>
          </cell>
          <cell r="AA3510">
            <v>3.3539803692823611E-2</v>
          </cell>
        </row>
        <row r="3511">
          <cell r="Y3511">
            <v>63459</v>
          </cell>
          <cell r="Z3511">
            <v>3.3682534203357102E-2</v>
          </cell>
          <cell r="AA3511">
            <v>3.3540350457292867E-2</v>
          </cell>
        </row>
        <row r="3512">
          <cell r="Y3512">
            <v>63466</v>
          </cell>
          <cell r="Z3512">
            <v>3.3684560775204479E-2</v>
          </cell>
          <cell r="AA3512">
            <v>3.3540883354581386E-2</v>
          </cell>
        </row>
        <row r="3513">
          <cell r="Y3513">
            <v>63473</v>
          </cell>
          <cell r="Z3513">
            <v>3.3684993270113955E-2</v>
          </cell>
          <cell r="AA3513">
            <v>3.3541402384689167E-2</v>
          </cell>
        </row>
        <row r="3514">
          <cell r="Y3514">
            <v>63480</v>
          </cell>
          <cell r="Z3514">
            <v>3.3685411781401213E-2</v>
          </cell>
          <cell r="AA3514">
            <v>3.3541907547535166E-2</v>
          </cell>
        </row>
        <row r="3515">
          <cell r="Y3515">
            <v>63487</v>
          </cell>
          <cell r="Z3515">
            <v>3.3685816309058321E-2</v>
          </cell>
          <cell r="AA3515">
            <v>3.3542398843119381E-2</v>
          </cell>
        </row>
        <row r="3516">
          <cell r="Y3516">
            <v>63494</v>
          </cell>
          <cell r="Z3516">
            <v>3.3686206853081754E-2</v>
          </cell>
          <cell r="AA3516">
            <v>3.3542876271684952E-2</v>
          </cell>
        </row>
        <row r="3517">
          <cell r="Y3517">
            <v>63501</v>
          </cell>
          <cell r="Z3517">
            <v>3.3686583413467995E-2</v>
          </cell>
          <cell r="AA3517">
            <v>3.3543339832826646E-2</v>
          </cell>
        </row>
        <row r="3518">
          <cell r="Y3518">
            <v>63508</v>
          </cell>
          <cell r="Z3518">
            <v>3.3686945990214399E-2</v>
          </cell>
          <cell r="AA3518">
            <v>3.354378952686865E-2</v>
          </cell>
        </row>
        <row r="3519">
          <cell r="Y3519">
            <v>63515</v>
          </cell>
          <cell r="Z3519">
            <v>3.3687294583313043E-2</v>
          </cell>
          <cell r="AA3519">
            <v>3.3544225353648871E-2</v>
          </cell>
        </row>
        <row r="3520">
          <cell r="Y3520">
            <v>63522</v>
          </cell>
          <cell r="Z3520">
            <v>3.3686057765095805E-2</v>
          </cell>
          <cell r="AA3520">
            <v>3.3544647313167308E-2</v>
          </cell>
        </row>
        <row r="3521">
          <cell r="Y3521">
            <v>63529</v>
          </cell>
          <cell r="Z3521">
            <v>3.368480890543863E-2</v>
          </cell>
          <cell r="AA3521">
            <v>3.3545055405505009E-2</v>
          </cell>
        </row>
        <row r="3522">
          <cell r="Y3522">
            <v>63536</v>
          </cell>
          <cell r="Z3522">
            <v>3.3685117488519704E-2</v>
          </cell>
          <cell r="AA3522">
            <v>3.3545449630743018E-2</v>
          </cell>
        </row>
        <row r="3523">
          <cell r="Y3523">
            <v>63543</v>
          </cell>
          <cell r="Z3523">
            <v>3.3685412090513102E-2</v>
          </cell>
          <cell r="AA3523">
            <v>3.3545829988638198E-2</v>
          </cell>
        </row>
        <row r="3524">
          <cell r="Y3524">
            <v>63550</v>
          </cell>
          <cell r="Z3524">
            <v>3.3685692711415208E-2</v>
          </cell>
          <cell r="AA3524">
            <v>3.3546196479352641E-2</v>
          </cell>
        </row>
        <row r="3525">
          <cell r="Y3525">
            <v>63557</v>
          </cell>
          <cell r="Z3525">
            <v>3.3685959351221526E-2</v>
          </cell>
          <cell r="AA3525">
            <v>3.3546549102886347E-2</v>
          </cell>
        </row>
        <row r="3526">
          <cell r="Y3526">
            <v>63564</v>
          </cell>
          <cell r="Z3526">
            <v>3.3686212009930258E-2</v>
          </cell>
          <cell r="AA3526">
            <v>3.3546887858996177E-2</v>
          </cell>
        </row>
        <row r="3527">
          <cell r="Y3527">
            <v>63571</v>
          </cell>
          <cell r="Z3527">
            <v>3.3686450687541405E-2</v>
          </cell>
          <cell r="AA3527">
            <v>3.3547212748168409E-2</v>
          </cell>
        </row>
        <row r="3528">
          <cell r="Y3528">
            <v>63578</v>
          </cell>
          <cell r="Z3528">
            <v>3.3686675384046856E-2</v>
          </cell>
          <cell r="AA3528">
            <v>3.3547523770078858E-2</v>
          </cell>
        </row>
        <row r="3529">
          <cell r="Y3529">
            <v>63585</v>
          </cell>
          <cell r="Z3529">
            <v>3.3685323445957052E-2</v>
          </cell>
          <cell r="AA3529">
            <v>3.354782092456543E-2</v>
          </cell>
        </row>
        <row r="3530">
          <cell r="Y3530">
            <v>63592</v>
          </cell>
          <cell r="Z3530">
            <v>3.3687082833744282E-2</v>
          </cell>
          <cell r="AA3530">
            <v>3.3548104211952312E-2</v>
          </cell>
        </row>
        <row r="3531">
          <cell r="Y3531">
            <v>63599</v>
          </cell>
          <cell r="Z3531">
            <v>3.3685704895678584E-2</v>
          </cell>
          <cell r="AA3531">
            <v>3.3548373632239503E-2</v>
          </cell>
        </row>
        <row r="3532">
          <cell r="Y3532">
            <v>63606</v>
          </cell>
          <cell r="Z3532">
            <v>3.3685874650802687E-2</v>
          </cell>
          <cell r="AA3532">
            <v>3.3548629185264911E-2</v>
          </cell>
        </row>
        <row r="3533">
          <cell r="Y3533">
            <v>63613</v>
          </cell>
          <cell r="Z3533">
            <v>3.3690706602194136E-2</v>
          </cell>
          <cell r="AA3533">
            <v>3.3548870871028535E-2</v>
          </cell>
        </row>
        <row r="3534">
          <cell r="Y3534">
            <v>63620</v>
          </cell>
          <cell r="Z3534">
            <v>3.3690845440258257E-2</v>
          </cell>
          <cell r="AA3534">
            <v>3.354909868944933E-2</v>
          </cell>
        </row>
        <row r="3535">
          <cell r="Y3535">
            <v>63627</v>
          </cell>
          <cell r="Z3535">
            <v>3.3690970294638495E-2</v>
          </cell>
          <cell r="AA3535">
            <v>3.3549312640932527E-2</v>
          </cell>
        </row>
        <row r="3536">
          <cell r="Y3536">
            <v>63634</v>
          </cell>
          <cell r="Z3536">
            <v>3.369108116533133E-2</v>
          </cell>
          <cell r="AA3536">
            <v>3.3549512725072894E-2</v>
          </cell>
        </row>
        <row r="3537">
          <cell r="Y3537">
            <v>63641</v>
          </cell>
          <cell r="Z3537" t="e">
            <v>#N/A</v>
          </cell>
          <cell r="AA3537">
            <v>3.3549698941870432E-2</v>
          </cell>
        </row>
        <row r="3538">
          <cell r="Y3538">
            <v>63648</v>
          </cell>
          <cell r="Z3538" t="e">
            <v>#N/A</v>
          </cell>
          <cell r="AA3538">
            <v>3.3549871291568278E-2</v>
          </cell>
        </row>
        <row r="3539">
          <cell r="Y3539">
            <v>63655</v>
          </cell>
          <cell r="Z3539" t="e">
            <v>#N/A</v>
          </cell>
          <cell r="AA3539">
            <v>3.3550029774085388E-2</v>
          </cell>
        </row>
        <row r="3540">
          <cell r="Y3540">
            <v>63662</v>
          </cell>
          <cell r="Z3540" t="e">
            <v>#N/A</v>
          </cell>
          <cell r="AA3540">
            <v>3.3550174389340714E-2</v>
          </cell>
        </row>
        <row r="3541">
          <cell r="Y3541">
            <v>63669</v>
          </cell>
          <cell r="Z3541" t="e">
            <v>#N/A</v>
          </cell>
          <cell r="AA3541">
            <v>3.3550305137334258E-2</v>
          </cell>
        </row>
        <row r="3542">
          <cell r="Y3542">
            <v>63676</v>
          </cell>
          <cell r="Z3542" t="e">
            <v>#N/A</v>
          </cell>
          <cell r="AA3542">
            <v>3.3550422018309156E-2</v>
          </cell>
        </row>
        <row r="3543">
          <cell r="Y3543">
            <v>63683</v>
          </cell>
          <cell r="Z3543" t="e">
            <v>#N/A</v>
          </cell>
          <cell r="AA3543">
            <v>3.3550525031698086E-2</v>
          </cell>
        </row>
        <row r="3544">
          <cell r="Y3544">
            <v>63690</v>
          </cell>
          <cell r="Z3544" t="e">
            <v>#N/A</v>
          </cell>
          <cell r="AA3544">
            <v>3.3550614178230465E-2</v>
          </cell>
        </row>
        <row r="3545">
          <cell r="Y3545">
            <v>63697</v>
          </cell>
          <cell r="Z3545" t="e">
            <v>#N/A</v>
          </cell>
          <cell r="AA3545">
            <v>3.3550689457257921E-2</v>
          </cell>
        </row>
        <row r="3546">
          <cell r="Y3546">
            <v>63704</v>
          </cell>
          <cell r="Z3546" t="e">
            <v>#N/A</v>
          </cell>
          <cell r="AA3546">
            <v>3.3550750869347779E-2</v>
          </cell>
        </row>
        <row r="3547">
          <cell r="Y3547">
            <v>63711</v>
          </cell>
          <cell r="Z3547" t="e">
            <v>#N/A</v>
          </cell>
          <cell r="AA3547">
            <v>3.3550798414094807E-2</v>
          </cell>
        </row>
        <row r="3548">
          <cell r="Y3548">
            <v>63718</v>
          </cell>
          <cell r="Z3548" t="e">
            <v>#N/A</v>
          </cell>
          <cell r="AA3548">
            <v>3.3550832091580052E-2</v>
          </cell>
        </row>
        <row r="3549">
          <cell r="Y3549">
            <v>63725</v>
          </cell>
          <cell r="Z3549" t="e">
            <v>#N/A</v>
          </cell>
          <cell r="AA3549">
            <v>3.3550851901722467E-2</v>
          </cell>
        </row>
        <row r="3550">
          <cell r="Y3550">
            <v>63732</v>
          </cell>
          <cell r="Z3550" t="e">
            <v>#N/A</v>
          </cell>
          <cell r="AA3550">
            <v>3.355085789209622E-2</v>
          </cell>
        </row>
        <row r="3551">
          <cell r="Y3551">
            <v>63739</v>
          </cell>
          <cell r="Z3551" t="e">
            <v>#N/A</v>
          </cell>
          <cell r="AA3551">
            <v>3.3550857892177266E-2</v>
          </cell>
        </row>
        <row r="3552">
          <cell r="Y3552">
            <v>63746</v>
          </cell>
          <cell r="Z3552" t="e">
            <v>#N/A</v>
          </cell>
          <cell r="AA3552">
            <v>3.355085789209622E-2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8"/>
  <sheetViews>
    <sheetView workbookViewId="0">
      <selection activeCell="D11" sqref="D11"/>
    </sheetView>
  </sheetViews>
  <sheetFormatPr defaultColWidth="7.42578125" defaultRowHeight="11.25" x14ac:dyDescent="0.2"/>
  <cols>
    <col min="1" max="2" width="2.7109375" style="36" customWidth="1"/>
    <col min="3" max="3" width="18" style="36" bestFit="1" customWidth="1"/>
    <col min="4" max="4" width="23.85546875" style="36" bestFit="1" customWidth="1"/>
    <col min="5" max="5" width="22" style="36" bestFit="1" customWidth="1"/>
    <col min="6" max="7" width="2.7109375" style="36" customWidth="1"/>
    <col min="8" max="8" width="4" style="36" bestFit="1" customWidth="1"/>
    <col min="9" max="9" width="3.28515625" style="36" bestFit="1" customWidth="1"/>
    <col min="10" max="11" width="2.7109375" style="36" customWidth="1"/>
    <col min="12" max="12" width="18.5703125" style="36" bestFit="1" customWidth="1"/>
    <col min="13" max="13" width="53.7109375" style="36" bestFit="1" customWidth="1"/>
    <col min="14" max="14" width="2.7109375" style="36" customWidth="1"/>
    <col min="15" max="16384" width="7.42578125" style="6"/>
  </cols>
  <sheetData>
    <row r="1" spans="1:33" s="1" customFormat="1" ht="12" thickBot="1" x14ac:dyDescent="0.25">
      <c r="A1" s="36"/>
      <c r="B1" s="36" t="str">
        <f>_xll.qlxlVersion(TRUE,Trigger)</f>
        <v>QuantLibXL 1.4.0 - MS VC++ 9.0 - Multithreaded Dynamic Runtime library - Release Configuration - Apr 29 2014 14:47:17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</row>
    <row r="2" spans="1:33" s="1" customFormat="1" ht="18.75" thickBot="1" x14ac:dyDescent="0.3">
      <c r="A2" s="36"/>
      <c r="B2" s="163" t="s">
        <v>8</v>
      </c>
      <c r="C2" s="164"/>
      <c r="D2" s="164"/>
      <c r="E2" s="164"/>
      <c r="F2" s="165"/>
      <c r="G2" s="36"/>
      <c r="H2" s="36"/>
      <c r="I2" s="36"/>
      <c r="J2" s="36"/>
      <c r="K2" s="163" t="s">
        <v>110</v>
      </c>
      <c r="L2" s="164"/>
      <c r="M2" s="164"/>
      <c r="N2" s="166"/>
    </row>
    <row r="3" spans="1:33" ht="12" thickBot="1" x14ac:dyDescent="0.25">
      <c r="B3" s="2"/>
      <c r="C3" s="3"/>
      <c r="D3" s="4"/>
      <c r="E3" s="4"/>
      <c r="F3" s="5"/>
      <c r="K3" s="17"/>
      <c r="L3" s="18"/>
      <c r="M3" s="18"/>
      <c r="N3" s="19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B4" s="2"/>
      <c r="C4" s="7" t="s">
        <v>5</v>
      </c>
      <c r="D4" s="8" t="s">
        <v>84</v>
      </c>
      <c r="E4" s="4"/>
      <c r="F4" s="5"/>
      <c r="H4" s="37" t="s">
        <v>83</v>
      </c>
      <c r="I4" s="38"/>
      <c r="K4" s="17"/>
      <c r="L4" s="20" t="s">
        <v>111</v>
      </c>
      <c r="M4" s="21" t="b">
        <v>0</v>
      </c>
      <c r="N4" s="22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B5" s="2"/>
      <c r="C5" s="9" t="s">
        <v>79</v>
      </c>
      <c r="D5" s="43">
        <v>12</v>
      </c>
      <c r="E5" s="4"/>
      <c r="F5" s="5"/>
      <c r="H5" s="39" t="s">
        <v>6</v>
      </c>
      <c r="I5" s="40" t="s">
        <v>41</v>
      </c>
      <c r="K5" s="17"/>
      <c r="L5" s="20" t="s">
        <v>112</v>
      </c>
      <c r="M5" s="23"/>
      <c r="N5" s="22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B6" s="2"/>
      <c r="C6" s="9" t="s">
        <v>74</v>
      </c>
      <c r="D6" s="43" t="str">
        <f>_xll.qlPeriodEquivalent(D5&amp;"M")</f>
        <v>1Y</v>
      </c>
      <c r="E6" s="4"/>
      <c r="F6" s="5"/>
      <c r="H6" s="39" t="s">
        <v>84</v>
      </c>
      <c r="I6" s="40" t="s">
        <v>93</v>
      </c>
      <c r="K6" s="17"/>
      <c r="L6" s="20" t="s">
        <v>113</v>
      </c>
      <c r="M6" s="24" t="b">
        <v>1</v>
      </c>
      <c r="N6" s="22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B7" s="2"/>
      <c r="C7" s="9" t="s">
        <v>80</v>
      </c>
      <c r="D7" s="43" t="str">
        <f>Months&amp;IF(UPPER(Currency)="EUR","E","L")</f>
        <v>12L</v>
      </c>
      <c r="E7" s="4"/>
      <c r="F7" s="5"/>
      <c r="H7" s="39" t="s">
        <v>85</v>
      </c>
      <c r="I7" s="40"/>
      <c r="K7" s="25"/>
      <c r="L7" s="26"/>
      <c r="M7" s="26"/>
      <c r="N7" s="27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B8" s="2"/>
      <c r="C8" s="9" t="s">
        <v>81</v>
      </c>
      <c r="D8" s="43" t="str">
        <f>VLOOKUP(Currency,H4:I8,2)</f>
        <v>SB</v>
      </c>
      <c r="E8" s="4"/>
      <c r="F8" s="5"/>
      <c r="H8" s="41" t="s">
        <v>86</v>
      </c>
      <c r="I8" s="42" t="s">
        <v>87</v>
      </c>
      <c r="K8" s="28"/>
      <c r="L8" s="28"/>
      <c r="M8" s="28"/>
      <c r="N8" s="28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8.75" thickBot="1" x14ac:dyDescent="0.3">
      <c r="B9" s="2"/>
      <c r="C9" s="9" t="s">
        <v>24</v>
      </c>
      <c r="D9" s="43" t="str">
        <f>Currency&amp;"_YC"&amp;IndexTenor&amp;"RH"</f>
        <v>GBP_YC1YRH</v>
      </c>
      <c r="E9" s="4"/>
      <c r="F9" s="5"/>
      <c r="K9" s="163" t="s">
        <v>114</v>
      </c>
      <c r="L9" s="164"/>
      <c r="M9" s="164"/>
      <c r="N9" s="166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12.75" x14ac:dyDescent="0.2">
      <c r="B10" s="2"/>
      <c r="C10" s="44" t="s">
        <v>14</v>
      </c>
      <c r="D10" s="43" t="b">
        <v>1</v>
      </c>
      <c r="E10" s="4"/>
      <c r="F10" s="5"/>
      <c r="K10" s="29"/>
      <c r="L10" s="30"/>
      <c r="M10" s="30"/>
      <c r="N10" s="3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2.75" x14ac:dyDescent="0.2">
      <c r="B11" s="2"/>
      <c r="C11" s="44" t="s">
        <v>7</v>
      </c>
      <c r="D11" s="45"/>
      <c r="E11" s="4"/>
      <c r="F11" s="5"/>
      <c r="K11" s="29"/>
      <c r="L11" s="32" t="s">
        <v>115</v>
      </c>
      <c r="M11" s="21" t="s">
        <v>116</v>
      </c>
      <c r="N11" s="3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ht="12.75" x14ac:dyDescent="0.2">
      <c r="B12" s="2"/>
      <c r="C12" s="46" t="s">
        <v>65</v>
      </c>
      <c r="D12" s="47" t="b">
        <v>1</v>
      </c>
      <c r="E12" s="4"/>
      <c r="F12" s="5"/>
      <c r="K12" s="29"/>
      <c r="L12" s="32" t="s">
        <v>117</v>
      </c>
      <c r="M12" s="24" t="s">
        <v>118</v>
      </c>
      <c r="N12" s="3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2.75" x14ac:dyDescent="0.2">
      <c r="B13" s="2"/>
      <c r="C13" s="10"/>
      <c r="D13" s="10"/>
      <c r="E13" s="4"/>
      <c r="F13" s="5"/>
      <c r="K13" s="29"/>
      <c r="L13" s="32" t="s">
        <v>119</v>
      </c>
      <c r="M13" s="21" t="s">
        <v>120</v>
      </c>
      <c r="N13" s="3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12.75" x14ac:dyDescent="0.2">
      <c r="B14" s="2"/>
      <c r="C14" s="48" t="s">
        <v>15</v>
      </c>
      <c r="D14" s="49" t="str">
        <f>_xll.qlPiecewiseYieldCurve(D16,NDays,Calendar,_xll.ohPack(Selected!D2:D126),DayCounter,IF(ISERROR(D22),NA(),D20:E20),IF(ISERROR(D22),NA(),D21:E21),Accuracy,TraitsID,InterpolatorID,Permanent,,ObjectOverwrite)</f>
        <v>_GBPYC1Y#0016</v>
      </c>
      <c r="E14" s="4"/>
      <c r="F14" s="5"/>
      <c r="K14" s="29"/>
      <c r="L14" s="32" t="s">
        <v>121</v>
      </c>
      <c r="M14" s="21" t="s">
        <v>120</v>
      </c>
      <c r="N14" s="3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12.75" x14ac:dyDescent="0.2">
      <c r="B15" s="2"/>
      <c r="C15" s="50" t="s">
        <v>16</v>
      </c>
      <c r="D15" s="51" t="str">
        <f>_xll.ohRangeRetrieveError(YieldCurve)</f>
        <v/>
      </c>
      <c r="E15" s="4"/>
      <c r="F15" s="5"/>
      <c r="K15" s="29"/>
      <c r="L15" s="32" t="s">
        <v>122</v>
      </c>
      <c r="M15" s="21" t="str">
        <f>PROPER(Currency)&amp;"ON"</f>
        <v>GbpON</v>
      </c>
      <c r="N15" s="3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2.75" x14ac:dyDescent="0.2">
      <c r="B16" s="2"/>
      <c r="C16" s="48" t="s">
        <v>10</v>
      </c>
      <c r="D16" s="52" t="str">
        <f>"_"&amp;Currency&amp;"YC"&amp;IndexTenor</f>
        <v>_GBPYC1Y</v>
      </c>
      <c r="E16" s="4"/>
      <c r="F16" s="5"/>
      <c r="K16" s="29"/>
      <c r="L16" s="32" t="s">
        <v>123</v>
      </c>
      <c r="M16" s="21" t="str">
        <f>PROPER(Currency)&amp;"STD"</f>
        <v>GbpSTD</v>
      </c>
      <c r="N16" s="3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2:33" ht="13.5" thickBot="1" x14ac:dyDescent="0.25">
      <c r="B17" s="2"/>
      <c r="C17" s="53" t="s">
        <v>11</v>
      </c>
      <c r="D17" s="54">
        <v>0</v>
      </c>
      <c r="E17" s="4"/>
      <c r="F17" s="5"/>
      <c r="K17" s="33"/>
      <c r="L17" s="34"/>
      <c r="M17" s="34"/>
      <c r="N17" s="35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2:33" x14ac:dyDescent="0.2">
      <c r="B18" s="2"/>
      <c r="C18" s="53" t="s">
        <v>4</v>
      </c>
      <c r="D18" s="11" t="s">
        <v>124</v>
      </c>
      <c r="E18" s="4"/>
      <c r="F18" s="5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2:33" x14ac:dyDescent="0.2">
      <c r="B19" s="2"/>
      <c r="C19" s="53" t="s">
        <v>9</v>
      </c>
      <c r="D19" s="11"/>
      <c r="E19" s="4"/>
      <c r="F19" s="5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2:33" x14ac:dyDescent="0.2">
      <c r="B20" s="2"/>
      <c r="C20" s="53" t="s">
        <v>77</v>
      </c>
      <c r="D20" s="55" t="str">
        <f>Currency&amp;"TOY_SYNTH"&amp;IndexTenor&amp;"_Quote"</f>
        <v>GBPTOY_SYNTH1Y_Quote</v>
      </c>
      <c r="E20" s="8" t="str">
        <f>Currency&amp;"TOY2_SYNTH"&amp;IndexTenor&amp;"_Quote"</f>
        <v>GBPTOY2_SYNTH1Y_Quote</v>
      </c>
      <c r="F20" s="5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2:33" x14ac:dyDescent="0.2">
      <c r="B21" s="2"/>
      <c r="C21" s="53" t="s">
        <v>78</v>
      </c>
      <c r="D21" s="56">
        <f>DATE(YEAR(_xll.qlCalendarAdvance(Calendar,_xll.qlSettingsEvaluationDate(Trigger),NDays&amp;"D")),12,31)</f>
        <v>42004</v>
      </c>
      <c r="E21" s="12">
        <f>DATE(YEAR(D21+1),12,31)</f>
        <v>42369</v>
      </c>
      <c r="F21" s="5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2:33" x14ac:dyDescent="0.2">
      <c r="B22" s="2"/>
      <c r="C22" s="53" t="s">
        <v>88</v>
      </c>
      <c r="D22" s="57" t="e">
        <f>NA()</f>
        <v>#N/A</v>
      </c>
      <c r="E22" s="13" t="e">
        <f>NA()</f>
        <v>#N/A</v>
      </c>
      <c r="F22" s="5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2:33" x14ac:dyDescent="0.2">
      <c r="B23" s="2"/>
      <c r="C23" s="53" t="s">
        <v>23</v>
      </c>
      <c r="D23" s="58"/>
      <c r="E23" s="4"/>
      <c r="F23" s="5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2:33" x14ac:dyDescent="0.2">
      <c r="B24" s="2"/>
      <c r="C24" s="53" t="s">
        <v>12</v>
      </c>
      <c r="D24" s="59" t="s">
        <v>75</v>
      </c>
      <c r="E24" s="4"/>
      <c r="F24" s="5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2:33" x14ac:dyDescent="0.2">
      <c r="B25" s="2"/>
      <c r="C25" s="50" t="s">
        <v>13</v>
      </c>
      <c r="D25" s="60" t="s">
        <v>76</v>
      </c>
      <c r="E25" s="4"/>
      <c r="F25" s="5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2:33" x14ac:dyDescent="0.2">
      <c r="B26" s="2"/>
      <c r="C26" s="10"/>
      <c r="D26" s="10"/>
      <c r="E26" s="4"/>
      <c r="F26" s="5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2:33" x14ac:dyDescent="0.2">
      <c r="B27" s="2"/>
      <c r="C27" s="61">
        <f>_xll.qlTermStructureReferenceDate(YieldCurve)</f>
        <v>41817</v>
      </c>
      <c r="D27" s="62">
        <f>MAX(_xll.ohPack(Selected!J1:J126))</f>
        <v>1</v>
      </c>
      <c r="E27" s="4"/>
      <c r="F27" s="5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2:33" x14ac:dyDescent="0.2">
      <c r="B28" s="2"/>
      <c r="C28" s="63">
        <f>MAX(_xll.ohPack(Selected!I2:I126))</f>
        <v>63732</v>
      </c>
      <c r="D28" s="64">
        <f>MIN(_xll.ohPack(Selected!J1:J126))</f>
        <v>0.13484774205543221</v>
      </c>
      <c r="E28" s="4"/>
      <c r="F28" s="5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2:33" x14ac:dyDescent="0.2">
      <c r="B29" s="2"/>
      <c r="C29" s="65" t="s">
        <v>16</v>
      </c>
      <c r="D29" s="66" t="str">
        <f>_xll.ohRangeRetrieveError(Selected!J1)</f>
        <v/>
      </c>
      <c r="E29" s="4"/>
      <c r="F29" s="5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2:33" ht="14.25" customHeight="1" x14ac:dyDescent="0.2">
      <c r="B30" s="2"/>
      <c r="C30" s="65" t="s">
        <v>125</v>
      </c>
      <c r="D30" s="64" t="b">
        <f>_xll.qlRelinkableHandleLinkTo(C30,YieldCurve)</f>
        <v>1</v>
      </c>
      <c r="E30" s="4"/>
      <c r="F30" s="5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2:33" x14ac:dyDescent="0.2">
      <c r="B31" s="2"/>
      <c r="C31" s="67" t="s">
        <v>126</v>
      </c>
      <c r="D31" s="68" t="b">
        <v>0</v>
      </c>
      <c r="E31" s="4"/>
      <c r="F31" s="5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2:33" ht="12" thickBot="1" x14ac:dyDescent="0.25">
      <c r="B32" s="14"/>
      <c r="C32" s="15"/>
      <c r="D32" s="15"/>
      <c r="E32" s="15"/>
      <c r="F32" s="16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5:33" x14ac:dyDescent="0.2"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5:33" x14ac:dyDescent="0.2"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5:33" x14ac:dyDescent="0.2"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5:33" x14ac:dyDescent="0.2"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5:33" x14ac:dyDescent="0.2"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5:33" x14ac:dyDescent="0.2"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5:33" x14ac:dyDescent="0.2"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5:33" x14ac:dyDescent="0.2"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5:33" x14ac:dyDescent="0.2"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5:33" x14ac:dyDescent="0.2"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5:33" x14ac:dyDescent="0.2"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5:33" x14ac:dyDescent="0.2"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5:33" x14ac:dyDescent="0.2"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5:33" x14ac:dyDescent="0.2"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5:33" x14ac:dyDescent="0.2"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5:33" x14ac:dyDescent="0.2"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5:33" x14ac:dyDescent="0.2"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5:33" x14ac:dyDescent="0.2"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5:33" x14ac:dyDescent="0.2"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5:33" x14ac:dyDescent="0.2"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5:33" x14ac:dyDescent="0.2"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5:33" x14ac:dyDescent="0.2"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5:33" x14ac:dyDescent="0.2"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5:33" x14ac:dyDescent="0.2"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5:33" x14ac:dyDescent="0.2"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5:33" x14ac:dyDescent="0.2"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5:33" x14ac:dyDescent="0.2"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5:33" x14ac:dyDescent="0.2"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5:33" x14ac:dyDescent="0.2"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5:33" x14ac:dyDescent="0.2"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5:33" x14ac:dyDescent="0.2"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5:33" x14ac:dyDescent="0.2"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5:33" x14ac:dyDescent="0.2"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5:33" x14ac:dyDescent="0.2"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5:33" x14ac:dyDescent="0.2"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5:33" x14ac:dyDescent="0.2"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</sheetData>
  <mergeCells count="3">
    <mergeCell ref="B2:F2"/>
    <mergeCell ref="K2:N2"/>
    <mergeCell ref="K9:N9"/>
  </mergeCells>
  <phoneticPr fontId="3" type="noConversion"/>
  <dataValidations count="8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M11">
      <formula1>"Libor,ibor"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84"/>
  <sheetViews>
    <sheetView topLeftCell="F1" workbookViewId="0">
      <selection activeCell="F1" sqref="F1"/>
    </sheetView>
  </sheetViews>
  <sheetFormatPr defaultRowHeight="11.25" x14ac:dyDescent="0.2"/>
  <cols>
    <col min="1" max="1" width="5.7109375" style="70" hidden="1" customWidth="1"/>
    <col min="2" max="2" width="3" style="88" hidden="1" customWidth="1"/>
    <col min="3" max="3" width="5" style="88" hidden="1" customWidth="1"/>
    <col min="4" max="4" width="4.42578125" style="88" hidden="1" customWidth="1"/>
    <col min="5" max="5" width="15.140625" style="88" hidden="1" customWidth="1"/>
    <col min="6" max="6" width="25.5703125" style="88" customWidth="1"/>
    <col min="7" max="7" width="8" style="88" bestFit="1" customWidth="1"/>
    <col min="8" max="8" width="9" style="88" customWidth="1"/>
    <col min="9" max="9" width="8.28515625" style="88" customWidth="1"/>
    <col min="10" max="10" width="9" style="88" customWidth="1"/>
    <col min="11" max="11" width="9" style="88" bestFit="1" customWidth="1"/>
    <col min="12" max="13" width="17.28515625" style="88" bestFit="1" customWidth="1"/>
    <col min="14" max="14" width="3" style="70" bestFit="1" customWidth="1"/>
    <col min="15" max="15" width="13.7109375" style="70" bestFit="1" customWidth="1"/>
    <col min="16" max="16" width="28.140625" style="70" bestFit="1" customWidth="1"/>
    <col min="17" max="17" width="3.5703125" style="70" customWidth="1"/>
    <col min="18" max="16384" width="9.140625" style="70"/>
  </cols>
  <sheetData>
    <row r="1" spans="2:15" ht="33.75" x14ac:dyDescent="0.2">
      <c r="B1" s="167" t="s">
        <v>68</v>
      </c>
      <c r="C1" s="168"/>
      <c r="D1" s="169"/>
      <c r="E1" s="142" t="s">
        <v>20</v>
      </c>
      <c r="F1" s="142" t="s">
        <v>140</v>
      </c>
      <c r="G1" s="142" t="s">
        <v>17</v>
      </c>
      <c r="H1" s="142" t="s">
        <v>43</v>
      </c>
      <c r="I1" s="142" t="s">
        <v>2</v>
      </c>
      <c r="J1" s="142" t="s">
        <v>3</v>
      </c>
      <c r="K1" s="142" t="s">
        <v>89</v>
      </c>
      <c r="L1" s="142" t="s">
        <v>0</v>
      </c>
      <c r="M1" s="142" t="s">
        <v>1</v>
      </c>
    </row>
    <row r="2" spans="2:15" ht="11.25" customHeight="1" x14ac:dyDescent="0.2">
      <c r="B2" s="143"/>
      <c r="C2" s="144"/>
      <c r="D2" s="145" t="s">
        <v>96</v>
      </c>
      <c r="E2" s="145" t="str">
        <f>Deposits!E3</f>
        <v>obj_00627#0012</v>
      </c>
      <c r="F2" s="145" t="str">
        <f>_xll.qlRateHelperQuoteName(E2)</f>
        <v>GBPSWD_SYNTH1Y_Quote</v>
      </c>
      <c r="G2" s="146">
        <f>_xll.qlRateHelperQuoteValue(E2,Trigger)</f>
        <v>7.162E-3</v>
      </c>
      <c r="H2" s="146"/>
      <c r="I2" s="91" t="b">
        <v>0</v>
      </c>
      <c r="J2" s="91">
        <v>10</v>
      </c>
      <c r="K2" s="91">
        <v>1</v>
      </c>
      <c r="L2" s="147">
        <f>_xll.qlRateHelperEarliestDate(E2,Trigger)</f>
        <v>41817</v>
      </c>
      <c r="M2" s="148">
        <f>_xll.qlRateHelperLatestDate(E2,Trigger)</f>
        <v>41824</v>
      </c>
      <c r="N2" s="70">
        <v>10</v>
      </c>
      <c r="O2" s="70" t="s">
        <v>69</v>
      </c>
    </row>
    <row r="3" spans="2:15" x14ac:dyDescent="0.2">
      <c r="B3" s="143"/>
      <c r="C3" s="144"/>
      <c r="D3" s="145" t="s">
        <v>97</v>
      </c>
      <c r="E3" s="145" t="str">
        <f>Deposits!E4</f>
        <v>obj_00623#0009</v>
      </c>
      <c r="F3" s="145" t="str">
        <f>_xll.qlRateHelperQuoteName(E3)</f>
        <v>GBP2WD_SYNTH1Y_Quote</v>
      </c>
      <c r="G3" s="146">
        <f>_xll.qlRateHelperQuoteValue(E3,Trigger)</f>
        <v>7.2009999999999999E-3</v>
      </c>
      <c r="H3" s="146"/>
      <c r="I3" s="91" t="b">
        <v>0</v>
      </c>
      <c r="J3" s="91">
        <v>10</v>
      </c>
      <c r="K3" s="91">
        <v>1</v>
      </c>
      <c r="L3" s="147">
        <f>_xll.qlRateHelperEarliestDate(E3,Trigger)</f>
        <v>41817</v>
      </c>
      <c r="M3" s="148">
        <f>_xll.qlRateHelperLatestDate(E3,Trigger)</f>
        <v>41831</v>
      </c>
      <c r="N3" s="70">
        <v>20</v>
      </c>
      <c r="O3" s="70" t="s">
        <v>70</v>
      </c>
    </row>
    <row r="4" spans="2:15" x14ac:dyDescent="0.2">
      <c r="B4" s="143"/>
      <c r="C4" s="144"/>
      <c r="D4" s="145" t="s">
        <v>98</v>
      </c>
      <c r="E4" s="145" t="str">
        <f>Deposits!E5</f>
        <v>obj_0062a#0009</v>
      </c>
      <c r="F4" s="145" t="str">
        <f>_xll.qlRateHelperQuoteName(E4)</f>
        <v>GBP3WD_SYNTH1Y_Quote</v>
      </c>
      <c r="G4" s="146">
        <f>_xll.qlRateHelperQuoteValue(E4,Trigger)</f>
        <v>7.2259999999999998E-3</v>
      </c>
      <c r="H4" s="146"/>
      <c r="I4" s="91" t="b">
        <v>0</v>
      </c>
      <c r="J4" s="91">
        <v>10</v>
      </c>
      <c r="K4" s="91">
        <v>1</v>
      </c>
      <c r="L4" s="147">
        <f>_xll.qlRateHelperEarliestDate(E4,Trigger)</f>
        <v>41817</v>
      </c>
      <c r="M4" s="148">
        <f>_xll.qlRateHelperLatestDate(E4,Trigger)</f>
        <v>41838</v>
      </c>
      <c r="N4" s="70">
        <v>30</v>
      </c>
      <c r="O4" s="70" t="s">
        <v>71</v>
      </c>
    </row>
    <row r="5" spans="2:15" x14ac:dyDescent="0.2">
      <c r="B5" s="143"/>
      <c r="C5" s="144"/>
      <c r="D5" s="145" t="s">
        <v>99</v>
      </c>
      <c r="E5" s="145" t="str">
        <f>Deposits!E6</f>
        <v>obj_0062c#0009</v>
      </c>
      <c r="F5" s="145" t="str">
        <f>_xll.qlRateHelperQuoteName(E5)</f>
        <v>GBP1MD_SYNTH1Y_Quote</v>
      </c>
      <c r="G5" s="146">
        <f>_xll.qlRateHelperQuoteValue(E5,Trigger)</f>
        <v>7.2610000000000001E-3</v>
      </c>
      <c r="H5" s="146"/>
      <c r="I5" s="91" t="b">
        <v>1</v>
      </c>
      <c r="J5" s="91">
        <v>10</v>
      </c>
      <c r="K5" s="91">
        <v>1</v>
      </c>
      <c r="L5" s="147">
        <f>_xll.qlRateHelperEarliestDate(E5,Trigger)</f>
        <v>41817</v>
      </c>
      <c r="M5" s="148">
        <f>_xll.qlRateHelperLatestDate(E5,Trigger)</f>
        <v>41848</v>
      </c>
      <c r="N5" s="70">
        <v>40</v>
      </c>
      <c r="O5" s="70" t="s">
        <v>82</v>
      </c>
    </row>
    <row r="6" spans="2:15" x14ac:dyDescent="0.2">
      <c r="B6" s="143"/>
      <c r="C6" s="144"/>
      <c r="D6" s="145" t="s">
        <v>100</v>
      </c>
      <c r="E6" s="145" t="str">
        <f>Deposits!E7</f>
        <v>obj_0062e#0009</v>
      </c>
      <c r="F6" s="145" t="str">
        <f>_xll.qlRateHelperQuoteName(E6)</f>
        <v>GBP2MD_SYNTH1Y_Quote</v>
      </c>
      <c r="G6" s="146">
        <f>_xll.qlRateHelperQuoteValue(E6,Trigger)</f>
        <v>7.4219999999999998E-3</v>
      </c>
      <c r="H6" s="146"/>
      <c r="I6" s="91" t="b">
        <v>1</v>
      </c>
      <c r="J6" s="91">
        <v>10</v>
      </c>
      <c r="K6" s="91">
        <v>1</v>
      </c>
      <c r="L6" s="147">
        <f>_xll.qlRateHelperEarliestDate(E6,Trigger)</f>
        <v>41817</v>
      </c>
      <c r="M6" s="148">
        <f>_xll.qlRateHelperLatestDate(E6,Trigger)</f>
        <v>41878</v>
      </c>
      <c r="N6" s="70">
        <v>50</v>
      </c>
      <c r="O6" s="70" t="s">
        <v>72</v>
      </c>
    </row>
    <row r="7" spans="2:15" x14ac:dyDescent="0.2">
      <c r="B7" s="143"/>
      <c r="C7" s="144"/>
      <c r="D7" s="145" t="s">
        <v>101</v>
      </c>
      <c r="E7" s="145" t="str">
        <f>Deposits!E8</f>
        <v>obj_00621#0009</v>
      </c>
      <c r="F7" s="145" t="str">
        <f>_xll.qlRateHelperQuoteName(E7)</f>
        <v>GBP3MD_SYNTH1Y_Quote</v>
      </c>
      <c r="G7" s="146">
        <f>_xll.qlRateHelperQuoteValue(E7,Trigger)</f>
        <v>7.6140000000000001E-3</v>
      </c>
      <c r="H7" s="146"/>
      <c r="I7" s="91" t="b">
        <v>1</v>
      </c>
      <c r="J7" s="91">
        <v>10</v>
      </c>
      <c r="K7" s="91">
        <v>1</v>
      </c>
      <c r="L7" s="147">
        <f>_xll.qlRateHelperEarliestDate(E7,Trigger)</f>
        <v>41817</v>
      </c>
      <c r="M7" s="148">
        <f>_xll.qlRateHelperLatestDate(E7,Trigger)</f>
        <v>41911</v>
      </c>
      <c r="N7" s="70">
        <v>60</v>
      </c>
      <c r="O7" s="70" t="s">
        <v>73</v>
      </c>
    </row>
    <row r="8" spans="2:15" x14ac:dyDescent="0.2">
      <c r="B8" s="143"/>
      <c r="C8" s="144"/>
      <c r="D8" s="145" t="s">
        <v>102</v>
      </c>
      <c r="E8" s="145" t="str">
        <f>Deposits!E9</f>
        <v>obj_00628#0009</v>
      </c>
      <c r="F8" s="145" t="str">
        <f>_xll.qlRateHelperQuoteName(E8)</f>
        <v>GBP4MD_SYNTH1Y_Quote</v>
      </c>
      <c r="G8" s="146">
        <f>_xll.qlRateHelperQuoteValue(E8,Trigger)</f>
        <v>7.7710000000000001E-3</v>
      </c>
      <c r="H8" s="146"/>
      <c r="I8" s="91" t="b">
        <v>1</v>
      </c>
      <c r="J8" s="91">
        <v>10</v>
      </c>
      <c r="K8" s="91">
        <v>1</v>
      </c>
      <c r="L8" s="147">
        <f>_xll.qlRateHelperEarliestDate(E8,Trigger)</f>
        <v>41817</v>
      </c>
      <c r="M8" s="148">
        <f>_xll.qlRateHelperLatestDate(E8,Trigger)</f>
        <v>41939</v>
      </c>
      <c r="N8" s="70">
        <v>70</v>
      </c>
      <c r="O8" s="70" t="s">
        <v>90</v>
      </c>
    </row>
    <row r="9" spans="2:15" x14ac:dyDescent="0.2">
      <c r="B9" s="143"/>
      <c r="C9" s="144"/>
      <c r="D9" s="145" t="s">
        <v>103</v>
      </c>
      <c r="E9" s="145" t="str">
        <f>Deposits!E10</f>
        <v>obj_00624#0009</v>
      </c>
      <c r="F9" s="145" t="str">
        <f>_xll.qlRateHelperQuoteName(E9)</f>
        <v>GBP5MD_SYNTH1Y_Quote</v>
      </c>
      <c r="G9" s="146">
        <f>_xll.qlRateHelperQuoteValue(E9,Trigger)</f>
        <v>8.0700000000000008E-3</v>
      </c>
      <c r="H9" s="146"/>
      <c r="I9" s="91" t="b">
        <v>1</v>
      </c>
      <c r="J9" s="91">
        <v>10</v>
      </c>
      <c r="K9" s="91">
        <v>1</v>
      </c>
      <c r="L9" s="147">
        <f>_xll.qlRateHelperEarliestDate(E9,Trigger)</f>
        <v>41817</v>
      </c>
      <c r="M9" s="148">
        <f>_xll.qlRateHelperLatestDate(E9,Trigger)</f>
        <v>41970</v>
      </c>
    </row>
    <row r="10" spans="2:15" x14ac:dyDescent="0.2">
      <c r="B10" s="143"/>
      <c r="C10" s="144"/>
      <c r="D10" s="145" t="s">
        <v>104</v>
      </c>
      <c r="E10" s="145" t="str">
        <f>Deposits!E11</f>
        <v>obj_00629#0009</v>
      </c>
      <c r="F10" s="145" t="str">
        <f>_xll.qlRateHelperQuoteName(E10)</f>
        <v>GBP6MD_SYNTH1Y_Quote</v>
      </c>
      <c r="G10" s="146">
        <f>_xll.qlRateHelperQuoteValue(E10,Trigger)</f>
        <v>8.3829999999999998E-3</v>
      </c>
      <c r="H10" s="146"/>
      <c r="I10" s="91" t="b">
        <v>1</v>
      </c>
      <c r="J10" s="91">
        <v>10</v>
      </c>
      <c r="K10" s="91">
        <v>1</v>
      </c>
      <c r="L10" s="147">
        <f>_xll.qlRateHelperEarliestDate(E10,Trigger)</f>
        <v>41817</v>
      </c>
      <c r="M10" s="148">
        <f>_xll.qlRateHelperLatestDate(E10,Trigger)</f>
        <v>42002</v>
      </c>
    </row>
    <row r="11" spans="2:15" x14ac:dyDescent="0.2">
      <c r="B11" s="143"/>
      <c r="C11" s="144"/>
      <c r="D11" s="145" t="s">
        <v>105</v>
      </c>
      <c r="E11" s="145" t="str">
        <f>Deposits!E12</f>
        <v>obj_00620#0009</v>
      </c>
      <c r="F11" s="145" t="str">
        <f>_xll.qlRateHelperQuoteName(E11)</f>
        <v>GBP7MD_SYNTH1Y_Quote</v>
      </c>
      <c r="G11" s="146">
        <f>_xll.qlRateHelperQuoteValue(E11,Trigger)</f>
        <v>8.6400000000000001E-3</v>
      </c>
      <c r="H11" s="146"/>
      <c r="I11" s="91" t="b">
        <v>1</v>
      </c>
      <c r="J11" s="91">
        <v>10</v>
      </c>
      <c r="K11" s="91">
        <v>1</v>
      </c>
      <c r="L11" s="147">
        <f>_xll.qlRateHelperEarliestDate(E11,Trigger)</f>
        <v>41817</v>
      </c>
      <c r="M11" s="148">
        <f>_xll.qlRateHelperLatestDate(E11,Trigger)</f>
        <v>42031</v>
      </c>
    </row>
    <row r="12" spans="2:15" x14ac:dyDescent="0.2">
      <c r="B12" s="143"/>
      <c r="C12" s="144"/>
      <c r="D12" s="145" t="s">
        <v>106</v>
      </c>
      <c r="E12" s="145" t="str">
        <f>Deposits!E13</f>
        <v>obj_00622#0009</v>
      </c>
      <c r="F12" s="145" t="str">
        <f>_xll.qlRateHelperQuoteName(E12)</f>
        <v>GBP8MD_SYNTH1Y_Quote</v>
      </c>
      <c r="G12" s="146">
        <f>_xll.qlRateHelperQuoteValue(E12,Trigger)</f>
        <v>9.0010000000000003E-3</v>
      </c>
      <c r="H12" s="146"/>
      <c r="I12" s="91" t="b">
        <v>1</v>
      </c>
      <c r="J12" s="91">
        <v>10</v>
      </c>
      <c r="K12" s="91">
        <v>1</v>
      </c>
      <c r="L12" s="147">
        <f>_xll.qlRateHelperEarliestDate(E12,Trigger)</f>
        <v>41817</v>
      </c>
      <c r="M12" s="148">
        <f>_xll.qlRateHelperLatestDate(E12,Trigger)</f>
        <v>42062</v>
      </c>
    </row>
    <row r="13" spans="2:15" x14ac:dyDescent="0.2">
      <c r="B13" s="143"/>
      <c r="C13" s="144"/>
      <c r="D13" s="145" t="s">
        <v>107</v>
      </c>
      <c r="E13" s="145" t="str">
        <f>Deposits!E14</f>
        <v>obj_0062d#0009</v>
      </c>
      <c r="F13" s="145" t="str">
        <f>_xll.qlRateHelperQuoteName(E13)</f>
        <v>GBP9MD_SYNTH1Y_Quote</v>
      </c>
      <c r="G13" s="146">
        <f>_xll.qlRateHelperQuoteValue(E13,Trigger)</f>
        <v>9.3299999999999998E-3</v>
      </c>
      <c r="H13" s="146"/>
      <c r="I13" s="91" t="b">
        <v>1</v>
      </c>
      <c r="J13" s="91">
        <v>10</v>
      </c>
      <c r="K13" s="91">
        <v>1</v>
      </c>
      <c r="L13" s="147">
        <f>_xll.qlRateHelperEarliestDate(E13,Trigger)</f>
        <v>41817</v>
      </c>
      <c r="M13" s="148">
        <f>_xll.qlRateHelperLatestDate(E13,Trigger)</f>
        <v>42090</v>
      </c>
    </row>
    <row r="14" spans="2:15" x14ac:dyDescent="0.2">
      <c r="B14" s="143"/>
      <c r="C14" s="144"/>
      <c r="D14" s="145" t="s">
        <v>108</v>
      </c>
      <c r="E14" s="145" t="str">
        <f>Deposits!E15</f>
        <v>obj_00625#0009</v>
      </c>
      <c r="F14" s="145" t="str">
        <f>_xll.qlRateHelperQuoteName(E14)</f>
        <v>GBP10MD_SYNTH1Y_Quote</v>
      </c>
      <c r="G14" s="146">
        <f>_xll.qlRateHelperQuoteValue(E14,Trigger)</f>
        <v>9.6780000000000008E-3</v>
      </c>
      <c r="H14" s="146"/>
      <c r="I14" s="91" t="b">
        <v>1</v>
      </c>
      <c r="J14" s="91">
        <v>10</v>
      </c>
      <c r="K14" s="91">
        <v>1</v>
      </c>
      <c r="L14" s="147">
        <f>_xll.qlRateHelperEarliestDate(E14,Trigger)</f>
        <v>41817</v>
      </c>
      <c r="M14" s="148">
        <f>_xll.qlRateHelperLatestDate(E14,Trigger)</f>
        <v>42121</v>
      </c>
    </row>
    <row r="15" spans="2:15" x14ac:dyDescent="0.2">
      <c r="B15" s="143"/>
      <c r="C15" s="144"/>
      <c r="D15" s="145" t="s">
        <v>109</v>
      </c>
      <c r="E15" s="145" t="str">
        <f>Deposits!E16</f>
        <v>obj_00626#0009</v>
      </c>
      <c r="F15" s="145" t="str">
        <f>_xll.qlRateHelperQuoteName(E15)</f>
        <v>GBP11MD_SYNTH1Y_Quote</v>
      </c>
      <c r="G15" s="146">
        <f>_xll.qlRateHelperQuoteValue(E15,Trigger)</f>
        <v>1.0036E-2</v>
      </c>
      <c r="H15" s="146"/>
      <c r="I15" s="91" t="b">
        <v>1</v>
      </c>
      <c r="J15" s="91">
        <v>10</v>
      </c>
      <c r="K15" s="91">
        <v>1</v>
      </c>
      <c r="L15" s="147">
        <f>_xll.qlRateHelperEarliestDate(E15,Trigger)</f>
        <v>41817</v>
      </c>
      <c r="M15" s="148">
        <f>_xll.qlRateHelperLatestDate(E15,Trigger)</f>
        <v>42151</v>
      </c>
    </row>
    <row r="16" spans="2:15" x14ac:dyDescent="0.2">
      <c r="B16" s="143"/>
      <c r="C16" s="144"/>
      <c r="D16" s="145" t="s">
        <v>25</v>
      </c>
      <c r="E16" s="145" t="str">
        <f>Deposits!E17</f>
        <v>obj_0062b#0009</v>
      </c>
      <c r="F16" s="145" t="str">
        <f>_xll.qlRateHelperQuoteName(E16)</f>
        <v>GBP1YD_SYNTH1Y_Quote</v>
      </c>
      <c r="G16" s="151">
        <f>_xll.qlRateHelperQuoteValue(E16,Trigger)</f>
        <v>1.0449999999999999E-2</v>
      </c>
      <c r="H16" s="151"/>
      <c r="I16" s="152" t="b">
        <v>1</v>
      </c>
      <c r="J16" s="152">
        <v>70</v>
      </c>
      <c r="K16" s="152">
        <v>1</v>
      </c>
      <c r="L16" s="153">
        <f>_xll.qlRateHelperEarliestDate(E16,Trigger)</f>
        <v>41817</v>
      </c>
      <c r="M16" s="154">
        <f>_xll.qlRateHelperLatestDate(E16,Trigger)</f>
        <v>42184</v>
      </c>
    </row>
    <row r="17" spans="2:13" x14ac:dyDescent="0.2">
      <c r="B17" s="155">
        <v>1</v>
      </c>
      <c r="C17" s="156" t="s">
        <v>91</v>
      </c>
      <c r="D17" s="157" t="str">
        <f t="shared" ref="D17:D40" si="0">(B17+Months)&amp;"F"</f>
        <v>13F</v>
      </c>
      <c r="E17" s="145" t="str">
        <f>FRAs!H3</f>
        <v>obj_005fe#0008</v>
      </c>
      <c r="F17" s="157" t="str">
        <f>_xll.qlRateHelperQuoteName(E17)</f>
        <v>GBP1x13F_SYNTH1Y_Quote</v>
      </c>
      <c r="G17" s="146">
        <f>_xll.qlRateHelperQuoteValue($E14,Trigger)</f>
        <v>9.6780000000000008E-3</v>
      </c>
      <c r="H17" s="146"/>
      <c r="I17" s="91" t="b">
        <v>1</v>
      </c>
      <c r="J17" s="91">
        <v>20</v>
      </c>
      <c r="K17" s="91">
        <v>7</v>
      </c>
      <c r="L17" s="147">
        <f>_xll.qlRateHelperEarliestDate($E14,Trigger)</f>
        <v>41817</v>
      </c>
      <c r="M17" s="148">
        <f>_xll.qlRateHelperLatestDate($E14,Trigger)</f>
        <v>42121</v>
      </c>
    </row>
    <row r="18" spans="2:13" x14ac:dyDescent="0.2">
      <c r="B18" s="159">
        <v>2</v>
      </c>
      <c r="C18" s="144" t="s">
        <v>91</v>
      </c>
      <c r="D18" s="145" t="str">
        <f t="shared" si="0"/>
        <v>14F</v>
      </c>
      <c r="E18" s="145" t="str">
        <f>FRAs!H4</f>
        <v>obj_0060e#0010</v>
      </c>
      <c r="F18" s="145" t="str">
        <f>_xll.qlRateHelperQuoteName(E18)</f>
        <v>GBP2x14F_SYNTH1Y_Quote</v>
      </c>
      <c r="G18" s="146">
        <f>_xll.qlRateHelperQuoteValue($E15,Trigger)</f>
        <v>1.0036E-2</v>
      </c>
      <c r="H18" s="146"/>
      <c r="I18" s="91" t="b">
        <v>1</v>
      </c>
      <c r="J18" s="91">
        <v>20</v>
      </c>
      <c r="K18" s="91">
        <v>7</v>
      </c>
      <c r="L18" s="147">
        <f>_xll.qlRateHelperEarliestDate($E15,Trigger)</f>
        <v>41817</v>
      </c>
      <c r="M18" s="148">
        <f>_xll.qlRateHelperLatestDate($E15,Trigger)</f>
        <v>42151</v>
      </c>
    </row>
    <row r="19" spans="2:13" x14ac:dyDescent="0.2">
      <c r="B19" s="159">
        <v>3</v>
      </c>
      <c r="C19" s="144" t="s">
        <v>91</v>
      </c>
      <c r="D19" s="145" t="str">
        <f t="shared" si="0"/>
        <v>15F</v>
      </c>
      <c r="E19" s="145" t="str">
        <f>FRAs!H5</f>
        <v>obj_00606#0010</v>
      </c>
      <c r="F19" s="145" t="str">
        <f>_xll.qlRateHelperQuoteName(E19)</f>
        <v>GBP3x15F_SYNTH1Y_Quote</v>
      </c>
      <c r="G19" s="146">
        <f>_xll.qlRateHelperQuoteValue($E16,Trigger)</f>
        <v>1.0449999999999999E-2</v>
      </c>
      <c r="H19" s="146"/>
      <c r="I19" s="91" t="b">
        <v>1</v>
      </c>
      <c r="J19" s="91">
        <v>20</v>
      </c>
      <c r="K19" s="91">
        <v>7</v>
      </c>
      <c r="L19" s="147">
        <f>_xll.qlRateHelperEarliestDate($E16,Trigger)</f>
        <v>41817</v>
      </c>
      <c r="M19" s="148">
        <f>_xll.qlRateHelperLatestDate($E16,Trigger)</f>
        <v>42184</v>
      </c>
    </row>
    <row r="20" spans="2:13" x14ac:dyDescent="0.2">
      <c r="B20" s="159">
        <v>4</v>
      </c>
      <c r="C20" s="144" t="s">
        <v>91</v>
      </c>
      <c r="D20" s="145" t="str">
        <f t="shared" si="0"/>
        <v>16F</v>
      </c>
      <c r="E20" s="145" t="str">
        <f>FRAs!H6</f>
        <v>obj_005f3#0010</v>
      </c>
      <c r="F20" s="145" t="str">
        <f>_xll.qlRateHelperQuoteName(E20)</f>
        <v>GBP4x16F_SYNTH1Y_Quote</v>
      </c>
      <c r="G20" s="146">
        <f>_xll.qlRateHelperQuoteValue($E17,Trigger)</f>
        <v>1.1148999999999999E-2</v>
      </c>
      <c r="H20" s="146"/>
      <c r="I20" s="91" t="b">
        <v>0</v>
      </c>
      <c r="J20" s="91">
        <v>20</v>
      </c>
      <c r="K20" s="91">
        <v>7</v>
      </c>
      <c r="L20" s="147">
        <f>_xll.qlRateHelperEarliestDate($E17,Trigger)</f>
        <v>41848</v>
      </c>
      <c r="M20" s="148">
        <f>_xll.qlRateHelperLatestDate($E17,Trigger)</f>
        <v>42213</v>
      </c>
    </row>
    <row r="21" spans="2:13" x14ac:dyDescent="0.2">
      <c r="B21" s="159">
        <v>5</v>
      </c>
      <c r="C21" s="144" t="s">
        <v>91</v>
      </c>
      <c r="D21" s="145" t="str">
        <f t="shared" si="0"/>
        <v>17F</v>
      </c>
      <c r="E21" s="145" t="str">
        <f>FRAs!H7</f>
        <v>obj_005fd#0010</v>
      </c>
      <c r="F21" s="145" t="str">
        <f>_xll.qlRateHelperQuoteName(E21)</f>
        <v>GBP5x17F_SYNTH1Y_Quote</v>
      </c>
      <c r="G21" s="146">
        <f>_xll.qlRateHelperQuoteValue($E18,Trigger)</f>
        <v>1.1893000000000001E-2</v>
      </c>
      <c r="H21" s="146"/>
      <c r="I21" s="91" t="b">
        <v>0</v>
      </c>
      <c r="J21" s="91">
        <v>20</v>
      </c>
      <c r="K21" s="91">
        <v>7</v>
      </c>
      <c r="L21" s="147">
        <f>_xll.qlRateHelperEarliestDate($E18,Trigger)</f>
        <v>41878</v>
      </c>
      <c r="M21" s="148">
        <f>_xll.qlRateHelperLatestDate($E18,Trigger)</f>
        <v>42243</v>
      </c>
    </row>
    <row r="22" spans="2:13" x14ac:dyDescent="0.2">
      <c r="B22" s="159">
        <v>6</v>
      </c>
      <c r="C22" s="144" t="s">
        <v>91</v>
      </c>
      <c r="D22" s="145" t="str">
        <f t="shared" si="0"/>
        <v>18F</v>
      </c>
      <c r="E22" s="145" t="str">
        <f>FRAs!H8</f>
        <v>obj_00607#0010</v>
      </c>
      <c r="F22" s="145" t="str">
        <f>_xll.qlRateHelperQuoteName(E22)</f>
        <v>GBP6x18F_SYNTH1Y_Quote</v>
      </c>
      <c r="G22" s="146">
        <f>_xll.qlRateHelperQuoteValue($E19,Trigger)</f>
        <v>1.2756E-2</v>
      </c>
      <c r="H22" s="146"/>
      <c r="I22" s="91" t="b">
        <v>1</v>
      </c>
      <c r="J22" s="91">
        <v>20</v>
      </c>
      <c r="K22" s="91">
        <v>7</v>
      </c>
      <c r="L22" s="147">
        <f>_xll.qlRateHelperEarliestDate($E19,Trigger)</f>
        <v>41911</v>
      </c>
      <c r="M22" s="148">
        <f>_xll.qlRateHelperLatestDate($E19,Trigger)</f>
        <v>42276</v>
      </c>
    </row>
    <row r="23" spans="2:13" x14ac:dyDescent="0.2">
      <c r="B23" s="159">
        <v>7</v>
      </c>
      <c r="C23" s="144" t="s">
        <v>91</v>
      </c>
      <c r="D23" s="145" t="str">
        <f t="shared" si="0"/>
        <v>19F</v>
      </c>
      <c r="E23" s="145" t="str">
        <f>FRAs!H9</f>
        <v>obj_005f6#0010</v>
      </c>
      <c r="F23" s="145" t="str">
        <f>_xll.qlRateHelperQuoteName(E23)</f>
        <v>GBP7x19F_SYNTH1Y_Quote</v>
      </c>
      <c r="G23" s="146">
        <f>_xll.qlRateHelperQuoteValue($E20,Trigger)</f>
        <v>1.3521999999999999E-2</v>
      </c>
      <c r="H23" s="146"/>
      <c r="I23" s="91" t="b">
        <v>0</v>
      </c>
      <c r="J23" s="91">
        <v>20</v>
      </c>
      <c r="K23" s="91">
        <v>7</v>
      </c>
      <c r="L23" s="147">
        <f>_xll.qlRateHelperEarliestDate($E20,Trigger)</f>
        <v>41939</v>
      </c>
      <c r="M23" s="148">
        <f>_xll.qlRateHelperLatestDate($E20,Trigger)</f>
        <v>42304</v>
      </c>
    </row>
    <row r="24" spans="2:13" x14ac:dyDescent="0.2">
      <c r="B24" s="159">
        <v>8</v>
      </c>
      <c r="C24" s="144" t="s">
        <v>91</v>
      </c>
      <c r="D24" s="145" t="str">
        <f t="shared" si="0"/>
        <v>20F</v>
      </c>
      <c r="E24" s="145" t="str">
        <f>FRAs!H10</f>
        <v>obj_005ec#0010</v>
      </c>
      <c r="F24" s="145" t="str">
        <f>_xll.qlRateHelperQuoteName(E24)</f>
        <v>GBP8x20F_SYNTH1Y_Quote</v>
      </c>
      <c r="G24" s="146">
        <f>_xll.qlRateHelperQuoteValue($E21,Trigger)</f>
        <v>1.435E-2</v>
      </c>
      <c r="H24" s="146"/>
      <c r="I24" s="91" t="b">
        <v>0</v>
      </c>
      <c r="J24" s="91">
        <v>20</v>
      </c>
      <c r="K24" s="91">
        <v>7</v>
      </c>
      <c r="L24" s="147">
        <f>_xll.qlRateHelperEarliestDate($E21,Trigger)</f>
        <v>41970</v>
      </c>
      <c r="M24" s="148">
        <f>_xll.qlRateHelperLatestDate($E21,Trigger)</f>
        <v>42335</v>
      </c>
    </row>
    <row r="25" spans="2:13" x14ac:dyDescent="0.2">
      <c r="B25" s="159">
        <v>9</v>
      </c>
      <c r="C25" s="144" t="s">
        <v>91</v>
      </c>
      <c r="D25" s="145" t="str">
        <f t="shared" si="0"/>
        <v>21F</v>
      </c>
      <c r="E25" s="145" t="str">
        <f>FRAs!H11</f>
        <v>obj_00602#0010</v>
      </c>
      <c r="F25" s="145" t="str">
        <f>_xll.qlRateHelperQuoteName(E25)</f>
        <v>GBP9x21F_SYNTH1Y_Quote</v>
      </c>
      <c r="G25" s="146">
        <f>_xll.qlRateHelperQuoteValue($E22,Trigger)</f>
        <v>1.5212E-2</v>
      </c>
      <c r="H25" s="146"/>
      <c r="I25" s="91" t="b">
        <v>1</v>
      </c>
      <c r="J25" s="91">
        <v>20</v>
      </c>
      <c r="K25" s="91">
        <v>7</v>
      </c>
      <c r="L25" s="147">
        <f>_xll.qlRateHelperEarliestDate($E22,Trigger)</f>
        <v>42002</v>
      </c>
      <c r="M25" s="148">
        <f>_xll.qlRateHelperLatestDate($E22,Trigger)</f>
        <v>42367</v>
      </c>
    </row>
    <row r="26" spans="2:13" x14ac:dyDescent="0.2">
      <c r="B26" s="159">
        <v>10</v>
      </c>
      <c r="C26" s="144" t="s">
        <v>91</v>
      </c>
      <c r="D26" s="145" t="str">
        <f t="shared" si="0"/>
        <v>22F</v>
      </c>
      <c r="E26" s="145" t="str">
        <f>FRAs!H12</f>
        <v>obj_005e9#0010</v>
      </c>
      <c r="F26" s="145" t="str">
        <f>_xll.qlRateHelperQuoteName(E26)</f>
        <v>GBP10x22F_SYNTH1Y_Quote</v>
      </c>
      <c r="G26" s="146">
        <f>_xll.qlRateHelperQuoteValue($E23,Trigger)</f>
        <v>1.6015000000000001E-2</v>
      </c>
      <c r="H26" s="146"/>
      <c r="I26" s="91" t="b">
        <v>0</v>
      </c>
      <c r="J26" s="91">
        <v>20</v>
      </c>
      <c r="K26" s="91">
        <v>7</v>
      </c>
      <c r="L26" s="147">
        <f>_xll.qlRateHelperEarliestDate($E23,Trigger)</f>
        <v>42031</v>
      </c>
      <c r="M26" s="148">
        <f>_xll.qlRateHelperLatestDate($E23,Trigger)</f>
        <v>42396</v>
      </c>
    </row>
    <row r="27" spans="2:13" x14ac:dyDescent="0.2">
      <c r="B27" s="159">
        <v>11</v>
      </c>
      <c r="C27" s="144" t="s">
        <v>91</v>
      </c>
      <c r="D27" s="145" t="str">
        <f t="shared" si="0"/>
        <v>23F</v>
      </c>
      <c r="E27" s="145" t="str">
        <f>FRAs!H13</f>
        <v>obj_0060d#0010</v>
      </c>
      <c r="F27" s="145" t="str">
        <f>_xll.qlRateHelperQuoteName(E27)</f>
        <v>GBP11x23F_SYNTH1Y_Quote</v>
      </c>
      <c r="G27" s="146">
        <f>_xll.qlRateHelperQuoteValue($E24,Trigger)</f>
        <v>1.6841999999999999E-2</v>
      </c>
      <c r="H27" s="146"/>
      <c r="I27" s="91" t="b">
        <v>0</v>
      </c>
      <c r="J27" s="91">
        <v>20</v>
      </c>
      <c r="K27" s="91">
        <v>7</v>
      </c>
      <c r="L27" s="147">
        <f>_xll.qlRateHelperEarliestDate($E24,Trigger)</f>
        <v>42062</v>
      </c>
      <c r="M27" s="148">
        <f>_xll.qlRateHelperLatestDate($E24,Trigger)</f>
        <v>42429</v>
      </c>
    </row>
    <row r="28" spans="2:13" x14ac:dyDescent="0.2">
      <c r="B28" s="159">
        <v>12</v>
      </c>
      <c r="C28" s="144" t="s">
        <v>91</v>
      </c>
      <c r="D28" s="145" t="str">
        <f t="shared" si="0"/>
        <v>24F</v>
      </c>
      <c r="E28" s="145" t="str">
        <f>FRAs!H14</f>
        <v>obj_00609#0010</v>
      </c>
      <c r="F28" s="145" t="str">
        <f>_xll.qlRateHelperQuoteName(E28)</f>
        <v>GBP12x24F_Quote</v>
      </c>
      <c r="G28" s="146">
        <f>_xll.qlRateHelperQuoteValue($E25,Trigger)</f>
        <v>1.7565999999999998E-2</v>
      </c>
      <c r="H28" s="146"/>
      <c r="I28" s="91" t="b">
        <v>1</v>
      </c>
      <c r="J28" s="91">
        <v>20</v>
      </c>
      <c r="K28" s="91">
        <v>7</v>
      </c>
      <c r="L28" s="147">
        <f>_xll.qlRateHelperEarliestDate($E25,Trigger)</f>
        <v>42090</v>
      </c>
      <c r="M28" s="148">
        <f>_xll.qlRateHelperLatestDate($E25,Trigger)</f>
        <v>42458</v>
      </c>
    </row>
    <row r="29" spans="2:13" x14ac:dyDescent="0.2">
      <c r="B29" s="159">
        <v>13</v>
      </c>
      <c r="C29" s="144" t="s">
        <v>91</v>
      </c>
      <c r="D29" s="145" t="str">
        <f t="shared" si="0"/>
        <v>25F</v>
      </c>
      <c r="E29" s="145" t="str">
        <f>FRAs!H15</f>
        <v>obj_005eb#0010</v>
      </c>
      <c r="F29" s="145" t="str">
        <f>_xll.qlRateHelperQuoteName(E29)</f>
        <v>GBP13x25F_SYNTH1Y_Quote</v>
      </c>
      <c r="G29" s="146">
        <f>_xll.qlRateHelperQuoteValue($E26,Trigger)</f>
        <v>1.8331E-2</v>
      </c>
      <c r="H29" s="146"/>
      <c r="I29" s="91" t="b">
        <v>0</v>
      </c>
      <c r="J29" s="91">
        <v>20</v>
      </c>
      <c r="K29" s="91">
        <v>7</v>
      </c>
      <c r="L29" s="147">
        <f>_xll.qlRateHelperEarliestDate($E26,Trigger)</f>
        <v>42121</v>
      </c>
      <c r="M29" s="148">
        <f>_xll.qlRateHelperLatestDate($E26,Trigger)</f>
        <v>42487</v>
      </c>
    </row>
    <row r="30" spans="2:13" x14ac:dyDescent="0.2">
      <c r="B30" s="159">
        <v>14</v>
      </c>
      <c r="C30" s="144" t="s">
        <v>91</v>
      </c>
      <c r="D30" s="145" t="str">
        <f t="shared" si="0"/>
        <v>26F</v>
      </c>
      <c r="E30" s="145" t="str">
        <f>FRAs!H16</f>
        <v>obj_00601#0010</v>
      </c>
      <c r="F30" s="145" t="str">
        <f>_xll.qlRateHelperQuoteName(E30)</f>
        <v>GBP14x26F_SYNTH1Y_Quote</v>
      </c>
      <c r="G30" s="146">
        <f>_xll.qlRateHelperQuoteValue($E27,Trigger)</f>
        <v>1.9054999999999999E-2</v>
      </c>
      <c r="H30" s="146"/>
      <c r="I30" s="91" t="b">
        <v>0</v>
      </c>
      <c r="J30" s="91">
        <v>20</v>
      </c>
      <c r="K30" s="91">
        <v>7</v>
      </c>
      <c r="L30" s="147">
        <f>_xll.qlRateHelperEarliestDate($E27,Trigger)</f>
        <v>42151</v>
      </c>
      <c r="M30" s="148">
        <f>_xll.qlRateHelperLatestDate($E27,Trigger)</f>
        <v>42517</v>
      </c>
    </row>
    <row r="31" spans="2:13" x14ac:dyDescent="0.2">
      <c r="B31" s="159">
        <v>15</v>
      </c>
      <c r="C31" s="144" t="s">
        <v>91</v>
      </c>
      <c r="D31" s="145" t="str">
        <f t="shared" si="0"/>
        <v>27F</v>
      </c>
      <c r="E31" s="145" t="str">
        <f>FRAs!H17</f>
        <v>obj_005ea#0010</v>
      </c>
      <c r="F31" s="145" t="str">
        <f>_xll.qlRateHelperQuoteName(E31)</f>
        <v>GBP15x27F_SYNTH1Y_Quote</v>
      </c>
      <c r="G31" s="146">
        <f>_xll.qlRateHelperQuoteValue($E28,Trigger)</f>
        <v>1.9799999999999998E-2</v>
      </c>
      <c r="H31" s="146"/>
      <c r="I31" s="91" t="b">
        <v>1</v>
      </c>
      <c r="J31" s="91">
        <v>20</v>
      </c>
      <c r="K31" s="91">
        <v>7</v>
      </c>
      <c r="L31" s="147">
        <f>_xll.qlRateHelperEarliestDate($E28,Trigger)</f>
        <v>42184</v>
      </c>
      <c r="M31" s="148">
        <f>_xll.qlRateHelperLatestDate($E28,Trigger)</f>
        <v>42550</v>
      </c>
    </row>
    <row r="32" spans="2:13" x14ac:dyDescent="0.2">
      <c r="B32" s="159">
        <v>16</v>
      </c>
      <c r="C32" s="144" t="s">
        <v>91</v>
      </c>
      <c r="D32" s="145" t="str">
        <f t="shared" si="0"/>
        <v>28F</v>
      </c>
      <c r="E32" s="145" t="str">
        <f>FRAs!H18</f>
        <v>obj_00610#0010</v>
      </c>
      <c r="F32" s="145" t="str">
        <f>_xll.qlRateHelperQuoteName(E32)</f>
        <v>GBP16x28F_SYNTH1Y_Quote</v>
      </c>
      <c r="G32" s="146">
        <f>_xll.qlRateHelperQuoteValue($E29,Trigger)</f>
        <v>2.0392E-2</v>
      </c>
      <c r="H32" s="146"/>
      <c r="I32" s="91" t="b">
        <v>0</v>
      </c>
      <c r="J32" s="91">
        <v>20</v>
      </c>
      <c r="K32" s="91">
        <v>7</v>
      </c>
      <c r="L32" s="147">
        <f>_xll.qlRateHelperEarliestDate($E29,Trigger)</f>
        <v>42212</v>
      </c>
      <c r="M32" s="148">
        <f>_xll.qlRateHelperLatestDate($E29,Trigger)</f>
        <v>42578</v>
      </c>
    </row>
    <row r="33" spans="2:13" x14ac:dyDescent="0.2">
      <c r="B33" s="159">
        <v>17</v>
      </c>
      <c r="C33" s="144" t="s">
        <v>91</v>
      </c>
      <c r="D33" s="145" t="str">
        <f t="shared" si="0"/>
        <v>29F</v>
      </c>
      <c r="E33" s="145" t="str">
        <f>FRAs!H19</f>
        <v>obj_00605#0010</v>
      </c>
      <c r="F33" s="145" t="str">
        <f>_xll.qlRateHelperQuoteName(E33)</f>
        <v>GBP17x29F_SYNTH1Y_Quote</v>
      </c>
      <c r="G33" s="146">
        <f>_xll.qlRateHelperQuoteValue($E30,Trigger)</f>
        <v>2.1037E-2</v>
      </c>
      <c r="H33" s="146"/>
      <c r="I33" s="91" t="b">
        <v>0</v>
      </c>
      <c r="J33" s="91">
        <v>20</v>
      </c>
      <c r="K33" s="91">
        <v>7</v>
      </c>
      <c r="L33" s="147">
        <f>_xll.qlRateHelperEarliestDate($E30,Trigger)</f>
        <v>42243</v>
      </c>
      <c r="M33" s="148">
        <f>_xll.qlRateHelperLatestDate($E30,Trigger)</f>
        <v>42612</v>
      </c>
    </row>
    <row r="34" spans="2:13" x14ac:dyDescent="0.2">
      <c r="B34" s="159">
        <v>18</v>
      </c>
      <c r="C34" s="144" t="s">
        <v>91</v>
      </c>
      <c r="D34" s="145" t="str">
        <f t="shared" si="0"/>
        <v>30F</v>
      </c>
      <c r="E34" s="145" t="str">
        <f>FRAs!H20</f>
        <v>obj_005fa#0010</v>
      </c>
      <c r="F34" s="145" t="str">
        <f>_xll.qlRateHelperQuoteName(E34)</f>
        <v>GBP18x30F_SYNTH1Y_Quote</v>
      </c>
      <c r="G34" s="146">
        <f>_xll.qlRateHelperQuoteValue($E31,Trigger)</f>
        <v>2.1604000000000002E-2</v>
      </c>
      <c r="H34" s="146"/>
      <c r="I34" s="91" t="b">
        <v>0</v>
      </c>
      <c r="J34" s="91">
        <v>20</v>
      </c>
      <c r="K34" s="91">
        <v>7</v>
      </c>
      <c r="L34" s="147">
        <f>_xll.qlRateHelperEarliestDate($E31,Trigger)</f>
        <v>42275</v>
      </c>
      <c r="M34" s="148">
        <f>_xll.qlRateHelperLatestDate($E31,Trigger)</f>
        <v>42641</v>
      </c>
    </row>
    <row r="35" spans="2:13" x14ac:dyDescent="0.2">
      <c r="B35" s="159">
        <v>19</v>
      </c>
      <c r="C35" s="144" t="s">
        <v>91</v>
      </c>
      <c r="D35" s="145" t="str">
        <f t="shared" si="0"/>
        <v>31F</v>
      </c>
      <c r="E35" s="145" t="str">
        <f>FRAs!H21</f>
        <v>obj_005fb#0010</v>
      </c>
      <c r="F35" s="145" t="str">
        <f>_xll.qlRateHelperQuoteName(E35)</f>
        <v>GBP19x31F_SYNTH1Y_Quote</v>
      </c>
      <c r="G35" s="146">
        <f>_xll.qlRateHelperQuoteValue($E32,Trigger)</f>
        <v>2.2116E-2</v>
      </c>
      <c r="H35" s="146"/>
      <c r="I35" s="91" t="b">
        <v>0</v>
      </c>
      <c r="J35" s="91">
        <v>20</v>
      </c>
      <c r="K35" s="91">
        <v>7</v>
      </c>
      <c r="L35" s="147">
        <f>_xll.qlRateHelperEarliestDate($E32,Trigger)</f>
        <v>42304</v>
      </c>
      <c r="M35" s="148">
        <f>_xll.qlRateHelperLatestDate($E32,Trigger)</f>
        <v>42670</v>
      </c>
    </row>
    <row r="36" spans="2:13" x14ac:dyDescent="0.2">
      <c r="B36" s="159">
        <v>20</v>
      </c>
      <c r="C36" s="144" t="s">
        <v>91</v>
      </c>
      <c r="D36" s="145" t="str">
        <f t="shared" si="0"/>
        <v>32F</v>
      </c>
      <c r="E36" s="145" t="str">
        <f>FRAs!H22</f>
        <v>obj_0060f#0010</v>
      </c>
      <c r="F36" s="145" t="str">
        <f>_xll.qlRateHelperQuoteName(E36)</f>
        <v>GBP20x32F_SYNTH1Y_Quote</v>
      </c>
      <c r="G36" s="146">
        <f>_xll.qlRateHelperQuoteValue($E33,Trigger)</f>
        <v>2.2645999999999999E-2</v>
      </c>
      <c r="H36" s="146"/>
      <c r="I36" s="91" t="b">
        <v>0</v>
      </c>
      <c r="J36" s="91">
        <v>20</v>
      </c>
      <c r="K36" s="91">
        <v>7</v>
      </c>
      <c r="L36" s="147">
        <f>_xll.qlRateHelperEarliestDate($E33,Trigger)</f>
        <v>42335</v>
      </c>
      <c r="M36" s="148">
        <f>_xll.qlRateHelperLatestDate($E33,Trigger)</f>
        <v>42702</v>
      </c>
    </row>
    <row r="37" spans="2:13" x14ac:dyDescent="0.2">
      <c r="B37" s="159">
        <v>21</v>
      </c>
      <c r="C37" s="144" t="s">
        <v>91</v>
      </c>
      <c r="D37" s="145" t="str">
        <f t="shared" si="0"/>
        <v>33F</v>
      </c>
      <c r="E37" s="145" t="str">
        <f>FRAs!H23</f>
        <v>obj_005ff#0010</v>
      </c>
      <c r="F37" s="145" t="str">
        <f>_xll.qlRateHelperQuoteName(E37)</f>
        <v>GBP21x33F_SYNTH1Y_Quote</v>
      </c>
      <c r="G37" s="146">
        <f>_xll.qlRateHelperQuoteValue($E34,Trigger)</f>
        <v>2.3148999999999999E-2</v>
      </c>
      <c r="H37" s="146"/>
      <c r="I37" s="91" t="b">
        <v>0</v>
      </c>
      <c r="J37" s="91">
        <v>20</v>
      </c>
      <c r="K37" s="91">
        <v>7</v>
      </c>
      <c r="L37" s="147">
        <f>_xll.qlRateHelperEarliestDate($E34,Trigger)</f>
        <v>42367</v>
      </c>
      <c r="M37" s="148">
        <f>_xll.qlRateHelperLatestDate($E34,Trigger)</f>
        <v>42733</v>
      </c>
    </row>
    <row r="38" spans="2:13" ht="11.25" customHeight="1" x14ac:dyDescent="0.2">
      <c r="B38" s="159">
        <v>22</v>
      </c>
      <c r="C38" s="144" t="s">
        <v>91</v>
      </c>
      <c r="D38" s="145" t="str">
        <f t="shared" si="0"/>
        <v>34F</v>
      </c>
      <c r="E38" s="145" t="str">
        <f>FRAs!H24</f>
        <v>obj_00600#0010</v>
      </c>
      <c r="F38" s="145" t="str">
        <f>_xll.qlRateHelperQuoteName(E38)</f>
        <v>GBP22x34F_SYNTH1Y_Quote</v>
      </c>
      <c r="G38" s="146">
        <f>_xll.qlRateHelperQuoteValue($E35,Trigger)</f>
        <v>2.3591999999999998E-2</v>
      </c>
      <c r="H38" s="146"/>
      <c r="I38" s="91" t="b">
        <v>0</v>
      </c>
      <c r="J38" s="91">
        <v>20</v>
      </c>
      <c r="K38" s="91">
        <v>7</v>
      </c>
      <c r="L38" s="147">
        <f>_xll.qlRateHelperEarliestDate($E35,Trigger)</f>
        <v>42396</v>
      </c>
      <c r="M38" s="148">
        <f>_xll.qlRateHelperLatestDate($E35,Trigger)</f>
        <v>42762</v>
      </c>
    </row>
    <row r="39" spans="2:13" x14ac:dyDescent="0.2">
      <c r="B39" s="159">
        <v>23</v>
      </c>
      <c r="C39" s="144" t="s">
        <v>91</v>
      </c>
      <c r="D39" s="145" t="str">
        <f t="shared" si="0"/>
        <v>35F</v>
      </c>
      <c r="E39" s="145" t="str">
        <f>FRAs!H25</f>
        <v>obj_00603#0010</v>
      </c>
      <c r="F39" s="145" t="str">
        <f>_xll.qlRateHelperQuoteName(E39)</f>
        <v>GBP23x35F_SYNTH1Y_Quote</v>
      </c>
      <c r="G39" s="146">
        <f>_xll.qlRateHelperQuoteValue($E36,Trigger)</f>
        <v>2.4070000000000001E-2</v>
      </c>
      <c r="H39" s="146"/>
      <c r="I39" s="91" t="b">
        <v>0</v>
      </c>
      <c r="J39" s="91">
        <v>20</v>
      </c>
      <c r="K39" s="91">
        <v>7</v>
      </c>
      <c r="L39" s="147">
        <f>_xll.qlRateHelperEarliestDate($E36,Trigger)</f>
        <v>42429</v>
      </c>
      <c r="M39" s="148">
        <f>_xll.qlRateHelperLatestDate($E36,Trigger)</f>
        <v>42794</v>
      </c>
    </row>
    <row r="40" spans="2:13" x14ac:dyDescent="0.2">
      <c r="B40" s="158">
        <v>24</v>
      </c>
      <c r="C40" s="149" t="s">
        <v>91</v>
      </c>
      <c r="D40" s="150" t="str">
        <f t="shared" si="0"/>
        <v>36F</v>
      </c>
      <c r="E40" s="150" t="str">
        <f>FRAs!H26</f>
        <v>obj_005ed#0010</v>
      </c>
      <c r="F40" s="150" t="str">
        <f>_xll.qlRateHelperQuoteName(E40)</f>
        <v>GBP25x37F_SYNTH1Y_Quote</v>
      </c>
      <c r="G40" s="151">
        <f>_xll.qlRateHelperQuoteValue($E37,Trigger)</f>
        <v>2.4482E-2</v>
      </c>
      <c r="H40" s="151"/>
      <c r="I40" s="152" t="b">
        <v>0</v>
      </c>
      <c r="J40" s="152">
        <v>20</v>
      </c>
      <c r="K40" s="152">
        <v>7</v>
      </c>
      <c r="L40" s="153">
        <f>_xll.qlRateHelperEarliestDate($E37,Trigger)</f>
        <v>42458</v>
      </c>
      <c r="M40" s="154">
        <f>_xll.qlRateHelperLatestDate($E37,Trigger)</f>
        <v>42823</v>
      </c>
    </row>
    <row r="41" spans="2:13" x14ac:dyDescent="0.2">
      <c r="B41" s="159"/>
      <c r="C41" s="144"/>
      <c r="D41" s="145" t="s">
        <v>25</v>
      </c>
      <c r="E41" s="145" t="str">
        <f>SwapsFromBasis!K5</f>
        <v>obj_00633#0006</v>
      </c>
      <c r="F41" s="145" t="str">
        <f>SUBSTITUTE(SUBSTITUTE(_xll.qlRateHelperQuoteName(E41),"_S6L12L",""),"6L","12LBASIS")</f>
        <v>GBPSB12LBASIS1Y_Quote</v>
      </c>
      <c r="G41" s="146">
        <f>_xll.qlRateHelperQuoteValue($E41,Trigger)</f>
        <v>9.6148335337757039E-3</v>
      </c>
      <c r="H41" s="146">
        <f>_xll.qlSwapRateHelperSpread($E41,Trigger)</f>
        <v>0</v>
      </c>
      <c r="I41" s="91" t="b">
        <v>0</v>
      </c>
      <c r="J41" s="91">
        <v>40</v>
      </c>
      <c r="K41" s="91">
        <v>1</v>
      </c>
      <c r="L41" s="147">
        <f>_xll.qlRateHelperEarliestDate($E41,Trigger)</f>
        <v>41817</v>
      </c>
      <c r="M41" s="148">
        <f>_xll.qlRateHelperLatestDate($E41,Trigger)</f>
        <v>42184</v>
      </c>
    </row>
    <row r="42" spans="2:13" x14ac:dyDescent="0.2">
      <c r="B42" s="159"/>
      <c r="C42" s="144"/>
      <c r="D42" s="145" t="s">
        <v>26</v>
      </c>
      <c r="E42" s="145" t="str">
        <f>SwapsFromBasis!K6</f>
        <v>obj_005c3#0026</v>
      </c>
      <c r="F42" s="145" t="str">
        <f>SUBSTITUTE(SUBSTITUTE(_xll.qlRateHelperQuoteName(E42),"_S6L12L",""),"6L","12LBASIS")</f>
        <v>GBPSB12LBASIS2Y_Quote</v>
      </c>
      <c r="G42" s="146">
        <f>_xll.qlRateHelperQuoteValue($E42,Trigger)</f>
        <v>1.4910000000000005E-2</v>
      </c>
      <c r="H42" s="146">
        <f>_xll.qlSwapRateHelperSpread($E42,Trigger)</f>
        <v>0</v>
      </c>
      <c r="I42" s="91" t="b">
        <v>0</v>
      </c>
      <c r="J42" s="91">
        <v>40</v>
      </c>
      <c r="K42" s="91">
        <v>1</v>
      </c>
      <c r="L42" s="147">
        <f>_xll.qlRateHelperEarliestDate($E42,Trigger)</f>
        <v>41817</v>
      </c>
      <c r="M42" s="148">
        <f>_xll.qlRateHelperLatestDate($E42,Trigger)</f>
        <v>42548</v>
      </c>
    </row>
    <row r="43" spans="2:13" x14ac:dyDescent="0.2">
      <c r="B43" s="159"/>
      <c r="C43" s="144"/>
      <c r="D43" s="145" t="s">
        <v>27</v>
      </c>
      <c r="E43" s="145" t="str">
        <f>SwapsFromBasis!K7</f>
        <v>obj_005c4#0013</v>
      </c>
      <c r="F43" s="145" t="str">
        <f>SUBSTITUTE(SUBSTITUTE(_xll.qlRateHelperQuoteName(E43),"_S6L12L",""),"6L","12LBASIS")</f>
        <v>GBPSB12LBASIS3Y_Quote</v>
      </c>
      <c r="G43" s="146">
        <f>_xll.qlRateHelperQuoteValue($E43,Trigger)</f>
        <v>1.8554999999825614E-2</v>
      </c>
      <c r="H43" s="146">
        <f>_xll.qlSwapRateHelperSpread($E43,Trigger)</f>
        <v>0</v>
      </c>
      <c r="I43" s="91" t="b">
        <v>0</v>
      </c>
      <c r="J43" s="91">
        <v>40</v>
      </c>
      <c r="K43" s="91">
        <v>1</v>
      </c>
      <c r="L43" s="147">
        <f>_xll.qlRateHelperEarliestDate($E43,Trigger)</f>
        <v>41817</v>
      </c>
      <c r="M43" s="148">
        <f>_xll.qlRateHelperLatestDate($E43,Trigger)</f>
        <v>42913</v>
      </c>
    </row>
    <row r="44" spans="2:13" x14ac:dyDescent="0.2">
      <c r="B44" s="159"/>
      <c r="C44" s="144"/>
      <c r="D44" s="145" t="s">
        <v>28</v>
      </c>
      <c r="E44" s="145" t="str">
        <f>SwapsFromBasis!K8</f>
        <v>obj_005c5#0013</v>
      </c>
      <c r="F44" s="145" t="str">
        <f>SUBSTITUTE(SUBSTITUTE(_xll.qlRateHelperQuoteName(E44),"_S6L12L",""),"6L","12LBASIS")</f>
        <v>GBPSB12LBASIS4Y_Quote</v>
      </c>
      <c r="G44" s="146">
        <f>_xll.qlRateHelperQuoteValue($E44,Trigger)</f>
        <v>2.1242499999814819E-2</v>
      </c>
      <c r="H44" s="146">
        <f>_xll.qlSwapRateHelperSpread($E44,Trigger)</f>
        <v>0</v>
      </c>
      <c r="I44" s="91" t="b">
        <v>0</v>
      </c>
      <c r="J44" s="91">
        <v>40</v>
      </c>
      <c r="K44" s="91">
        <v>1</v>
      </c>
      <c r="L44" s="147">
        <f>_xll.qlRateHelperEarliestDate($E44,Trigger)</f>
        <v>41817</v>
      </c>
      <c r="M44" s="148">
        <f>_xll.qlRateHelperLatestDate($E44,Trigger)</f>
        <v>43278</v>
      </c>
    </row>
    <row r="45" spans="2:13" x14ac:dyDescent="0.2">
      <c r="B45" s="159"/>
      <c r="C45" s="144"/>
      <c r="D45" s="145" t="s">
        <v>29</v>
      </c>
      <c r="E45" s="145" t="str">
        <f>SwapsFromBasis!K9</f>
        <v>obj_005c6#0013</v>
      </c>
      <c r="F45" s="145" t="str">
        <f>SUBSTITUTE(SUBSTITUTE(_xll.qlRateHelperQuoteName(E45),"_S6L12L",""),"6L","12LBASIS")</f>
        <v>GBPSB12LBASIS5Y_Quote</v>
      </c>
      <c r="G45" s="146">
        <f>_xll.qlRateHelperQuoteValue($E45,Trigger)</f>
        <v>2.3207499999634021E-2</v>
      </c>
      <c r="H45" s="146">
        <f>_xll.qlSwapRateHelperSpread($E45,Trigger)</f>
        <v>0</v>
      </c>
      <c r="I45" s="91" t="b">
        <v>0</v>
      </c>
      <c r="J45" s="91">
        <v>40</v>
      </c>
      <c r="K45" s="91">
        <v>1</v>
      </c>
      <c r="L45" s="147">
        <f>_xll.qlRateHelperEarliestDate($E45,Trigger)</f>
        <v>41817</v>
      </c>
      <c r="M45" s="148">
        <f>_xll.qlRateHelperLatestDate($E45,Trigger)</f>
        <v>43643</v>
      </c>
    </row>
    <row r="46" spans="2:13" x14ac:dyDescent="0.2">
      <c r="B46" s="159"/>
      <c r="C46" s="144"/>
      <c r="D46" s="145" t="s">
        <v>30</v>
      </c>
      <c r="E46" s="145" t="str">
        <f>SwapsFromBasis!K10</f>
        <v>obj_005c7#0013</v>
      </c>
      <c r="F46" s="145" t="str">
        <f>SUBSTITUTE(SUBSTITUTE(_xll.qlRateHelperQuoteName(E46),"_S6L12L",""),"6L","12LBASIS")</f>
        <v>GBPSB12LBASIS6Y_Quote</v>
      </c>
      <c r="G46" s="146">
        <f>_xll.qlRateHelperQuoteValue($E46,Trigger)</f>
        <v>2.4779999999679996E-2</v>
      </c>
      <c r="H46" s="146">
        <f>_xll.qlSwapRateHelperSpread($E46,Trigger)</f>
        <v>0</v>
      </c>
      <c r="I46" s="91" t="b">
        <v>1</v>
      </c>
      <c r="J46" s="91">
        <v>40</v>
      </c>
      <c r="K46" s="91">
        <v>1</v>
      </c>
      <c r="L46" s="147">
        <f>_xll.qlRateHelperEarliestDate($E46,Trigger)</f>
        <v>41817</v>
      </c>
      <c r="M46" s="148">
        <f>_xll.qlRateHelperLatestDate($E46,Trigger)</f>
        <v>44011</v>
      </c>
    </row>
    <row r="47" spans="2:13" x14ac:dyDescent="0.2">
      <c r="B47" s="159"/>
      <c r="C47" s="144"/>
      <c r="D47" s="145" t="s">
        <v>31</v>
      </c>
      <c r="E47" s="145" t="str">
        <f>SwapsFromBasis!K11</f>
        <v>obj_005c8#0013</v>
      </c>
      <c r="F47" s="145" t="str">
        <f>SUBSTITUTE(SUBSTITUTE(_xll.qlRateHelperQuoteName(E47),"_S6L12L",""),"6L","12LBASIS")</f>
        <v>GBPSB12LBASIS7Y_Quote</v>
      </c>
      <c r="G47" s="146">
        <f>_xll.qlRateHelperQuoteValue($E47,Trigger)</f>
        <v>2.6102499999774081E-2</v>
      </c>
      <c r="H47" s="146">
        <f>_xll.qlSwapRateHelperSpread($E47,Trigger)</f>
        <v>0</v>
      </c>
      <c r="I47" s="91" t="b">
        <v>1</v>
      </c>
      <c r="J47" s="91">
        <v>40</v>
      </c>
      <c r="K47" s="91">
        <v>1</v>
      </c>
      <c r="L47" s="147">
        <f>_xll.qlRateHelperEarliestDate($E47,Trigger)</f>
        <v>41817</v>
      </c>
      <c r="M47" s="148">
        <f>_xll.qlRateHelperLatestDate($E47,Trigger)</f>
        <v>44375</v>
      </c>
    </row>
    <row r="48" spans="2:13" x14ac:dyDescent="0.2">
      <c r="B48" s="159"/>
      <c r="C48" s="144"/>
      <c r="D48" s="145" t="s">
        <v>32</v>
      </c>
      <c r="E48" s="145" t="str">
        <f>SwapsFromBasis!K12</f>
        <v>obj_005c9#0013</v>
      </c>
      <c r="F48" s="145" t="str">
        <f>SUBSTITUTE(SUBSTITUTE(_xll.qlRateHelperQuoteName(E48),"_S6L12L",""),"6L","12LBASIS")</f>
        <v>GBPSB12LBASIS8Y_Quote</v>
      </c>
      <c r="G48" s="146">
        <f>_xll.qlRateHelperQuoteValue($E48,Trigger)</f>
        <v>2.7224999999863761E-2</v>
      </c>
      <c r="H48" s="146">
        <f>_xll.qlSwapRateHelperSpread($E48,Trigger)</f>
        <v>0</v>
      </c>
      <c r="I48" s="91" t="b">
        <v>1</v>
      </c>
      <c r="J48" s="91">
        <v>40</v>
      </c>
      <c r="K48" s="91">
        <v>1</v>
      </c>
      <c r="L48" s="147">
        <f>_xll.qlRateHelperEarliestDate($E48,Trigger)</f>
        <v>41817</v>
      </c>
      <c r="M48" s="148">
        <f>_xll.qlRateHelperLatestDate($E48,Trigger)</f>
        <v>44739</v>
      </c>
    </row>
    <row r="49" spans="2:13" x14ac:dyDescent="0.2">
      <c r="B49" s="159"/>
      <c r="C49" s="144"/>
      <c r="D49" s="145" t="s">
        <v>33</v>
      </c>
      <c r="E49" s="145" t="str">
        <f>SwapsFromBasis!K13</f>
        <v>obj_005ca#0013</v>
      </c>
      <c r="F49" s="145" t="str">
        <f>SUBSTITUTE(SUBSTITUTE(_xll.qlRateHelperQuoteName(E49),"_S6L12L",""),"6L","12LBASIS")</f>
        <v>GBPSB12LBASIS9Y_Quote</v>
      </c>
      <c r="G49" s="146">
        <f>_xll.qlRateHelperQuoteValue($E49,Trigger)</f>
        <v>2.818749999994501E-2</v>
      </c>
      <c r="H49" s="146">
        <f>_xll.qlSwapRateHelperSpread($E49,Trigger)</f>
        <v>0</v>
      </c>
      <c r="I49" s="91" t="b">
        <v>1</v>
      </c>
      <c r="J49" s="91">
        <v>40</v>
      </c>
      <c r="K49" s="91">
        <v>1</v>
      </c>
      <c r="L49" s="147">
        <f>_xll.qlRateHelperEarliestDate($E49,Trigger)</f>
        <v>41817</v>
      </c>
      <c r="M49" s="148">
        <f>_xll.qlRateHelperLatestDate($E49,Trigger)</f>
        <v>45104</v>
      </c>
    </row>
    <row r="50" spans="2:13" x14ac:dyDescent="0.2">
      <c r="B50" s="159"/>
      <c r="C50" s="144"/>
      <c r="D50" s="145" t="s">
        <v>34</v>
      </c>
      <c r="E50" s="145" t="str">
        <f>SwapsFromBasis!K14</f>
        <v>obj_005cb#0013</v>
      </c>
      <c r="F50" s="145" t="str">
        <f>SUBSTITUTE(SUBSTITUTE(_xll.qlRateHelperQuoteName(E50),"_S6L12L",""),"6L","12LBASIS")</f>
        <v>GBPSB12LBASIS10Y_Quote</v>
      </c>
      <c r="G50" s="146">
        <f>_xll.qlRateHelperQuoteValue($E50,Trigger)</f>
        <v>2.8987499999733525E-2</v>
      </c>
      <c r="H50" s="146">
        <f>_xll.qlSwapRateHelperSpread($E50,Trigger)</f>
        <v>0</v>
      </c>
      <c r="I50" s="91" t="b">
        <v>1</v>
      </c>
      <c r="J50" s="91">
        <v>40</v>
      </c>
      <c r="K50" s="91">
        <v>1</v>
      </c>
      <c r="L50" s="147">
        <f>_xll.qlRateHelperEarliestDate($E50,Trigger)</f>
        <v>41817</v>
      </c>
      <c r="M50" s="148">
        <f>_xll.qlRateHelperLatestDate($E50,Trigger)</f>
        <v>45470</v>
      </c>
    </row>
    <row r="51" spans="2:13" x14ac:dyDescent="0.2">
      <c r="B51" s="159"/>
      <c r="C51" s="144"/>
      <c r="D51" s="145" t="s">
        <v>35</v>
      </c>
      <c r="E51" s="145" t="str">
        <f>SwapsFromBasis!K15</f>
        <v>obj_005cc#0013</v>
      </c>
      <c r="F51" s="145" t="str">
        <f>SUBSTITUTE(SUBSTITUTE(_xll.qlRateHelperQuoteName(E51),"_S6L12L",""),"6L","12LBASIS")</f>
        <v>GBPSB12LBASIS11Y_Quote</v>
      </c>
      <c r="G51" s="146">
        <f>_xll.qlRateHelperQuoteValue($E51,Trigger)</f>
        <v>2.9686258462525147E-2</v>
      </c>
      <c r="H51" s="146">
        <f>_xll.qlSwapRateHelperSpread($E51,Trigger)</f>
        <v>0</v>
      </c>
      <c r="I51" s="91" t="b">
        <v>1</v>
      </c>
      <c r="J51" s="91">
        <v>40</v>
      </c>
      <c r="K51" s="91">
        <v>1</v>
      </c>
      <c r="L51" s="147">
        <f>_xll.qlRateHelperEarliestDate($E51,Trigger)</f>
        <v>41817</v>
      </c>
      <c r="M51" s="148">
        <f>_xll.qlRateHelperLatestDate($E51,Trigger)</f>
        <v>45835</v>
      </c>
    </row>
    <row r="52" spans="2:13" x14ac:dyDescent="0.2">
      <c r="B52" s="159"/>
      <c r="C52" s="144"/>
      <c r="D52" s="145" t="s">
        <v>36</v>
      </c>
      <c r="E52" s="145" t="str">
        <f>SwapsFromBasis!K16</f>
        <v>obj_005cd#0013</v>
      </c>
      <c r="F52" s="145" t="str">
        <f>SUBSTITUTE(SUBSTITUTE(_xll.qlRateHelperQuoteName(E52),"_S6L12L",""),"6L","12LBASIS")</f>
        <v>GBPSB12LBASIS12Y_Quote</v>
      </c>
      <c r="G52" s="146">
        <f>_xll.qlRateHelperQuoteValue($E52,Trigger)</f>
        <v>3.0292500000010731E-2</v>
      </c>
      <c r="H52" s="146">
        <f>_xll.qlSwapRateHelperSpread($E52,Trigger)</f>
        <v>0</v>
      </c>
      <c r="I52" s="91" t="b">
        <v>1</v>
      </c>
      <c r="J52" s="91">
        <v>40</v>
      </c>
      <c r="K52" s="91">
        <v>1</v>
      </c>
      <c r="L52" s="147">
        <f>_xll.qlRateHelperEarliestDate($E52,Trigger)</f>
        <v>41817</v>
      </c>
      <c r="M52" s="148">
        <f>_xll.qlRateHelperLatestDate($E52,Trigger)</f>
        <v>46202</v>
      </c>
    </row>
    <row r="53" spans="2:13" x14ac:dyDescent="0.2">
      <c r="B53" s="159"/>
      <c r="C53" s="144"/>
      <c r="D53" s="145" t="s">
        <v>37</v>
      </c>
      <c r="E53" s="145" t="str">
        <f>SwapsFromBasis!K17</f>
        <v>obj_005ce#0013</v>
      </c>
      <c r="F53" s="145" t="str">
        <f>SUBSTITUTE(SUBSTITUTE(_xll.qlRateHelperQuoteName(E53),"_S6L12L",""),"6L","12LBASIS")</f>
        <v>GBPSB12LBASIS13Y_Quote</v>
      </c>
      <c r="G53" s="146">
        <f>_xll.qlRateHelperQuoteValue($E53,Trigger)</f>
        <v>3.0812731307449808E-2</v>
      </c>
      <c r="H53" s="146">
        <f>_xll.qlSwapRateHelperSpread($E53,Trigger)</f>
        <v>0</v>
      </c>
      <c r="I53" s="91" t="b">
        <v>1</v>
      </c>
      <c r="J53" s="91">
        <v>40</v>
      </c>
      <c r="K53" s="91">
        <v>1</v>
      </c>
      <c r="L53" s="147">
        <f>_xll.qlRateHelperEarliestDate($E53,Trigger)</f>
        <v>41817</v>
      </c>
      <c r="M53" s="148">
        <f>_xll.qlRateHelperLatestDate($E53,Trigger)</f>
        <v>46566</v>
      </c>
    </row>
    <row r="54" spans="2:13" x14ac:dyDescent="0.2">
      <c r="B54" s="159"/>
      <c r="C54" s="144"/>
      <c r="D54" s="145" t="s">
        <v>44</v>
      </c>
      <c r="E54" s="145" t="str">
        <f>SwapsFromBasis!K18</f>
        <v>obj_005cf#0013</v>
      </c>
      <c r="F54" s="145" t="str">
        <f>SUBSTITUTE(SUBSTITUTE(_xll.qlRateHelperQuoteName(E54),"_S6L12L",""),"6L","12LBASIS")</f>
        <v>GBPSB12LBASIS14Y_Quote</v>
      </c>
      <c r="G54" s="146">
        <f>_xll.qlRateHelperQuoteValue($E54,Trigger)</f>
        <v>3.1266872175003249E-2</v>
      </c>
      <c r="H54" s="146">
        <f>_xll.qlSwapRateHelperSpread($E54,Trigger)</f>
        <v>0</v>
      </c>
      <c r="I54" s="91" t="b">
        <v>1</v>
      </c>
      <c r="J54" s="91">
        <v>40</v>
      </c>
      <c r="K54" s="91">
        <v>1</v>
      </c>
      <c r="L54" s="147">
        <f>_xll.qlRateHelperEarliestDate($E54,Trigger)</f>
        <v>41817</v>
      </c>
      <c r="M54" s="148">
        <f>_xll.qlRateHelperLatestDate($E54,Trigger)</f>
        <v>46931</v>
      </c>
    </row>
    <row r="55" spans="2:13" x14ac:dyDescent="0.2">
      <c r="B55" s="159"/>
      <c r="C55" s="144"/>
      <c r="D55" s="145" t="s">
        <v>45</v>
      </c>
      <c r="E55" s="145" t="str">
        <f>SwapsFromBasis!K19</f>
        <v>obj_005d0#0013</v>
      </c>
      <c r="F55" s="145" t="str">
        <f>SUBSTITUTE(SUBSTITUTE(_xll.qlRateHelperQuoteName(E55),"_S6L12L",""),"6L","12LBASIS")</f>
        <v>GBPSB12LBASIS15Y_Quote</v>
      </c>
      <c r="G55" s="146">
        <f>_xll.qlRateHelperQuoteValue($E55,Trigger)</f>
        <v>3.1662499999877199E-2</v>
      </c>
      <c r="H55" s="146">
        <f>_xll.qlSwapRateHelperSpread($E55,Trigger)</f>
        <v>0</v>
      </c>
      <c r="I55" s="91" t="b">
        <v>1</v>
      </c>
      <c r="J55" s="91">
        <v>40</v>
      </c>
      <c r="K55" s="91">
        <v>1</v>
      </c>
      <c r="L55" s="147">
        <f>_xll.qlRateHelperEarliestDate($E55,Trigger)</f>
        <v>41817</v>
      </c>
      <c r="M55" s="148">
        <f>_xll.qlRateHelperLatestDate($E55,Trigger)</f>
        <v>47296</v>
      </c>
    </row>
    <row r="56" spans="2:13" x14ac:dyDescent="0.2">
      <c r="B56" s="159"/>
      <c r="C56" s="144"/>
      <c r="D56" s="145" t="s">
        <v>46</v>
      </c>
      <c r="E56" s="145" t="str">
        <f>SwapsFromBasis!K20</f>
        <v>obj_005d1#0013</v>
      </c>
      <c r="F56" s="145" t="str">
        <f>SUBSTITUTE(SUBSTITUTE(_xll.qlRateHelperQuoteName(E56),"_S6L12L",""),"6L","12LBASIS")</f>
        <v>GBPSB12LBASIS16Y_Quote</v>
      </c>
      <c r="G56" s="146">
        <f>_xll.qlRateHelperQuoteValue($E56,Trigger)</f>
        <v>3.2006655643847082E-2</v>
      </c>
      <c r="H56" s="146">
        <f>_xll.qlSwapRateHelperSpread($E56,Trigger)</f>
        <v>0</v>
      </c>
      <c r="I56" s="91" t="b">
        <v>1</v>
      </c>
      <c r="J56" s="91">
        <v>40</v>
      </c>
      <c r="K56" s="91">
        <v>1</v>
      </c>
      <c r="L56" s="147">
        <f>_xll.qlRateHelperEarliestDate($E56,Trigger)</f>
        <v>41817</v>
      </c>
      <c r="M56" s="148">
        <f>_xll.qlRateHelperLatestDate($E56,Trigger)</f>
        <v>47661</v>
      </c>
    </row>
    <row r="57" spans="2:13" x14ac:dyDescent="0.2">
      <c r="B57" s="159"/>
      <c r="C57" s="144"/>
      <c r="D57" s="145" t="s">
        <v>47</v>
      </c>
      <c r="E57" s="145" t="str">
        <f>SwapsFromBasis!K21</f>
        <v>obj_005d2#0013</v>
      </c>
      <c r="F57" s="145" t="str">
        <f>SUBSTITUTE(SUBSTITUTE(_xll.qlRateHelperQuoteName(E57),"_S6L12L",""),"6L","12LBASIS")</f>
        <v>GBPSB12LBASIS17Y_Quote</v>
      </c>
      <c r="G57" s="146">
        <f>_xll.qlRateHelperQuoteValue($E57,Trigger)</f>
        <v>3.2302108238895705E-2</v>
      </c>
      <c r="H57" s="146">
        <f>_xll.qlSwapRateHelperSpread($E57,Trigger)</f>
        <v>0</v>
      </c>
      <c r="I57" s="91" t="b">
        <v>1</v>
      </c>
      <c r="J57" s="91">
        <v>40</v>
      </c>
      <c r="K57" s="91">
        <v>1</v>
      </c>
      <c r="L57" s="147">
        <f>_xll.qlRateHelperEarliestDate($E57,Trigger)</f>
        <v>41817</v>
      </c>
      <c r="M57" s="148">
        <f>_xll.qlRateHelperLatestDate($E57,Trigger)</f>
        <v>48026</v>
      </c>
    </row>
    <row r="58" spans="2:13" x14ac:dyDescent="0.2">
      <c r="B58" s="159"/>
      <c r="C58" s="144"/>
      <c r="D58" s="145" t="s">
        <v>38</v>
      </c>
      <c r="E58" s="145" t="str">
        <f>SwapsFromBasis!K22</f>
        <v>obj_005d3#0013</v>
      </c>
      <c r="F58" s="145" t="str">
        <f>SUBSTITUTE(SUBSTITUTE(_xll.qlRateHelperQuoteName(E58),"_S6L12L",""),"6L","12LBASIS")</f>
        <v>GBPSB12LBASIS18Y_Quote</v>
      </c>
      <c r="G58" s="146">
        <f>_xll.qlRateHelperQuoteValue($E58,Trigger)</f>
        <v>3.2551751477299135E-2</v>
      </c>
      <c r="H58" s="146">
        <f>_xll.qlSwapRateHelperSpread($E58,Trigger)</f>
        <v>0</v>
      </c>
      <c r="I58" s="91" t="b">
        <v>1</v>
      </c>
      <c r="J58" s="91">
        <v>40</v>
      </c>
      <c r="K58" s="91">
        <v>1</v>
      </c>
      <c r="L58" s="147">
        <f>_xll.qlRateHelperEarliestDate($E58,Trigger)</f>
        <v>41817</v>
      </c>
      <c r="M58" s="148">
        <f>_xll.qlRateHelperLatestDate($E58,Trigger)</f>
        <v>48393</v>
      </c>
    </row>
    <row r="59" spans="2:13" x14ac:dyDescent="0.2">
      <c r="B59" s="159"/>
      <c r="C59" s="144"/>
      <c r="D59" s="145" t="s">
        <v>48</v>
      </c>
      <c r="E59" s="145" t="str">
        <f>SwapsFromBasis!K23</f>
        <v>obj_005d4#0013</v>
      </c>
      <c r="F59" s="145" t="str">
        <f>SUBSTITUTE(SUBSTITUTE(_xll.qlRateHelperQuoteName(E59),"_S6L12L",""),"6L","12LBASIS")</f>
        <v>GBPSB12LBASIS19Y_Quote</v>
      </c>
      <c r="G59" s="146">
        <f>_xll.qlRateHelperQuoteValue($E59,Trigger)</f>
        <v>3.275309826875078E-2</v>
      </c>
      <c r="H59" s="146">
        <f>_xll.qlSwapRateHelperSpread($E59,Trigger)</f>
        <v>0</v>
      </c>
      <c r="I59" s="91" t="b">
        <v>1</v>
      </c>
      <c r="J59" s="91">
        <v>40</v>
      </c>
      <c r="K59" s="91">
        <v>1</v>
      </c>
      <c r="L59" s="147">
        <f>_xll.qlRateHelperEarliestDate($E59,Trigger)</f>
        <v>41817</v>
      </c>
      <c r="M59" s="148">
        <f>_xll.qlRateHelperLatestDate($E59,Trigger)</f>
        <v>48757</v>
      </c>
    </row>
    <row r="60" spans="2:13" x14ac:dyDescent="0.2">
      <c r="B60" s="159"/>
      <c r="C60" s="144"/>
      <c r="D60" s="145" t="s">
        <v>49</v>
      </c>
      <c r="E60" s="145" t="str">
        <f>SwapsFromBasis!K24</f>
        <v>obj_005d5#0013</v>
      </c>
      <c r="F60" s="145" t="str">
        <f>SUBSTITUTE(SUBSTITUTE(_xll.qlRateHelperQuoteName(E60),"_S6L12L",""),"6L","12LBASIS")</f>
        <v>GBPSB12LBASIS20Y_Quote</v>
      </c>
      <c r="G60" s="146">
        <f>_xll.qlRateHelperQuoteValue($E60,Trigger)</f>
        <v>3.2910000000046888E-2</v>
      </c>
      <c r="H60" s="146">
        <f>_xll.qlSwapRateHelperSpread($E60,Trigger)</f>
        <v>0</v>
      </c>
      <c r="I60" s="91" t="b">
        <v>1</v>
      </c>
      <c r="J60" s="91">
        <v>40</v>
      </c>
      <c r="K60" s="91">
        <v>1</v>
      </c>
      <c r="L60" s="147">
        <f>_xll.qlRateHelperEarliestDate($E60,Trigger)</f>
        <v>41817</v>
      </c>
      <c r="M60" s="148">
        <f>_xll.qlRateHelperLatestDate($E60,Trigger)</f>
        <v>49122</v>
      </c>
    </row>
    <row r="61" spans="2:13" x14ac:dyDescent="0.2">
      <c r="B61" s="159"/>
      <c r="C61" s="144"/>
      <c r="D61" s="145" t="s">
        <v>50</v>
      </c>
      <c r="E61" s="145" t="str">
        <f>SwapsFromBasis!K25</f>
        <v>obj_005d6#0013</v>
      </c>
      <c r="F61" s="145" t="str">
        <f>SUBSTITUTE(SUBSTITUTE(_xll.qlRateHelperQuoteName(E61),"_S6L12L",""),"6L","12LBASIS")</f>
        <v>GBPSB12LBASIS21Y_Quote</v>
      </c>
      <c r="G61" s="146">
        <f>_xll.qlRateHelperQuoteValue($E61,Trigger)</f>
        <v>3.3024367989224035E-2</v>
      </c>
      <c r="H61" s="146">
        <f>_xll.qlSwapRateHelperSpread($E61,Trigger)</f>
        <v>0</v>
      </c>
      <c r="I61" s="91" t="b">
        <v>1</v>
      </c>
      <c r="J61" s="91">
        <v>40</v>
      </c>
      <c r="K61" s="91">
        <v>1</v>
      </c>
      <c r="L61" s="147">
        <f>_xll.qlRateHelperEarliestDate($E61,Trigger)</f>
        <v>41817</v>
      </c>
      <c r="M61" s="148">
        <f>_xll.qlRateHelperLatestDate($E61,Trigger)</f>
        <v>49487</v>
      </c>
    </row>
    <row r="62" spans="2:13" x14ac:dyDescent="0.2">
      <c r="B62" s="159"/>
      <c r="C62" s="144"/>
      <c r="D62" s="145" t="s">
        <v>51</v>
      </c>
      <c r="E62" s="145" t="str">
        <f>SwapsFromBasis!K26</f>
        <v>obj_005d7#0013</v>
      </c>
      <c r="F62" s="145" t="str">
        <f>SUBSTITUTE(SUBSTITUTE(_xll.qlRateHelperQuoteName(E62),"_S6L12L",""),"6L","12LBASIS")</f>
        <v>GBPSB12LBASIS22Y_Quote</v>
      </c>
      <c r="G62" s="146">
        <f>_xll.qlRateHelperQuoteValue($E62,Trigger)</f>
        <v>3.3105962002594309E-2</v>
      </c>
      <c r="H62" s="146">
        <f>_xll.qlSwapRateHelperSpread($E62,Trigger)</f>
        <v>0</v>
      </c>
      <c r="I62" s="91" t="b">
        <v>1</v>
      </c>
      <c r="J62" s="91">
        <v>40</v>
      </c>
      <c r="K62" s="91">
        <v>1</v>
      </c>
      <c r="L62" s="147">
        <f>_xll.qlRateHelperEarliestDate($E62,Trigger)</f>
        <v>41817</v>
      </c>
      <c r="M62" s="148">
        <f>_xll.qlRateHelperLatestDate($E62,Trigger)</f>
        <v>49853</v>
      </c>
    </row>
    <row r="63" spans="2:13" x14ac:dyDescent="0.2">
      <c r="B63" s="159"/>
      <c r="C63" s="144"/>
      <c r="D63" s="145" t="s">
        <v>39</v>
      </c>
      <c r="E63" s="145" t="str">
        <f>SwapsFromBasis!K27</f>
        <v>obj_005d8#0013</v>
      </c>
      <c r="F63" s="145" t="str">
        <f>SUBSTITUTE(SUBSTITUTE(_xll.qlRateHelperQuoteName(E63),"_S6L12L",""),"6L","12LBASIS")</f>
        <v>GBPSB12LBASIS23Y_Quote</v>
      </c>
      <c r="G63" s="146">
        <f>_xll.qlRateHelperQuoteValue($E63,Trigger)</f>
        <v>3.3164208530178742E-2</v>
      </c>
      <c r="H63" s="146">
        <f>_xll.qlSwapRateHelperSpread($E63,Trigger)</f>
        <v>0</v>
      </c>
      <c r="I63" s="91" t="b">
        <v>1</v>
      </c>
      <c r="J63" s="91">
        <v>40</v>
      </c>
      <c r="K63" s="91">
        <v>1</v>
      </c>
      <c r="L63" s="147">
        <f>_xll.qlRateHelperEarliestDate($E63,Trigger)</f>
        <v>41817</v>
      </c>
      <c r="M63" s="148">
        <f>_xll.qlRateHelperLatestDate($E63,Trigger)</f>
        <v>50220</v>
      </c>
    </row>
    <row r="64" spans="2:13" x14ac:dyDescent="0.2">
      <c r="B64" s="159"/>
      <c r="C64" s="144"/>
      <c r="D64" s="145" t="s">
        <v>52</v>
      </c>
      <c r="E64" s="145" t="str">
        <f>SwapsFromBasis!K28</f>
        <v>obj_005d9#0013</v>
      </c>
      <c r="F64" s="145" t="str">
        <f>SUBSTITUTE(SUBSTITUTE(_xll.qlRateHelperQuoteName(E64),"_S6L12L",""),"6L","12LBASIS")</f>
        <v>GBPSB12LBASIS24Y_Quote</v>
      </c>
      <c r="G64" s="146">
        <f>_xll.qlRateHelperQuoteValue($E64,Trigger)</f>
        <v>3.3206374893902574E-2</v>
      </c>
      <c r="H64" s="146">
        <f>_xll.qlSwapRateHelperSpread($E64,Trigger)</f>
        <v>0</v>
      </c>
      <c r="I64" s="91" t="b">
        <v>1</v>
      </c>
      <c r="J64" s="91">
        <v>40</v>
      </c>
      <c r="K64" s="91">
        <v>1</v>
      </c>
      <c r="L64" s="147">
        <f>_xll.qlRateHelperEarliestDate($E64,Trigger)</f>
        <v>41817</v>
      </c>
      <c r="M64" s="148">
        <f>_xll.qlRateHelperLatestDate($E64,Trigger)</f>
        <v>50584</v>
      </c>
    </row>
    <row r="65" spans="2:14" x14ac:dyDescent="0.2">
      <c r="B65" s="159"/>
      <c r="C65" s="144"/>
      <c r="D65" s="145" t="s">
        <v>53</v>
      </c>
      <c r="E65" s="145" t="str">
        <f>SwapsFromBasis!K29</f>
        <v>obj_005da#0013</v>
      </c>
      <c r="F65" s="145" t="str">
        <f>SUBSTITUTE(SUBSTITUTE(_xll.qlRateHelperQuoteName(E65),"_S6L12L",""),"6L","12LBASIS")</f>
        <v>GBPSB12LBASIS25Y_Quote</v>
      </c>
      <c r="G65" s="146">
        <f>_xll.qlRateHelperQuoteValue($E65,Trigger)</f>
        <v>3.3240000000138499E-2</v>
      </c>
      <c r="H65" s="146">
        <f>_xll.qlSwapRateHelperSpread($E65,Trigger)</f>
        <v>0</v>
      </c>
      <c r="I65" s="91" t="b">
        <v>1</v>
      </c>
      <c r="J65" s="91">
        <v>40</v>
      </c>
      <c r="K65" s="91">
        <v>1</v>
      </c>
      <c r="L65" s="147">
        <f>_xll.qlRateHelperEarliestDate($E65,Trigger)</f>
        <v>41817</v>
      </c>
      <c r="M65" s="148">
        <f>_xll.qlRateHelperLatestDate($E65,Trigger)</f>
        <v>50948</v>
      </c>
    </row>
    <row r="66" spans="2:14" x14ac:dyDescent="0.2">
      <c r="B66" s="159"/>
      <c r="C66" s="144"/>
      <c r="D66" s="145" t="s">
        <v>54</v>
      </c>
      <c r="E66" s="145" t="str">
        <f>SwapsFromBasis!K30</f>
        <v>obj_005db#0013</v>
      </c>
      <c r="F66" s="145" t="str">
        <f>SUBSTITUTE(SUBSTITUTE(_xll.qlRateHelperQuoteName(E66),"_S6L12L",""),"6L","12LBASIS")</f>
        <v>GBPSB12LBASIS26Y_Quote</v>
      </c>
      <c r="G66" s="146">
        <f>_xll.qlRateHelperQuoteValue($E66,Trigger)</f>
        <v>3.3269670289142579E-2</v>
      </c>
      <c r="H66" s="146">
        <f>_xll.qlSwapRateHelperSpread($E66,Trigger)</f>
        <v>0</v>
      </c>
      <c r="I66" s="91" t="b">
        <v>1</v>
      </c>
      <c r="J66" s="91">
        <v>40</v>
      </c>
      <c r="K66" s="91">
        <v>1</v>
      </c>
      <c r="L66" s="147">
        <f>_xll.qlRateHelperEarliestDate($E66,Trigger)</f>
        <v>41817</v>
      </c>
      <c r="M66" s="148">
        <f>_xll.qlRateHelperLatestDate($E66,Trigger)</f>
        <v>51314</v>
      </c>
    </row>
    <row r="67" spans="2:14" x14ac:dyDescent="0.2">
      <c r="B67" s="159"/>
      <c r="C67" s="144"/>
      <c r="D67" s="145" t="s">
        <v>55</v>
      </c>
      <c r="E67" s="145" t="str">
        <f>SwapsFromBasis!K31</f>
        <v>obj_005dc#0013</v>
      </c>
      <c r="F67" s="145" t="str">
        <f>SUBSTITUTE(SUBSTITUTE(_xll.qlRateHelperQuoteName(E67),"_S6L12L",""),"6L","12LBASIS")</f>
        <v>GBPSB12LBASIS27Y_Quote</v>
      </c>
      <c r="G67" s="146">
        <f>_xll.qlRateHelperQuoteValue($E67,Trigger)</f>
        <v>3.3293183730539924E-2</v>
      </c>
      <c r="H67" s="146">
        <f>_xll.qlSwapRateHelperSpread($E67,Trigger)</f>
        <v>0</v>
      </c>
      <c r="I67" s="91" t="b">
        <v>1</v>
      </c>
      <c r="J67" s="91">
        <v>40</v>
      </c>
      <c r="K67" s="91">
        <v>1</v>
      </c>
      <c r="L67" s="147">
        <f>_xll.qlRateHelperEarliestDate($E67,Trigger)</f>
        <v>41817</v>
      </c>
      <c r="M67" s="148">
        <f>_xll.qlRateHelperLatestDate($E67,Trigger)</f>
        <v>51679</v>
      </c>
    </row>
    <row r="68" spans="2:14" x14ac:dyDescent="0.2">
      <c r="B68" s="159"/>
      <c r="C68" s="144"/>
      <c r="D68" s="145" t="s">
        <v>56</v>
      </c>
      <c r="E68" s="145" t="str">
        <f>SwapsFromBasis!K32</f>
        <v>obj_005dd#0013</v>
      </c>
      <c r="F68" s="145" t="str">
        <f>SUBSTITUTE(SUBSTITUTE(_xll.qlRateHelperQuoteName(E68),"_S6L12L",""),"6L","12LBASIS")</f>
        <v>GBPSB12LBASIS28Y_Quote</v>
      </c>
      <c r="G68" s="146">
        <f>_xll.qlRateHelperQuoteValue($E68,Trigger)</f>
        <v>3.3307598658900289E-2</v>
      </c>
      <c r="H68" s="146">
        <f>_xll.qlSwapRateHelperSpread($E68,Trigger)</f>
        <v>0</v>
      </c>
      <c r="I68" s="91" t="b">
        <v>1</v>
      </c>
      <c r="J68" s="91">
        <v>40</v>
      </c>
      <c r="K68" s="91">
        <v>1</v>
      </c>
      <c r="L68" s="147">
        <f>_xll.qlRateHelperEarliestDate($E68,Trigger)</f>
        <v>41817</v>
      </c>
      <c r="M68" s="148">
        <f>_xll.qlRateHelperLatestDate($E68,Trigger)</f>
        <v>52044</v>
      </c>
    </row>
    <row r="69" spans="2:14" x14ac:dyDescent="0.2">
      <c r="B69" s="159"/>
      <c r="C69" s="144"/>
      <c r="D69" s="145" t="s">
        <v>57</v>
      </c>
      <c r="E69" s="145" t="str">
        <f>SwapsFromBasis!K33</f>
        <v>obj_005de#0013</v>
      </c>
      <c r="F69" s="145" t="str">
        <f>SUBSTITUTE(SUBSTITUTE(_xll.qlRateHelperQuoteName(E69),"_S6L12L",""),"6L","12LBASIS")</f>
        <v>GBPSB12LBASIS29Y_Quote</v>
      </c>
      <c r="G69" s="146">
        <f>_xll.qlRateHelperQuoteValue($E69,Trigger)</f>
        <v>3.3310061571557227E-2</v>
      </c>
      <c r="H69" s="146">
        <f>_xll.qlSwapRateHelperSpread($E69,Trigger)</f>
        <v>0</v>
      </c>
      <c r="I69" s="91" t="b">
        <v>1</v>
      </c>
      <c r="J69" s="91">
        <v>40</v>
      </c>
      <c r="K69" s="91">
        <v>1</v>
      </c>
      <c r="L69" s="147">
        <f>_xll.qlRateHelperEarliestDate($E69,Trigger)</f>
        <v>41817</v>
      </c>
      <c r="M69" s="148">
        <f>_xll.qlRateHelperLatestDate($E69,Trigger)</f>
        <v>52411</v>
      </c>
    </row>
    <row r="70" spans="2:14" x14ac:dyDescent="0.2">
      <c r="B70" s="159"/>
      <c r="C70" s="144"/>
      <c r="D70" s="145" t="s">
        <v>58</v>
      </c>
      <c r="E70" s="145" t="str">
        <f>SwapsFromBasis!K34</f>
        <v>obj_005df#0013</v>
      </c>
      <c r="F70" s="145" t="str">
        <f>SUBSTITUTE(SUBSTITUTE(_xll.qlRateHelperQuoteName(E70),"_S6L12L",""),"6L","12LBASIS")</f>
        <v>GBPSB12LBASIS30Y_Quote</v>
      </c>
      <c r="G70" s="146">
        <f>_xll.qlRateHelperQuoteValue($E70,Trigger)</f>
        <v>3.3297500000010485E-2</v>
      </c>
      <c r="H70" s="146">
        <f>_xll.qlSwapRateHelperSpread($E70,Trigger)</f>
        <v>0</v>
      </c>
      <c r="I70" s="91" t="b">
        <v>1</v>
      </c>
      <c r="J70" s="91">
        <v>40</v>
      </c>
      <c r="K70" s="91">
        <v>1</v>
      </c>
      <c r="L70" s="147">
        <f>_xll.qlRateHelperEarliestDate($E70,Trigger)</f>
        <v>41817</v>
      </c>
      <c r="M70" s="148">
        <f>_xll.qlRateHelperLatestDate($E70,Trigger)</f>
        <v>52775</v>
      </c>
    </row>
    <row r="71" spans="2:14" x14ac:dyDescent="0.2">
      <c r="B71" s="159"/>
      <c r="C71" s="144"/>
      <c r="D71" s="145" t="s">
        <v>59</v>
      </c>
      <c r="E71" s="145" t="str">
        <f>SwapsFromBasis!K35</f>
        <v>obj_005e0#0013</v>
      </c>
      <c r="F71" s="145" t="str">
        <f>SUBSTITUTE(SUBSTITUTE(_xll.qlRateHelperQuoteName(E71),"_S6L12L",""),"6L","12LBASIS")</f>
        <v>GBPSB12LBASIS35Y_Quote</v>
      </c>
      <c r="G71" s="146">
        <f>_xll.qlRateHelperQuoteValue($E71,Trigger)</f>
        <v>3.3219255302299314E-2</v>
      </c>
      <c r="H71" s="146">
        <f>_xll.qlSwapRateHelperSpread($E71,Trigger)</f>
        <v>0</v>
      </c>
      <c r="I71" s="91" t="b">
        <v>1</v>
      </c>
      <c r="J71" s="91">
        <v>40</v>
      </c>
      <c r="K71" s="91">
        <v>1</v>
      </c>
      <c r="L71" s="147">
        <f>_xll.qlRateHelperEarliestDate($E71,Trigger)</f>
        <v>41817</v>
      </c>
      <c r="M71" s="148">
        <f>_xll.qlRateHelperLatestDate($E71,Trigger)</f>
        <v>54602</v>
      </c>
    </row>
    <row r="72" spans="2:14" x14ac:dyDescent="0.2">
      <c r="B72" s="159"/>
      <c r="C72" s="144"/>
      <c r="D72" s="145" t="s">
        <v>60</v>
      </c>
      <c r="E72" s="145" t="str">
        <f>SwapsFromBasis!K36</f>
        <v>obj_005e1#0013</v>
      </c>
      <c r="F72" s="145" t="str">
        <f>SUBSTITUTE(SUBSTITUTE(_xll.qlRateHelperQuoteName(E72),"_S6L12L",""),"6L","12LBASIS")</f>
        <v>GBPSB12LBASIS40Y_Quote</v>
      </c>
      <c r="G72" s="146">
        <f>_xll.qlRateHelperQuoteValue($E72,Trigger)</f>
        <v>3.3097500000000543E-2</v>
      </c>
      <c r="H72" s="146">
        <f>_xll.qlSwapRateHelperSpread($E72,Trigger)</f>
        <v>0</v>
      </c>
      <c r="I72" s="91" t="b">
        <v>1</v>
      </c>
      <c r="J72" s="91">
        <v>40</v>
      </c>
      <c r="K72" s="91">
        <v>1</v>
      </c>
      <c r="L72" s="147">
        <f>_xll.qlRateHelperEarliestDate($E72,Trigger)</f>
        <v>41817</v>
      </c>
      <c r="M72" s="148">
        <f>_xll.qlRateHelperLatestDate($E72,Trigger)</f>
        <v>56429</v>
      </c>
    </row>
    <row r="73" spans="2:14" x14ac:dyDescent="0.2">
      <c r="B73" s="159"/>
      <c r="C73" s="144"/>
      <c r="D73" s="145" t="s">
        <v>40</v>
      </c>
      <c r="E73" s="145" t="str">
        <f>SwapsFromBasis!K37</f>
        <v>obj_005e2#0013</v>
      </c>
      <c r="F73" s="145" t="str">
        <f>SUBSTITUTE(SUBSTITUTE(_xll.qlRateHelperQuoteName(E73),"_S6L12L",""),"6L","12LBASIS")</f>
        <v>GBPSB12LBASIS50Y_Quote</v>
      </c>
      <c r="G73" s="146">
        <f>_xll.qlRateHelperQuoteValue($E73,Trigger)</f>
        <v>3.3037499999933558E-2</v>
      </c>
      <c r="H73" s="146">
        <f>_xll.qlSwapRateHelperSpread($E73,Trigger)</f>
        <v>0</v>
      </c>
      <c r="I73" s="91" t="b">
        <v>1</v>
      </c>
      <c r="J73" s="91">
        <v>40</v>
      </c>
      <c r="K73" s="91">
        <v>1</v>
      </c>
      <c r="L73" s="147">
        <f>_xll.qlRateHelperEarliestDate($E73,Trigger)</f>
        <v>41817</v>
      </c>
      <c r="M73" s="148">
        <f>_xll.qlRateHelperLatestDate($E73,Trigger)</f>
        <v>60080</v>
      </c>
    </row>
    <row r="74" spans="2:14" x14ac:dyDescent="0.2">
      <c r="B74" s="159"/>
      <c r="C74" s="144"/>
      <c r="D74" s="145" t="s">
        <v>61</v>
      </c>
      <c r="E74" s="145" t="str">
        <f>SwapsFromBasis!K38</f>
        <v>obj_005e3#0013</v>
      </c>
      <c r="F74" s="145" t="str">
        <f>SUBSTITUTE(SUBSTITUTE(_xll.qlRateHelperQuoteName(E74),"_S6L12L",""),"6L","12LBASIS")</f>
        <v>GBPSB12LBASIS60Y_Quote</v>
      </c>
      <c r="G74" s="146">
        <f>_xll.qlRateHelperQuoteValue($E74,Trigger)</f>
        <v>3.318749999997065E-2</v>
      </c>
      <c r="H74" s="146">
        <f>_xll.qlSwapRateHelperSpread($E74,Trigger)</f>
        <v>0</v>
      </c>
      <c r="I74" s="91" t="b">
        <v>1</v>
      </c>
      <c r="J74" s="91">
        <v>40</v>
      </c>
      <c r="K74" s="91">
        <v>1</v>
      </c>
      <c r="L74" s="147">
        <f>_xll.qlRateHelperEarliestDate($E74,Trigger)</f>
        <v>41817</v>
      </c>
      <c r="M74" s="148">
        <f>_xll.qlRateHelperLatestDate($E74,Trigger)</f>
        <v>63732</v>
      </c>
    </row>
    <row r="75" spans="2:14" x14ac:dyDescent="0.2">
      <c r="B75" s="187"/>
      <c r="C75" s="187"/>
      <c r="D75" s="187"/>
      <c r="E75" s="187"/>
      <c r="F75" s="187"/>
      <c r="G75" s="187"/>
      <c r="H75" s="187"/>
      <c r="I75" s="187"/>
      <c r="J75" s="187"/>
      <c r="K75" s="187"/>
      <c r="L75" s="187"/>
      <c r="M75" s="187"/>
    </row>
    <row r="76" spans="2:14" x14ac:dyDescent="0.2">
      <c r="N76" s="160"/>
    </row>
    <row r="77" spans="2:14" ht="11.25" customHeight="1" x14ac:dyDescent="0.2">
      <c r="N77" s="161"/>
    </row>
    <row r="78" spans="2:14" x14ac:dyDescent="0.2">
      <c r="N78" s="162"/>
    </row>
    <row r="81" ht="11.25" customHeight="1" x14ac:dyDescent="0.2"/>
    <row r="84" ht="11.25" customHeight="1" x14ac:dyDescent="0.2"/>
  </sheetData>
  <mergeCells count="1">
    <mergeCell ref="B1:D1"/>
  </mergeCells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70" bestFit="1" customWidth="1"/>
    <col min="2" max="2" width="9" style="70" bestFit="1" customWidth="1"/>
    <col min="3" max="3" width="2.7109375" style="70" customWidth="1"/>
    <col min="4" max="4" width="25.5703125" style="88" hidden="1" customWidth="1"/>
    <col min="5" max="5" width="25.5703125" style="88" customWidth="1"/>
    <col min="6" max="6" width="8" style="88" customWidth="1"/>
    <col min="7" max="7" width="8" style="88" bestFit="1" customWidth="1"/>
    <col min="8" max="9" width="17.28515625" style="88" bestFit="1" customWidth="1"/>
    <col min="10" max="10" width="12" style="70" bestFit="1" customWidth="1"/>
    <col min="11" max="16384" width="9.140625" style="70"/>
  </cols>
  <sheetData>
    <row r="1" spans="1:10" ht="20.25" customHeight="1" thickBot="1" x14ac:dyDescent="0.25">
      <c r="A1" s="170" t="s">
        <v>22</v>
      </c>
      <c r="B1" s="171"/>
      <c r="D1" s="69" t="s">
        <v>21</v>
      </c>
      <c r="E1" s="71" t="s">
        <v>140</v>
      </c>
      <c r="F1" s="72" t="s">
        <v>92</v>
      </c>
      <c r="G1" s="72"/>
      <c r="H1" s="72" t="s">
        <v>0</v>
      </c>
      <c r="I1" s="73" t="s">
        <v>1</v>
      </c>
      <c r="J1" s="74">
        <f t="array" ref="J1:J126">_xll.qlPiecewiseYieldCurveData(YieldCurve)</f>
        <v>1</v>
      </c>
    </row>
    <row r="2" spans="1:10" x14ac:dyDescent="0.2">
      <c r="A2" s="75" t="s">
        <v>66</v>
      </c>
      <c r="B2" s="76">
        <v>8</v>
      </c>
      <c r="D2" s="7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obj_0062c</v>
      </c>
      <c r="E2" s="77" t="str">
        <f>SUBSTITUTE(SUBSTITUTE(_xll.qlRateHelperQuoteName(D2),"_S6L12L",""),"6L","12LBASIS")</f>
        <v>GBP1MD_SYNTH1Y_Quote</v>
      </c>
      <c r="F2" s="78">
        <f>_xll.qlRateHelperRate($D2)</f>
        <v>7.2610000000000001E-3</v>
      </c>
      <c r="G2" s="78" t="str">
        <f>IF(ISERROR(_xll.qlSwapRateHelperSpread($D2)),IF(ISERROR(_xll.qlFuturesRateHelperConvexityAdjustment($D2)),"--",_xll.qlFuturesRateHelperConvexityAdjustment($D2)),_xll.qlSwapRateHelperSpread($D2))</f>
        <v>--</v>
      </c>
      <c r="H2" s="79">
        <f>_xll.qlRateHelperEarliestDate($D2)</f>
        <v>41817</v>
      </c>
      <c r="I2" s="80">
        <f>_xll.qlRateHelperLatestDate($D2)</f>
        <v>41848</v>
      </c>
      <c r="J2" s="74">
        <v>0.99938369239806701</v>
      </c>
    </row>
    <row r="3" spans="1:10" x14ac:dyDescent="0.2">
      <c r="A3" s="81" t="s">
        <v>67</v>
      </c>
      <c r="B3" s="82">
        <v>1</v>
      </c>
      <c r="D3" s="77" t="str">
        <v>obj_0062e</v>
      </c>
      <c r="E3" s="77" t="str">
        <f>SUBSTITUTE(SUBSTITUTE(_xll.qlRateHelperQuoteName(D3),"_S6L12L",""),"6L","12LBASIS")</f>
        <v>GBP2MD_SYNTH1Y_Quote</v>
      </c>
      <c r="F3" s="78">
        <f>_xll.qlRateHelperRate($D3)</f>
        <v>7.4219999999999998E-3</v>
      </c>
      <c r="G3" s="78" t="str">
        <f>IF(ISERROR(_xll.qlSwapRateHelperSpread($D3)),IF(ISERROR(_xll.qlFuturesRateHelperConvexityAdjustment($D3)),"--",_xll.qlFuturesRateHelperConvexityAdjustment($D3)),_xll.qlSwapRateHelperSpread($D3))</f>
        <v>--</v>
      </c>
      <c r="H3" s="79">
        <f>_xll.qlRateHelperEarliestDate($D3)</f>
        <v>41817</v>
      </c>
      <c r="I3" s="80">
        <f>_xll.qlRateHelperLatestDate($D3)</f>
        <v>41878</v>
      </c>
      <c r="J3" s="74">
        <v>0.99876114761782253</v>
      </c>
    </row>
    <row r="4" spans="1:10" x14ac:dyDescent="0.2">
      <c r="A4" s="81" t="s">
        <v>18</v>
      </c>
      <c r="B4" s="82">
        <v>2</v>
      </c>
      <c r="D4" s="77" t="str">
        <v>obj_00621</v>
      </c>
      <c r="E4" s="77" t="str">
        <f>SUBSTITUTE(SUBSTITUTE(_xll.qlRateHelperQuoteName(D4),"_S6L12L",""),"6L","12LBASIS")</f>
        <v>GBP3MD_SYNTH1Y_Quote</v>
      </c>
      <c r="F4" s="78">
        <f>_xll.qlRateHelperRate($D4)</f>
        <v>7.6140000000000001E-3</v>
      </c>
      <c r="G4" s="78" t="str">
        <f>IF(ISERROR(_xll.qlSwapRateHelperSpread($D4)),IF(ISERROR(_xll.qlFuturesRateHelperConvexityAdjustment($D4)),"--",_xll.qlFuturesRateHelperConvexityAdjustment($D4)),_xll.qlSwapRateHelperSpread($D4))</f>
        <v>--</v>
      </c>
      <c r="H4" s="79">
        <f>_xll.qlRateHelperEarliestDate($D4)</f>
        <v>41817</v>
      </c>
      <c r="I4" s="80">
        <f>_xll.qlRateHelperLatestDate($D4)</f>
        <v>41911</v>
      </c>
      <c r="J4" s="74">
        <v>0.99804297171631551</v>
      </c>
    </row>
    <row r="5" spans="1:10" x14ac:dyDescent="0.2">
      <c r="A5" s="81" t="s">
        <v>19</v>
      </c>
      <c r="B5" s="83" t="s">
        <v>42</v>
      </c>
      <c r="D5" s="77" t="str">
        <v>obj_00628</v>
      </c>
      <c r="E5" s="77" t="str">
        <f>SUBSTITUTE(SUBSTITUTE(_xll.qlRateHelperQuoteName(D5),"_S6L12L",""),"6L","12LBASIS")</f>
        <v>GBP4MD_SYNTH1Y_Quote</v>
      </c>
      <c r="F5" s="78">
        <f>_xll.qlRateHelperRate($D5)</f>
        <v>7.7710000000000001E-3</v>
      </c>
      <c r="G5" s="78" t="str">
        <f>IF(ISERROR(_xll.qlSwapRateHelperSpread($D5)),IF(ISERROR(_xll.qlFuturesRateHelperConvexityAdjustment($D5)),"--",_xll.qlFuturesRateHelperConvexityAdjustment($D5)),_xll.qlSwapRateHelperSpread($D5))</f>
        <v>--</v>
      </c>
      <c r="H5" s="79">
        <f>_xll.qlRateHelperEarliestDate($D5)</f>
        <v>41817</v>
      </c>
      <c r="I5" s="80">
        <f>_xll.qlRateHelperLatestDate($D5)</f>
        <v>41939</v>
      </c>
      <c r="J5" s="74">
        <v>0.99740929902779496</v>
      </c>
    </row>
    <row r="6" spans="1:10" x14ac:dyDescent="0.2">
      <c r="D6" s="77" t="str">
        <v>obj_00624</v>
      </c>
      <c r="E6" s="77" t="str">
        <f>SUBSTITUTE(SUBSTITUTE(_xll.qlRateHelperQuoteName(D6),"_S6L12L",""),"6L","12LBASIS")</f>
        <v>GBP5MD_SYNTH1Y_Quote</v>
      </c>
      <c r="F6" s="78">
        <f>_xll.qlRateHelperRate($D6)</f>
        <v>8.0700000000000008E-3</v>
      </c>
      <c r="G6" s="78" t="str">
        <f>IF(ISERROR(_xll.qlSwapRateHelperSpread($D6)),IF(ISERROR(_xll.qlFuturesRateHelperConvexityAdjustment($D6)),"--",_xll.qlFuturesRateHelperConvexityAdjustment($D6)),_xll.qlSwapRateHelperSpread($D6))</f>
        <v>--</v>
      </c>
      <c r="H6" s="79">
        <f>_xll.qlRateHelperEarliestDate($D6)</f>
        <v>41817</v>
      </c>
      <c r="I6" s="80">
        <f>_xll.qlRateHelperLatestDate($D6)</f>
        <v>41970</v>
      </c>
      <c r="J6" s="74">
        <v>0.99662863741123919</v>
      </c>
    </row>
    <row r="7" spans="1:10" x14ac:dyDescent="0.2">
      <c r="D7" s="77" t="str">
        <v>obj_00629</v>
      </c>
      <c r="E7" s="77" t="str">
        <f>SUBSTITUTE(SUBSTITUTE(_xll.qlRateHelperQuoteName(D7),"_S6L12L",""),"6L","12LBASIS")</f>
        <v>GBP6MD_SYNTH1Y_Quote</v>
      </c>
      <c r="F7" s="78">
        <f>_xll.qlRateHelperRate($D7)</f>
        <v>8.3829999999999998E-3</v>
      </c>
      <c r="G7" s="78" t="str">
        <f>IF(ISERROR(_xll.qlSwapRateHelperSpread($D7)),IF(ISERROR(_xll.qlFuturesRateHelperConvexityAdjustment($D7)),"--",_xll.qlFuturesRateHelperConvexityAdjustment($D7)),_xll.qlSwapRateHelperSpread($D7))</f>
        <v>--</v>
      </c>
      <c r="H7" s="79">
        <f>_xll.qlRateHelperEarliestDate($D7)</f>
        <v>41817</v>
      </c>
      <c r="I7" s="80">
        <f>_xll.qlRateHelperLatestDate($D7)</f>
        <v>42002</v>
      </c>
      <c r="J7" s="74">
        <v>0.99576905911186808</v>
      </c>
    </row>
    <row r="8" spans="1:10" x14ac:dyDescent="0.2">
      <c r="D8" s="77" t="str">
        <v>obj_00620</v>
      </c>
      <c r="E8" s="77" t="str">
        <f>SUBSTITUTE(SUBSTITUTE(_xll.qlRateHelperQuoteName(D8),"_S6L12L",""),"6L","12LBASIS")</f>
        <v>GBP7MD_SYNTH1Y_Quote</v>
      </c>
      <c r="F8" s="78">
        <f>_xll.qlRateHelperRate($D8)</f>
        <v>8.6400000000000001E-3</v>
      </c>
      <c r="G8" s="78" t="str">
        <f>IF(ISERROR(_xll.qlSwapRateHelperSpread($D8)),IF(ISERROR(_xll.qlFuturesRateHelperConvexityAdjustment($D8)),"--",_xll.qlFuturesRateHelperConvexityAdjustment($D8)),_xll.qlSwapRateHelperSpread($D8))</f>
        <v>--</v>
      </c>
      <c r="H8" s="79">
        <f>_xll.qlRateHelperEarliestDate($D8)</f>
        <v>41817</v>
      </c>
      <c r="I8" s="80">
        <f>_xll.qlRateHelperLatestDate($D8)</f>
        <v>42031</v>
      </c>
      <c r="J8" s="74">
        <v>0.99495988757880227</v>
      </c>
    </row>
    <row r="9" spans="1:10" x14ac:dyDescent="0.2">
      <c r="D9" s="77" t="str">
        <v>obj_00622</v>
      </c>
      <c r="E9" s="77" t="str">
        <f>SUBSTITUTE(SUBSTITUTE(_xll.qlRateHelperQuoteName(D9),"_S6L12L",""),"6L","12LBASIS")</f>
        <v>GBP8MD_SYNTH1Y_Quote</v>
      </c>
      <c r="F9" s="78">
        <f>_xll.qlRateHelperRate($D9)</f>
        <v>9.0010000000000003E-3</v>
      </c>
      <c r="G9" s="78" t="str">
        <f>IF(ISERROR(_xll.qlSwapRateHelperSpread($D9)),IF(ISERROR(_xll.qlFuturesRateHelperConvexityAdjustment($D9)),"--",_xll.qlFuturesRateHelperConvexityAdjustment($D9)),_xll.qlSwapRateHelperSpread($D9))</f>
        <v>--</v>
      </c>
      <c r="H9" s="79">
        <f>_xll.qlRateHelperEarliestDate($D9)</f>
        <v>41817</v>
      </c>
      <c r="I9" s="80">
        <f>_xll.qlRateHelperLatestDate($D9)</f>
        <v>42062</v>
      </c>
      <c r="J9" s="74">
        <v>0.99399451660883165</v>
      </c>
    </row>
    <row r="10" spans="1:10" x14ac:dyDescent="0.2">
      <c r="D10" s="77" t="str">
        <v>obj_0062d</v>
      </c>
      <c r="E10" s="77" t="str">
        <f>SUBSTITUTE(SUBSTITUTE(_xll.qlRateHelperQuoteName(D10),"_S6L12L",""),"6L","12LBASIS")</f>
        <v>GBP9MD_SYNTH1Y_Quote</v>
      </c>
      <c r="F10" s="78">
        <f>_xll.qlRateHelperRate($D10)</f>
        <v>9.3299999999999998E-3</v>
      </c>
      <c r="G10" s="78" t="str">
        <f>IF(ISERROR(_xll.qlSwapRateHelperSpread($D10)),IF(ISERROR(_xll.qlFuturesRateHelperConvexityAdjustment($D10)),"--",_xll.qlFuturesRateHelperConvexityAdjustment($D10)),_xll.qlSwapRateHelperSpread($D10))</f>
        <v>--</v>
      </c>
      <c r="H10" s="79">
        <f>_xll.qlRateHelperEarliestDate($D10)</f>
        <v>41817</v>
      </c>
      <c r="I10" s="80">
        <f>_xll.qlRateHelperLatestDate($D10)</f>
        <v>42090</v>
      </c>
      <c r="J10" s="74">
        <v>0.99307003083605416</v>
      </c>
    </row>
    <row r="11" spans="1:10" x14ac:dyDescent="0.2">
      <c r="D11" s="77" t="str">
        <v>obj_00625</v>
      </c>
      <c r="E11" s="77" t="str">
        <f>SUBSTITUTE(SUBSTITUTE(_xll.qlRateHelperQuoteName(D11),"_S6L12L",""),"6L","12LBASIS")</f>
        <v>GBP10MD_SYNTH1Y_Quote</v>
      </c>
      <c r="F11" s="78">
        <f>_xll.qlRateHelperRate($D11)</f>
        <v>9.6780000000000008E-3</v>
      </c>
      <c r="G11" s="78" t="str">
        <f>IF(ISERROR(_xll.qlSwapRateHelperSpread($D11)),IF(ISERROR(_xll.qlFuturesRateHelperConvexityAdjustment($D11)),"--",_xll.qlFuturesRateHelperConvexityAdjustment($D11)),_xll.qlSwapRateHelperSpread($D11))</f>
        <v>--</v>
      </c>
      <c r="H11" s="79">
        <f>_xll.qlRateHelperEarliestDate($D11)</f>
        <v>41817</v>
      </c>
      <c r="I11" s="80">
        <f>_xll.qlRateHelperLatestDate($D11)</f>
        <v>42121</v>
      </c>
      <c r="J11" s="74">
        <v>0.9920038726091901</v>
      </c>
    </row>
    <row r="12" spans="1:10" x14ac:dyDescent="0.2">
      <c r="D12" s="77" t="str">
        <v>obj_00626</v>
      </c>
      <c r="E12" s="77" t="str">
        <f>SUBSTITUTE(SUBSTITUTE(_xll.qlRateHelperQuoteName(D12),"_S6L12L",""),"6L","12LBASIS")</f>
        <v>GBP11MD_SYNTH1Y_Quote</v>
      </c>
      <c r="F12" s="78">
        <f>_xll.qlRateHelperRate($D12)</f>
        <v>1.0036E-2</v>
      </c>
      <c r="G12" s="78" t="str">
        <f>IF(ISERROR(_xll.qlSwapRateHelperSpread($D12)),IF(ISERROR(_xll.qlFuturesRateHelperConvexityAdjustment($D12)),"--",_xll.qlFuturesRateHelperConvexityAdjustment($D12)),_xll.qlSwapRateHelperSpread($D12))</f>
        <v>--</v>
      </c>
      <c r="H12" s="79">
        <f>_xll.qlRateHelperEarliestDate($D12)</f>
        <v>41817</v>
      </c>
      <c r="I12" s="80">
        <f>_xll.qlRateHelperLatestDate($D12)</f>
        <v>42151</v>
      </c>
      <c r="J12" s="74">
        <v>0.99089994412520377</v>
      </c>
    </row>
    <row r="13" spans="1:10" x14ac:dyDescent="0.2">
      <c r="D13" s="77" t="str">
        <v>obj_0062b</v>
      </c>
      <c r="E13" s="77" t="str">
        <f>SUBSTITUTE(SUBSTITUTE(_xll.qlRateHelperQuoteName(D13),"_S6L12L",""),"6L","12LBASIS")</f>
        <v>GBP1YD_SYNTH1Y_Quote</v>
      </c>
      <c r="F13" s="78">
        <f>_xll.qlRateHelperRate($D13)</f>
        <v>1.0449999999999999E-2</v>
      </c>
      <c r="G13" s="78" t="str">
        <f>IF(ISERROR(_xll.qlSwapRateHelperSpread($D13)),IF(ISERROR(_xll.qlFuturesRateHelperConvexityAdjustment($D13)),"--",_xll.qlFuturesRateHelperConvexityAdjustment($D13)),_xll.qlSwapRateHelperSpread($D13))</f>
        <v>--</v>
      </c>
      <c r="H13" s="79">
        <f>_xll.qlRateHelperEarliestDate($D13)</f>
        <v>41817</v>
      </c>
      <c r="I13" s="80">
        <f>_xll.qlRateHelperLatestDate($D13)</f>
        <v>42184</v>
      </c>
      <c r="J13" s="74">
        <v>0.98960199427851525</v>
      </c>
    </row>
    <row r="14" spans="1:10" x14ac:dyDescent="0.2">
      <c r="D14" s="77" t="str">
        <v>obj_005fe</v>
      </c>
      <c r="E14" s="77" t="str">
        <f>SUBSTITUTE(SUBSTITUTE(_xll.qlRateHelperQuoteName(D14),"_S6L12L",""),"6L","12LBASIS")</f>
        <v>GBP1x13F_SYNTH1Y_Quote</v>
      </c>
      <c r="F14" s="78">
        <f>_xll.qlRateHelperRate($D14)</f>
        <v>1.1148999999999999E-2</v>
      </c>
      <c r="G14" s="78" t="str">
        <f>IF(ISERROR(_xll.qlSwapRateHelperSpread($D14)),IF(ISERROR(_xll.qlFuturesRateHelperConvexityAdjustment($D14)),"--",_xll.qlFuturesRateHelperConvexityAdjustment($D14)),_xll.qlSwapRateHelperSpread($D14))</f>
        <v>--</v>
      </c>
      <c r="H14" s="79">
        <f>_xll.qlRateHelperEarliestDate($D14)</f>
        <v>41848</v>
      </c>
      <c r="I14" s="80">
        <f>_xll.qlRateHelperLatestDate($D14)</f>
        <v>42213</v>
      </c>
      <c r="J14" s="74">
        <v>0.98836441750731074</v>
      </c>
    </row>
    <row r="15" spans="1:10" x14ac:dyDescent="0.2">
      <c r="D15" s="77" t="str">
        <v>obj_0060e</v>
      </c>
      <c r="E15" s="77" t="str">
        <f>SUBSTITUTE(SUBSTITUTE(_xll.qlRateHelperQuoteName(D15),"_S6L12L",""),"6L","12LBASIS")</f>
        <v>GBP2x14F_SYNTH1Y_Quote</v>
      </c>
      <c r="F15" s="78">
        <f>_xll.qlRateHelperRate($D15)</f>
        <v>1.1893000000000001E-2</v>
      </c>
      <c r="G15" s="78" t="str">
        <f>IF(ISERROR(_xll.qlSwapRateHelperSpread($D15)),IF(ISERROR(_xll.qlFuturesRateHelperConvexityAdjustment($D15)),"--",_xll.qlFuturesRateHelperConvexityAdjustment($D15)),_xll.qlSwapRateHelperSpread($D15))</f>
        <v>--</v>
      </c>
      <c r="H15" s="79">
        <f>_xll.qlRateHelperEarliestDate($D15)</f>
        <v>41878</v>
      </c>
      <c r="I15" s="80">
        <f>_xll.qlRateHelperLatestDate($D15)</f>
        <v>42243</v>
      </c>
      <c r="J15" s="74">
        <v>0.98702248915435886</v>
      </c>
    </row>
    <row r="16" spans="1:10" x14ac:dyDescent="0.2">
      <c r="D16" s="77" t="str">
        <v>obj_00606</v>
      </c>
      <c r="E16" s="77" t="str">
        <f>SUBSTITUTE(SUBSTITUTE(_xll.qlRateHelperQuoteName(D16),"_S6L12L",""),"6L","12LBASIS")</f>
        <v>GBP3x15F_SYNTH1Y_Quote</v>
      </c>
      <c r="F16" s="78">
        <f>_xll.qlRateHelperRate($D16)</f>
        <v>1.2756E-2</v>
      </c>
      <c r="G16" s="78" t="str">
        <f>IF(ISERROR(_xll.qlSwapRateHelperSpread($D16)),IF(ISERROR(_xll.qlFuturesRateHelperConvexityAdjustment($D16)),"--",_xll.qlFuturesRateHelperConvexityAdjustment($D16)),_xll.qlSwapRateHelperSpread($D16))</f>
        <v>--</v>
      </c>
      <c r="H16" s="79">
        <f>_xll.qlRateHelperEarliestDate($D16)</f>
        <v>41911</v>
      </c>
      <c r="I16" s="80">
        <f>_xll.qlRateHelperLatestDate($D16)</f>
        <v>42276</v>
      </c>
      <c r="J16" s="74">
        <v>0.98547228722063673</v>
      </c>
    </row>
    <row r="17" spans="4:10" x14ac:dyDescent="0.2">
      <c r="D17" s="77" t="str">
        <v>obj_00607</v>
      </c>
      <c r="E17" s="77" t="str">
        <f>SUBSTITUTE(SUBSTITUTE(_xll.qlRateHelperQuoteName(D17),"_S6L12L",""),"6L","12LBASIS")</f>
        <v>GBP6x18F_SYNTH1Y_Quote</v>
      </c>
      <c r="F17" s="78">
        <f>_xll.qlRateHelperRate($D17)</f>
        <v>1.5212E-2</v>
      </c>
      <c r="G17" s="78" t="str">
        <f>IF(ISERROR(_xll.qlSwapRateHelperSpread($D17)),IF(ISERROR(_xll.qlFuturesRateHelperConvexityAdjustment($D17)),"--",_xll.qlFuturesRateHelperConvexityAdjustment($D17)),_xll.qlSwapRateHelperSpread($D17))</f>
        <v>--</v>
      </c>
      <c r="H17" s="79">
        <f>_xll.qlRateHelperEarliestDate($D17)</f>
        <v>42002</v>
      </c>
      <c r="I17" s="80">
        <f>_xll.qlRateHelperLatestDate($D17)</f>
        <v>42367</v>
      </c>
      <c r="J17" s="74">
        <v>0.98084839335219454</v>
      </c>
    </row>
    <row r="18" spans="4:10" x14ac:dyDescent="0.2">
      <c r="D18" s="77" t="str">
        <v>obj_00602</v>
      </c>
      <c r="E18" s="77" t="str">
        <f>SUBSTITUTE(SUBSTITUTE(_xll.qlRateHelperQuoteName(D18),"_S6L12L",""),"6L","12LBASIS")</f>
        <v>GBP9x21F_SYNTH1Y_Quote</v>
      </c>
      <c r="F18" s="78">
        <f>_xll.qlRateHelperRate($D18)</f>
        <v>1.7565999999999998E-2</v>
      </c>
      <c r="G18" s="78" t="str">
        <f>IF(ISERROR(_xll.qlSwapRateHelperSpread($D18)),IF(ISERROR(_xll.qlFuturesRateHelperConvexityAdjustment($D18)),"--",_xll.qlFuturesRateHelperConvexityAdjustment($D18)),_xll.qlSwapRateHelperSpread($D18))</f>
        <v>--</v>
      </c>
      <c r="H18" s="79">
        <f>_xll.qlRateHelperEarliestDate($D18)</f>
        <v>42090</v>
      </c>
      <c r="I18" s="80">
        <f>_xll.qlRateHelperLatestDate($D18)</f>
        <v>42458</v>
      </c>
      <c r="J18" s="74">
        <v>0.9757884484851469</v>
      </c>
    </row>
    <row r="19" spans="4:10" x14ac:dyDescent="0.2">
      <c r="D19" s="77" t="str">
        <v>obj_00609</v>
      </c>
      <c r="E19" s="77" t="str">
        <f>SUBSTITUTE(SUBSTITUTE(_xll.qlRateHelperQuoteName(D19),"_S6L12L",""),"6L","12LBASIS")</f>
        <v>GBP12x24F_Quote</v>
      </c>
      <c r="F19" s="78">
        <f>_xll.qlRateHelperRate($D19)</f>
        <v>1.9799999999999998E-2</v>
      </c>
      <c r="G19" s="78" t="str">
        <f>IF(ISERROR(_xll.qlSwapRateHelperSpread($D19)),IF(ISERROR(_xll.qlFuturesRateHelperConvexityAdjustment($D19)),"--",_xll.qlFuturesRateHelperConvexityAdjustment($D19)),_xll.qlSwapRateHelperSpread($D19))</f>
        <v>--</v>
      </c>
      <c r="H19" s="79">
        <f>_xll.qlRateHelperEarliestDate($D19)</f>
        <v>42184</v>
      </c>
      <c r="I19" s="80">
        <f>_xll.qlRateHelperLatestDate($D19)</f>
        <v>42550</v>
      </c>
      <c r="J19" s="74">
        <v>0.97033669036686965</v>
      </c>
    </row>
    <row r="20" spans="4:10" x14ac:dyDescent="0.2">
      <c r="D20" s="77" t="str">
        <v>obj_005ea</v>
      </c>
      <c r="E20" s="77" t="str">
        <f>SUBSTITUTE(SUBSTITUTE(_xll.qlRateHelperQuoteName(D20),"_S6L12L",""),"6L","12LBASIS")</f>
        <v>GBP15x27F_SYNTH1Y_Quote</v>
      </c>
      <c r="F20" s="78">
        <f>_xll.qlRateHelperRate($D20)</f>
        <v>2.1604000000000002E-2</v>
      </c>
      <c r="G20" s="78" t="str">
        <f>IF(ISERROR(_xll.qlSwapRateHelperSpread($D20)),IF(ISERROR(_xll.qlFuturesRateHelperConvexityAdjustment($D20)),"--",_xll.qlFuturesRateHelperConvexityAdjustment($D20)),_xll.qlSwapRateHelperSpread($D20))</f>
        <v>--</v>
      </c>
      <c r="H20" s="79">
        <f>_xll.qlRateHelperEarliestDate($D20)</f>
        <v>42275</v>
      </c>
      <c r="I20" s="80">
        <f>_xll.qlRateHelperLatestDate($D20)</f>
        <v>42641</v>
      </c>
      <c r="J20" s="74">
        <v>0.96462352645573468</v>
      </c>
    </row>
    <row r="21" spans="4:10" x14ac:dyDescent="0.2">
      <c r="D21" s="77" t="str">
        <v>obj_005c7</v>
      </c>
      <c r="E21" s="77" t="str">
        <f>SUBSTITUTE(SUBSTITUTE(_xll.qlRateHelperQuoteName(D21),"_S6L12L",""),"6L","12LBASIS")</f>
        <v>GBPSB12LBASIS6Y_Quote</v>
      </c>
      <c r="F21" s="78">
        <f>_xll.qlRateHelperRate($D21)</f>
        <v>2.4779999999679996E-2</v>
      </c>
      <c r="G21" s="78">
        <f>IF(ISERROR(_xll.qlSwapRateHelperSpread($D21)),IF(ISERROR(_xll.qlFuturesRateHelperConvexityAdjustment($D21)),"--",_xll.qlFuturesRateHelperConvexityAdjustment($D21)),_xll.qlSwapRateHelperSpread($D21))</f>
        <v>0</v>
      </c>
      <c r="H21" s="79">
        <f>_xll.qlRateHelperEarliestDate($D21)</f>
        <v>41817</v>
      </c>
      <c r="I21" s="80">
        <f>_xll.qlRateHelperLatestDate($D21)</f>
        <v>44011</v>
      </c>
      <c r="J21" s="74">
        <v>0.86120229834682982</v>
      </c>
    </row>
    <row r="22" spans="4:10" x14ac:dyDescent="0.2">
      <c r="D22" s="77" t="str">
        <v>obj_005c8</v>
      </c>
      <c r="E22" s="77" t="str">
        <f>SUBSTITUTE(SUBSTITUTE(_xll.qlRateHelperQuoteName(D22),"_S6L12L",""),"6L","12LBASIS")</f>
        <v>GBPSB12LBASIS7Y_Quote</v>
      </c>
      <c r="F22" s="78">
        <f>_xll.qlRateHelperRate($D22)</f>
        <v>2.6102499999774081E-2</v>
      </c>
      <c r="G22" s="78">
        <f>IF(ISERROR(_xll.qlSwapRateHelperSpread($D22)),IF(ISERROR(_xll.qlFuturesRateHelperConvexityAdjustment($D22)),"--",_xll.qlFuturesRateHelperConvexityAdjustment($D22)),_xll.qlSwapRateHelperSpread($D22))</f>
        <v>0</v>
      </c>
      <c r="H22" s="79">
        <f>_xll.qlRateHelperEarliestDate($D22)</f>
        <v>41817</v>
      </c>
      <c r="I22" s="80">
        <f>_xll.qlRateHelperLatestDate($D22)</f>
        <v>44375</v>
      </c>
      <c r="J22" s="74">
        <v>0.83210543499846357</v>
      </c>
    </row>
    <row r="23" spans="4:10" x14ac:dyDescent="0.2">
      <c r="D23" s="77" t="str">
        <v>obj_005c9</v>
      </c>
      <c r="E23" s="77" t="str">
        <f>SUBSTITUTE(SUBSTITUTE(_xll.qlRateHelperQuoteName(D23),"_S6L12L",""),"6L","12LBASIS")</f>
        <v>GBPSB12LBASIS8Y_Quote</v>
      </c>
      <c r="F23" s="78">
        <f>_xll.qlRateHelperRate($D23)</f>
        <v>2.7224999999863761E-2</v>
      </c>
      <c r="G23" s="78">
        <f>IF(ISERROR(_xll.qlSwapRateHelperSpread($D23)),IF(ISERROR(_xll.qlFuturesRateHelperConvexityAdjustment($D23)),"--",_xll.qlFuturesRateHelperConvexityAdjustment($D23)),_xll.qlSwapRateHelperSpread($D23))</f>
        <v>0</v>
      </c>
      <c r="H23" s="79">
        <f>_xll.qlRateHelperEarliestDate($D23)</f>
        <v>41817</v>
      </c>
      <c r="I23" s="80">
        <f>_xll.qlRateHelperLatestDate($D23)</f>
        <v>44739</v>
      </c>
      <c r="J23" s="74">
        <v>0.80306196992541079</v>
      </c>
    </row>
    <row r="24" spans="4:10" x14ac:dyDescent="0.2">
      <c r="D24" s="77" t="str">
        <v>obj_005ca</v>
      </c>
      <c r="E24" s="77" t="str">
        <f>SUBSTITUTE(SUBSTITUTE(_xll.qlRateHelperQuoteName(D24),"_S6L12L",""),"6L","12LBASIS")</f>
        <v>GBPSB12LBASIS9Y_Quote</v>
      </c>
      <c r="F24" s="78">
        <f>_xll.qlRateHelperRate($D24)</f>
        <v>2.818749999994501E-2</v>
      </c>
      <c r="G24" s="78">
        <f>IF(ISERROR(_xll.qlSwapRateHelperSpread($D24)),IF(ISERROR(_xll.qlFuturesRateHelperConvexityAdjustment($D24)),"--",_xll.qlFuturesRateHelperConvexityAdjustment($D24)),_xll.qlSwapRateHelperSpread($D24))</f>
        <v>0</v>
      </c>
      <c r="H24" s="79">
        <f>_xll.qlRateHelperEarliestDate($D24)</f>
        <v>41817</v>
      </c>
      <c r="I24" s="80">
        <f>_xll.qlRateHelperLatestDate($D24)</f>
        <v>45104</v>
      </c>
      <c r="J24" s="74">
        <v>0.77426379176468729</v>
      </c>
    </row>
    <row r="25" spans="4:10" x14ac:dyDescent="0.2">
      <c r="D25" s="77" t="str">
        <v>obj_005cb</v>
      </c>
      <c r="E25" s="77" t="str">
        <f>SUBSTITUTE(SUBSTITUTE(_xll.qlRateHelperQuoteName(D25),"_S6L12L",""),"6L","12LBASIS")</f>
        <v>GBPSB12LBASIS10Y_Quote</v>
      </c>
      <c r="F25" s="78">
        <f>_xll.qlRateHelperRate($D25)</f>
        <v>2.8987499999733525E-2</v>
      </c>
      <c r="G25" s="78">
        <f>IF(ISERROR(_xll.qlSwapRateHelperSpread($D25)),IF(ISERROR(_xll.qlFuturesRateHelperConvexityAdjustment($D25)),"--",_xll.qlFuturesRateHelperConvexityAdjustment($D25)),_xll.qlSwapRateHelperSpread($D25))</f>
        <v>0</v>
      </c>
      <c r="H25" s="79">
        <f>_xll.qlRateHelperEarliestDate($D25)</f>
        <v>41817</v>
      </c>
      <c r="I25" s="80">
        <f>_xll.qlRateHelperLatestDate($D25)</f>
        <v>45470</v>
      </c>
      <c r="J25" s="74">
        <v>0.74615488755409465</v>
      </c>
    </row>
    <row r="26" spans="4:10" x14ac:dyDescent="0.2">
      <c r="D26" s="77" t="str">
        <v>obj_005cc</v>
      </c>
      <c r="E26" s="77" t="str">
        <f>SUBSTITUTE(SUBSTITUTE(_xll.qlRateHelperQuoteName(D26),"_S6L12L",""),"6L","12LBASIS")</f>
        <v>GBPSB12LBASIS11Y_Quote</v>
      </c>
      <c r="F26" s="78">
        <f>_xll.qlRateHelperRate($D26)</f>
        <v>2.9686258462525147E-2</v>
      </c>
      <c r="G26" s="78">
        <f>IF(ISERROR(_xll.qlSwapRateHelperSpread($D26)),IF(ISERROR(_xll.qlFuturesRateHelperConvexityAdjustment($D26)),"--",_xll.qlFuturesRateHelperConvexityAdjustment($D26)),_xll.qlSwapRateHelperSpread($D26))</f>
        <v>0</v>
      </c>
      <c r="H26" s="79">
        <f>_xll.qlRateHelperEarliestDate($D26)</f>
        <v>41817</v>
      </c>
      <c r="I26" s="80">
        <f>_xll.qlRateHelperLatestDate($D26)</f>
        <v>45835</v>
      </c>
      <c r="J26" s="74">
        <v>0.71868947491991586</v>
      </c>
    </row>
    <row r="27" spans="4:10" x14ac:dyDescent="0.2">
      <c r="D27" s="77" t="str">
        <v>obj_005cd</v>
      </c>
      <c r="E27" s="77" t="str">
        <f>SUBSTITUTE(SUBSTITUTE(_xll.qlRateHelperQuoteName(D27),"_S6L12L",""),"6L","12LBASIS")</f>
        <v>GBPSB12LBASIS12Y_Quote</v>
      </c>
      <c r="F27" s="78">
        <f>_xll.qlRateHelperRate($D27)</f>
        <v>3.0292500000010731E-2</v>
      </c>
      <c r="G27" s="78">
        <f>IF(ISERROR(_xll.qlSwapRateHelperSpread($D27)),IF(ISERROR(_xll.qlFuturesRateHelperConvexityAdjustment($D27)),"--",_xll.qlFuturesRateHelperConvexityAdjustment($D27)),_xll.qlSwapRateHelperSpread($D27))</f>
        <v>0</v>
      </c>
      <c r="H27" s="79">
        <f>_xll.qlRateHelperEarliestDate($D27)</f>
        <v>41817</v>
      </c>
      <c r="I27" s="80">
        <f>_xll.qlRateHelperLatestDate($D27)</f>
        <v>46202</v>
      </c>
      <c r="J27" s="74">
        <v>0.69185566022940415</v>
      </c>
    </row>
    <row r="28" spans="4:10" x14ac:dyDescent="0.2">
      <c r="D28" s="77" t="str">
        <v>obj_005ce</v>
      </c>
      <c r="E28" s="77" t="str">
        <f>SUBSTITUTE(SUBSTITUTE(_xll.qlRateHelperQuoteName(D28),"_S6L12L",""),"6L","12LBASIS")</f>
        <v>GBPSB12LBASIS13Y_Quote</v>
      </c>
      <c r="F28" s="78">
        <f>_xll.qlRateHelperRate($D28)</f>
        <v>3.0812731307449808E-2</v>
      </c>
      <c r="G28" s="78">
        <f>IF(ISERROR(_xll.qlSwapRateHelperSpread($D28)),IF(ISERROR(_xll.qlFuturesRateHelperConvexityAdjustment($D28)),"--",_xll.qlFuturesRateHelperConvexityAdjustment($D28)),_xll.qlSwapRateHelperSpread($D28))</f>
        <v>0</v>
      </c>
      <c r="H28" s="79">
        <f>_xll.qlRateHelperEarliestDate($D28)</f>
        <v>41817</v>
      </c>
      <c r="I28" s="80">
        <f>_xll.qlRateHelperLatestDate($D28)</f>
        <v>46566</v>
      </c>
      <c r="J28" s="74">
        <v>0.66607577494174697</v>
      </c>
    </row>
    <row r="29" spans="4:10" x14ac:dyDescent="0.2">
      <c r="D29" s="77" t="str">
        <v>obj_005cf</v>
      </c>
      <c r="E29" s="77" t="str">
        <f>SUBSTITUTE(SUBSTITUTE(_xll.qlRateHelperQuoteName(D29),"_S6L12L",""),"6L","12LBASIS")</f>
        <v>GBPSB12LBASIS14Y_Quote</v>
      </c>
      <c r="F29" s="78">
        <f>_xll.qlRateHelperRate($D29)</f>
        <v>3.1266872175003249E-2</v>
      </c>
      <c r="G29" s="78">
        <f>IF(ISERROR(_xll.qlSwapRateHelperSpread($D29)),IF(ISERROR(_xll.qlFuturesRateHelperConvexityAdjustment($D29)),"--",_xll.qlFuturesRateHelperConvexityAdjustment($D29)),_xll.qlSwapRateHelperSpread($D29))</f>
        <v>0</v>
      </c>
      <c r="H29" s="79">
        <f>_xll.qlRateHelperEarliestDate($D29)</f>
        <v>41817</v>
      </c>
      <c r="I29" s="80">
        <f>_xll.qlRateHelperLatestDate($D29)</f>
        <v>46931</v>
      </c>
      <c r="J29" s="74">
        <v>0.64108237836713389</v>
      </c>
    </row>
    <row r="30" spans="4:10" x14ac:dyDescent="0.2">
      <c r="D30" s="77" t="str">
        <v>obj_005d0</v>
      </c>
      <c r="E30" s="77" t="str">
        <f>SUBSTITUTE(SUBSTITUTE(_xll.qlRateHelperQuoteName(D30),"_S6L12L",""),"6L","12LBASIS")</f>
        <v>GBPSB12LBASIS15Y_Quote</v>
      </c>
      <c r="F30" s="78">
        <f>_xll.qlRateHelperRate($D30)</f>
        <v>3.1662499999877199E-2</v>
      </c>
      <c r="G30" s="78">
        <f>IF(ISERROR(_xll.qlSwapRateHelperSpread($D30)),IF(ISERROR(_xll.qlFuturesRateHelperConvexityAdjustment($D30)),"--",_xll.qlFuturesRateHelperConvexityAdjustment($D30)),_xll.qlSwapRateHelperSpread($D30))</f>
        <v>0</v>
      </c>
      <c r="H30" s="79">
        <f>_xll.qlRateHelperEarliestDate($D30)</f>
        <v>41817</v>
      </c>
      <c r="I30" s="80">
        <f>_xll.qlRateHelperLatestDate($D30)</f>
        <v>47296</v>
      </c>
      <c r="J30" s="74">
        <v>0.61697268702380281</v>
      </c>
    </row>
    <row r="31" spans="4:10" x14ac:dyDescent="0.2">
      <c r="D31" s="77" t="str">
        <v>obj_005d1</v>
      </c>
      <c r="E31" s="77" t="str">
        <f>SUBSTITUTE(SUBSTITUTE(_xll.qlRateHelperQuoteName(D31),"_S6L12L",""),"6L","12LBASIS")</f>
        <v>GBPSB12LBASIS16Y_Quote</v>
      </c>
      <c r="F31" s="78">
        <f>_xll.qlRateHelperRate($D31)</f>
        <v>3.2006655643847082E-2</v>
      </c>
      <c r="G31" s="78">
        <f>IF(ISERROR(_xll.qlSwapRateHelperSpread($D31)),IF(ISERROR(_xll.qlFuturesRateHelperConvexityAdjustment($D31)),"--",_xll.qlFuturesRateHelperConvexityAdjustment($D31)),_xll.qlSwapRateHelperSpread($D31))</f>
        <v>0</v>
      </c>
      <c r="H31" s="79">
        <f>_xll.qlRateHelperEarliestDate($D31)</f>
        <v>41817</v>
      </c>
      <c r="I31" s="80">
        <f>_xll.qlRateHelperLatestDate($D31)</f>
        <v>47661</v>
      </c>
      <c r="J31" s="74">
        <v>0.59376571290167235</v>
      </c>
    </row>
    <row r="32" spans="4:10" x14ac:dyDescent="0.2">
      <c r="D32" s="77" t="str">
        <v>obj_005d2</v>
      </c>
      <c r="E32" s="77" t="str">
        <f>SUBSTITUTE(SUBSTITUTE(_xll.qlRateHelperQuoteName(D32),"_S6L12L",""),"6L","12LBASIS")</f>
        <v>GBPSB12LBASIS17Y_Quote</v>
      </c>
      <c r="F32" s="78">
        <f>_xll.qlRateHelperRate($D32)</f>
        <v>3.2302108238895705E-2</v>
      </c>
      <c r="G32" s="78">
        <f>IF(ISERROR(_xll.qlSwapRateHelperSpread($D32)),IF(ISERROR(_xll.qlFuturesRateHelperConvexityAdjustment($D32)),"--",_xll.qlFuturesRateHelperConvexityAdjustment($D32)),_xll.qlSwapRateHelperSpread($D32))</f>
        <v>0</v>
      </c>
      <c r="H32" s="79">
        <f>_xll.qlRateHelperEarliestDate($D32)</f>
        <v>41817</v>
      </c>
      <c r="I32" s="80">
        <f>_xll.qlRateHelperLatestDate($D32)</f>
        <v>48026</v>
      </c>
      <c r="J32" s="74">
        <v>0.57150898695480135</v>
      </c>
    </row>
    <row r="33" spans="4:10" x14ac:dyDescent="0.2">
      <c r="D33" s="77" t="str">
        <v>obj_005d3</v>
      </c>
      <c r="E33" s="77" t="str">
        <f>SUBSTITUTE(SUBSTITUTE(_xll.qlRateHelperQuoteName(D33),"_S6L12L",""),"6L","12LBASIS")</f>
        <v>GBPSB12LBASIS18Y_Quote</v>
      </c>
      <c r="F33" s="78">
        <f>_xll.qlRateHelperRate($D33)</f>
        <v>3.2551751477299135E-2</v>
      </c>
      <c r="G33" s="78">
        <f>IF(ISERROR(_xll.qlSwapRateHelperSpread($D33)),IF(ISERROR(_xll.qlFuturesRateHelperConvexityAdjustment($D33)),"--",_xll.qlFuturesRateHelperConvexityAdjustment($D33)),_xll.qlSwapRateHelperSpread($D33))</f>
        <v>0</v>
      </c>
      <c r="H33" s="79">
        <f>_xll.qlRateHelperEarliestDate($D33)</f>
        <v>41817</v>
      </c>
      <c r="I33" s="80">
        <f>_xll.qlRateHelperLatestDate($D33)</f>
        <v>48393</v>
      </c>
      <c r="J33" s="74">
        <v>0.55013677238586067</v>
      </c>
    </row>
    <row r="34" spans="4:10" x14ac:dyDescent="0.2">
      <c r="D34" s="77" t="str">
        <v>obj_005d4</v>
      </c>
      <c r="E34" s="77" t="str">
        <f>SUBSTITUTE(SUBSTITUTE(_xll.qlRateHelperQuoteName(D34),"_S6L12L",""),"6L","12LBASIS")</f>
        <v>GBPSB12LBASIS19Y_Quote</v>
      </c>
      <c r="F34" s="78">
        <f>_xll.qlRateHelperRate($D34)</f>
        <v>3.275309826875078E-2</v>
      </c>
      <c r="G34" s="78">
        <f>IF(ISERROR(_xll.qlSwapRateHelperSpread($D34)),IF(ISERROR(_xll.qlFuturesRateHelperConvexityAdjustment($D34)),"--",_xll.qlFuturesRateHelperConvexityAdjustment($D34)),_xll.qlSwapRateHelperSpread($D34))</f>
        <v>0</v>
      </c>
      <c r="H34" s="79">
        <f>_xll.qlRateHelperEarliestDate($D34)</f>
        <v>41817</v>
      </c>
      <c r="I34" s="80">
        <f>_xll.qlRateHelperLatestDate($D34)</f>
        <v>48757</v>
      </c>
      <c r="J34" s="74">
        <v>0.52998135790078338</v>
      </c>
    </row>
    <row r="35" spans="4:10" x14ac:dyDescent="0.2">
      <c r="D35" s="77" t="str">
        <v>obj_005d5</v>
      </c>
      <c r="E35" s="77" t="str">
        <f>SUBSTITUTE(SUBSTITUTE(_xll.qlRateHelperQuoteName(D35),"_S6L12L",""),"6L","12LBASIS")</f>
        <v>GBPSB12LBASIS20Y_Quote</v>
      </c>
      <c r="F35" s="78">
        <f>_xll.qlRateHelperRate($D35)</f>
        <v>3.2910000000046888E-2</v>
      </c>
      <c r="G35" s="78">
        <f>IF(ISERROR(_xll.qlSwapRateHelperSpread($D35)),IF(ISERROR(_xll.qlFuturesRateHelperConvexityAdjustment($D35)),"--",_xll.qlFuturesRateHelperConvexityAdjustment($D35)),_xll.qlSwapRateHelperSpread($D35))</f>
        <v>0</v>
      </c>
      <c r="H35" s="79">
        <f>_xll.qlRateHelperEarliestDate($D35)</f>
        <v>41817</v>
      </c>
      <c r="I35" s="80">
        <f>_xll.qlRateHelperLatestDate($D35)</f>
        <v>49122</v>
      </c>
      <c r="J35" s="74">
        <v>0.51084546959051946</v>
      </c>
    </row>
    <row r="36" spans="4:10" x14ac:dyDescent="0.2">
      <c r="D36" s="77" t="str">
        <v>obj_005d6</v>
      </c>
      <c r="E36" s="77" t="str">
        <f>SUBSTITUTE(SUBSTITUTE(_xll.qlRateHelperQuoteName(D36),"_S6L12L",""),"6L","12LBASIS")</f>
        <v>GBPSB12LBASIS21Y_Quote</v>
      </c>
      <c r="F36" s="78">
        <f>_xll.qlRateHelperRate($D36)</f>
        <v>3.3024367989224035E-2</v>
      </c>
      <c r="G36" s="78">
        <f>IF(ISERROR(_xll.qlSwapRateHelperSpread($D36)),IF(ISERROR(_xll.qlFuturesRateHelperConvexityAdjustment($D36)),"--",_xll.qlFuturesRateHelperConvexityAdjustment($D36)),_xll.qlSwapRateHelperSpread($D36))</f>
        <v>0</v>
      </c>
      <c r="H36" s="79">
        <f>_xll.qlRateHelperEarliestDate($D36)</f>
        <v>41817</v>
      </c>
      <c r="I36" s="80">
        <f>_xll.qlRateHelperLatestDate($D36)</f>
        <v>49487</v>
      </c>
      <c r="J36" s="74">
        <v>0.4927885730351157</v>
      </c>
    </row>
    <row r="37" spans="4:10" x14ac:dyDescent="0.2">
      <c r="D37" s="77" t="str">
        <v>obj_005d7</v>
      </c>
      <c r="E37" s="77" t="str">
        <f>SUBSTITUTE(SUBSTITUTE(_xll.qlRateHelperQuoteName(D37),"_S6L12L",""),"6L","12LBASIS")</f>
        <v>GBPSB12LBASIS22Y_Quote</v>
      </c>
      <c r="F37" s="78">
        <f>_xll.qlRateHelperRate($D37)</f>
        <v>3.3105962002594309E-2</v>
      </c>
      <c r="G37" s="78">
        <f>IF(ISERROR(_xll.qlSwapRateHelperSpread($D37)),IF(ISERROR(_xll.qlFuturesRateHelperConvexityAdjustment($D37)),"--",_xll.qlFuturesRateHelperConvexityAdjustment($D37)),_xll.qlSwapRateHelperSpread($D37))</f>
        <v>0</v>
      </c>
      <c r="H37" s="79">
        <f>_xll.qlRateHelperEarliestDate($D37)</f>
        <v>41817</v>
      </c>
      <c r="I37" s="80">
        <f>_xll.qlRateHelperLatestDate($D37)</f>
        <v>49853</v>
      </c>
      <c r="J37" s="74">
        <v>0.47565362229259572</v>
      </c>
    </row>
    <row r="38" spans="4:10" x14ac:dyDescent="0.2">
      <c r="D38" s="77" t="str">
        <v>obj_005d8</v>
      </c>
      <c r="E38" s="77" t="str">
        <f>SUBSTITUTE(SUBSTITUTE(_xll.qlRateHelperQuoteName(D38),"_S6L12L",""),"6L","12LBASIS")</f>
        <v>GBPSB12LBASIS23Y_Quote</v>
      </c>
      <c r="F38" s="78">
        <f>_xll.qlRateHelperRate($D38)</f>
        <v>3.3164208530178742E-2</v>
      </c>
      <c r="G38" s="78">
        <f>IF(ISERROR(_xll.qlSwapRateHelperSpread($D38)),IF(ISERROR(_xll.qlFuturesRateHelperConvexityAdjustment($D38)),"--",_xll.qlFuturesRateHelperConvexityAdjustment($D38)),_xll.qlSwapRateHelperSpread($D38))</f>
        <v>0</v>
      </c>
      <c r="H38" s="79">
        <f>_xll.qlRateHelperEarliestDate($D38)</f>
        <v>41817</v>
      </c>
      <c r="I38" s="80">
        <f>_xll.qlRateHelperLatestDate($D38)</f>
        <v>50220</v>
      </c>
      <c r="J38" s="74">
        <v>0.45931757269648588</v>
      </c>
    </row>
    <row r="39" spans="4:10" x14ac:dyDescent="0.2">
      <c r="D39" s="77" t="str">
        <v>obj_005d9</v>
      </c>
      <c r="E39" s="77" t="str">
        <f>SUBSTITUTE(SUBSTITUTE(_xll.qlRateHelperQuoteName(D39),"_S6L12L",""),"6L","12LBASIS")</f>
        <v>GBPSB12LBASIS24Y_Quote</v>
      </c>
      <c r="F39" s="78">
        <f>_xll.qlRateHelperRate($D39)</f>
        <v>3.3206374893902574E-2</v>
      </c>
      <c r="G39" s="78">
        <f>IF(ISERROR(_xll.qlSwapRateHelperSpread($D39)),IF(ISERROR(_xll.qlFuturesRateHelperConvexityAdjustment($D39)),"--",_xll.qlFuturesRateHelperConvexityAdjustment($D39)),_xll.qlSwapRateHelperSpread($D39))</f>
        <v>0</v>
      </c>
      <c r="H39" s="79">
        <f>_xll.qlRateHelperEarliestDate($D39)</f>
        <v>41817</v>
      </c>
      <c r="I39" s="80">
        <f>_xll.qlRateHelperLatestDate($D39)</f>
        <v>50584</v>
      </c>
      <c r="J39" s="74">
        <v>0.44383492121693191</v>
      </c>
    </row>
    <row r="40" spans="4:10" x14ac:dyDescent="0.2">
      <c r="D40" s="77" t="str">
        <v>obj_005da</v>
      </c>
      <c r="E40" s="77" t="str">
        <f>SUBSTITUTE(SUBSTITUTE(_xll.qlRateHelperQuoteName(D40),"_S6L12L",""),"6L","12LBASIS")</f>
        <v>GBPSB12LBASIS25Y_Quote</v>
      </c>
      <c r="F40" s="78">
        <f>_xll.qlRateHelperRate($D40)</f>
        <v>3.3240000000138499E-2</v>
      </c>
      <c r="G40" s="78">
        <f>IF(ISERROR(_xll.qlSwapRateHelperSpread($D40)),IF(ISERROR(_xll.qlFuturesRateHelperConvexityAdjustment($D40)),"--",_xll.qlFuturesRateHelperConvexityAdjustment($D40)),_xll.qlSwapRateHelperSpread($D40))</f>
        <v>0</v>
      </c>
      <c r="H40" s="79">
        <f>_xll.qlRateHelperEarliestDate($D40)</f>
        <v>41817</v>
      </c>
      <c r="I40" s="80">
        <f>_xll.qlRateHelperLatestDate($D40)</f>
        <v>50948</v>
      </c>
      <c r="J40" s="74">
        <v>0.4289557335242824</v>
      </c>
    </row>
    <row r="41" spans="4:10" x14ac:dyDescent="0.2">
      <c r="D41" s="77" t="str">
        <v>obj_005db</v>
      </c>
      <c r="E41" s="77" t="str">
        <f>SUBSTITUTE(SUBSTITUTE(_xll.qlRateHelperQuoteName(D41),"_S6L12L",""),"6L","12LBASIS")</f>
        <v>GBPSB12LBASIS26Y_Quote</v>
      </c>
      <c r="F41" s="78">
        <f>_xll.qlRateHelperRate($D41)</f>
        <v>3.3269670289142579E-2</v>
      </c>
      <c r="G41" s="78">
        <f>IF(ISERROR(_xll.qlSwapRateHelperSpread($D41)),IF(ISERROR(_xll.qlFuturesRateHelperConvexityAdjustment($D41)),"--",_xll.qlFuturesRateHelperConvexityAdjustment($D41)),_xll.qlSwapRateHelperSpread($D41))</f>
        <v>0</v>
      </c>
      <c r="H41" s="79">
        <f>_xll.qlRateHelperEarliestDate($D41)</f>
        <v>41817</v>
      </c>
      <c r="I41" s="80">
        <f>_xll.qlRateHelperLatestDate($D41)</f>
        <v>51314</v>
      </c>
      <c r="J41" s="74">
        <v>0.41452236064409637</v>
      </c>
    </row>
    <row r="42" spans="4:10" x14ac:dyDescent="0.2">
      <c r="D42" s="77" t="str">
        <v>obj_005dc</v>
      </c>
      <c r="E42" s="77" t="str">
        <f>SUBSTITUTE(SUBSTITUTE(_xll.qlRateHelperQuoteName(D42),"_S6L12L",""),"6L","12LBASIS")</f>
        <v>GBPSB12LBASIS27Y_Quote</v>
      </c>
      <c r="F42" s="78">
        <f>_xll.qlRateHelperRate($D42)</f>
        <v>3.3293183730539924E-2</v>
      </c>
      <c r="G42" s="78">
        <f>IF(ISERROR(_xll.qlSwapRateHelperSpread($D42)),IF(ISERROR(_xll.qlFuturesRateHelperConvexityAdjustment($D42)),"--",_xll.qlFuturesRateHelperConvexityAdjustment($D42)),_xll.qlSwapRateHelperSpread($D42))</f>
        <v>0</v>
      </c>
      <c r="H42" s="79">
        <f>_xll.qlRateHelperEarliestDate($D42)</f>
        <v>41817</v>
      </c>
      <c r="I42" s="80">
        <f>_xll.qlRateHelperLatestDate($D42)</f>
        <v>51679</v>
      </c>
      <c r="J42" s="74">
        <v>0.40067598929613235</v>
      </c>
    </row>
    <row r="43" spans="4:10" x14ac:dyDescent="0.2">
      <c r="D43" s="77" t="str">
        <v>obj_005dd</v>
      </c>
      <c r="E43" s="77" t="str">
        <f>SUBSTITUTE(SUBSTITUTE(_xll.qlRateHelperQuoteName(D43),"_S6L12L",""),"6L","12LBASIS")</f>
        <v>GBPSB12LBASIS28Y_Quote</v>
      </c>
      <c r="F43" s="78">
        <f>_xll.qlRateHelperRate($D43)</f>
        <v>3.3307598658900289E-2</v>
      </c>
      <c r="G43" s="78">
        <f>IF(ISERROR(_xll.qlSwapRateHelperSpread($D43)),IF(ISERROR(_xll.qlFuturesRateHelperConvexityAdjustment($D43)),"--",_xll.qlFuturesRateHelperConvexityAdjustment($D43)),_xll.qlSwapRateHelperSpread($D43))</f>
        <v>0</v>
      </c>
      <c r="H43" s="79">
        <f>_xll.qlRateHelperEarliestDate($D43)</f>
        <v>41817</v>
      </c>
      <c r="I43" s="80">
        <f>_xll.qlRateHelperLatestDate($D43)</f>
        <v>52044</v>
      </c>
      <c r="J43" s="74">
        <v>0.38741880334535456</v>
      </c>
    </row>
    <row r="44" spans="4:10" x14ac:dyDescent="0.2">
      <c r="D44" s="77" t="str">
        <v>obj_005de</v>
      </c>
      <c r="E44" s="77" t="str">
        <f>SUBSTITUTE(SUBSTITUTE(_xll.qlRateHelperQuoteName(D44),"_S6L12L",""),"6L","12LBASIS")</f>
        <v>GBPSB12LBASIS29Y_Quote</v>
      </c>
      <c r="F44" s="78">
        <f>_xll.qlRateHelperRate($D44)</f>
        <v>3.3310061571557227E-2</v>
      </c>
      <c r="G44" s="78">
        <f>IF(ISERROR(_xll.qlSwapRateHelperSpread($D44)),IF(ISERROR(_xll.qlFuturesRateHelperConvexityAdjustment($D44)),"--",_xll.qlFuturesRateHelperConvexityAdjustment($D44)),_xll.qlSwapRateHelperSpread($D44))</f>
        <v>0</v>
      </c>
      <c r="H44" s="79">
        <f>_xll.qlRateHelperEarliestDate($D44)</f>
        <v>41817</v>
      </c>
      <c r="I44" s="80">
        <f>_xll.qlRateHelperLatestDate($D44)</f>
        <v>52411</v>
      </c>
      <c r="J44" s="74">
        <v>0.37472477273994131</v>
      </c>
    </row>
    <row r="45" spans="4:10" x14ac:dyDescent="0.2">
      <c r="D45" s="77" t="str">
        <v>obj_005df</v>
      </c>
      <c r="E45" s="77" t="str">
        <f>SUBSTITUTE(SUBSTITUTE(_xll.qlRateHelperQuoteName(D45),"_S6L12L",""),"6L","12LBASIS")</f>
        <v>GBPSB12LBASIS30Y_Quote</v>
      </c>
      <c r="F45" s="78">
        <f>_xll.qlRateHelperRate($D45)</f>
        <v>3.3297500000010485E-2</v>
      </c>
      <c r="G45" s="78">
        <f>IF(ISERROR(_xll.qlSwapRateHelperSpread($D45)),IF(ISERROR(_xll.qlFuturesRateHelperConvexityAdjustment($D45)),"--",_xll.qlFuturesRateHelperConvexityAdjustment($D45)),_xll.qlSwapRateHelperSpread($D45))</f>
        <v>0</v>
      </c>
      <c r="H45" s="79">
        <f>_xll.qlRateHelperEarliestDate($D45)</f>
        <v>41817</v>
      </c>
      <c r="I45" s="80">
        <f>_xll.qlRateHelperLatestDate($D45)</f>
        <v>52775</v>
      </c>
      <c r="J45" s="74">
        <v>0.36281000644854805</v>
      </c>
    </row>
    <row r="46" spans="4:10" x14ac:dyDescent="0.2">
      <c r="D46" s="77" t="str">
        <v>obj_005e0</v>
      </c>
      <c r="E46" s="77" t="str">
        <f>SUBSTITUTE(SUBSTITUTE(_xll.qlRateHelperQuoteName(D46),"_S6L12L",""),"6L","12LBASIS")</f>
        <v>GBPSB12LBASIS35Y_Quote</v>
      </c>
      <c r="F46" s="78">
        <f>_xll.qlRateHelperRate($D46)</f>
        <v>3.3219255302299314E-2</v>
      </c>
      <c r="G46" s="78">
        <f>IF(ISERROR(_xll.qlSwapRateHelperSpread($D46)),IF(ISERROR(_xll.qlFuturesRateHelperConvexityAdjustment($D46)),"--",_xll.qlFuturesRateHelperConvexityAdjustment($D46)),_xll.qlSwapRateHelperSpread($D46))</f>
        <v>0</v>
      </c>
      <c r="H46" s="79">
        <f>_xll.qlRateHelperEarliestDate($D46)</f>
        <v>41817</v>
      </c>
      <c r="I46" s="80">
        <f>_xll.qlRateHelperLatestDate($D46)</f>
        <v>54602</v>
      </c>
      <c r="J46" s="74">
        <v>0.30899901816985487</v>
      </c>
    </row>
    <row r="47" spans="4:10" x14ac:dyDescent="0.2">
      <c r="D47" s="77" t="str">
        <v>obj_005e1</v>
      </c>
      <c r="E47" s="77" t="str">
        <f>SUBSTITUTE(SUBSTITUTE(_xll.qlRateHelperQuoteName(D47),"_S6L12L",""),"6L","12LBASIS")</f>
        <v>GBPSB12LBASIS40Y_Quote</v>
      </c>
      <c r="F47" s="78">
        <f>_xll.qlRateHelperRate($D47)</f>
        <v>3.3097500000000543E-2</v>
      </c>
      <c r="G47" s="78">
        <f>IF(ISERROR(_xll.qlSwapRateHelperSpread($D47)),IF(ISERROR(_xll.qlFuturesRateHelperConvexityAdjustment($D47)),"--",_xll.qlFuturesRateHelperConvexityAdjustment($D47)),_xll.qlSwapRateHelperSpread($D47))</f>
        <v>0</v>
      </c>
      <c r="H47" s="79">
        <f>_xll.qlRateHelperEarliestDate($D47)</f>
        <v>41817</v>
      </c>
      <c r="I47" s="80">
        <f>_xll.qlRateHelperLatestDate($D47)</f>
        <v>56429</v>
      </c>
      <c r="J47" s="74">
        <v>0.26440255470729512</v>
      </c>
    </row>
    <row r="48" spans="4:10" x14ac:dyDescent="0.2">
      <c r="D48" s="77" t="str">
        <v>obj_005e2</v>
      </c>
      <c r="E48" s="77" t="str">
        <f>SUBSTITUTE(SUBSTITUTE(_xll.qlRateHelperQuoteName(D48),"_S6L12L",""),"6L","12LBASIS")</f>
        <v>GBPSB12LBASIS50Y_Quote</v>
      </c>
      <c r="F48" s="78">
        <f>_xll.qlRateHelperRate($D48)</f>
        <v>3.3037499999933558E-2</v>
      </c>
      <c r="G48" s="78">
        <f>IF(ISERROR(_xll.qlSwapRateHelperSpread($D48)),IF(ISERROR(_xll.qlFuturesRateHelperConvexityAdjustment($D48)),"--",_xll.qlFuturesRateHelperConvexityAdjustment($D48)),_xll.qlSwapRateHelperSpread($D48))</f>
        <v>0</v>
      </c>
      <c r="H48" s="79">
        <f>_xll.qlRateHelperEarliestDate($D48)</f>
        <v>41817</v>
      </c>
      <c r="I48" s="80">
        <f>_xll.qlRateHelperLatestDate($D48)</f>
        <v>60080</v>
      </c>
      <c r="J48" s="74">
        <v>0.19146140682976828</v>
      </c>
    </row>
    <row r="49" spans="4:10" x14ac:dyDescent="0.2">
      <c r="D49" s="77" t="str">
        <v>obj_005e3</v>
      </c>
      <c r="E49" s="77" t="str">
        <f>SUBSTITUTE(SUBSTITUTE(_xll.qlRateHelperQuoteName(D49),"_S6L12L",""),"6L","12LBASIS")</f>
        <v>GBPSB12LBASIS60Y_Quote</v>
      </c>
      <c r="F49" s="78">
        <f>_xll.qlRateHelperRate($D49)</f>
        <v>3.318749999997065E-2</v>
      </c>
      <c r="G49" s="78">
        <f>IF(ISERROR(_xll.qlSwapRateHelperSpread($D49)),IF(ISERROR(_xll.qlFuturesRateHelperConvexityAdjustment($D49)),"--",_xll.qlFuturesRateHelperConvexityAdjustment($D49)),_xll.qlSwapRateHelperSpread($D49))</f>
        <v>0</v>
      </c>
      <c r="H49" s="79">
        <f>_xll.qlRateHelperEarliestDate($D49)</f>
        <v>41817</v>
      </c>
      <c r="I49" s="80">
        <f>_xll.qlRateHelperLatestDate($D49)</f>
        <v>63732</v>
      </c>
      <c r="J49" s="74">
        <v>0.13484774205543221</v>
      </c>
    </row>
    <row r="50" spans="4:10" x14ac:dyDescent="0.2">
      <c r="D50" s="77" t="e">
        <v>#N/A</v>
      </c>
      <c r="E50" s="77" t="e">
        <f>SUBSTITUTE(SUBSTITUTE(_xll.qlRateHelperQuoteName(D50),"_S6L12L",""),"6L","12LBASIS")</f>
        <v>#VALUE!</v>
      </c>
      <c r="F50" s="78" t="e">
        <f>_xll.qlRateHelperRate($D50)</f>
        <v>#VALUE!</v>
      </c>
      <c r="G50" s="78" t="str">
        <f>IF(ISERROR(_xll.qlSwapRateHelperSpread($D50)),IF(ISERROR(_xll.qlFuturesRateHelperConvexityAdjustment($D50)),"--",_xll.qlFuturesRateHelperConvexityAdjustment($D50)),_xll.qlSwapRateHelperSpread($D50))</f>
        <v>--</v>
      </c>
      <c r="H50" s="79" t="e">
        <f>_xll.qlRateHelperEarliestDate($D50)</f>
        <v>#VALUE!</v>
      </c>
      <c r="I50" s="80" t="e">
        <f>_xll.qlRateHelperLatestDate($D50)</f>
        <v>#VALUE!</v>
      </c>
      <c r="J50" s="74" t="e">
        <v>#N/A</v>
      </c>
    </row>
    <row r="51" spans="4:10" x14ac:dyDescent="0.2">
      <c r="D51" s="77" t="e">
        <v>#N/A</v>
      </c>
      <c r="E51" s="77" t="e">
        <f>SUBSTITUTE(SUBSTITUTE(_xll.qlRateHelperQuoteName(D51),"_S6L12L",""),"6L","12LBASIS")</f>
        <v>#VALUE!</v>
      </c>
      <c r="F51" s="78" t="e">
        <f>_xll.qlRateHelperRate($D51)</f>
        <v>#VALUE!</v>
      </c>
      <c r="G51" s="78" t="str">
        <f>IF(ISERROR(_xll.qlSwapRateHelperSpread($D51)),IF(ISERROR(_xll.qlFuturesRateHelperConvexityAdjustment($D51)),"--",_xll.qlFuturesRateHelperConvexityAdjustment($D51)),_xll.qlSwapRateHelperSpread($D51))</f>
        <v>--</v>
      </c>
      <c r="H51" s="79" t="e">
        <f>_xll.qlRateHelperEarliestDate($D51)</f>
        <v>#VALUE!</v>
      </c>
      <c r="I51" s="80" t="e">
        <f>_xll.qlRateHelperLatestDate($D51)</f>
        <v>#VALUE!</v>
      </c>
      <c r="J51" s="74" t="e">
        <v>#N/A</v>
      </c>
    </row>
    <row r="52" spans="4:10" x14ac:dyDescent="0.2">
      <c r="D52" s="77" t="e">
        <v>#N/A</v>
      </c>
      <c r="E52" s="77" t="e">
        <f>SUBSTITUTE(SUBSTITUTE(_xll.qlRateHelperQuoteName(D52),"_S6L12L",""),"6L","12LBASIS")</f>
        <v>#VALUE!</v>
      </c>
      <c r="F52" s="78" t="e">
        <f>_xll.qlRateHelperRate($D52)</f>
        <v>#VALUE!</v>
      </c>
      <c r="G52" s="78" t="str">
        <f>IF(ISERROR(_xll.qlSwapRateHelperSpread($D52)),IF(ISERROR(_xll.qlFuturesRateHelperConvexityAdjustment($D52)),"--",_xll.qlFuturesRateHelperConvexityAdjustment($D52)),_xll.qlSwapRateHelperSpread($D52))</f>
        <v>--</v>
      </c>
      <c r="H52" s="79" t="e">
        <f>_xll.qlRateHelperEarliestDate($D52)</f>
        <v>#VALUE!</v>
      </c>
      <c r="I52" s="80" t="e">
        <f>_xll.qlRateHelperLatestDate($D52)</f>
        <v>#VALUE!</v>
      </c>
      <c r="J52" s="74" t="e">
        <v>#N/A</v>
      </c>
    </row>
    <row r="53" spans="4:10" x14ac:dyDescent="0.2">
      <c r="D53" s="77" t="e">
        <v>#N/A</v>
      </c>
      <c r="E53" s="77" t="e">
        <f>SUBSTITUTE(SUBSTITUTE(_xll.qlRateHelperQuoteName(D53),"_S6L12L",""),"6L","12LBASIS")</f>
        <v>#VALUE!</v>
      </c>
      <c r="F53" s="78" t="e">
        <f>_xll.qlRateHelperRate($D53)</f>
        <v>#VALUE!</v>
      </c>
      <c r="G53" s="78" t="str">
        <f>IF(ISERROR(_xll.qlSwapRateHelperSpread($D53)),IF(ISERROR(_xll.qlFuturesRateHelperConvexityAdjustment($D53)),"--",_xll.qlFuturesRateHelperConvexityAdjustment($D53)),_xll.qlSwapRateHelperSpread($D53))</f>
        <v>--</v>
      </c>
      <c r="H53" s="79" t="e">
        <f>_xll.qlRateHelperEarliestDate($D53)</f>
        <v>#VALUE!</v>
      </c>
      <c r="I53" s="80" t="e">
        <f>_xll.qlRateHelperLatestDate($D53)</f>
        <v>#VALUE!</v>
      </c>
      <c r="J53" s="74" t="e">
        <v>#N/A</v>
      </c>
    </row>
    <row r="54" spans="4:10" x14ac:dyDescent="0.2">
      <c r="D54" s="77" t="e">
        <v>#N/A</v>
      </c>
      <c r="E54" s="77" t="e">
        <f>SUBSTITUTE(SUBSTITUTE(_xll.qlRateHelperQuoteName(D54),"_S6L12L",""),"6L","12LBASIS")</f>
        <v>#VALUE!</v>
      </c>
      <c r="F54" s="78" t="e">
        <f>_xll.qlRateHelperRate($D54)</f>
        <v>#VALUE!</v>
      </c>
      <c r="G54" s="78" t="str">
        <f>IF(ISERROR(_xll.qlSwapRateHelperSpread($D54)),IF(ISERROR(_xll.qlFuturesRateHelperConvexityAdjustment($D54)),"--",_xll.qlFuturesRateHelperConvexityAdjustment($D54)),_xll.qlSwapRateHelperSpread($D54))</f>
        <v>--</v>
      </c>
      <c r="H54" s="79" t="e">
        <f>_xll.qlRateHelperEarliestDate($D54)</f>
        <v>#VALUE!</v>
      </c>
      <c r="I54" s="80" t="e">
        <f>_xll.qlRateHelperLatestDate($D54)</f>
        <v>#VALUE!</v>
      </c>
      <c r="J54" s="74" t="e">
        <v>#N/A</v>
      </c>
    </row>
    <row r="55" spans="4:10" x14ac:dyDescent="0.2">
      <c r="D55" s="77" t="e">
        <v>#N/A</v>
      </c>
      <c r="E55" s="77" t="e">
        <f>SUBSTITUTE(SUBSTITUTE(_xll.qlRateHelperQuoteName(D55),"_S6L12L",""),"6L","12LBASIS")</f>
        <v>#VALUE!</v>
      </c>
      <c r="F55" s="78" t="e">
        <f>_xll.qlRateHelperRate($D55)</f>
        <v>#VALUE!</v>
      </c>
      <c r="G55" s="78" t="str">
        <f>IF(ISERROR(_xll.qlSwapRateHelperSpread($D55)),IF(ISERROR(_xll.qlFuturesRateHelperConvexityAdjustment($D55)),"--",_xll.qlFuturesRateHelperConvexityAdjustment($D55)),_xll.qlSwapRateHelperSpread($D55))</f>
        <v>--</v>
      </c>
      <c r="H55" s="79" t="e">
        <f>_xll.qlRateHelperEarliestDate($D55)</f>
        <v>#VALUE!</v>
      </c>
      <c r="I55" s="80" t="e">
        <f>_xll.qlRateHelperLatestDate($D55)</f>
        <v>#VALUE!</v>
      </c>
      <c r="J55" s="74" t="e">
        <v>#N/A</v>
      </c>
    </row>
    <row r="56" spans="4:10" x14ac:dyDescent="0.2">
      <c r="D56" s="77" t="e">
        <v>#N/A</v>
      </c>
      <c r="E56" s="77" t="e">
        <f>SUBSTITUTE(SUBSTITUTE(_xll.qlRateHelperQuoteName(D56),"_S6L12L",""),"6L","12LBASIS")</f>
        <v>#VALUE!</v>
      </c>
      <c r="F56" s="78" t="e">
        <f>_xll.qlRateHelperRate($D56)</f>
        <v>#VALUE!</v>
      </c>
      <c r="G56" s="78" t="str">
        <f>IF(ISERROR(_xll.qlSwapRateHelperSpread($D56)),IF(ISERROR(_xll.qlFuturesRateHelperConvexityAdjustment($D56)),"--",_xll.qlFuturesRateHelperConvexityAdjustment($D56)),_xll.qlSwapRateHelperSpread($D56))</f>
        <v>--</v>
      </c>
      <c r="H56" s="79" t="e">
        <f>_xll.qlRateHelperEarliestDate($D56)</f>
        <v>#VALUE!</v>
      </c>
      <c r="I56" s="80" t="e">
        <f>_xll.qlRateHelperLatestDate($D56)</f>
        <v>#VALUE!</v>
      </c>
      <c r="J56" s="74" t="e">
        <v>#N/A</v>
      </c>
    </row>
    <row r="57" spans="4:10" x14ac:dyDescent="0.2">
      <c r="D57" s="77" t="e">
        <v>#N/A</v>
      </c>
      <c r="E57" s="77" t="e">
        <f>SUBSTITUTE(SUBSTITUTE(_xll.qlRateHelperQuoteName(D57),"_S6L12L",""),"6L","12LBASIS")</f>
        <v>#VALUE!</v>
      </c>
      <c r="F57" s="78" t="e">
        <f>_xll.qlRateHelperRate($D57)</f>
        <v>#VALUE!</v>
      </c>
      <c r="G57" s="78" t="str">
        <f>IF(ISERROR(_xll.qlSwapRateHelperSpread($D57)),IF(ISERROR(_xll.qlFuturesRateHelperConvexityAdjustment($D57)),"--",_xll.qlFuturesRateHelperConvexityAdjustment($D57)),_xll.qlSwapRateHelperSpread($D57))</f>
        <v>--</v>
      </c>
      <c r="H57" s="79" t="e">
        <f>_xll.qlRateHelperEarliestDate($D57)</f>
        <v>#VALUE!</v>
      </c>
      <c r="I57" s="80" t="e">
        <f>_xll.qlRateHelperLatestDate($D57)</f>
        <v>#VALUE!</v>
      </c>
      <c r="J57" s="74" t="e">
        <v>#N/A</v>
      </c>
    </row>
    <row r="58" spans="4:10" x14ac:dyDescent="0.2">
      <c r="D58" s="77" t="e">
        <v>#N/A</v>
      </c>
      <c r="E58" s="77" t="e">
        <f>SUBSTITUTE(SUBSTITUTE(_xll.qlRateHelperQuoteName(D58),"_S6L12L",""),"6L","12LBASIS")</f>
        <v>#VALUE!</v>
      </c>
      <c r="F58" s="78" t="e">
        <f>_xll.qlRateHelperRate($D58)</f>
        <v>#VALUE!</v>
      </c>
      <c r="G58" s="78" t="str">
        <f>IF(ISERROR(_xll.qlSwapRateHelperSpread($D58)),IF(ISERROR(_xll.qlFuturesRateHelperConvexityAdjustment($D58)),"--",_xll.qlFuturesRateHelperConvexityAdjustment($D58)),_xll.qlSwapRateHelperSpread($D58))</f>
        <v>--</v>
      </c>
      <c r="H58" s="79" t="e">
        <f>_xll.qlRateHelperEarliestDate($D58)</f>
        <v>#VALUE!</v>
      </c>
      <c r="I58" s="80" t="e">
        <f>_xll.qlRateHelperLatestDate($D58)</f>
        <v>#VALUE!</v>
      </c>
      <c r="J58" s="74" t="e">
        <v>#N/A</v>
      </c>
    </row>
    <row r="59" spans="4:10" x14ac:dyDescent="0.2">
      <c r="D59" s="77" t="e">
        <v>#N/A</v>
      </c>
      <c r="E59" s="77" t="e">
        <f>SUBSTITUTE(SUBSTITUTE(_xll.qlRateHelperQuoteName(D59),"_S6L12L",""),"6L","12LBASIS")</f>
        <v>#VALUE!</v>
      </c>
      <c r="F59" s="78" t="e">
        <f>_xll.qlRateHelperRate($D59)</f>
        <v>#VALUE!</v>
      </c>
      <c r="G59" s="78" t="str">
        <f>IF(ISERROR(_xll.qlSwapRateHelperSpread($D59)),IF(ISERROR(_xll.qlFuturesRateHelperConvexityAdjustment($D59)),"--",_xll.qlFuturesRateHelperConvexityAdjustment($D59)),_xll.qlSwapRateHelperSpread($D59))</f>
        <v>--</v>
      </c>
      <c r="H59" s="79" t="e">
        <f>_xll.qlRateHelperEarliestDate($D59)</f>
        <v>#VALUE!</v>
      </c>
      <c r="I59" s="80" t="e">
        <f>_xll.qlRateHelperLatestDate($D59)</f>
        <v>#VALUE!</v>
      </c>
      <c r="J59" s="74" t="e">
        <v>#N/A</v>
      </c>
    </row>
    <row r="60" spans="4:10" x14ac:dyDescent="0.2">
      <c r="D60" s="77" t="e">
        <v>#N/A</v>
      </c>
      <c r="E60" s="77" t="e">
        <f>SUBSTITUTE(SUBSTITUTE(_xll.qlRateHelperQuoteName(D60),"_S6L12L",""),"6L","12LBASIS")</f>
        <v>#VALUE!</v>
      </c>
      <c r="F60" s="78" t="e">
        <f>_xll.qlRateHelperRate($D60)</f>
        <v>#VALUE!</v>
      </c>
      <c r="G60" s="78" t="str">
        <f>IF(ISERROR(_xll.qlSwapRateHelperSpread($D60)),IF(ISERROR(_xll.qlFuturesRateHelperConvexityAdjustment($D60)),"--",_xll.qlFuturesRateHelperConvexityAdjustment($D60)),_xll.qlSwapRateHelperSpread($D60))</f>
        <v>--</v>
      </c>
      <c r="H60" s="79" t="e">
        <f>_xll.qlRateHelperEarliestDate($D60)</f>
        <v>#VALUE!</v>
      </c>
      <c r="I60" s="80" t="e">
        <f>_xll.qlRateHelperLatestDate($D60)</f>
        <v>#VALUE!</v>
      </c>
      <c r="J60" s="74" t="e">
        <v>#N/A</v>
      </c>
    </row>
    <row r="61" spans="4:10" x14ac:dyDescent="0.2">
      <c r="D61" s="77" t="e">
        <v>#N/A</v>
      </c>
      <c r="E61" s="77" t="e">
        <f>SUBSTITUTE(SUBSTITUTE(_xll.qlRateHelperQuoteName(D61),"_S6L12L",""),"6L","12LBASIS")</f>
        <v>#VALUE!</v>
      </c>
      <c r="F61" s="78" t="e">
        <f>_xll.qlRateHelperRate($D61)</f>
        <v>#VALUE!</v>
      </c>
      <c r="G61" s="78" t="str">
        <f>IF(ISERROR(_xll.qlSwapRateHelperSpread($D61)),IF(ISERROR(_xll.qlFuturesRateHelperConvexityAdjustment($D61)),"--",_xll.qlFuturesRateHelperConvexityAdjustment($D61)),_xll.qlSwapRateHelperSpread($D61))</f>
        <v>--</v>
      </c>
      <c r="H61" s="79" t="e">
        <f>_xll.qlRateHelperEarliestDate($D61)</f>
        <v>#VALUE!</v>
      </c>
      <c r="I61" s="80" t="e">
        <f>_xll.qlRateHelperLatestDate($D61)</f>
        <v>#VALUE!</v>
      </c>
      <c r="J61" s="74" t="e">
        <v>#N/A</v>
      </c>
    </row>
    <row r="62" spans="4:10" x14ac:dyDescent="0.2">
      <c r="D62" s="77" t="e">
        <v>#N/A</v>
      </c>
      <c r="E62" s="77" t="e">
        <f>SUBSTITUTE(SUBSTITUTE(_xll.qlRateHelperQuoteName(D62),"_S6L12L",""),"6L","12LBASIS")</f>
        <v>#VALUE!</v>
      </c>
      <c r="F62" s="78" t="e">
        <f>_xll.qlRateHelperRate($D62)</f>
        <v>#VALUE!</v>
      </c>
      <c r="G62" s="78" t="str">
        <f>IF(ISERROR(_xll.qlSwapRateHelperSpread($D62)),IF(ISERROR(_xll.qlFuturesRateHelperConvexityAdjustment($D62)),"--",_xll.qlFuturesRateHelperConvexityAdjustment($D62)),_xll.qlSwapRateHelperSpread($D62))</f>
        <v>--</v>
      </c>
      <c r="H62" s="79" t="e">
        <f>_xll.qlRateHelperEarliestDate($D62)</f>
        <v>#VALUE!</v>
      </c>
      <c r="I62" s="80" t="e">
        <f>_xll.qlRateHelperLatestDate($D62)</f>
        <v>#VALUE!</v>
      </c>
      <c r="J62" s="74" t="e">
        <v>#N/A</v>
      </c>
    </row>
    <row r="63" spans="4:10" x14ac:dyDescent="0.2">
      <c r="D63" s="77" t="e">
        <v>#N/A</v>
      </c>
      <c r="E63" s="77" t="e">
        <f>SUBSTITUTE(SUBSTITUTE(_xll.qlRateHelperQuoteName(D63),"_S6L12L",""),"6L","12LBASIS")</f>
        <v>#VALUE!</v>
      </c>
      <c r="F63" s="78" t="e">
        <f>_xll.qlRateHelperRate($D63)</f>
        <v>#VALUE!</v>
      </c>
      <c r="G63" s="78" t="str">
        <f>IF(ISERROR(_xll.qlSwapRateHelperSpread($D63)),IF(ISERROR(_xll.qlFuturesRateHelperConvexityAdjustment($D63)),"--",_xll.qlFuturesRateHelperConvexityAdjustment($D63)),_xll.qlSwapRateHelperSpread($D63))</f>
        <v>--</v>
      </c>
      <c r="H63" s="79" t="e">
        <f>_xll.qlRateHelperEarliestDate($D63)</f>
        <v>#VALUE!</v>
      </c>
      <c r="I63" s="80" t="e">
        <f>_xll.qlRateHelperLatestDate($D63)</f>
        <v>#VALUE!</v>
      </c>
      <c r="J63" s="74" t="e">
        <v>#N/A</v>
      </c>
    </row>
    <row r="64" spans="4:10" x14ac:dyDescent="0.2">
      <c r="D64" s="77" t="e">
        <v>#N/A</v>
      </c>
      <c r="E64" s="77" t="e">
        <f>SUBSTITUTE(SUBSTITUTE(_xll.qlRateHelperQuoteName(D64),"_S6L12L",""),"6L","12LBASIS")</f>
        <v>#VALUE!</v>
      </c>
      <c r="F64" s="78" t="e">
        <f>_xll.qlRateHelperRate($D64)</f>
        <v>#VALUE!</v>
      </c>
      <c r="G64" s="78" t="str">
        <f>IF(ISERROR(_xll.qlSwapRateHelperSpread($D64)),IF(ISERROR(_xll.qlFuturesRateHelperConvexityAdjustment($D64)),"--",_xll.qlFuturesRateHelperConvexityAdjustment($D64)),_xll.qlSwapRateHelperSpread($D64))</f>
        <v>--</v>
      </c>
      <c r="H64" s="79" t="e">
        <f>_xll.qlRateHelperEarliestDate($D64)</f>
        <v>#VALUE!</v>
      </c>
      <c r="I64" s="80" t="e">
        <f>_xll.qlRateHelperLatestDate($D64)</f>
        <v>#VALUE!</v>
      </c>
      <c r="J64" s="74" t="e">
        <v>#N/A</v>
      </c>
    </row>
    <row r="65" spans="4:10" x14ac:dyDescent="0.2">
      <c r="D65" s="77" t="e">
        <v>#N/A</v>
      </c>
      <c r="E65" s="77" t="e">
        <f>SUBSTITUTE(SUBSTITUTE(_xll.qlRateHelperQuoteName(D65),"_S6L12L",""),"6L","12LBASIS")</f>
        <v>#VALUE!</v>
      </c>
      <c r="F65" s="78" t="e">
        <f>_xll.qlRateHelperRate($D65)</f>
        <v>#VALUE!</v>
      </c>
      <c r="G65" s="78" t="str">
        <f>IF(ISERROR(_xll.qlSwapRateHelperSpread($D65)),IF(ISERROR(_xll.qlFuturesRateHelperConvexityAdjustment($D65)),"--",_xll.qlFuturesRateHelperConvexityAdjustment($D65)),_xll.qlSwapRateHelperSpread($D65))</f>
        <v>--</v>
      </c>
      <c r="H65" s="79" t="e">
        <f>_xll.qlRateHelperEarliestDate($D65)</f>
        <v>#VALUE!</v>
      </c>
      <c r="I65" s="80" t="e">
        <f>_xll.qlRateHelperLatestDate($D65)</f>
        <v>#VALUE!</v>
      </c>
      <c r="J65" s="74" t="e">
        <v>#N/A</v>
      </c>
    </row>
    <row r="66" spans="4:10" x14ac:dyDescent="0.2">
      <c r="D66" s="77" t="e">
        <v>#N/A</v>
      </c>
      <c r="E66" s="77" t="e">
        <f>SUBSTITUTE(SUBSTITUTE(_xll.qlRateHelperQuoteName(D66),"_S6L12L",""),"6L","12LBASIS")</f>
        <v>#VALUE!</v>
      </c>
      <c r="F66" s="78" t="e">
        <f>_xll.qlRateHelperRate($D66)</f>
        <v>#VALUE!</v>
      </c>
      <c r="G66" s="78" t="str">
        <f>IF(ISERROR(_xll.qlSwapRateHelperSpread($D66)),IF(ISERROR(_xll.qlFuturesRateHelperConvexityAdjustment($D66)),"--",_xll.qlFuturesRateHelperConvexityAdjustment($D66)),_xll.qlSwapRateHelperSpread($D66))</f>
        <v>--</v>
      </c>
      <c r="H66" s="79" t="e">
        <f>_xll.qlRateHelperEarliestDate($D66)</f>
        <v>#VALUE!</v>
      </c>
      <c r="I66" s="80" t="e">
        <f>_xll.qlRateHelperLatestDate($D66)</f>
        <v>#VALUE!</v>
      </c>
      <c r="J66" s="74" t="e">
        <v>#N/A</v>
      </c>
    </row>
    <row r="67" spans="4:10" x14ac:dyDescent="0.2">
      <c r="D67" s="77" t="e">
        <v>#N/A</v>
      </c>
      <c r="E67" s="77" t="e">
        <f>SUBSTITUTE(SUBSTITUTE(_xll.qlRateHelperQuoteName(D67),"_S6L12L",""),"6L","12LBASIS")</f>
        <v>#VALUE!</v>
      </c>
      <c r="F67" s="78" t="e">
        <f>_xll.qlRateHelperRate($D67)</f>
        <v>#VALUE!</v>
      </c>
      <c r="G67" s="78" t="str">
        <f>IF(ISERROR(_xll.qlSwapRateHelperSpread($D67)),IF(ISERROR(_xll.qlFuturesRateHelperConvexityAdjustment($D67)),"--",_xll.qlFuturesRateHelperConvexityAdjustment($D67)),_xll.qlSwapRateHelperSpread($D67))</f>
        <v>--</v>
      </c>
      <c r="H67" s="79" t="e">
        <f>_xll.qlRateHelperEarliestDate($D67)</f>
        <v>#VALUE!</v>
      </c>
      <c r="I67" s="80" t="e">
        <f>_xll.qlRateHelperLatestDate($D67)</f>
        <v>#VALUE!</v>
      </c>
      <c r="J67" s="74" t="e">
        <v>#N/A</v>
      </c>
    </row>
    <row r="68" spans="4:10" x14ac:dyDescent="0.2">
      <c r="D68" s="77" t="e">
        <v>#N/A</v>
      </c>
      <c r="E68" s="77" t="e">
        <f>SUBSTITUTE(SUBSTITUTE(_xll.qlRateHelperQuoteName(D68),"_S6L12L",""),"6L","12LBASIS")</f>
        <v>#VALUE!</v>
      </c>
      <c r="F68" s="78" t="e">
        <f>_xll.qlRateHelperRate($D68)</f>
        <v>#VALUE!</v>
      </c>
      <c r="G68" s="78" t="str">
        <f>IF(ISERROR(_xll.qlSwapRateHelperSpread($D68)),IF(ISERROR(_xll.qlFuturesRateHelperConvexityAdjustment($D68)),"--",_xll.qlFuturesRateHelperConvexityAdjustment($D68)),_xll.qlSwapRateHelperSpread($D68))</f>
        <v>--</v>
      </c>
      <c r="H68" s="79" t="e">
        <f>_xll.qlRateHelperEarliestDate($D68)</f>
        <v>#VALUE!</v>
      </c>
      <c r="I68" s="80" t="e">
        <f>_xll.qlRateHelperLatestDate($D68)</f>
        <v>#VALUE!</v>
      </c>
      <c r="J68" s="74" t="e">
        <v>#N/A</v>
      </c>
    </row>
    <row r="69" spans="4:10" x14ac:dyDescent="0.2">
      <c r="D69" s="77" t="e">
        <v>#N/A</v>
      </c>
      <c r="E69" s="77" t="e">
        <f>SUBSTITUTE(SUBSTITUTE(_xll.qlRateHelperQuoteName(D69),"_S6L12L",""),"6L","12LBASIS")</f>
        <v>#VALUE!</v>
      </c>
      <c r="F69" s="78" t="e">
        <f>_xll.qlRateHelperRate($D69)</f>
        <v>#VALUE!</v>
      </c>
      <c r="G69" s="78" t="str">
        <f>IF(ISERROR(_xll.qlSwapRateHelperSpread($D69)),IF(ISERROR(_xll.qlFuturesRateHelperConvexityAdjustment($D69)),"--",_xll.qlFuturesRateHelperConvexityAdjustment($D69)),_xll.qlSwapRateHelperSpread($D69))</f>
        <v>--</v>
      </c>
      <c r="H69" s="79" t="e">
        <f>_xll.qlRateHelperEarliestDate($D69)</f>
        <v>#VALUE!</v>
      </c>
      <c r="I69" s="80" t="e">
        <f>_xll.qlRateHelperLatestDate($D69)</f>
        <v>#VALUE!</v>
      </c>
      <c r="J69" s="74" t="e">
        <v>#N/A</v>
      </c>
    </row>
    <row r="70" spans="4:10" x14ac:dyDescent="0.2">
      <c r="D70" s="77" t="e">
        <v>#N/A</v>
      </c>
      <c r="E70" s="77" t="e">
        <f>SUBSTITUTE(SUBSTITUTE(_xll.qlRateHelperQuoteName(D70),"_S6L12L",""),"6L","12LBASIS")</f>
        <v>#VALUE!</v>
      </c>
      <c r="F70" s="78" t="e">
        <f>_xll.qlRateHelperRate($D70)</f>
        <v>#VALUE!</v>
      </c>
      <c r="G70" s="78" t="str">
        <f>IF(ISERROR(_xll.qlSwapRateHelperSpread($D70)),IF(ISERROR(_xll.qlFuturesRateHelperConvexityAdjustment($D70)),"--",_xll.qlFuturesRateHelperConvexityAdjustment($D70)),_xll.qlSwapRateHelperSpread($D70))</f>
        <v>--</v>
      </c>
      <c r="H70" s="79" t="e">
        <f>_xll.qlRateHelperEarliestDate($D70)</f>
        <v>#VALUE!</v>
      </c>
      <c r="I70" s="80" t="e">
        <f>_xll.qlRateHelperLatestDate($D70)</f>
        <v>#VALUE!</v>
      </c>
      <c r="J70" s="74" t="e">
        <v>#N/A</v>
      </c>
    </row>
    <row r="71" spans="4:10" x14ac:dyDescent="0.2">
      <c r="D71" s="77" t="e">
        <v>#N/A</v>
      </c>
      <c r="E71" s="77" t="e">
        <f>SUBSTITUTE(SUBSTITUTE(_xll.qlRateHelperQuoteName(D71),"_S6L12L",""),"6L","12LBASIS")</f>
        <v>#VALUE!</v>
      </c>
      <c r="F71" s="78" t="e">
        <f>_xll.qlRateHelperRate($D71)</f>
        <v>#VALUE!</v>
      </c>
      <c r="G71" s="78" t="str">
        <f>IF(ISERROR(_xll.qlSwapRateHelperSpread($D71)),IF(ISERROR(_xll.qlFuturesRateHelperConvexityAdjustment($D71)),"--",_xll.qlFuturesRateHelperConvexityAdjustment($D71)),_xll.qlSwapRateHelperSpread($D71))</f>
        <v>--</v>
      </c>
      <c r="H71" s="79" t="e">
        <f>_xll.qlRateHelperEarliestDate($D71)</f>
        <v>#VALUE!</v>
      </c>
      <c r="I71" s="80" t="e">
        <f>_xll.qlRateHelperLatestDate($D71)</f>
        <v>#VALUE!</v>
      </c>
      <c r="J71" s="74" t="e">
        <v>#N/A</v>
      </c>
    </row>
    <row r="72" spans="4:10" x14ac:dyDescent="0.2">
      <c r="D72" s="77" t="e">
        <v>#N/A</v>
      </c>
      <c r="E72" s="77" t="e">
        <f>SUBSTITUTE(SUBSTITUTE(_xll.qlRateHelperQuoteName(D72),"_S6L12L",""),"6L","12LBASIS")</f>
        <v>#VALUE!</v>
      </c>
      <c r="F72" s="78" t="e">
        <f>_xll.qlRateHelperRate($D72)</f>
        <v>#VALUE!</v>
      </c>
      <c r="G72" s="78" t="str">
        <f>IF(ISERROR(_xll.qlSwapRateHelperSpread($D72)),IF(ISERROR(_xll.qlFuturesRateHelperConvexityAdjustment($D72)),"--",_xll.qlFuturesRateHelperConvexityAdjustment($D72)),_xll.qlSwapRateHelperSpread($D72))</f>
        <v>--</v>
      </c>
      <c r="H72" s="79" t="e">
        <f>_xll.qlRateHelperEarliestDate($D72)</f>
        <v>#VALUE!</v>
      </c>
      <c r="I72" s="80" t="e">
        <f>_xll.qlRateHelperLatestDate($D72)</f>
        <v>#VALUE!</v>
      </c>
      <c r="J72" s="74" t="e">
        <v>#N/A</v>
      </c>
    </row>
    <row r="73" spans="4:10" x14ac:dyDescent="0.2">
      <c r="D73" s="77" t="e">
        <v>#N/A</v>
      </c>
      <c r="E73" s="77" t="e">
        <f>SUBSTITUTE(SUBSTITUTE(_xll.qlRateHelperQuoteName(D73),"_S6L12L",""),"6L","12LBASIS")</f>
        <v>#VALUE!</v>
      </c>
      <c r="F73" s="78" t="e">
        <f>_xll.qlRateHelperRate($D73)</f>
        <v>#VALUE!</v>
      </c>
      <c r="G73" s="78" t="str">
        <f>IF(ISERROR(_xll.qlSwapRateHelperSpread($D73)),IF(ISERROR(_xll.qlFuturesRateHelperConvexityAdjustment($D73)),"--",_xll.qlFuturesRateHelperConvexityAdjustment($D73)),_xll.qlSwapRateHelperSpread($D73))</f>
        <v>--</v>
      </c>
      <c r="H73" s="79" t="e">
        <f>_xll.qlRateHelperEarliestDate($D73)</f>
        <v>#VALUE!</v>
      </c>
      <c r="I73" s="80" t="e">
        <f>_xll.qlRateHelperLatestDate($D73)</f>
        <v>#VALUE!</v>
      </c>
      <c r="J73" s="74" t="e">
        <v>#N/A</v>
      </c>
    </row>
    <row r="74" spans="4:10" x14ac:dyDescent="0.2">
      <c r="D74" s="77" t="e">
        <v>#N/A</v>
      </c>
      <c r="E74" s="77" t="e">
        <f>SUBSTITUTE(SUBSTITUTE(_xll.qlRateHelperQuoteName(D74),"_S6L12L",""),"6L","12LBASIS")</f>
        <v>#VALUE!</v>
      </c>
      <c r="F74" s="78" t="e">
        <f>_xll.qlRateHelperRate($D74)</f>
        <v>#VALUE!</v>
      </c>
      <c r="G74" s="78" t="str">
        <f>IF(ISERROR(_xll.qlSwapRateHelperSpread($D74)),IF(ISERROR(_xll.qlFuturesRateHelperConvexityAdjustment($D74)),"--",_xll.qlFuturesRateHelperConvexityAdjustment($D74)),_xll.qlSwapRateHelperSpread($D74))</f>
        <v>--</v>
      </c>
      <c r="H74" s="79" t="e">
        <f>_xll.qlRateHelperEarliestDate($D74)</f>
        <v>#VALUE!</v>
      </c>
      <c r="I74" s="80" t="e">
        <f>_xll.qlRateHelperLatestDate($D74)</f>
        <v>#VALUE!</v>
      </c>
      <c r="J74" s="74" t="e">
        <v>#N/A</v>
      </c>
    </row>
    <row r="75" spans="4:10" x14ac:dyDescent="0.2">
      <c r="D75" s="77" t="e">
        <v>#N/A</v>
      </c>
      <c r="E75" s="77" t="e">
        <f>SUBSTITUTE(SUBSTITUTE(_xll.qlRateHelperQuoteName(D75),"_S6L12L",""),"6L","12LBASIS")</f>
        <v>#VALUE!</v>
      </c>
      <c r="F75" s="78" t="e">
        <f>_xll.qlRateHelperRate($D75)</f>
        <v>#VALUE!</v>
      </c>
      <c r="G75" s="78" t="str">
        <f>IF(ISERROR(_xll.qlSwapRateHelperSpread($D75)),IF(ISERROR(_xll.qlFuturesRateHelperConvexityAdjustment($D75)),"--",_xll.qlFuturesRateHelperConvexityAdjustment($D75)),_xll.qlSwapRateHelperSpread($D75))</f>
        <v>--</v>
      </c>
      <c r="H75" s="79" t="e">
        <f>_xll.qlRateHelperEarliestDate($D75)</f>
        <v>#VALUE!</v>
      </c>
      <c r="I75" s="80" t="e">
        <f>_xll.qlRateHelperLatestDate($D75)</f>
        <v>#VALUE!</v>
      </c>
      <c r="J75" s="74" t="e">
        <v>#N/A</v>
      </c>
    </row>
    <row r="76" spans="4:10" x14ac:dyDescent="0.2">
      <c r="D76" s="77" t="e">
        <v>#N/A</v>
      </c>
      <c r="E76" s="77" t="e">
        <f>SUBSTITUTE(SUBSTITUTE(_xll.qlRateHelperQuoteName(D76),"_S6L12L",""),"6L","12LBASIS")</f>
        <v>#VALUE!</v>
      </c>
      <c r="F76" s="78" t="e">
        <f>_xll.qlRateHelperRate($D76)</f>
        <v>#VALUE!</v>
      </c>
      <c r="G76" s="78" t="str">
        <f>IF(ISERROR(_xll.qlSwapRateHelperSpread($D76)),IF(ISERROR(_xll.qlFuturesRateHelperConvexityAdjustment($D76)),"--",_xll.qlFuturesRateHelperConvexityAdjustment($D76)),_xll.qlSwapRateHelperSpread($D76))</f>
        <v>--</v>
      </c>
      <c r="H76" s="79" t="e">
        <f>_xll.qlRateHelperEarliestDate($D76)</f>
        <v>#VALUE!</v>
      </c>
      <c r="I76" s="80" t="e">
        <f>_xll.qlRateHelperLatestDate($D76)</f>
        <v>#VALUE!</v>
      </c>
      <c r="J76" s="74" t="e">
        <v>#N/A</v>
      </c>
    </row>
    <row r="77" spans="4:10" x14ac:dyDescent="0.2">
      <c r="D77" s="77" t="e">
        <v>#N/A</v>
      </c>
      <c r="E77" s="77" t="e">
        <f>SUBSTITUTE(SUBSTITUTE(_xll.qlRateHelperQuoteName(D77),"_S6L12L",""),"6L","12LBASIS")</f>
        <v>#VALUE!</v>
      </c>
      <c r="F77" s="78" t="e">
        <f>_xll.qlRateHelperRate($D77)</f>
        <v>#VALUE!</v>
      </c>
      <c r="G77" s="78" t="str">
        <f>IF(ISERROR(_xll.qlSwapRateHelperSpread($D77)),IF(ISERROR(_xll.qlFuturesRateHelperConvexityAdjustment($D77)),"--",_xll.qlFuturesRateHelperConvexityAdjustment($D77)),_xll.qlSwapRateHelperSpread($D77))</f>
        <v>--</v>
      </c>
      <c r="H77" s="79" t="e">
        <f>_xll.qlRateHelperEarliestDate($D77)</f>
        <v>#VALUE!</v>
      </c>
      <c r="I77" s="80" t="e">
        <f>_xll.qlRateHelperLatestDate($D77)</f>
        <v>#VALUE!</v>
      </c>
      <c r="J77" s="74" t="e">
        <v>#N/A</v>
      </c>
    </row>
    <row r="78" spans="4:10" x14ac:dyDescent="0.2">
      <c r="D78" s="77" t="e">
        <v>#N/A</v>
      </c>
      <c r="E78" s="77" t="e">
        <f>SUBSTITUTE(SUBSTITUTE(_xll.qlRateHelperQuoteName(D78),"_S6L12L",""),"6L","12LBASIS")</f>
        <v>#VALUE!</v>
      </c>
      <c r="F78" s="78" t="e">
        <f>_xll.qlRateHelperRate($D78)</f>
        <v>#VALUE!</v>
      </c>
      <c r="G78" s="78" t="str">
        <f>IF(ISERROR(_xll.qlSwapRateHelperSpread($D78)),IF(ISERROR(_xll.qlFuturesRateHelperConvexityAdjustment($D78)),"--",_xll.qlFuturesRateHelperConvexityAdjustment($D78)),_xll.qlSwapRateHelperSpread($D78))</f>
        <v>--</v>
      </c>
      <c r="H78" s="79" t="e">
        <f>_xll.qlRateHelperEarliestDate($D78)</f>
        <v>#VALUE!</v>
      </c>
      <c r="I78" s="80" t="e">
        <f>_xll.qlRateHelperLatestDate($D78)</f>
        <v>#VALUE!</v>
      </c>
      <c r="J78" s="74" t="e">
        <v>#N/A</v>
      </c>
    </row>
    <row r="79" spans="4:10" x14ac:dyDescent="0.2">
      <c r="D79" s="77" t="e">
        <v>#N/A</v>
      </c>
      <c r="E79" s="77" t="e">
        <f>SUBSTITUTE(SUBSTITUTE(_xll.qlRateHelperQuoteName(D79),"_S6L12L",""),"6L","12LBASIS")</f>
        <v>#VALUE!</v>
      </c>
      <c r="F79" s="78" t="e">
        <f>_xll.qlRateHelperRate($D79)</f>
        <v>#VALUE!</v>
      </c>
      <c r="G79" s="78" t="str">
        <f>IF(ISERROR(_xll.qlSwapRateHelperSpread($D79)),IF(ISERROR(_xll.qlFuturesRateHelperConvexityAdjustment($D79)),"--",_xll.qlFuturesRateHelperConvexityAdjustment($D79)),_xll.qlSwapRateHelperSpread($D79))</f>
        <v>--</v>
      </c>
      <c r="H79" s="79" t="e">
        <f>_xll.qlRateHelperEarliestDate($D79)</f>
        <v>#VALUE!</v>
      </c>
      <c r="I79" s="80" t="e">
        <f>_xll.qlRateHelperLatestDate($D79)</f>
        <v>#VALUE!</v>
      </c>
      <c r="J79" s="74" t="e">
        <v>#N/A</v>
      </c>
    </row>
    <row r="80" spans="4:10" x14ac:dyDescent="0.2">
      <c r="D80" s="77" t="e">
        <v>#N/A</v>
      </c>
      <c r="E80" s="77" t="e">
        <f>SUBSTITUTE(SUBSTITUTE(_xll.qlRateHelperQuoteName(D80),"_S6L12L",""),"6L","12LBASIS")</f>
        <v>#VALUE!</v>
      </c>
      <c r="F80" s="78" t="e">
        <f>_xll.qlRateHelperRate($D80)</f>
        <v>#VALUE!</v>
      </c>
      <c r="G80" s="78" t="str">
        <f>IF(ISERROR(_xll.qlSwapRateHelperSpread($D80)),IF(ISERROR(_xll.qlFuturesRateHelperConvexityAdjustment($D80)),"--",_xll.qlFuturesRateHelperConvexityAdjustment($D80)),_xll.qlSwapRateHelperSpread($D80))</f>
        <v>--</v>
      </c>
      <c r="H80" s="79" t="e">
        <f>_xll.qlRateHelperEarliestDate($D80)</f>
        <v>#VALUE!</v>
      </c>
      <c r="I80" s="80" t="e">
        <f>_xll.qlRateHelperLatestDate($D80)</f>
        <v>#VALUE!</v>
      </c>
      <c r="J80" s="74" t="e">
        <v>#N/A</v>
      </c>
    </row>
    <row r="81" spans="4:10" x14ac:dyDescent="0.2">
      <c r="D81" s="77" t="e">
        <v>#N/A</v>
      </c>
      <c r="E81" s="77" t="e">
        <f>SUBSTITUTE(SUBSTITUTE(_xll.qlRateHelperQuoteName(D81),"_S6L12L",""),"6L","12LBASIS")</f>
        <v>#VALUE!</v>
      </c>
      <c r="F81" s="78" t="e">
        <f>_xll.qlRateHelperRate($D81)</f>
        <v>#VALUE!</v>
      </c>
      <c r="G81" s="78" t="str">
        <f>IF(ISERROR(_xll.qlSwapRateHelperSpread($D81)),IF(ISERROR(_xll.qlFuturesRateHelperConvexityAdjustment($D81)),"--",_xll.qlFuturesRateHelperConvexityAdjustment($D81)),_xll.qlSwapRateHelperSpread($D81))</f>
        <v>--</v>
      </c>
      <c r="H81" s="79" t="e">
        <f>_xll.qlRateHelperEarliestDate($D81)</f>
        <v>#VALUE!</v>
      </c>
      <c r="I81" s="80" t="e">
        <f>_xll.qlRateHelperLatestDate($D81)</f>
        <v>#VALUE!</v>
      </c>
      <c r="J81" s="74" t="e">
        <v>#N/A</v>
      </c>
    </row>
    <row r="82" spans="4:10" x14ac:dyDescent="0.2">
      <c r="D82" s="77" t="e">
        <v>#N/A</v>
      </c>
      <c r="E82" s="77" t="e">
        <f>SUBSTITUTE(SUBSTITUTE(_xll.qlRateHelperQuoteName(D82),"_S6L12L",""),"6L","12LBASIS")</f>
        <v>#VALUE!</v>
      </c>
      <c r="F82" s="78" t="e">
        <f>_xll.qlRateHelperRate($D82)</f>
        <v>#VALUE!</v>
      </c>
      <c r="G82" s="78" t="str">
        <f>IF(ISERROR(_xll.qlSwapRateHelperSpread($D82)),IF(ISERROR(_xll.qlFuturesRateHelperConvexityAdjustment($D82)),"--",_xll.qlFuturesRateHelperConvexityAdjustment($D82)),_xll.qlSwapRateHelperSpread($D82))</f>
        <v>--</v>
      </c>
      <c r="H82" s="79" t="e">
        <f>_xll.qlRateHelperEarliestDate($D82)</f>
        <v>#VALUE!</v>
      </c>
      <c r="I82" s="80" t="e">
        <f>_xll.qlRateHelperLatestDate($D82)</f>
        <v>#VALUE!</v>
      </c>
      <c r="J82" s="74" t="e">
        <v>#N/A</v>
      </c>
    </row>
    <row r="83" spans="4:10" x14ac:dyDescent="0.2">
      <c r="D83" s="77" t="e">
        <v>#N/A</v>
      </c>
      <c r="E83" s="77" t="e">
        <f>SUBSTITUTE(SUBSTITUTE(_xll.qlRateHelperQuoteName(D83),"_S6L12L",""),"6L","12LBASIS")</f>
        <v>#VALUE!</v>
      </c>
      <c r="F83" s="78" t="e">
        <f>_xll.qlRateHelperRate($D83)</f>
        <v>#VALUE!</v>
      </c>
      <c r="G83" s="78" t="str">
        <f>IF(ISERROR(_xll.qlSwapRateHelperSpread($D83)),IF(ISERROR(_xll.qlFuturesRateHelperConvexityAdjustment($D83)),"--",_xll.qlFuturesRateHelperConvexityAdjustment($D83)),_xll.qlSwapRateHelperSpread($D83))</f>
        <v>--</v>
      </c>
      <c r="H83" s="79" t="e">
        <f>_xll.qlRateHelperEarliestDate($D83)</f>
        <v>#VALUE!</v>
      </c>
      <c r="I83" s="80" t="e">
        <f>_xll.qlRateHelperLatestDate($D83)</f>
        <v>#VALUE!</v>
      </c>
      <c r="J83" s="74" t="e">
        <v>#N/A</v>
      </c>
    </row>
    <row r="84" spans="4:10" x14ac:dyDescent="0.2">
      <c r="D84" s="77" t="e">
        <v>#N/A</v>
      </c>
      <c r="E84" s="77" t="e">
        <f>SUBSTITUTE(SUBSTITUTE(_xll.qlRateHelperQuoteName(D84),"_S6L12L",""),"6L","12LBASIS")</f>
        <v>#VALUE!</v>
      </c>
      <c r="F84" s="78" t="e">
        <f>_xll.qlRateHelperRate($D84)</f>
        <v>#VALUE!</v>
      </c>
      <c r="G84" s="78" t="str">
        <f>IF(ISERROR(_xll.qlSwapRateHelperSpread($D84)),IF(ISERROR(_xll.qlFuturesRateHelperConvexityAdjustment($D84)),"--",_xll.qlFuturesRateHelperConvexityAdjustment($D84)),_xll.qlSwapRateHelperSpread($D84))</f>
        <v>--</v>
      </c>
      <c r="H84" s="79" t="e">
        <f>_xll.qlRateHelperEarliestDate($D84)</f>
        <v>#VALUE!</v>
      </c>
      <c r="I84" s="80" t="e">
        <f>_xll.qlRateHelperLatestDate($D84)</f>
        <v>#VALUE!</v>
      </c>
      <c r="J84" s="74" t="e">
        <v>#N/A</v>
      </c>
    </row>
    <row r="85" spans="4:10" x14ac:dyDescent="0.2">
      <c r="D85" s="77" t="e">
        <v>#N/A</v>
      </c>
      <c r="E85" s="77" t="e">
        <f>SUBSTITUTE(SUBSTITUTE(_xll.qlRateHelperQuoteName(D85),"_S6L12L",""),"6L","12LBASIS")</f>
        <v>#VALUE!</v>
      </c>
      <c r="F85" s="78" t="e">
        <f>_xll.qlRateHelperRate($D85)</f>
        <v>#VALUE!</v>
      </c>
      <c r="G85" s="78" t="str">
        <f>IF(ISERROR(_xll.qlSwapRateHelperSpread($D85)),IF(ISERROR(_xll.qlFuturesRateHelperConvexityAdjustment($D85)),"--",_xll.qlFuturesRateHelperConvexityAdjustment($D85)),_xll.qlSwapRateHelperSpread($D85))</f>
        <v>--</v>
      </c>
      <c r="H85" s="79" t="e">
        <f>_xll.qlRateHelperEarliestDate($D85)</f>
        <v>#VALUE!</v>
      </c>
      <c r="I85" s="80" t="e">
        <f>_xll.qlRateHelperLatestDate($D85)</f>
        <v>#VALUE!</v>
      </c>
      <c r="J85" s="74" t="e">
        <v>#N/A</v>
      </c>
    </row>
    <row r="86" spans="4:10" x14ac:dyDescent="0.2">
      <c r="D86" s="77" t="e">
        <v>#N/A</v>
      </c>
      <c r="E86" s="77" t="e">
        <f>SUBSTITUTE(SUBSTITUTE(_xll.qlRateHelperQuoteName(D86),"_S6L12L",""),"6L","12LBASIS")</f>
        <v>#VALUE!</v>
      </c>
      <c r="F86" s="78" t="e">
        <f>_xll.qlRateHelperRate($D86)</f>
        <v>#VALUE!</v>
      </c>
      <c r="G86" s="78" t="str">
        <f>IF(ISERROR(_xll.qlSwapRateHelperSpread($D86)),IF(ISERROR(_xll.qlFuturesRateHelperConvexityAdjustment($D86)),"--",_xll.qlFuturesRateHelperConvexityAdjustment($D86)),_xll.qlSwapRateHelperSpread($D86))</f>
        <v>--</v>
      </c>
      <c r="H86" s="79" t="e">
        <f>_xll.qlRateHelperEarliestDate($D86)</f>
        <v>#VALUE!</v>
      </c>
      <c r="I86" s="80" t="e">
        <f>_xll.qlRateHelperLatestDate($D86)</f>
        <v>#VALUE!</v>
      </c>
      <c r="J86" s="74" t="e">
        <v>#N/A</v>
      </c>
    </row>
    <row r="87" spans="4:10" x14ac:dyDescent="0.2">
      <c r="D87" s="77" t="e">
        <v>#N/A</v>
      </c>
      <c r="E87" s="77" t="e">
        <f>SUBSTITUTE(SUBSTITUTE(_xll.qlRateHelperQuoteName(D87),"_S6L12L",""),"6L","12LBASIS")</f>
        <v>#VALUE!</v>
      </c>
      <c r="F87" s="78" t="e">
        <f>_xll.qlRateHelperRate($D87)</f>
        <v>#VALUE!</v>
      </c>
      <c r="G87" s="78" t="str">
        <f>IF(ISERROR(_xll.qlSwapRateHelperSpread($D87)),IF(ISERROR(_xll.qlFuturesRateHelperConvexityAdjustment($D87)),"--",_xll.qlFuturesRateHelperConvexityAdjustment($D87)),_xll.qlSwapRateHelperSpread($D87))</f>
        <v>--</v>
      </c>
      <c r="H87" s="79" t="e">
        <f>_xll.qlRateHelperEarliestDate($D87)</f>
        <v>#VALUE!</v>
      </c>
      <c r="I87" s="80" t="e">
        <f>_xll.qlRateHelperLatestDate($D87)</f>
        <v>#VALUE!</v>
      </c>
      <c r="J87" s="74" t="e">
        <v>#N/A</v>
      </c>
    </row>
    <row r="88" spans="4:10" x14ac:dyDescent="0.2">
      <c r="D88" s="77" t="e">
        <v>#N/A</v>
      </c>
      <c r="E88" s="77" t="e">
        <f>SUBSTITUTE(SUBSTITUTE(_xll.qlRateHelperQuoteName(D88),"_S6L12L",""),"6L","12LBASIS")</f>
        <v>#VALUE!</v>
      </c>
      <c r="F88" s="78" t="e">
        <f>_xll.qlRateHelperRate($D88)</f>
        <v>#VALUE!</v>
      </c>
      <c r="G88" s="78" t="str">
        <f>IF(ISERROR(_xll.qlSwapRateHelperSpread($D88)),IF(ISERROR(_xll.qlFuturesRateHelperConvexityAdjustment($D88)),"--",_xll.qlFuturesRateHelperConvexityAdjustment($D88)),_xll.qlSwapRateHelperSpread($D88))</f>
        <v>--</v>
      </c>
      <c r="H88" s="79" t="e">
        <f>_xll.qlRateHelperEarliestDate($D88)</f>
        <v>#VALUE!</v>
      </c>
      <c r="I88" s="80" t="e">
        <f>_xll.qlRateHelperLatestDate($D88)</f>
        <v>#VALUE!</v>
      </c>
      <c r="J88" s="74" t="e">
        <v>#N/A</v>
      </c>
    </row>
    <row r="89" spans="4:10" x14ac:dyDescent="0.2">
      <c r="D89" s="77" t="e">
        <v>#N/A</v>
      </c>
      <c r="E89" s="77" t="e">
        <f>SUBSTITUTE(SUBSTITUTE(_xll.qlRateHelperQuoteName(D89),"_S6L12L",""),"6L","12LBASIS")</f>
        <v>#VALUE!</v>
      </c>
      <c r="F89" s="78" t="e">
        <f>_xll.qlRateHelperRate($D89)</f>
        <v>#VALUE!</v>
      </c>
      <c r="G89" s="78" t="str">
        <f>IF(ISERROR(_xll.qlSwapRateHelperSpread($D89)),IF(ISERROR(_xll.qlFuturesRateHelperConvexityAdjustment($D89)),"--",_xll.qlFuturesRateHelperConvexityAdjustment($D89)),_xll.qlSwapRateHelperSpread($D89))</f>
        <v>--</v>
      </c>
      <c r="H89" s="79" t="e">
        <f>_xll.qlRateHelperEarliestDate($D89)</f>
        <v>#VALUE!</v>
      </c>
      <c r="I89" s="80" t="e">
        <f>_xll.qlRateHelperLatestDate($D89)</f>
        <v>#VALUE!</v>
      </c>
      <c r="J89" s="74" t="e">
        <v>#N/A</v>
      </c>
    </row>
    <row r="90" spans="4:10" x14ac:dyDescent="0.2">
      <c r="D90" s="77" t="e">
        <v>#N/A</v>
      </c>
      <c r="E90" s="77" t="e">
        <f>SUBSTITUTE(SUBSTITUTE(_xll.qlRateHelperQuoteName(D90),"_S6L12L",""),"6L","12LBASIS")</f>
        <v>#VALUE!</v>
      </c>
      <c r="F90" s="78" t="e">
        <f>_xll.qlRateHelperRate($D90)</f>
        <v>#VALUE!</v>
      </c>
      <c r="G90" s="78" t="str">
        <f>IF(ISERROR(_xll.qlSwapRateHelperSpread($D90)),IF(ISERROR(_xll.qlFuturesRateHelperConvexityAdjustment($D90)),"--",_xll.qlFuturesRateHelperConvexityAdjustment($D90)),_xll.qlSwapRateHelperSpread($D90))</f>
        <v>--</v>
      </c>
      <c r="H90" s="79" t="e">
        <f>_xll.qlRateHelperEarliestDate($D90)</f>
        <v>#VALUE!</v>
      </c>
      <c r="I90" s="80" t="e">
        <f>_xll.qlRateHelperLatestDate($D90)</f>
        <v>#VALUE!</v>
      </c>
      <c r="J90" s="74" t="e">
        <v>#N/A</v>
      </c>
    </row>
    <row r="91" spans="4:10" x14ac:dyDescent="0.2">
      <c r="D91" s="77" t="e">
        <v>#N/A</v>
      </c>
      <c r="E91" s="77" t="e">
        <f>SUBSTITUTE(SUBSTITUTE(_xll.qlRateHelperQuoteName(D91),"_S6L12L",""),"6L","12LBASIS")</f>
        <v>#VALUE!</v>
      </c>
      <c r="F91" s="78" t="e">
        <f>_xll.qlRateHelperRate($D91)</f>
        <v>#VALUE!</v>
      </c>
      <c r="G91" s="78" t="str">
        <f>IF(ISERROR(_xll.qlSwapRateHelperSpread($D91)),IF(ISERROR(_xll.qlFuturesRateHelperConvexityAdjustment($D91)),"--",_xll.qlFuturesRateHelperConvexityAdjustment($D91)),_xll.qlSwapRateHelperSpread($D91))</f>
        <v>--</v>
      </c>
      <c r="H91" s="79" t="e">
        <f>_xll.qlRateHelperEarliestDate($D91)</f>
        <v>#VALUE!</v>
      </c>
      <c r="I91" s="80" t="e">
        <f>_xll.qlRateHelperLatestDate($D91)</f>
        <v>#VALUE!</v>
      </c>
      <c r="J91" s="74" t="e">
        <v>#N/A</v>
      </c>
    </row>
    <row r="92" spans="4:10" x14ac:dyDescent="0.2">
      <c r="D92" s="77" t="e">
        <v>#N/A</v>
      </c>
      <c r="E92" s="77" t="e">
        <f>SUBSTITUTE(SUBSTITUTE(_xll.qlRateHelperQuoteName(D92),"_S6L12L",""),"6L","12LBASIS")</f>
        <v>#VALUE!</v>
      </c>
      <c r="F92" s="78" t="e">
        <f>_xll.qlRateHelperRate($D92)</f>
        <v>#VALUE!</v>
      </c>
      <c r="G92" s="78" t="str">
        <f>IF(ISERROR(_xll.qlSwapRateHelperSpread($D92)),IF(ISERROR(_xll.qlFuturesRateHelperConvexityAdjustment($D92)),"--",_xll.qlFuturesRateHelperConvexityAdjustment($D92)),_xll.qlSwapRateHelperSpread($D92))</f>
        <v>--</v>
      </c>
      <c r="H92" s="79" t="e">
        <f>_xll.qlRateHelperEarliestDate($D92)</f>
        <v>#VALUE!</v>
      </c>
      <c r="I92" s="80" t="e">
        <f>_xll.qlRateHelperLatestDate($D92)</f>
        <v>#VALUE!</v>
      </c>
      <c r="J92" s="74" t="e">
        <v>#N/A</v>
      </c>
    </row>
    <row r="93" spans="4:10" x14ac:dyDescent="0.2">
      <c r="D93" s="77" t="e">
        <v>#N/A</v>
      </c>
      <c r="E93" s="77" t="e">
        <f>SUBSTITUTE(SUBSTITUTE(_xll.qlRateHelperQuoteName(D93),"_S6L12L",""),"6L","12LBASIS")</f>
        <v>#VALUE!</v>
      </c>
      <c r="F93" s="78" t="e">
        <f>_xll.qlRateHelperRate($D93)</f>
        <v>#VALUE!</v>
      </c>
      <c r="G93" s="78" t="str">
        <f>IF(ISERROR(_xll.qlSwapRateHelperSpread($D93)),IF(ISERROR(_xll.qlFuturesRateHelperConvexityAdjustment($D93)),"--",_xll.qlFuturesRateHelperConvexityAdjustment($D93)),_xll.qlSwapRateHelperSpread($D93))</f>
        <v>--</v>
      </c>
      <c r="H93" s="79" t="e">
        <f>_xll.qlRateHelperEarliestDate($D93)</f>
        <v>#VALUE!</v>
      </c>
      <c r="I93" s="80" t="e">
        <f>_xll.qlRateHelperLatestDate($D93)</f>
        <v>#VALUE!</v>
      </c>
      <c r="J93" s="74" t="e">
        <v>#N/A</v>
      </c>
    </row>
    <row r="94" spans="4:10" x14ac:dyDescent="0.2">
      <c r="D94" s="77" t="e">
        <v>#N/A</v>
      </c>
      <c r="E94" s="77" t="e">
        <f>SUBSTITUTE(SUBSTITUTE(_xll.qlRateHelperQuoteName(D94),"_S6L12L",""),"6L","12LBASIS")</f>
        <v>#VALUE!</v>
      </c>
      <c r="F94" s="78" t="e">
        <f>_xll.qlRateHelperRate($D94)</f>
        <v>#VALUE!</v>
      </c>
      <c r="G94" s="78" t="str">
        <f>IF(ISERROR(_xll.qlSwapRateHelperSpread($D94)),IF(ISERROR(_xll.qlFuturesRateHelperConvexityAdjustment($D94)),"--",_xll.qlFuturesRateHelperConvexityAdjustment($D94)),_xll.qlSwapRateHelperSpread($D94))</f>
        <v>--</v>
      </c>
      <c r="H94" s="79" t="e">
        <f>_xll.qlRateHelperEarliestDate($D94)</f>
        <v>#VALUE!</v>
      </c>
      <c r="I94" s="80" t="e">
        <f>_xll.qlRateHelperLatestDate($D94)</f>
        <v>#VALUE!</v>
      </c>
      <c r="J94" s="74" t="e">
        <v>#N/A</v>
      </c>
    </row>
    <row r="95" spans="4:10" x14ac:dyDescent="0.2">
      <c r="D95" s="77" t="e">
        <v>#N/A</v>
      </c>
      <c r="E95" s="77" t="e">
        <f>SUBSTITUTE(SUBSTITUTE(_xll.qlRateHelperQuoteName(D95),"_S6L12L",""),"6L","12LBASIS")</f>
        <v>#VALUE!</v>
      </c>
      <c r="F95" s="78" t="e">
        <f>_xll.qlRateHelperRate($D95)</f>
        <v>#VALUE!</v>
      </c>
      <c r="G95" s="78" t="str">
        <f>IF(ISERROR(_xll.qlSwapRateHelperSpread($D95)),IF(ISERROR(_xll.qlFuturesRateHelperConvexityAdjustment($D95)),"--",_xll.qlFuturesRateHelperConvexityAdjustment($D95)),_xll.qlSwapRateHelperSpread($D95))</f>
        <v>--</v>
      </c>
      <c r="H95" s="79" t="e">
        <f>_xll.qlRateHelperEarliestDate($D95)</f>
        <v>#VALUE!</v>
      </c>
      <c r="I95" s="80" t="e">
        <f>_xll.qlRateHelperLatestDate($D95)</f>
        <v>#VALUE!</v>
      </c>
      <c r="J95" s="74" t="e">
        <v>#N/A</v>
      </c>
    </row>
    <row r="96" spans="4:10" x14ac:dyDescent="0.2">
      <c r="D96" s="77" t="e">
        <v>#N/A</v>
      </c>
      <c r="E96" s="77" t="e">
        <f>SUBSTITUTE(SUBSTITUTE(_xll.qlRateHelperQuoteName(D96),"_S6L12L",""),"6L","12LBASIS")</f>
        <v>#VALUE!</v>
      </c>
      <c r="F96" s="78" t="e">
        <f>_xll.qlRateHelperRate($D96)</f>
        <v>#VALUE!</v>
      </c>
      <c r="G96" s="78" t="str">
        <f>IF(ISERROR(_xll.qlSwapRateHelperSpread($D96)),IF(ISERROR(_xll.qlFuturesRateHelperConvexityAdjustment($D96)),"--",_xll.qlFuturesRateHelperConvexityAdjustment($D96)),_xll.qlSwapRateHelperSpread($D96))</f>
        <v>--</v>
      </c>
      <c r="H96" s="79" t="e">
        <f>_xll.qlRateHelperEarliestDate($D96)</f>
        <v>#VALUE!</v>
      </c>
      <c r="I96" s="80" t="e">
        <f>_xll.qlRateHelperLatestDate($D96)</f>
        <v>#VALUE!</v>
      </c>
      <c r="J96" s="74" t="e">
        <v>#N/A</v>
      </c>
    </row>
    <row r="97" spans="4:10" x14ac:dyDescent="0.2">
      <c r="D97" s="77" t="e">
        <v>#N/A</v>
      </c>
      <c r="E97" s="77" t="e">
        <f>SUBSTITUTE(SUBSTITUTE(_xll.qlRateHelperQuoteName(D97),"_S6L12L",""),"6L","12LBASIS")</f>
        <v>#VALUE!</v>
      </c>
      <c r="F97" s="78" t="e">
        <f>_xll.qlRateHelperRate($D97)</f>
        <v>#VALUE!</v>
      </c>
      <c r="G97" s="78" t="str">
        <f>IF(ISERROR(_xll.qlSwapRateHelperSpread($D97)),IF(ISERROR(_xll.qlFuturesRateHelperConvexityAdjustment($D97)),"--",_xll.qlFuturesRateHelperConvexityAdjustment($D97)),_xll.qlSwapRateHelperSpread($D97))</f>
        <v>--</v>
      </c>
      <c r="H97" s="79" t="e">
        <f>_xll.qlRateHelperEarliestDate($D97)</f>
        <v>#VALUE!</v>
      </c>
      <c r="I97" s="80" t="e">
        <f>_xll.qlRateHelperLatestDate($D97)</f>
        <v>#VALUE!</v>
      </c>
      <c r="J97" s="74" t="e">
        <v>#N/A</v>
      </c>
    </row>
    <row r="98" spans="4:10" x14ac:dyDescent="0.2">
      <c r="D98" s="77" t="e">
        <v>#N/A</v>
      </c>
      <c r="E98" s="77" t="e">
        <f>SUBSTITUTE(SUBSTITUTE(_xll.qlRateHelperQuoteName(D98),"_S6L12L",""),"6L","12LBASIS")</f>
        <v>#VALUE!</v>
      </c>
      <c r="F98" s="78" t="e">
        <f>_xll.qlRateHelperRate($D98)</f>
        <v>#VALUE!</v>
      </c>
      <c r="G98" s="78" t="str">
        <f>IF(ISERROR(_xll.qlSwapRateHelperSpread($D98)),IF(ISERROR(_xll.qlFuturesRateHelperConvexityAdjustment($D98)),"--",_xll.qlFuturesRateHelperConvexityAdjustment($D98)),_xll.qlSwapRateHelperSpread($D98))</f>
        <v>--</v>
      </c>
      <c r="H98" s="79" t="e">
        <f>_xll.qlRateHelperEarliestDate($D98)</f>
        <v>#VALUE!</v>
      </c>
      <c r="I98" s="80" t="e">
        <f>_xll.qlRateHelperLatestDate($D98)</f>
        <v>#VALUE!</v>
      </c>
      <c r="J98" s="74" t="e">
        <v>#N/A</v>
      </c>
    </row>
    <row r="99" spans="4:10" x14ac:dyDescent="0.2">
      <c r="D99" s="77" t="e">
        <v>#N/A</v>
      </c>
      <c r="E99" s="77" t="e">
        <f>SUBSTITUTE(SUBSTITUTE(_xll.qlRateHelperQuoteName(D99),"_S6L12L",""),"6L","12LBASIS")</f>
        <v>#VALUE!</v>
      </c>
      <c r="F99" s="78" t="e">
        <f>_xll.qlRateHelperRate($D99)</f>
        <v>#VALUE!</v>
      </c>
      <c r="G99" s="78" t="str">
        <f>IF(ISERROR(_xll.qlSwapRateHelperSpread($D99)),IF(ISERROR(_xll.qlFuturesRateHelperConvexityAdjustment($D99)),"--",_xll.qlFuturesRateHelperConvexityAdjustment($D99)),_xll.qlSwapRateHelperSpread($D99))</f>
        <v>--</v>
      </c>
      <c r="H99" s="79" t="e">
        <f>_xll.qlRateHelperEarliestDate($D99)</f>
        <v>#VALUE!</v>
      </c>
      <c r="I99" s="80" t="e">
        <f>_xll.qlRateHelperLatestDate($D99)</f>
        <v>#VALUE!</v>
      </c>
      <c r="J99" s="74" t="e">
        <v>#N/A</v>
      </c>
    </row>
    <row r="100" spans="4:10" x14ac:dyDescent="0.2">
      <c r="D100" s="77" t="e">
        <v>#N/A</v>
      </c>
      <c r="E100" s="77" t="e">
        <f>SUBSTITUTE(SUBSTITUTE(_xll.qlRateHelperQuoteName(D100),"_S6L12L",""),"6L","12LBASIS")</f>
        <v>#VALUE!</v>
      </c>
      <c r="F100" s="78" t="e">
        <f>_xll.qlRateHelperRate($D100)</f>
        <v>#VALUE!</v>
      </c>
      <c r="G100" s="78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9" t="e">
        <f>_xll.qlRateHelperEarliestDate($D100)</f>
        <v>#VALUE!</v>
      </c>
      <c r="I100" s="80" t="e">
        <f>_xll.qlRateHelperLatestDate($D100)</f>
        <v>#VALUE!</v>
      </c>
      <c r="J100" s="74" t="e">
        <v>#N/A</v>
      </c>
    </row>
    <row r="101" spans="4:10" x14ac:dyDescent="0.2">
      <c r="D101" s="77" t="e">
        <v>#N/A</v>
      </c>
      <c r="E101" s="77" t="e">
        <f>SUBSTITUTE(SUBSTITUTE(_xll.qlRateHelperQuoteName(D101),"_S6L12L",""),"6L","12LBASIS")</f>
        <v>#VALUE!</v>
      </c>
      <c r="F101" s="78" t="e">
        <f>_xll.qlRateHelperRate($D101)</f>
        <v>#VALUE!</v>
      </c>
      <c r="G101" s="78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9" t="e">
        <f>_xll.qlRateHelperEarliestDate($D101)</f>
        <v>#VALUE!</v>
      </c>
      <c r="I101" s="80" t="e">
        <f>_xll.qlRateHelperLatestDate($D101)</f>
        <v>#VALUE!</v>
      </c>
      <c r="J101" s="74" t="e">
        <v>#N/A</v>
      </c>
    </row>
    <row r="102" spans="4:10" x14ac:dyDescent="0.2">
      <c r="D102" s="77" t="e">
        <v>#N/A</v>
      </c>
      <c r="E102" s="77" t="e">
        <f>SUBSTITUTE(SUBSTITUTE(_xll.qlRateHelperQuoteName(D102),"_S6L12L",""),"6L","12LBASIS")</f>
        <v>#VALUE!</v>
      </c>
      <c r="F102" s="78" t="e">
        <f>_xll.qlRateHelperRate($D102)</f>
        <v>#VALUE!</v>
      </c>
      <c r="G102" s="78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9" t="e">
        <f>_xll.qlRateHelperEarliestDate($D102)</f>
        <v>#VALUE!</v>
      </c>
      <c r="I102" s="80" t="e">
        <f>_xll.qlRateHelperLatestDate($D102)</f>
        <v>#VALUE!</v>
      </c>
      <c r="J102" s="74" t="e">
        <v>#N/A</v>
      </c>
    </row>
    <row r="103" spans="4:10" x14ac:dyDescent="0.2">
      <c r="D103" s="77" t="e">
        <v>#N/A</v>
      </c>
      <c r="E103" s="77" t="e">
        <f>SUBSTITUTE(SUBSTITUTE(_xll.qlRateHelperQuoteName(D103),"_S6L12L",""),"6L","12LBASIS")</f>
        <v>#VALUE!</v>
      </c>
      <c r="F103" s="78" t="e">
        <f>_xll.qlRateHelperRate($D103)</f>
        <v>#VALUE!</v>
      </c>
      <c r="G103" s="78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9" t="e">
        <f>_xll.qlRateHelperEarliestDate($D103)</f>
        <v>#VALUE!</v>
      </c>
      <c r="I103" s="80" t="e">
        <f>_xll.qlRateHelperLatestDate($D103)</f>
        <v>#VALUE!</v>
      </c>
      <c r="J103" s="74" t="e">
        <v>#N/A</v>
      </c>
    </row>
    <row r="104" spans="4:10" x14ac:dyDescent="0.2">
      <c r="D104" s="77" t="e">
        <v>#N/A</v>
      </c>
      <c r="E104" s="77" t="e">
        <f>SUBSTITUTE(SUBSTITUTE(_xll.qlRateHelperQuoteName(D104),"_S6L12L",""),"6L","12LBASIS")</f>
        <v>#VALUE!</v>
      </c>
      <c r="F104" s="78" t="e">
        <f>_xll.qlRateHelperRate($D104)</f>
        <v>#VALUE!</v>
      </c>
      <c r="G104" s="78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9" t="e">
        <f>_xll.qlRateHelperEarliestDate($D104)</f>
        <v>#VALUE!</v>
      </c>
      <c r="I104" s="80" t="e">
        <f>_xll.qlRateHelperLatestDate($D104)</f>
        <v>#VALUE!</v>
      </c>
      <c r="J104" s="74" t="e">
        <v>#N/A</v>
      </c>
    </row>
    <row r="105" spans="4:10" x14ac:dyDescent="0.2">
      <c r="D105" s="77" t="e">
        <v>#N/A</v>
      </c>
      <c r="E105" s="77" t="e">
        <f>SUBSTITUTE(SUBSTITUTE(_xll.qlRateHelperQuoteName(D105),"_S6L12L",""),"6L","12LBASIS")</f>
        <v>#VALUE!</v>
      </c>
      <c r="F105" s="78" t="e">
        <f>_xll.qlRateHelperRate($D105)</f>
        <v>#VALUE!</v>
      </c>
      <c r="G105" s="78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9" t="e">
        <f>_xll.qlRateHelperEarliestDate($D105)</f>
        <v>#VALUE!</v>
      </c>
      <c r="I105" s="80" t="e">
        <f>_xll.qlRateHelperLatestDate($D105)</f>
        <v>#VALUE!</v>
      </c>
      <c r="J105" s="74" t="e">
        <v>#N/A</v>
      </c>
    </row>
    <row r="106" spans="4:10" x14ac:dyDescent="0.2">
      <c r="D106" s="77" t="e">
        <v>#N/A</v>
      </c>
      <c r="E106" s="77" t="e">
        <f>SUBSTITUTE(SUBSTITUTE(_xll.qlRateHelperQuoteName(D106),"_S6L12L",""),"6L","12LBASIS")</f>
        <v>#VALUE!</v>
      </c>
      <c r="F106" s="78" t="e">
        <f>_xll.qlRateHelperRate($D106)</f>
        <v>#VALUE!</v>
      </c>
      <c r="G106" s="78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9" t="e">
        <f>_xll.qlRateHelperEarliestDate($D106)</f>
        <v>#VALUE!</v>
      </c>
      <c r="I106" s="80" t="e">
        <f>_xll.qlRateHelperLatestDate($D106)</f>
        <v>#VALUE!</v>
      </c>
      <c r="J106" s="74" t="e">
        <v>#N/A</v>
      </c>
    </row>
    <row r="107" spans="4:10" x14ac:dyDescent="0.2">
      <c r="D107" s="77" t="e">
        <v>#N/A</v>
      </c>
      <c r="E107" s="77" t="e">
        <f>SUBSTITUTE(SUBSTITUTE(_xll.qlRateHelperQuoteName(D107),"_S6L12L",""),"6L","12LBASIS")</f>
        <v>#VALUE!</v>
      </c>
      <c r="F107" s="78" t="e">
        <f>_xll.qlRateHelperRate($D107)</f>
        <v>#VALUE!</v>
      </c>
      <c r="G107" s="78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9" t="e">
        <f>_xll.qlRateHelperEarliestDate($D107)</f>
        <v>#VALUE!</v>
      </c>
      <c r="I107" s="80" t="e">
        <f>_xll.qlRateHelperLatestDate($D107)</f>
        <v>#VALUE!</v>
      </c>
      <c r="J107" s="74" t="e">
        <v>#N/A</v>
      </c>
    </row>
    <row r="108" spans="4:10" x14ac:dyDescent="0.2">
      <c r="D108" s="77" t="e">
        <v>#N/A</v>
      </c>
      <c r="E108" s="77" t="e">
        <f>SUBSTITUTE(SUBSTITUTE(_xll.qlRateHelperQuoteName(D108),"_S6L12L",""),"6L","12LBASIS")</f>
        <v>#VALUE!</v>
      </c>
      <c r="F108" s="78" t="e">
        <f>_xll.qlRateHelperRate($D108)</f>
        <v>#VALUE!</v>
      </c>
      <c r="G108" s="78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9" t="e">
        <f>_xll.qlRateHelperEarliestDate($D108)</f>
        <v>#VALUE!</v>
      </c>
      <c r="I108" s="80" t="e">
        <f>_xll.qlRateHelperLatestDate($D108)</f>
        <v>#VALUE!</v>
      </c>
      <c r="J108" s="74" t="e">
        <v>#N/A</v>
      </c>
    </row>
    <row r="109" spans="4:10" x14ac:dyDescent="0.2">
      <c r="D109" s="77" t="e">
        <v>#N/A</v>
      </c>
      <c r="E109" s="77" t="e">
        <f>SUBSTITUTE(SUBSTITUTE(_xll.qlRateHelperQuoteName(D109),"_S6L12L",""),"6L","12LBASIS")</f>
        <v>#VALUE!</v>
      </c>
      <c r="F109" s="78" t="e">
        <f>_xll.qlRateHelperRate($D109)</f>
        <v>#VALUE!</v>
      </c>
      <c r="G109" s="78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9" t="e">
        <f>_xll.qlRateHelperEarliestDate($D109)</f>
        <v>#VALUE!</v>
      </c>
      <c r="I109" s="80" t="e">
        <f>_xll.qlRateHelperLatestDate($D109)</f>
        <v>#VALUE!</v>
      </c>
      <c r="J109" s="74" t="e">
        <v>#N/A</v>
      </c>
    </row>
    <row r="110" spans="4:10" x14ac:dyDescent="0.2">
      <c r="D110" s="77" t="e">
        <v>#N/A</v>
      </c>
      <c r="E110" s="77" t="e">
        <f>SUBSTITUTE(SUBSTITUTE(_xll.qlRateHelperQuoteName(D110),"_S6L12L",""),"6L","12LBASIS")</f>
        <v>#VALUE!</v>
      </c>
      <c r="F110" s="78" t="e">
        <f>_xll.qlRateHelperRate($D110)</f>
        <v>#VALUE!</v>
      </c>
      <c r="G110" s="78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9" t="e">
        <f>_xll.qlRateHelperEarliestDate($D110)</f>
        <v>#VALUE!</v>
      </c>
      <c r="I110" s="80" t="e">
        <f>_xll.qlRateHelperLatestDate($D110)</f>
        <v>#VALUE!</v>
      </c>
      <c r="J110" s="74" t="e">
        <v>#N/A</v>
      </c>
    </row>
    <row r="111" spans="4:10" x14ac:dyDescent="0.2">
      <c r="D111" s="77" t="e">
        <v>#N/A</v>
      </c>
      <c r="E111" s="77" t="e">
        <f>SUBSTITUTE(SUBSTITUTE(_xll.qlRateHelperQuoteName(D111),"_S6L12L",""),"6L","12LBASIS")</f>
        <v>#VALUE!</v>
      </c>
      <c r="F111" s="78" t="e">
        <f>_xll.qlRateHelperRate($D111)</f>
        <v>#VALUE!</v>
      </c>
      <c r="G111" s="78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9" t="e">
        <f>_xll.qlRateHelperEarliestDate($D111)</f>
        <v>#VALUE!</v>
      </c>
      <c r="I111" s="80" t="e">
        <f>_xll.qlRateHelperLatestDate($D111)</f>
        <v>#VALUE!</v>
      </c>
      <c r="J111" s="74" t="e">
        <v>#N/A</v>
      </c>
    </row>
    <row r="112" spans="4:10" x14ac:dyDescent="0.2">
      <c r="D112" s="77" t="e">
        <v>#N/A</v>
      </c>
      <c r="E112" s="77" t="e">
        <f>SUBSTITUTE(SUBSTITUTE(_xll.qlRateHelperQuoteName(D112),"_S6L12L",""),"6L","12LBASIS")</f>
        <v>#VALUE!</v>
      </c>
      <c r="F112" s="78" t="e">
        <f>_xll.qlRateHelperRate($D112)</f>
        <v>#VALUE!</v>
      </c>
      <c r="G112" s="78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9" t="e">
        <f>_xll.qlRateHelperEarliestDate($D112)</f>
        <v>#VALUE!</v>
      </c>
      <c r="I112" s="80" t="e">
        <f>_xll.qlRateHelperLatestDate($D112)</f>
        <v>#VALUE!</v>
      </c>
      <c r="J112" s="74" t="e">
        <v>#N/A</v>
      </c>
    </row>
    <row r="113" spans="4:10" x14ac:dyDescent="0.2">
      <c r="D113" s="77" t="e">
        <v>#N/A</v>
      </c>
      <c r="E113" s="77" t="e">
        <f>SUBSTITUTE(SUBSTITUTE(_xll.qlRateHelperQuoteName(D113),"_S6L12L",""),"6L","12LBASIS")</f>
        <v>#VALUE!</v>
      </c>
      <c r="F113" s="78" t="e">
        <f>_xll.qlRateHelperRate($D113)</f>
        <v>#VALUE!</v>
      </c>
      <c r="G113" s="78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9" t="e">
        <f>_xll.qlRateHelperEarliestDate($D113)</f>
        <v>#VALUE!</v>
      </c>
      <c r="I113" s="80" t="e">
        <f>_xll.qlRateHelperLatestDate($D113)</f>
        <v>#VALUE!</v>
      </c>
      <c r="J113" s="74" t="e">
        <v>#N/A</v>
      </c>
    </row>
    <row r="114" spans="4:10" x14ac:dyDescent="0.2">
      <c r="D114" s="77" t="e">
        <v>#N/A</v>
      </c>
      <c r="E114" s="77" t="e">
        <f>SUBSTITUTE(SUBSTITUTE(_xll.qlRateHelperQuoteName(D114),"_S6L12L",""),"6L","12LBASIS")</f>
        <v>#VALUE!</v>
      </c>
      <c r="F114" s="78" t="e">
        <f>_xll.qlRateHelperRate($D114)</f>
        <v>#VALUE!</v>
      </c>
      <c r="G114" s="78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9" t="e">
        <f>_xll.qlRateHelperEarliestDate($D114)</f>
        <v>#VALUE!</v>
      </c>
      <c r="I114" s="80" t="e">
        <f>_xll.qlRateHelperLatestDate($D114)</f>
        <v>#VALUE!</v>
      </c>
      <c r="J114" s="74" t="e">
        <v>#N/A</v>
      </c>
    </row>
    <row r="115" spans="4:10" x14ac:dyDescent="0.2">
      <c r="D115" s="77" t="e">
        <v>#N/A</v>
      </c>
      <c r="E115" s="77" t="e">
        <f>SUBSTITUTE(SUBSTITUTE(_xll.qlRateHelperQuoteName(D115),"_S6L12L",""),"6L","12LBASIS")</f>
        <v>#VALUE!</v>
      </c>
      <c r="F115" s="78" t="e">
        <f>_xll.qlRateHelperRate($D115)</f>
        <v>#VALUE!</v>
      </c>
      <c r="G115" s="78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9" t="e">
        <f>_xll.qlRateHelperEarliestDate($D115)</f>
        <v>#VALUE!</v>
      </c>
      <c r="I115" s="80" t="e">
        <f>_xll.qlRateHelperLatestDate($D115)</f>
        <v>#VALUE!</v>
      </c>
      <c r="J115" s="74" t="e">
        <v>#N/A</v>
      </c>
    </row>
    <row r="116" spans="4:10" x14ac:dyDescent="0.2">
      <c r="D116" s="77" t="e">
        <v>#N/A</v>
      </c>
      <c r="E116" s="77" t="e">
        <f>SUBSTITUTE(SUBSTITUTE(_xll.qlRateHelperQuoteName(D116),"_S6L12L",""),"6L","12LBASIS")</f>
        <v>#VALUE!</v>
      </c>
      <c r="F116" s="78" t="e">
        <f>_xll.qlRateHelperRate($D116)</f>
        <v>#VALUE!</v>
      </c>
      <c r="G116" s="78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9" t="e">
        <f>_xll.qlRateHelperEarliestDate($D116)</f>
        <v>#VALUE!</v>
      </c>
      <c r="I116" s="80" t="e">
        <f>_xll.qlRateHelperLatestDate($D116)</f>
        <v>#VALUE!</v>
      </c>
      <c r="J116" s="74" t="e">
        <v>#N/A</v>
      </c>
    </row>
    <row r="117" spans="4:10" x14ac:dyDescent="0.2">
      <c r="D117" s="77" t="e">
        <v>#N/A</v>
      </c>
      <c r="E117" s="77" t="e">
        <f>SUBSTITUTE(SUBSTITUTE(_xll.qlRateHelperQuoteName(D117),"_S6L12L",""),"6L","12LBASIS")</f>
        <v>#VALUE!</v>
      </c>
      <c r="F117" s="78" t="e">
        <f>_xll.qlRateHelperRate($D117)</f>
        <v>#VALUE!</v>
      </c>
      <c r="G117" s="78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9" t="e">
        <f>_xll.qlRateHelperEarliestDate($D117)</f>
        <v>#VALUE!</v>
      </c>
      <c r="I117" s="80" t="e">
        <f>_xll.qlRateHelperLatestDate($D117)</f>
        <v>#VALUE!</v>
      </c>
      <c r="J117" s="74" t="e">
        <v>#N/A</v>
      </c>
    </row>
    <row r="118" spans="4:10" x14ac:dyDescent="0.2">
      <c r="D118" s="77" t="e">
        <v>#N/A</v>
      </c>
      <c r="E118" s="77" t="e">
        <f>SUBSTITUTE(SUBSTITUTE(_xll.qlRateHelperQuoteName(D118),"_S6L12L",""),"6L","12LBASIS")</f>
        <v>#VALUE!</v>
      </c>
      <c r="F118" s="78" t="e">
        <f>_xll.qlRateHelperRate($D118)</f>
        <v>#VALUE!</v>
      </c>
      <c r="G118" s="78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9" t="e">
        <f>_xll.qlRateHelperEarliestDate($D118)</f>
        <v>#VALUE!</v>
      </c>
      <c r="I118" s="80" t="e">
        <f>_xll.qlRateHelperLatestDate($D118)</f>
        <v>#VALUE!</v>
      </c>
      <c r="J118" s="74" t="e">
        <v>#N/A</v>
      </c>
    </row>
    <row r="119" spans="4:10" x14ac:dyDescent="0.2">
      <c r="D119" s="77" t="e">
        <v>#N/A</v>
      </c>
      <c r="E119" s="77" t="e">
        <f>SUBSTITUTE(SUBSTITUTE(_xll.qlRateHelperQuoteName(D119),"_S6L12L",""),"6L","12LBASIS")</f>
        <v>#VALUE!</v>
      </c>
      <c r="F119" s="78" t="e">
        <f>_xll.qlRateHelperRate($D119)</f>
        <v>#VALUE!</v>
      </c>
      <c r="G119" s="78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9" t="e">
        <f>_xll.qlRateHelperEarliestDate($D119)</f>
        <v>#VALUE!</v>
      </c>
      <c r="I119" s="80" t="e">
        <f>_xll.qlRateHelperLatestDate($D119)</f>
        <v>#VALUE!</v>
      </c>
      <c r="J119" s="74" t="e">
        <v>#N/A</v>
      </c>
    </row>
    <row r="120" spans="4:10" x14ac:dyDescent="0.2">
      <c r="D120" s="77" t="e">
        <v>#N/A</v>
      </c>
      <c r="E120" s="77" t="e">
        <f>SUBSTITUTE(SUBSTITUTE(_xll.qlRateHelperQuoteName(D120),"_S6L12L",""),"6L","12LBASIS")</f>
        <v>#VALUE!</v>
      </c>
      <c r="F120" s="78" t="e">
        <f>_xll.qlRateHelperRate($D120)</f>
        <v>#VALUE!</v>
      </c>
      <c r="G120" s="78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9" t="e">
        <f>_xll.qlRateHelperEarliestDate($D120)</f>
        <v>#VALUE!</v>
      </c>
      <c r="I120" s="80" t="e">
        <f>_xll.qlRateHelperLatestDate($D120)</f>
        <v>#VALUE!</v>
      </c>
      <c r="J120" s="74" t="e">
        <v>#N/A</v>
      </c>
    </row>
    <row r="121" spans="4:10" x14ac:dyDescent="0.2">
      <c r="D121" s="77" t="e">
        <v>#N/A</v>
      </c>
      <c r="E121" s="77" t="e">
        <f>SUBSTITUTE(SUBSTITUTE(_xll.qlRateHelperQuoteName(D121),"_S6L12L",""),"6L","12LBASIS")</f>
        <v>#VALUE!</v>
      </c>
      <c r="F121" s="78" t="e">
        <f>_xll.qlRateHelperRate($D121)</f>
        <v>#VALUE!</v>
      </c>
      <c r="G121" s="78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9" t="e">
        <f>_xll.qlRateHelperEarliestDate($D121)</f>
        <v>#VALUE!</v>
      </c>
      <c r="I121" s="80" t="e">
        <f>_xll.qlRateHelperLatestDate($D121)</f>
        <v>#VALUE!</v>
      </c>
      <c r="J121" s="74" t="e">
        <v>#N/A</v>
      </c>
    </row>
    <row r="122" spans="4:10" x14ac:dyDescent="0.2">
      <c r="D122" s="77" t="e">
        <v>#N/A</v>
      </c>
      <c r="E122" s="77" t="e">
        <f>SUBSTITUTE(SUBSTITUTE(_xll.qlRateHelperQuoteName(D122),"_S6L12L",""),"6L","12LBASIS")</f>
        <v>#VALUE!</v>
      </c>
      <c r="F122" s="78" t="e">
        <f>_xll.qlRateHelperRate($D122)</f>
        <v>#VALUE!</v>
      </c>
      <c r="G122" s="78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9" t="e">
        <f>_xll.qlRateHelperEarliestDate($D122)</f>
        <v>#VALUE!</v>
      </c>
      <c r="I122" s="80" t="e">
        <f>_xll.qlRateHelperLatestDate($D122)</f>
        <v>#VALUE!</v>
      </c>
      <c r="J122" s="74" t="e">
        <v>#N/A</v>
      </c>
    </row>
    <row r="123" spans="4:10" x14ac:dyDescent="0.2">
      <c r="D123" s="77" t="e">
        <v>#N/A</v>
      </c>
      <c r="E123" s="77" t="e">
        <f>SUBSTITUTE(SUBSTITUTE(_xll.qlRateHelperQuoteName(D123),"_S6L12L",""),"6L","12LBASIS")</f>
        <v>#VALUE!</v>
      </c>
      <c r="F123" s="78" t="e">
        <f>_xll.qlRateHelperRate($D123)</f>
        <v>#VALUE!</v>
      </c>
      <c r="G123" s="78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9" t="e">
        <f>_xll.qlRateHelperEarliestDate($D123)</f>
        <v>#VALUE!</v>
      </c>
      <c r="I123" s="80" t="e">
        <f>_xll.qlRateHelperLatestDate($D123)</f>
        <v>#VALUE!</v>
      </c>
      <c r="J123" s="74" t="e">
        <v>#N/A</v>
      </c>
    </row>
    <row r="124" spans="4:10" x14ac:dyDescent="0.2">
      <c r="D124" s="77" t="e">
        <v>#N/A</v>
      </c>
      <c r="E124" s="77" t="e">
        <f>SUBSTITUTE(SUBSTITUTE(_xll.qlRateHelperQuoteName(D124),"_S6L12L",""),"6L","12LBASIS")</f>
        <v>#VALUE!</v>
      </c>
      <c r="F124" s="78" t="e">
        <f>_xll.qlRateHelperRate($D124)</f>
        <v>#VALUE!</v>
      </c>
      <c r="G124" s="78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9" t="e">
        <f>_xll.qlRateHelperEarliestDate($D124)</f>
        <v>#VALUE!</v>
      </c>
      <c r="I124" s="80" t="e">
        <f>_xll.qlRateHelperLatestDate($D124)</f>
        <v>#VALUE!</v>
      </c>
      <c r="J124" s="74" t="e">
        <v>#N/A</v>
      </c>
    </row>
    <row r="125" spans="4:10" x14ac:dyDescent="0.2">
      <c r="D125" s="77" t="e">
        <v>#N/A</v>
      </c>
      <c r="E125" s="77" t="e">
        <f>SUBSTITUTE(SUBSTITUTE(_xll.qlRateHelperQuoteName(D125),"_S6L12L",""),"6L","12LBASIS")</f>
        <v>#VALUE!</v>
      </c>
      <c r="F125" s="78" t="e">
        <f>_xll.qlRateHelperRate($D125)</f>
        <v>#VALUE!</v>
      </c>
      <c r="G125" s="78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9" t="e">
        <f>_xll.qlRateHelperEarliestDate($D125)</f>
        <v>#VALUE!</v>
      </c>
      <c r="I125" s="80" t="e">
        <f>_xll.qlRateHelperLatestDate($D125)</f>
        <v>#VALUE!</v>
      </c>
      <c r="J125" s="74" t="e">
        <v>#N/A</v>
      </c>
    </row>
    <row r="126" spans="4:10" ht="12" thickBot="1" x14ac:dyDescent="0.25">
      <c r="D126" s="84" t="e">
        <v>#N/A</v>
      </c>
      <c r="E126" s="84" t="e">
        <f>SUBSTITUTE(SUBSTITUTE(_xll.qlRateHelperQuoteName(D126),"_S6L12L",""),"6L","12LBASIS")</f>
        <v>#VALUE!</v>
      </c>
      <c r="F126" s="85" t="e">
        <f>_xll.qlRateHelperRate($D126)</f>
        <v>#VALUE!</v>
      </c>
      <c r="G126" s="8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86" t="e">
        <f>_xll.qlRateHelperEarliestDate($D126)</f>
        <v>#VALUE!</v>
      </c>
      <c r="I126" s="87" t="e">
        <f>_xll.qlRateHelperLatestDate($D126)</f>
        <v>#VALUE!</v>
      </c>
      <c r="J126" s="74" t="e">
        <v>#N/A</v>
      </c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8"/>
  <sheetViews>
    <sheetView workbookViewId="0"/>
  </sheetViews>
  <sheetFormatPr defaultRowHeight="13.5" x14ac:dyDescent="0.25"/>
  <cols>
    <col min="1" max="1" width="2.7109375" style="94" customWidth="1"/>
    <col min="2" max="2" width="4" style="94" bestFit="1" customWidth="1"/>
    <col min="3" max="3" width="15.140625" style="94" bestFit="1" customWidth="1"/>
    <col min="4" max="4" width="22.42578125" style="94" bestFit="1" customWidth="1"/>
    <col min="5" max="5" width="25" style="186" bestFit="1" customWidth="1"/>
    <col min="6" max="6" width="23.5703125" style="94" customWidth="1"/>
    <col min="7" max="7" width="2.7109375" style="94" customWidth="1"/>
    <col min="8" max="8" width="9.140625" style="94"/>
    <col min="9" max="9" width="16.42578125" style="94" bestFit="1" customWidth="1"/>
    <col min="10" max="16384" width="9.140625" style="94"/>
  </cols>
  <sheetData>
    <row r="1" spans="1:9" x14ac:dyDescent="0.25">
      <c r="A1" s="89"/>
      <c r="B1" s="90"/>
      <c r="C1" s="91" t="s">
        <v>25</v>
      </c>
      <c r="D1" s="92" t="str">
        <f>Currency&amp;"_YC"&amp;$C$1&amp;"RH"</f>
        <v>GBP_YC1YRH</v>
      </c>
      <c r="E1" s="91" t="str">
        <f>$D$1&amp;"_Deposits.xml"</f>
        <v>GBP_YC1YRH_Deposits.xml</v>
      </c>
      <c r="F1" s="70"/>
      <c r="G1" s="93"/>
    </row>
    <row r="2" spans="1:9" ht="23.25" customHeight="1" x14ac:dyDescent="0.25">
      <c r="A2" s="95"/>
      <c r="B2" s="96"/>
      <c r="C2" s="96" t="s">
        <v>94</v>
      </c>
      <c r="D2" s="96" t="s">
        <v>95</v>
      </c>
      <c r="E2" s="98" t="str">
        <f>IF(Serialize,_xll.ohObjectSave(E3:E17,SerializationPath&amp;E1,FileOverwrite,Serialize),"---")</f>
        <v>---</v>
      </c>
      <c r="F2" s="99" t="str">
        <f>_xll.ohRangeRetrieveError(E2)</f>
        <v/>
      </c>
      <c r="G2" s="93"/>
    </row>
    <row r="3" spans="1:9" ht="11.25" customHeight="1" x14ac:dyDescent="0.25">
      <c r="A3" s="95"/>
      <c r="B3" s="100" t="s">
        <v>96</v>
      </c>
      <c r="C3" s="101" t="str">
        <f>_xll.qlLibor(,Currency,B3,,,Trigger,ObjectOverwrite)</f>
        <v>obj_0061e#0010</v>
      </c>
      <c r="D3" s="102" t="str">
        <f>Currency&amp;B3&amp;"D_SYNTH"&amp;$C$1&amp;QuoteSuffix</f>
        <v>GBPSWD_SYNTH1Y_Quote</v>
      </c>
      <c r="E3" s="185" t="str">
        <f>_xll.qlDepositRateHelper(,D3,C3,Permanent,Trigger,ObjectOverwrite)</f>
        <v>obj_00627#0012</v>
      </c>
      <c r="F3" s="103" t="str">
        <f>_xll.ohRangeRetrieveError(E3)</f>
        <v/>
      </c>
      <c r="G3" s="93"/>
      <c r="I3" s="104"/>
    </row>
    <row r="4" spans="1:9" ht="11.25" customHeight="1" x14ac:dyDescent="0.25">
      <c r="A4" s="95"/>
      <c r="B4" s="100" t="s">
        <v>97</v>
      </c>
      <c r="C4" s="101" t="str">
        <f>_xll.qlLibor(,Currency,B4,,,Trigger,ObjectOverwrite)</f>
        <v>obj_00617#0005</v>
      </c>
      <c r="D4" s="102" t="str">
        <f>Currency&amp;B4&amp;"D_SYNTH"&amp;$C$1&amp;QuoteSuffix</f>
        <v>GBP2WD_SYNTH1Y_Quote</v>
      </c>
      <c r="E4" s="185" t="str">
        <f>_xll.qlDepositRateHelper(,D4,C4,Permanent,Trigger,ObjectOverwrite)</f>
        <v>obj_00623#0009</v>
      </c>
      <c r="F4" s="103" t="str">
        <f>_xll.ohRangeRetrieveError(E4)</f>
        <v/>
      </c>
      <c r="G4" s="93"/>
      <c r="I4" s="104"/>
    </row>
    <row r="5" spans="1:9" ht="11.25" customHeight="1" x14ac:dyDescent="0.25">
      <c r="A5" s="95"/>
      <c r="B5" s="100" t="s">
        <v>98</v>
      </c>
      <c r="C5" s="101" t="str">
        <f>_xll.qlLibor(,Currency,B5,,,Trigger,ObjectOverwrite)</f>
        <v>obj_00616#0005</v>
      </c>
      <c r="D5" s="102" t="str">
        <f>Currency&amp;B5&amp;"D_SYNTH"&amp;$C$1&amp;QuoteSuffix</f>
        <v>GBP3WD_SYNTH1Y_Quote</v>
      </c>
      <c r="E5" s="185" t="str">
        <f>_xll.qlDepositRateHelper(,D5,C5,Permanent,Trigger,ObjectOverwrite)</f>
        <v>obj_0062a#0009</v>
      </c>
      <c r="F5" s="103" t="str">
        <f>_xll.ohRangeRetrieveError(E5)</f>
        <v/>
      </c>
      <c r="G5" s="93"/>
      <c r="I5" s="104"/>
    </row>
    <row r="6" spans="1:9" ht="11.25" customHeight="1" x14ac:dyDescent="0.25">
      <c r="A6" s="95"/>
      <c r="B6" s="100" t="s">
        <v>99</v>
      </c>
      <c r="C6" s="101" t="str">
        <f>_xll.qlLibor(,Currency,B6,,,Trigger,ObjectOverwrite)</f>
        <v>obj_00619#0005</v>
      </c>
      <c r="D6" s="102" t="str">
        <f>Currency&amp;B6&amp;"D_SYNTH"&amp;$C$1&amp;QuoteSuffix</f>
        <v>GBP1MD_SYNTH1Y_Quote</v>
      </c>
      <c r="E6" s="185" t="str">
        <f>_xll.qlDepositRateHelper(,D6,C6,Permanent,Trigger,ObjectOverwrite)</f>
        <v>obj_0062c#0009</v>
      </c>
      <c r="F6" s="103" t="str">
        <f>_xll.ohRangeRetrieveError(E6)</f>
        <v/>
      </c>
      <c r="G6" s="93"/>
      <c r="I6" s="104"/>
    </row>
    <row r="7" spans="1:9" ht="11.25" customHeight="1" x14ac:dyDescent="0.25">
      <c r="A7" s="95"/>
      <c r="B7" s="100" t="s">
        <v>100</v>
      </c>
      <c r="C7" s="101" t="str">
        <f>_xll.qlLibor(,Currency,B7,,,Trigger,ObjectOverwrite)</f>
        <v>obj_00611#0005</v>
      </c>
      <c r="D7" s="102" t="str">
        <f>Currency&amp;B7&amp;"D_SYNTH"&amp;$C$1&amp;QuoteSuffix</f>
        <v>GBP2MD_SYNTH1Y_Quote</v>
      </c>
      <c r="E7" s="185" t="str">
        <f>_xll.qlDepositRateHelper(,D7,C7,Permanent,Trigger,ObjectOverwrite)</f>
        <v>obj_0062e#0009</v>
      </c>
      <c r="F7" s="103" t="str">
        <f>_xll.ohRangeRetrieveError(E7)</f>
        <v/>
      </c>
      <c r="G7" s="93"/>
      <c r="I7" s="104"/>
    </row>
    <row r="8" spans="1:9" ht="11.25" customHeight="1" x14ac:dyDescent="0.25">
      <c r="A8" s="95"/>
      <c r="B8" s="100" t="s">
        <v>101</v>
      </c>
      <c r="C8" s="101" t="str">
        <f>_xll.qlLibor(,Currency,B8,,,Trigger,ObjectOverwrite)</f>
        <v>obj_0061d#0005</v>
      </c>
      <c r="D8" s="102" t="str">
        <f>Currency&amp;B8&amp;"D_SYNTH"&amp;$C$1&amp;QuoteSuffix</f>
        <v>GBP3MD_SYNTH1Y_Quote</v>
      </c>
      <c r="E8" s="185" t="str">
        <f>_xll.qlDepositRateHelper(,D8,C8,Permanent,Trigger,ObjectOverwrite)</f>
        <v>obj_00621#0009</v>
      </c>
      <c r="F8" s="103" t="str">
        <f>_xll.ohRangeRetrieveError(E8)</f>
        <v/>
      </c>
      <c r="G8" s="93"/>
      <c r="I8" s="104"/>
    </row>
    <row r="9" spans="1:9" ht="11.25" customHeight="1" x14ac:dyDescent="0.25">
      <c r="A9" s="95"/>
      <c r="B9" s="100" t="s">
        <v>102</v>
      </c>
      <c r="C9" s="101" t="str">
        <f>_xll.qlLibor(,Currency,B9,,,Trigger,ObjectOverwrite)</f>
        <v>obj_0061f#0005</v>
      </c>
      <c r="D9" s="102" t="str">
        <f>Currency&amp;B9&amp;"D_SYNTH"&amp;$C$1&amp;QuoteSuffix</f>
        <v>GBP4MD_SYNTH1Y_Quote</v>
      </c>
      <c r="E9" s="185" t="str">
        <f>_xll.qlDepositRateHelper(,D9,C9,Permanent,Trigger,ObjectOverwrite)</f>
        <v>obj_00628#0009</v>
      </c>
      <c r="F9" s="103" t="str">
        <f>_xll.ohRangeRetrieveError(E9)</f>
        <v/>
      </c>
      <c r="G9" s="93"/>
      <c r="I9" s="104"/>
    </row>
    <row r="10" spans="1:9" ht="11.25" customHeight="1" x14ac:dyDescent="0.25">
      <c r="A10" s="95"/>
      <c r="B10" s="100" t="s">
        <v>103</v>
      </c>
      <c r="C10" s="101" t="str">
        <f>_xll.qlLibor(,Currency,B10,,,Trigger,ObjectOverwrite)</f>
        <v>obj_0061a#0005</v>
      </c>
      <c r="D10" s="102" t="str">
        <f>Currency&amp;B10&amp;"D_SYNTH"&amp;$C$1&amp;QuoteSuffix</f>
        <v>GBP5MD_SYNTH1Y_Quote</v>
      </c>
      <c r="E10" s="185" t="str">
        <f>_xll.qlDepositRateHelper(,D10,C10,Permanent,Trigger,ObjectOverwrite)</f>
        <v>obj_00624#0009</v>
      </c>
      <c r="F10" s="103" t="str">
        <f>_xll.ohRangeRetrieveError(E10)</f>
        <v/>
      </c>
      <c r="G10" s="93"/>
      <c r="I10" s="104"/>
    </row>
    <row r="11" spans="1:9" ht="11.25" customHeight="1" x14ac:dyDescent="0.25">
      <c r="A11" s="95"/>
      <c r="B11" s="100" t="s">
        <v>104</v>
      </c>
      <c r="C11" s="101" t="str">
        <f>_xll.qlLibor(,Currency,B11,,,Trigger,ObjectOverwrite)</f>
        <v>obj_00614#0005</v>
      </c>
      <c r="D11" s="102" t="str">
        <f>Currency&amp;B11&amp;"D_SYNTH"&amp;$C$1&amp;QuoteSuffix</f>
        <v>GBP6MD_SYNTH1Y_Quote</v>
      </c>
      <c r="E11" s="185" t="str">
        <f>_xll.qlDepositRateHelper(,D11,C11,Permanent,Trigger,ObjectOverwrite)</f>
        <v>obj_00629#0009</v>
      </c>
      <c r="F11" s="103" t="str">
        <f>_xll.ohRangeRetrieveError(E11)</f>
        <v/>
      </c>
      <c r="G11" s="93"/>
      <c r="I11" s="104"/>
    </row>
    <row r="12" spans="1:9" ht="11.25" customHeight="1" x14ac:dyDescent="0.25">
      <c r="A12" s="95"/>
      <c r="B12" s="100" t="s">
        <v>105</v>
      </c>
      <c r="C12" s="101" t="str">
        <f>_xll.qlLibor(,Currency,B12,,,Trigger,ObjectOverwrite)</f>
        <v>obj_00612#0005</v>
      </c>
      <c r="D12" s="102" t="str">
        <f>Currency&amp;B12&amp;"D_SYNTH"&amp;$C$1&amp;QuoteSuffix</f>
        <v>GBP7MD_SYNTH1Y_Quote</v>
      </c>
      <c r="E12" s="185" t="str">
        <f>_xll.qlDepositRateHelper(,D12,C12,Permanent,Trigger,ObjectOverwrite)</f>
        <v>obj_00620#0009</v>
      </c>
      <c r="F12" s="103" t="str">
        <f>_xll.ohRangeRetrieveError(E12)</f>
        <v/>
      </c>
      <c r="G12" s="93"/>
      <c r="I12" s="104"/>
    </row>
    <row r="13" spans="1:9" ht="11.25" customHeight="1" x14ac:dyDescent="0.25">
      <c r="A13" s="95"/>
      <c r="B13" s="100" t="s">
        <v>106</v>
      </c>
      <c r="C13" s="101" t="str">
        <f>_xll.qlLibor(,Currency,B13,,,Trigger,ObjectOverwrite)</f>
        <v>obj_0061b#0005</v>
      </c>
      <c r="D13" s="102" t="str">
        <f>Currency&amp;B13&amp;"D_SYNTH"&amp;$C$1&amp;QuoteSuffix</f>
        <v>GBP8MD_SYNTH1Y_Quote</v>
      </c>
      <c r="E13" s="185" t="str">
        <f>_xll.qlDepositRateHelper(,D13,C13,Permanent,Trigger,ObjectOverwrite)</f>
        <v>obj_00622#0009</v>
      </c>
      <c r="F13" s="103" t="str">
        <f>_xll.ohRangeRetrieveError(E13)</f>
        <v/>
      </c>
      <c r="G13" s="93"/>
      <c r="I13" s="104"/>
    </row>
    <row r="14" spans="1:9" ht="11.25" customHeight="1" x14ac:dyDescent="0.25">
      <c r="A14" s="95"/>
      <c r="B14" s="100" t="s">
        <v>107</v>
      </c>
      <c r="C14" s="101" t="str">
        <f>_xll.qlLibor(,Currency,B14,,,Trigger,ObjectOverwrite)</f>
        <v>obj_00613#0005</v>
      </c>
      <c r="D14" s="102" t="str">
        <f>Currency&amp;B14&amp;"D_SYNTH"&amp;$C$1&amp;QuoteSuffix</f>
        <v>GBP9MD_SYNTH1Y_Quote</v>
      </c>
      <c r="E14" s="185" t="str">
        <f>_xll.qlDepositRateHelper(,D14,C14,Permanent,Trigger,ObjectOverwrite)</f>
        <v>obj_0062d#0009</v>
      </c>
      <c r="F14" s="103" t="str">
        <f>_xll.ohRangeRetrieveError(E14)</f>
        <v/>
      </c>
      <c r="G14" s="93"/>
      <c r="I14" s="104"/>
    </row>
    <row r="15" spans="1:9" ht="11.25" customHeight="1" x14ac:dyDescent="0.25">
      <c r="A15" s="95"/>
      <c r="B15" s="100" t="s">
        <v>108</v>
      </c>
      <c r="C15" s="101" t="str">
        <f>_xll.qlLibor(,Currency,B15,,,Trigger,ObjectOverwrite)</f>
        <v>obj_00615#0005</v>
      </c>
      <c r="D15" s="102" t="str">
        <f>Currency&amp;B15&amp;"D_SYNTH"&amp;$C$1&amp;QuoteSuffix</f>
        <v>GBP10MD_SYNTH1Y_Quote</v>
      </c>
      <c r="E15" s="185" t="str">
        <f>_xll.qlDepositRateHelper(,D15,C15,Permanent,Trigger,ObjectOverwrite)</f>
        <v>obj_00625#0009</v>
      </c>
      <c r="F15" s="103" t="str">
        <f>_xll.ohRangeRetrieveError(E15)</f>
        <v/>
      </c>
      <c r="G15" s="93"/>
      <c r="I15" s="104"/>
    </row>
    <row r="16" spans="1:9" ht="11.25" customHeight="1" x14ac:dyDescent="0.25">
      <c r="A16" s="95"/>
      <c r="B16" s="100" t="s">
        <v>109</v>
      </c>
      <c r="C16" s="101" t="str">
        <f>_xll.qlLibor(,Currency,B16,,,Trigger,ObjectOverwrite)</f>
        <v>obj_00618#0005</v>
      </c>
      <c r="D16" s="102" t="str">
        <f>Currency&amp;B16&amp;"D_SYNTH"&amp;$C$1&amp;QuoteSuffix</f>
        <v>GBP11MD_SYNTH1Y_Quote</v>
      </c>
      <c r="E16" s="185" t="str">
        <f>_xll.qlDepositRateHelper(,D16,C16,Permanent,Trigger,ObjectOverwrite)</f>
        <v>obj_00626#0009</v>
      </c>
      <c r="F16" s="103" t="str">
        <f>_xll.ohRangeRetrieveError(E16)</f>
        <v/>
      </c>
      <c r="G16" s="93"/>
      <c r="I16" s="104"/>
    </row>
    <row r="17" spans="1:9" ht="11.25" customHeight="1" x14ac:dyDescent="0.25">
      <c r="A17" s="95"/>
      <c r="B17" s="100" t="s">
        <v>25</v>
      </c>
      <c r="C17" s="101" t="str">
        <f>_xll.qlLibor(,Currency,B17,,,Trigger,ObjectOverwrite)</f>
        <v>obj_0061c#0005</v>
      </c>
      <c r="D17" s="102" t="str">
        <f>Currency&amp;B17&amp;"D_SYNTH"&amp;$C$1&amp;QuoteSuffix</f>
        <v>GBP1YD_SYNTH1Y_Quote</v>
      </c>
      <c r="E17" s="185" t="str">
        <f>_xll.qlDepositRateHelper(,D17,C17,Permanent,Trigger,ObjectOverwrite)</f>
        <v>obj_0062b#0009</v>
      </c>
      <c r="F17" s="103" t="str">
        <f>_xll.ohRangeRetrieveError(E17)</f>
        <v/>
      </c>
      <c r="G17" s="93"/>
      <c r="I17" s="104"/>
    </row>
    <row r="18" spans="1:9" ht="11.25" customHeight="1" thickBot="1" x14ac:dyDescent="0.3">
      <c r="A18" s="105"/>
      <c r="B18" s="106"/>
      <c r="C18" s="106"/>
      <c r="D18" s="106"/>
      <c r="E18" s="184"/>
      <c r="F18" s="106"/>
      <c r="G18" s="107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0"/>
  <sheetViews>
    <sheetView workbookViewId="0"/>
  </sheetViews>
  <sheetFormatPr defaultRowHeight="11.25" x14ac:dyDescent="0.2"/>
  <cols>
    <col min="1" max="1" width="2.7109375" style="70" customWidth="1"/>
    <col min="2" max="2" width="4" style="70" bestFit="1" customWidth="1"/>
    <col min="3" max="3" width="3" style="176" bestFit="1" customWidth="1"/>
    <col min="4" max="4" width="5" style="88" bestFit="1" customWidth="1"/>
    <col min="5" max="5" width="11" style="70" bestFit="1" customWidth="1"/>
    <col min="6" max="6" width="11" style="70" customWidth="1"/>
    <col min="7" max="7" width="24.42578125" style="70" bestFit="1" customWidth="1"/>
    <col min="8" max="8" width="20.85546875" style="88" bestFit="1" customWidth="1"/>
    <col min="9" max="9" width="38.28515625" style="70" customWidth="1"/>
    <col min="10" max="10" width="2.7109375" style="70" customWidth="1"/>
    <col min="11" max="16384" width="9.140625" style="70"/>
  </cols>
  <sheetData>
    <row r="1" spans="1:10" ht="12" x14ac:dyDescent="0.2">
      <c r="A1" s="108"/>
      <c r="B1" s="109"/>
      <c r="C1" s="172"/>
      <c r="D1" s="177">
        <v>12</v>
      </c>
      <c r="E1" s="109" t="str">
        <f>_xll.qlPeriodEquivalent(D1&amp;"M")</f>
        <v>1Y</v>
      </c>
      <c r="F1" s="91"/>
      <c r="G1" s="110" t="str">
        <f>Currency&amp;"_YC"&amp;$E$1&amp;"RH"</f>
        <v>GBP_YC1YRH</v>
      </c>
      <c r="H1" s="115" t="str">
        <f>$G$1&amp;"_FRAs.xml"</f>
        <v>GBP_YC1YRH_FRAs.xml</v>
      </c>
      <c r="I1" s="111"/>
      <c r="J1" s="112"/>
    </row>
    <row r="2" spans="1:10" ht="23.25" customHeight="1" x14ac:dyDescent="0.2">
      <c r="A2" s="95"/>
      <c r="B2" s="113"/>
      <c r="C2" s="173"/>
      <c r="D2" s="178"/>
      <c r="E2" s="114" t="s">
        <v>94</v>
      </c>
      <c r="F2" s="114" t="s">
        <v>127</v>
      </c>
      <c r="G2" s="114" t="s">
        <v>95</v>
      </c>
      <c r="H2" s="116" t="str">
        <f>IF(Serialize,_xll.ohObjectSave(H3:H47,SerializationPath&amp;H1,FileOverwrite,Serialize),"---")</f>
        <v>---</v>
      </c>
      <c r="I2" s="117" t="str">
        <f>_xll.ohRangeRetrieveError(H2)</f>
        <v/>
      </c>
      <c r="J2" s="93"/>
    </row>
    <row r="3" spans="1:10" ht="11.25" customHeight="1" x14ac:dyDescent="0.2">
      <c r="A3" s="95"/>
      <c r="B3" s="119" t="str">
        <f t="shared" ref="B3:B47" si="0">C3&amp;"M"</f>
        <v>1M</v>
      </c>
      <c r="C3" s="174">
        <v>1</v>
      </c>
      <c r="D3" s="120" t="str">
        <f t="shared" ref="D3:D47" si="1">"x"&amp;C3+$D$1&amp;"F"</f>
        <v>x13F</v>
      </c>
      <c r="E3" s="119" t="str">
        <f t="shared" ref="E3:E47" si="2">PROPER(Currency)&amp;FamilyName&amp;$E$1</f>
        <v>GbpLibor1Y</v>
      </c>
      <c r="F3" s="121" t="b">
        <v>1</v>
      </c>
      <c r="G3" s="119" t="str">
        <f t="shared" ref="G3:G18" si="3">Currency&amp;C3&amp;D3&amp;IF(F3,"_SYNTH"&amp;$E$1,"")&amp;"_Quote"</f>
        <v>GBP1x13F_SYNTH1Y_Quote</v>
      </c>
      <c r="H3" s="119" t="str">
        <f>_xll.qlFraRateHelper(,G3,B3,E3,Permanent,Trigger,ObjectOverwrite)</f>
        <v>obj_005fe#0008</v>
      </c>
      <c r="I3" s="122" t="str">
        <f>_xll.ohRangeRetrieveError(H3)</f>
        <v/>
      </c>
      <c r="J3" s="93"/>
    </row>
    <row r="4" spans="1:10" ht="11.25" customHeight="1" x14ac:dyDescent="0.2">
      <c r="A4" s="95"/>
      <c r="B4" s="119" t="str">
        <f t="shared" si="0"/>
        <v>2M</v>
      </c>
      <c r="C4" s="174">
        <v>2</v>
      </c>
      <c r="D4" s="120" t="str">
        <f t="shared" si="1"/>
        <v>x14F</v>
      </c>
      <c r="E4" s="119" t="str">
        <f t="shared" si="2"/>
        <v>GbpLibor1Y</v>
      </c>
      <c r="F4" s="121" t="b">
        <v>1</v>
      </c>
      <c r="G4" s="119" t="str">
        <f t="shared" si="3"/>
        <v>GBP2x14F_SYNTH1Y_Quote</v>
      </c>
      <c r="H4" s="119" t="str">
        <f>_xll.qlFraRateHelper(,G4,B4,E4,Permanent,Trigger,ObjectOverwrite)</f>
        <v>obj_0060e#0010</v>
      </c>
      <c r="I4" s="122" t="str">
        <f>_xll.ohRangeRetrieveError(H4)</f>
        <v/>
      </c>
      <c r="J4" s="93"/>
    </row>
    <row r="5" spans="1:10" ht="11.25" customHeight="1" x14ac:dyDescent="0.2">
      <c r="A5" s="95"/>
      <c r="B5" s="119" t="str">
        <f t="shared" si="0"/>
        <v>3M</v>
      </c>
      <c r="C5" s="174">
        <v>3</v>
      </c>
      <c r="D5" s="120" t="str">
        <f t="shared" si="1"/>
        <v>x15F</v>
      </c>
      <c r="E5" s="119" t="str">
        <f t="shared" si="2"/>
        <v>GbpLibor1Y</v>
      </c>
      <c r="F5" s="121" t="b">
        <v>1</v>
      </c>
      <c r="G5" s="119" t="str">
        <f t="shared" si="3"/>
        <v>GBP3x15F_SYNTH1Y_Quote</v>
      </c>
      <c r="H5" s="119" t="str">
        <f>_xll.qlFraRateHelper(,G5,B5,E5,Permanent,Trigger,ObjectOverwrite)</f>
        <v>obj_00606#0010</v>
      </c>
      <c r="I5" s="122" t="str">
        <f>_xll.ohRangeRetrieveError(H5)</f>
        <v/>
      </c>
      <c r="J5" s="93"/>
    </row>
    <row r="6" spans="1:10" ht="11.25" customHeight="1" x14ac:dyDescent="0.2">
      <c r="A6" s="95"/>
      <c r="B6" s="119" t="str">
        <f t="shared" si="0"/>
        <v>4M</v>
      </c>
      <c r="C6" s="174">
        <v>4</v>
      </c>
      <c r="D6" s="120" t="str">
        <f t="shared" si="1"/>
        <v>x16F</v>
      </c>
      <c r="E6" s="119" t="str">
        <f t="shared" si="2"/>
        <v>GbpLibor1Y</v>
      </c>
      <c r="F6" s="121" t="b">
        <v>1</v>
      </c>
      <c r="G6" s="119" t="str">
        <f t="shared" si="3"/>
        <v>GBP4x16F_SYNTH1Y_Quote</v>
      </c>
      <c r="H6" s="119" t="str">
        <f>_xll.qlFraRateHelper(,G6,B6,E6,Permanent,Trigger,ObjectOverwrite)</f>
        <v>obj_005f3#0010</v>
      </c>
      <c r="I6" s="122" t="str">
        <f>_xll.ohRangeRetrieveError(H6)</f>
        <v/>
      </c>
      <c r="J6" s="93"/>
    </row>
    <row r="7" spans="1:10" ht="11.25" customHeight="1" x14ac:dyDescent="0.2">
      <c r="A7" s="95"/>
      <c r="B7" s="119" t="str">
        <f t="shared" si="0"/>
        <v>5M</v>
      </c>
      <c r="C7" s="174">
        <v>5</v>
      </c>
      <c r="D7" s="120" t="str">
        <f t="shared" si="1"/>
        <v>x17F</v>
      </c>
      <c r="E7" s="119" t="str">
        <f t="shared" si="2"/>
        <v>GbpLibor1Y</v>
      </c>
      <c r="F7" s="121" t="b">
        <v>1</v>
      </c>
      <c r="G7" s="119" t="str">
        <f t="shared" si="3"/>
        <v>GBP5x17F_SYNTH1Y_Quote</v>
      </c>
      <c r="H7" s="119" t="str">
        <f>_xll.qlFraRateHelper(,G7,B7,E7,Permanent,Trigger,ObjectOverwrite)</f>
        <v>obj_005fd#0010</v>
      </c>
      <c r="I7" s="122" t="str">
        <f>_xll.ohRangeRetrieveError(H7)</f>
        <v/>
      </c>
      <c r="J7" s="93"/>
    </row>
    <row r="8" spans="1:10" ht="11.25" customHeight="1" x14ac:dyDescent="0.2">
      <c r="A8" s="95"/>
      <c r="B8" s="119" t="str">
        <f t="shared" si="0"/>
        <v>6M</v>
      </c>
      <c r="C8" s="174">
        <v>6</v>
      </c>
      <c r="D8" s="120" t="str">
        <f t="shared" si="1"/>
        <v>x18F</v>
      </c>
      <c r="E8" s="119" t="str">
        <f t="shared" si="2"/>
        <v>GbpLibor1Y</v>
      </c>
      <c r="F8" s="121" t="b">
        <v>1</v>
      </c>
      <c r="G8" s="119" t="str">
        <f t="shared" si="3"/>
        <v>GBP6x18F_SYNTH1Y_Quote</v>
      </c>
      <c r="H8" s="119" t="str">
        <f>_xll.qlFraRateHelper(,G8,B8,E8,Permanent,Trigger,ObjectOverwrite)</f>
        <v>obj_00607#0010</v>
      </c>
      <c r="I8" s="122" t="str">
        <f>_xll.ohRangeRetrieveError(H8)</f>
        <v/>
      </c>
      <c r="J8" s="93"/>
    </row>
    <row r="9" spans="1:10" ht="11.25" customHeight="1" x14ac:dyDescent="0.2">
      <c r="A9" s="95"/>
      <c r="B9" s="119" t="str">
        <f t="shared" si="0"/>
        <v>7M</v>
      </c>
      <c r="C9" s="174">
        <v>7</v>
      </c>
      <c r="D9" s="120" t="str">
        <f t="shared" si="1"/>
        <v>x19F</v>
      </c>
      <c r="E9" s="119" t="str">
        <f t="shared" si="2"/>
        <v>GbpLibor1Y</v>
      </c>
      <c r="F9" s="121" t="b">
        <v>1</v>
      </c>
      <c r="G9" s="119" t="str">
        <f t="shared" si="3"/>
        <v>GBP7x19F_SYNTH1Y_Quote</v>
      </c>
      <c r="H9" s="119" t="str">
        <f>_xll.qlFraRateHelper(,G9,B9,E9,Permanent,Trigger,ObjectOverwrite)</f>
        <v>obj_005f6#0010</v>
      </c>
      <c r="I9" s="122" t="str">
        <f>_xll.ohRangeRetrieveError(H9)</f>
        <v/>
      </c>
      <c r="J9" s="93"/>
    </row>
    <row r="10" spans="1:10" ht="11.25" customHeight="1" x14ac:dyDescent="0.2">
      <c r="A10" s="95"/>
      <c r="B10" s="119" t="str">
        <f t="shared" si="0"/>
        <v>8M</v>
      </c>
      <c r="C10" s="174">
        <v>8</v>
      </c>
      <c r="D10" s="120" t="str">
        <f t="shared" si="1"/>
        <v>x20F</v>
      </c>
      <c r="E10" s="119" t="str">
        <f t="shared" si="2"/>
        <v>GbpLibor1Y</v>
      </c>
      <c r="F10" s="121" t="b">
        <v>1</v>
      </c>
      <c r="G10" s="119" t="str">
        <f t="shared" si="3"/>
        <v>GBP8x20F_SYNTH1Y_Quote</v>
      </c>
      <c r="H10" s="119" t="str">
        <f>_xll.qlFraRateHelper(,G10,B10,E10,Permanent,Trigger,ObjectOverwrite)</f>
        <v>obj_005ec#0010</v>
      </c>
      <c r="I10" s="122" t="str">
        <f>_xll.ohRangeRetrieveError(H10)</f>
        <v/>
      </c>
      <c r="J10" s="93"/>
    </row>
    <row r="11" spans="1:10" ht="11.25" customHeight="1" x14ac:dyDescent="0.2">
      <c r="A11" s="95"/>
      <c r="B11" s="119" t="str">
        <f t="shared" si="0"/>
        <v>9M</v>
      </c>
      <c r="C11" s="174">
        <v>9</v>
      </c>
      <c r="D11" s="120" t="str">
        <f t="shared" si="1"/>
        <v>x21F</v>
      </c>
      <c r="E11" s="119" t="str">
        <f t="shared" si="2"/>
        <v>GbpLibor1Y</v>
      </c>
      <c r="F11" s="121" t="b">
        <v>1</v>
      </c>
      <c r="G11" s="119" t="str">
        <f t="shared" si="3"/>
        <v>GBP9x21F_SYNTH1Y_Quote</v>
      </c>
      <c r="H11" s="119" t="str">
        <f>_xll.qlFraRateHelper(,G11,B11,E11,Permanent,Trigger,ObjectOverwrite)</f>
        <v>obj_00602#0010</v>
      </c>
      <c r="I11" s="122" t="str">
        <f>_xll.ohRangeRetrieveError(H11)</f>
        <v/>
      </c>
      <c r="J11" s="93"/>
    </row>
    <row r="12" spans="1:10" ht="11.25" customHeight="1" x14ac:dyDescent="0.2">
      <c r="A12" s="95"/>
      <c r="B12" s="119" t="str">
        <f t="shared" si="0"/>
        <v>10M</v>
      </c>
      <c r="C12" s="174">
        <v>10</v>
      </c>
      <c r="D12" s="120" t="str">
        <f t="shared" si="1"/>
        <v>x22F</v>
      </c>
      <c r="E12" s="119" t="str">
        <f t="shared" si="2"/>
        <v>GbpLibor1Y</v>
      </c>
      <c r="F12" s="121" t="b">
        <v>1</v>
      </c>
      <c r="G12" s="119" t="str">
        <f t="shared" si="3"/>
        <v>GBP10x22F_SYNTH1Y_Quote</v>
      </c>
      <c r="H12" s="119" t="str">
        <f>_xll.qlFraRateHelper(,G12,B12,E12,Permanent,Trigger,ObjectOverwrite)</f>
        <v>obj_005e9#0010</v>
      </c>
      <c r="I12" s="122" t="str">
        <f>_xll.ohRangeRetrieveError(H12)</f>
        <v/>
      </c>
      <c r="J12" s="93"/>
    </row>
    <row r="13" spans="1:10" ht="11.25" customHeight="1" x14ac:dyDescent="0.2">
      <c r="A13" s="95"/>
      <c r="B13" s="119" t="str">
        <f t="shared" si="0"/>
        <v>11M</v>
      </c>
      <c r="C13" s="174">
        <v>11</v>
      </c>
      <c r="D13" s="120" t="str">
        <f t="shared" si="1"/>
        <v>x23F</v>
      </c>
      <c r="E13" s="119" t="str">
        <f t="shared" si="2"/>
        <v>GbpLibor1Y</v>
      </c>
      <c r="F13" s="121" t="b">
        <v>1</v>
      </c>
      <c r="G13" s="119" t="str">
        <f t="shared" si="3"/>
        <v>GBP11x23F_SYNTH1Y_Quote</v>
      </c>
      <c r="H13" s="119" t="str">
        <f>_xll.qlFraRateHelper(,G13,B13,E13,Permanent,Trigger,ObjectOverwrite)</f>
        <v>obj_0060d#0010</v>
      </c>
      <c r="I13" s="122" t="str">
        <f>_xll.ohRangeRetrieveError(H13)</f>
        <v/>
      </c>
      <c r="J13" s="93"/>
    </row>
    <row r="14" spans="1:10" ht="11.25" customHeight="1" x14ac:dyDescent="0.2">
      <c r="A14" s="95"/>
      <c r="B14" s="179" t="str">
        <f t="shared" si="0"/>
        <v>12M</v>
      </c>
      <c r="C14" s="180">
        <v>12</v>
      </c>
      <c r="D14" s="181" t="str">
        <f t="shared" si="1"/>
        <v>x24F</v>
      </c>
      <c r="E14" s="179" t="str">
        <f t="shared" si="2"/>
        <v>GbpLibor1Y</v>
      </c>
      <c r="F14" s="182" t="b">
        <v>0</v>
      </c>
      <c r="G14" s="179" t="str">
        <f t="shared" si="3"/>
        <v>GBP12x24F_Quote</v>
      </c>
      <c r="H14" s="179" t="str">
        <f>_xll.qlFraRateHelper(,G14,B14,E14,Permanent,Trigger,ObjectOverwrite)</f>
        <v>obj_00609#0010</v>
      </c>
      <c r="I14" s="122" t="str">
        <f>_xll.ohRangeRetrieveError(H14)</f>
        <v/>
      </c>
      <c r="J14" s="93"/>
    </row>
    <row r="15" spans="1:10" ht="11.25" customHeight="1" x14ac:dyDescent="0.2">
      <c r="A15" s="95"/>
      <c r="B15" s="119" t="str">
        <f t="shared" si="0"/>
        <v>13M</v>
      </c>
      <c r="C15" s="174">
        <v>13</v>
      </c>
      <c r="D15" s="120" t="str">
        <f t="shared" si="1"/>
        <v>x25F</v>
      </c>
      <c r="E15" s="119" t="str">
        <f t="shared" si="2"/>
        <v>GbpLibor1Y</v>
      </c>
      <c r="F15" s="121" t="b">
        <v>1</v>
      </c>
      <c r="G15" s="119" t="str">
        <f t="shared" si="3"/>
        <v>GBP13x25F_SYNTH1Y_Quote</v>
      </c>
      <c r="H15" s="119" t="str">
        <f>_xll.qlFraRateHelper(,G15,B15,E15,Permanent,Trigger,ObjectOverwrite)</f>
        <v>obj_005eb#0010</v>
      </c>
      <c r="I15" s="122" t="str">
        <f>_xll.ohRangeRetrieveError(H15)</f>
        <v/>
      </c>
      <c r="J15" s="93"/>
    </row>
    <row r="16" spans="1:10" ht="11.25" customHeight="1" x14ac:dyDescent="0.2">
      <c r="A16" s="95"/>
      <c r="B16" s="119" t="str">
        <f t="shared" si="0"/>
        <v>14M</v>
      </c>
      <c r="C16" s="174">
        <v>14</v>
      </c>
      <c r="D16" s="120" t="str">
        <f t="shared" si="1"/>
        <v>x26F</v>
      </c>
      <c r="E16" s="119" t="str">
        <f t="shared" si="2"/>
        <v>GbpLibor1Y</v>
      </c>
      <c r="F16" s="121" t="b">
        <v>1</v>
      </c>
      <c r="G16" s="119" t="str">
        <f t="shared" si="3"/>
        <v>GBP14x26F_SYNTH1Y_Quote</v>
      </c>
      <c r="H16" s="119" t="str">
        <f>_xll.qlFraRateHelper(,G16,B16,E16,Permanent,Trigger,ObjectOverwrite)</f>
        <v>obj_00601#0010</v>
      </c>
      <c r="I16" s="122" t="str">
        <f>_xll.ohRangeRetrieveError(H16)</f>
        <v/>
      </c>
      <c r="J16" s="93"/>
    </row>
    <row r="17" spans="1:10" ht="11.25" customHeight="1" x14ac:dyDescent="0.2">
      <c r="A17" s="95"/>
      <c r="B17" s="119" t="str">
        <f t="shared" si="0"/>
        <v>15M</v>
      </c>
      <c r="C17" s="174">
        <v>15</v>
      </c>
      <c r="D17" s="120" t="str">
        <f t="shared" si="1"/>
        <v>x27F</v>
      </c>
      <c r="E17" s="119" t="str">
        <f t="shared" si="2"/>
        <v>GbpLibor1Y</v>
      </c>
      <c r="F17" s="121" t="b">
        <v>1</v>
      </c>
      <c r="G17" s="119" t="str">
        <f t="shared" si="3"/>
        <v>GBP15x27F_SYNTH1Y_Quote</v>
      </c>
      <c r="H17" s="119" t="str">
        <f>_xll.qlFraRateHelper(,G17,B17,E17,Permanent,Trigger,ObjectOverwrite)</f>
        <v>obj_005ea#0010</v>
      </c>
      <c r="I17" s="122" t="str">
        <f>_xll.ohRangeRetrieveError(H17)</f>
        <v/>
      </c>
      <c r="J17" s="93"/>
    </row>
    <row r="18" spans="1:10" ht="11.25" customHeight="1" x14ac:dyDescent="0.2">
      <c r="A18" s="95"/>
      <c r="B18" s="119" t="str">
        <f t="shared" si="0"/>
        <v>16M</v>
      </c>
      <c r="C18" s="174">
        <v>16</v>
      </c>
      <c r="D18" s="120" t="str">
        <f t="shared" si="1"/>
        <v>x28F</v>
      </c>
      <c r="E18" s="119" t="str">
        <f t="shared" si="2"/>
        <v>GbpLibor1Y</v>
      </c>
      <c r="F18" s="121" t="b">
        <v>1</v>
      </c>
      <c r="G18" s="119" t="str">
        <f t="shared" si="3"/>
        <v>GBP16x28F_SYNTH1Y_Quote</v>
      </c>
      <c r="H18" s="119" t="str">
        <f>_xll.qlFraRateHelper(,G18,B18,E18,Permanent,Trigger,ObjectOverwrite)</f>
        <v>obj_00610#0010</v>
      </c>
      <c r="I18" s="122" t="str">
        <f>_xll.ohRangeRetrieveError(H18)</f>
        <v/>
      </c>
      <c r="J18" s="93"/>
    </row>
    <row r="19" spans="1:10" ht="11.25" customHeight="1" x14ac:dyDescent="0.2">
      <c r="A19" s="95"/>
      <c r="B19" s="119" t="str">
        <f t="shared" si="0"/>
        <v>17M</v>
      </c>
      <c r="C19" s="174">
        <v>17</v>
      </c>
      <c r="D19" s="120" t="str">
        <f t="shared" si="1"/>
        <v>x29F</v>
      </c>
      <c r="E19" s="119" t="str">
        <f t="shared" si="2"/>
        <v>GbpLibor1Y</v>
      </c>
      <c r="F19" s="121" t="b">
        <v>1</v>
      </c>
      <c r="G19" s="119" t="str">
        <f t="shared" ref="G19:G41" si="4">Currency&amp;C19&amp;D19&amp;IF(F19,"_SYNTH"&amp;$E$1,"")&amp;"_Quote"</f>
        <v>GBP17x29F_SYNTH1Y_Quote</v>
      </c>
      <c r="H19" s="119" t="str">
        <f>_xll.qlFraRateHelper(,G19,B19,E19,Permanent,Trigger,ObjectOverwrite)</f>
        <v>obj_00605#0010</v>
      </c>
      <c r="I19" s="122" t="str">
        <f>_xll.ohRangeRetrieveError(H19)</f>
        <v/>
      </c>
      <c r="J19" s="93"/>
    </row>
    <row r="20" spans="1:10" ht="11.25" customHeight="1" x14ac:dyDescent="0.2">
      <c r="A20" s="95"/>
      <c r="B20" s="119" t="str">
        <f t="shared" si="0"/>
        <v>18M</v>
      </c>
      <c r="C20" s="174">
        <v>18</v>
      </c>
      <c r="D20" s="120" t="str">
        <f t="shared" si="1"/>
        <v>x30F</v>
      </c>
      <c r="E20" s="119" t="str">
        <f t="shared" si="2"/>
        <v>GbpLibor1Y</v>
      </c>
      <c r="F20" s="121" t="b">
        <v>1</v>
      </c>
      <c r="G20" s="119" t="str">
        <f t="shared" si="4"/>
        <v>GBP18x30F_SYNTH1Y_Quote</v>
      </c>
      <c r="H20" s="119" t="str">
        <f>_xll.qlFraRateHelper(,G20,B20,E20,Permanent,Trigger,ObjectOverwrite)</f>
        <v>obj_005fa#0010</v>
      </c>
      <c r="I20" s="122" t="str">
        <f>_xll.ohRangeRetrieveError(H20)</f>
        <v/>
      </c>
      <c r="J20" s="93"/>
    </row>
    <row r="21" spans="1:10" ht="11.25" customHeight="1" x14ac:dyDescent="0.2">
      <c r="A21" s="95"/>
      <c r="B21" s="119" t="str">
        <f t="shared" si="0"/>
        <v>19M</v>
      </c>
      <c r="C21" s="174">
        <v>19</v>
      </c>
      <c r="D21" s="120" t="str">
        <f t="shared" si="1"/>
        <v>x31F</v>
      </c>
      <c r="E21" s="119" t="str">
        <f t="shared" si="2"/>
        <v>GbpLibor1Y</v>
      </c>
      <c r="F21" s="121" t="b">
        <v>1</v>
      </c>
      <c r="G21" s="119" t="str">
        <f t="shared" si="4"/>
        <v>GBP19x31F_SYNTH1Y_Quote</v>
      </c>
      <c r="H21" s="119" t="str">
        <f>_xll.qlFraRateHelper(,G21,B21,E21,Permanent,Trigger,ObjectOverwrite)</f>
        <v>obj_005fb#0010</v>
      </c>
      <c r="I21" s="122" t="str">
        <f>_xll.ohRangeRetrieveError(H21)</f>
        <v/>
      </c>
      <c r="J21" s="93"/>
    </row>
    <row r="22" spans="1:10" ht="11.25" customHeight="1" x14ac:dyDescent="0.2">
      <c r="A22" s="95"/>
      <c r="B22" s="119" t="str">
        <f t="shared" si="0"/>
        <v>20M</v>
      </c>
      <c r="C22" s="174">
        <v>20</v>
      </c>
      <c r="D22" s="120" t="str">
        <f t="shared" si="1"/>
        <v>x32F</v>
      </c>
      <c r="E22" s="119" t="str">
        <f t="shared" si="2"/>
        <v>GbpLibor1Y</v>
      </c>
      <c r="F22" s="121" t="b">
        <v>1</v>
      </c>
      <c r="G22" s="119" t="str">
        <f t="shared" si="4"/>
        <v>GBP20x32F_SYNTH1Y_Quote</v>
      </c>
      <c r="H22" s="119" t="str">
        <f>_xll.qlFraRateHelper(,G22,B22,E22,Permanent,Trigger,ObjectOverwrite)</f>
        <v>obj_0060f#0010</v>
      </c>
      <c r="I22" s="122" t="str">
        <f>_xll.ohRangeRetrieveError(H22)</f>
        <v/>
      </c>
      <c r="J22" s="93"/>
    </row>
    <row r="23" spans="1:10" ht="11.25" customHeight="1" x14ac:dyDescent="0.2">
      <c r="A23" s="95"/>
      <c r="B23" s="119" t="str">
        <f t="shared" si="0"/>
        <v>21M</v>
      </c>
      <c r="C23" s="174">
        <v>21</v>
      </c>
      <c r="D23" s="120" t="str">
        <f t="shared" si="1"/>
        <v>x33F</v>
      </c>
      <c r="E23" s="119" t="str">
        <f t="shared" si="2"/>
        <v>GbpLibor1Y</v>
      </c>
      <c r="F23" s="121" t="b">
        <v>1</v>
      </c>
      <c r="G23" s="119" t="str">
        <f t="shared" si="4"/>
        <v>GBP21x33F_SYNTH1Y_Quote</v>
      </c>
      <c r="H23" s="119" t="str">
        <f>_xll.qlFraRateHelper(,G23,B23,E23,Permanent,Trigger,ObjectOverwrite)</f>
        <v>obj_005ff#0010</v>
      </c>
      <c r="I23" s="122" t="str">
        <f>_xll.ohRangeRetrieveError(H23)</f>
        <v/>
      </c>
      <c r="J23" s="93"/>
    </row>
    <row r="24" spans="1:10" ht="11.25" customHeight="1" x14ac:dyDescent="0.2">
      <c r="A24" s="95"/>
      <c r="B24" s="119" t="str">
        <f t="shared" si="0"/>
        <v>22M</v>
      </c>
      <c r="C24" s="174">
        <v>22</v>
      </c>
      <c r="D24" s="120" t="str">
        <f t="shared" si="1"/>
        <v>x34F</v>
      </c>
      <c r="E24" s="119" t="str">
        <f t="shared" si="2"/>
        <v>GbpLibor1Y</v>
      </c>
      <c r="F24" s="121" t="b">
        <v>1</v>
      </c>
      <c r="G24" s="119" t="str">
        <f t="shared" si="4"/>
        <v>GBP22x34F_SYNTH1Y_Quote</v>
      </c>
      <c r="H24" s="119" t="str">
        <f>_xll.qlFraRateHelper(,G24,B24,E24,Permanent,Trigger,ObjectOverwrite)</f>
        <v>obj_00600#0010</v>
      </c>
      <c r="I24" s="122" t="str">
        <f>_xll.ohRangeRetrieveError(H24)</f>
        <v/>
      </c>
      <c r="J24" s="93"/>
    </row>
    <row r="25" spans="1:10" ht="11.25" customHeight="1" x14ac:dyDescent="0.2">
      <c r="A25" s="95"/>
      <c r="B25" s="119" t="str">
        <f t="shared" si="0"/>
        <v>23M</v>
      </c>
      <c r="C25" s="174">
        <v>23</v>
      </c>
      <c r="D25" s="120" t="str">
        <f t="shared" si="1"/>
        <v>x35F</v>
      </c>
      <c r="E25" s="119" t="str">
        <f t="shared" si="2"/>
        <v>GbpLibor1Y</v>
      </c>
      <c r="F25" s="121" t="b">
        <v>1</v>
      </c>
      <c r="G25" s="119" t="str">
        <f t="shared" si="4"/>
        <v>GBP23x35F_SYNTH1Y_Quote</v>
      </c>
      <c r="H25" s="119" t="str">
        <f>_xll.qlFraRateHelper(,G25,B25,E25,Permanent,Trigger,ObjectOverwrite)</f>
        <v>obj_00603#0010</v>
      </c>
      <c r="I25" s="122" t="str">
        <f>_xll.ohRangeRetrieveError(H25)</f>
        <v/>
      </c>
      <c r="J25" s="93"/>
    </row>
    <row r="26" spans="1:10" ht="11.25" customHeight="1" x14ac:dyDescent="0.2">
      <c r="A26" s="95"/>
      <c r="B26" s="119" t="str">
        <f t="shared" si="0"/>
        <v>25M</v>
      </c>
      <c r="C26" s="174">
        <v>25</v>
      </c>
      <c r="D26" s="120" t="str">
        <f t="shared" si="1"/>
        <v>x37F</v>
      </c>
      <c r="E26" s="119" t="str">
        <f t="shared" si="2"/>
        <v>GbpLibor1Y</v>
      </c>
      <c r="F26" s="121" t="b">
        <v>1</v>
      </c>
      <c r="G26" s="119" t="str">
        <f t="shared" si="4"/>
        <v>GBP25x37F_SYNTH1Y_Quote</v>
      </c>
      <c r="H26" s="119" t="str">
        <f>_xll.qlFraRateHelper(,G26,B26,E26,Permanent,Trigger,ObjectOverwrite)</f>
        <v>obj_005ed#0010</v>
      </c>
      <c r="I26" s="122" t="str">
        <f>_xll.ohRangeRetrieveError(H26)</f>
        <v/>
      </c>
      <c r="J26" s="93"/>
    </row>
    <row r="27" spans="1:10" ht="11.25" customHeight="1" x14ac:dyDescent="0.2">
      <c r="A27" s="95"/>
      <c r="B27" s="119" t="str">
        <f t="shared" si="0"/>
        <v>26M</v>
      </c>
      <c r="C27" s="174">
        <v>26</v>
      </c>
      <c r="D27" s="120" t="str">
        <f t="shared" si="1"/>
        <v>x38F</v>
      </c>
      <c r="E27" s="119" t="str">
        <f t="shared" si="2"/>
        <v>GbpLibor1Y</v>
      </c>
      <c r="F27" s="121" t="b">
        <v>1</v>
      </c>
      <c r="G27" s="119" t="str">
        <f t="shared" si="4"/>
        <v>GBP26x38F_SYNTH1Y_Quote</v>
      </c>
      <c r="H27" s="119" t="str">
        <f>_xll.qlFraRateHelper(,G27,B27,E27,Permanent,Trigger,ObjectOverwrite)</f>
        <v>obj_005e8#0010</v>
      </c>
      <c r="I27" s="122" t="str">
        <f>_xll.ohRangeRetrieveError(H27)</f>
        <v/>
      </c>
      <c r="J27" s="93"/>
    </row>
    <row r="28" spans="1:10" ht="11.25" customHeight="1" x14ac:dyDescent="0.2">
      <c r="A28" s="95"/>
      <c r="B28" s="119" t="str">
        <f t="shared" si="0"/>
        <v>27M</v>
      </c>
      <c r="C28" s="174">
        <v>27</v>
      </c>
      <c r="D28" s="120" t="str">
        <f t="shared" si="1"/>
        <v>x39F</v>
      </c>
      <c r="E28" s="119" t="str">
        <f t="shared" si="2"/>
        <v>GbpLibor1Y</v>
      </c>
      <c r="F28" s="121" t="b">
        <v>1</v>
      </c>
      <c r="G28" s="119" t="str">
        <f t="shared" si="4"/>
        <v>GBP27x39F_SYNTH1Y_Quote</v>
      </c>
      <c r="H28" s="119" t="str">
        <f>_xll.qlFraRateHelper(,G28,B28,E28,Permanent,Trigger,ObjectOverwrite)</f>
        <v>obj_00604#0010</v>
      </c>
      <c r="I28" s="122" t="str">
        <f>_xll.ohRangeRetrieveError(H28)</f>
        <v/>
      </c>
      <c r="J28" s="93"/>
    </row>
    <row r="29" spans="1:10" ht="11.25" customHeight="1" x14ac:dyDescent="0.2">
      <c r="A29" s="95"/>
      <c r="B29" s="119" t="str">
        <f t="shared" si="0"/>
        <v>28M</v>
      </c>
      <c r="C29" s="174">
        <v>28</v>
      </c>
      <c r="D29" s="120" t="str">
        <f t="shared" si="1"/>
        <v>x40F</v>
      </c>
      <c r="E29" s="119" t="str">
        <f t="shared" si="2"/>
        <v>GbpLibor1Y</v>
      </c>
      <c r="F29" s="121" t="b">
        <v>1</v>
      </c>
      <c r="G29" s="119" t="str">
        <f t="shared" si="4"/>
        <v>GBP28x40F_SYNTH1Y_Quote</v>
      </c>
      <c r="H29" s="119" t="str">
        <f>_xll.qlFraRateHelper(,G29,B29,E29,Permanent,Trigger,ObjectOverwrite)</f>
        <v>obj_005e5#0010</v>
      </c>
      <c r="I29" s="122" t="str">
        <f>_xll.ohRangeRetrieveError(H29)</f>
        <v/>
      </c>
      <c r="J29" s="93"/>
    </row>
    <row r="30" spans="1:10" ht="11.25" customHeight="1" x14ac:dyDescent="0.2">
      <c r="A30" s="95"/>
      <c r="B30" s="119" t="str">
        <f t="shared" si="0"/>
        <v>29M</v>
      </c>
      <c r="C30" s="174">
        <v>29</v>
      </c>
      <c r="D30" s="120" t="str">
        <f t="shared" si="1"/>
        <v>x41F</v>
      </c>
      <c r="E30" s="119" t="str">
        <f t="shared" si="2"/>
        <v>GbpLibor1Y</v>
      </c>
      <c r="F30" s="121" t="b">
        <v>1</v>
      </c>
      <c r="G30" s="119" t="str">
        <f t="shared" si="4"/>
        <v>GBP29x41F_SYNTH1Y_Quote</v>
      </c>
      <c r="H30" s="119" t="str">
        <f>_xll.qlFraRateHelper(,G30,B30,E30,Permanent,Trigger,ObjectOverwrite)</f>
        <v>obj_0060c#0010</v>
      </c>
      <c r="I30" s="122" t="str">
        <f>_xll.ohRangeRetrieveError(H30)</f>
        <v/>
      </c>
      <c r="J30" s="93"/>
    </row>
    <row r="31" spans="1:10" ht="11.25" customHeight="1" x14ac:dyDescent="0.2">
      <c r="A31" s="95"/>
      <c r="B31" s="119" t="str">
        <f t="shared" si="0"/>
        <v>30M</v>
      </c>
      <c r="C31" s="174">
        <v>30</v>
      </c>
      <c r="D31" s="120" t="str">
        <f t="shared" si="1"/>
        <v>x42F</v>
      </c>
      <c r="E31" s="119" t="str">
        <f t="shared" si="2"/>
        <v>GbpLibor1Y</v>
      </c>
      <c r="F31" s="121" t="b">
        <v>1</v>
      </c>
      <c r="G31" s="119" t="str">
        <f t="shared" si="4"/>
        <v>GBP30x42F_SYNTH1Y_Quote</v>
      </c>
      <c r="H31" s="119" t="str">
        <f>_xll.qlFraRateHelper(,G31,B31,E31,Permanent,Trigger,ObjectOverwrite)</f>
        <v>obj_005e4#0010</v>
      </c>
      <c r="I31" s="122" t="str">
        <f>_xll.ohRangeRetrieveError(H31)</f>
        <v/>
      </c>
      <c r="J31" s="93"/>
    </row>
    <row r="32" spans="1:10" ht="11.25" customHeight="1" x14ac:dyDescent="0.2">
      <c r="A32" s="95"/>
      <c r="B32" s="119" t="str">
        <f t="shared" si="0"/>
        <v>31M</v>
      </c>
      <c r="C32" s="174">
        <v>31</v>
      </c>
      <c r="D32" s="120" t="str">
        <f t="shared" si="1"/>
        <v>x43F</v>
      </c>
      <c r="E32" s="119" t="str">
        <f t="shared" si="2"/>
        <v>GbpLibor1Y</v>
      </c>
      <c r="F32" s="121" t="b">
        <v>1</v>
      </c>
      <c r="G32" s="119" t="str">
        <f t="shared" si="4"/>
        <v>GBP31x43F_SYNTH1Y_Quote</v>
      </c>
      <c r="H32" s="119" t="str">
        <f>_xll.qlFraRateHelper(,G32,B32,E32,Permanent,Trigger,ObjectOverwrite)</f>
        <v>obj_005f0#0010</v>
      </c>
      <c r="I32" s="122" t="str">
        <f>_xll.ohRangeRetrieveError(H32)</f>
        <v/>
      </c>
      <c r="J32" s="93"/>
    </row>
    <row r="33" spans="1:10" ht="11.25" customHeight="1" x14ac:dyDescent="0.2">
      <c r="A33" s="95"/>
      <c r="B33" s="119" t="str">
        <f t="shared" si="0"/>
        <v>32M</v>
      </c>
      <c r="C33" s="174">
        <v>32</v>
      </c>
      <c r="D33" s="120" t="str">
        <f t="shared" si="1"/>
        <v>x44F</v>
      </c>
      <c r="E33" s="119" t="str">
        <f t="shared" si="2"/>
        <v>GbpLibor1Y</v>
      </c>
      <c r="F33" s="121" t="b">
        <v>1</v>
      </c>
      <c r="G33" s="119" t="str">
        <f t="shared" si="4"/>
        <v>GBP32x44F_SYNTH1Y_Quote</v>
      </c>
      <c r="H33" s="119" t="str">
        <f>_xll.qlFraRateHelper(,G33,B33,E33,Permanent,Trigger,ObjectOverwrite)</f>
        <v>obj_005f5#0010</v>
      </c>
      <c r="I33" s="122" t="str">
        <f>_xll.ohRangeRetrieveError(H33)</f>
        <v/>
      </c>
      <c r="J33" s="93"/>
    </row>
    <row r="34" spans="1:10" ht="11.25" customHeight="1" x14ac:dyDescent="0.2">
      <c r="A34" s="95"/>
      <c r="B34" s="119" t="str">
        <f t="shared" si="0"/>
        <v>33M</v>
      </c>
      <c r="C34" s="174">
        <v>33</v>
      </c>
      <c r="D34" s="120" t="str">
        <f t="shared" si="1"/>
        <v>x45F</v>
      </c>
      <c r="E34" s="119" t="str">
        <f t="shared" si="2"/>
        <v>GbpLibor1Y</v>
      </c>
      <c r="F34" s="121" t="b">
        <v>1</v>
      </c>
      <c r="G34" s="119" t="str">
        <f t="shared" si="4"/>
        <v>GBP33x45F_SYNTH1Y_Quote</v>
      </c>
      <c r="H34" s="119" t="str">
        <f>_xll.qlFraRateHelper(,G34,B34,E34,Permanent,Trigger,ObjectOverwrite)</f>
        <v>obj_005e6#0010</v>
      </c>
      <c r="I34" s="122" t="str">
        <f>_xll.ohRangeRetrieveError(H34)</f>
        <v/>
      </c>
      <c r="J34" s="93"/>
    </row>
    <row r="35" spans="1:10" ht="11.25" customHeight="1" x14ac:dyDescent="0.2">
      <c r="A35" s="95"/>
      <c r="B35" s="119" t="str">
        <f t="shared" si="0"/>
        <v>34M</v>
      </c>
      <c r="C35" s="174">
        <v>34</v>
      </c>
      <c r="D35" s="120" t="str">
        <f t="shared" si="1"/>
        <v>x46F</v>
      </c>
      <c r="E35" s="119" t="str">
        <f t="shared" si="2"/>
        <v>GbpLibor1Y</v>
      </c>
      <c r="F35" s="121" t="b">
        <v>1</v>
      </c>
      <c r="G35" s="119" t="str">
        <f t="shared" si="4"/>
        <v>GBP34x46F_SYNTH1Y_Quote</v>
      </c>
      <c r="H35" s="119" t="str">
        <f>_xll.qlFraRateHelper(,G35,B35,E35,Permanent,Trigger,ObjectOverwrite)</f>
        <v>obj_005f8#0010</v>
      </c>
      <c r="I35" s="122" t="str">
        <f>_xll.ohRangeRetrieveError(H35)</f>
        <v/>
      </c>
      <c r="J35" s="93"/>
    </row>
    <row r="36" spans="1:10" ht="11.25" customHeight="1" x14ac:dyDescent="0.2">
      <c r="A36" s="95"/>
      <c r="B36" s="119" t="str">
        <f t="shared" si="0"/>
        <v>35M</v>
      </c>
      <c r="C36" s="174">
        <v>35</v>
      </c>
      <c r="D36" s="120" t="str">
        <f t="shared" si="1"/>
        <v>x47F</v>
      </c>
      <c r="E36" s="119" t="str">
        <f t="shared" si="2"/>
        <v>GbpLibor1Y</v>
      </c>
      <c r="F36" s="121" t="b">
        <v>1</v>
      </c>
      <c r="G36" s="119" t="str">
        <f t="shared" si="4"/>
        <v>GBP35x47F_SYNTH1Y_Quote</v>
      </c>
      <c r="H36" s="119" t="str">
        <f>_xll.qlFraRateHelper(,G36,B36,E36,Permanent,Trigger,ObjectOverwrite)</f>
        <v>obj_005f9#0010</v>
      </c>
      <c r="I36" s="122" t="str">
        <f>_xll.ohRangeRetrieveError(H36)</f>
        <v/>
      </c>
      <c r="J36" s="93"/>
    </row>
    <row r="37" spans="1:10" ht="11.25" customHeight="1" x14ac:dyDescent="0.2">
      <c r="A37" s="95"/>
      <c r="B37" s="119" t="str">
        <f t="shared" si="0"/>
        <v>37M</v>
      </c>
      <c r="C37" s="174">
        <v>37</v>
      </c>
      <c r="D37" s="120" t="str">
        <f t="shared" si="1"/>
        <v>x49F</v>
      </c>
      <c r="E37" s="119" t="str">
        <f t="shared" si="2"/>
        <v>GbpLibor1Y</v>
      </c>
      <c r="F37" s="121" t="b">
        <v>1</v>
      </c>
      <c r="G37" s="119" t="str">
        <f>Currency&amp;C37&amp;D37&amp;IF(F37,"_SYNTH"&amp;$E$1,"")&amp;"_Quote"</f>
        <v>GBP37x49F_SYNTH1Y_Quote</v>
      </c>
      <c r="H37" s="119" t="str">
        <f>_xll.qlFraRateHelper(,G37,B37,E37,Permanent,Trigger,ObjectOverwrite)</f>
        <v>obj_00608#0010</v>
      </c>
      <c r="I37" s="122" t="str">
        <f>_xll.ohRangeRetrieveError(H37)</f>
        <v/>
      </c>
      <c r="J37" s="93"/>
    </row>
    <row r="38" spans="1:10" ht="11.25" customHeight="1" x14ac:dyDescent="0.2">
      <c r="A38" s="95"/>
      <c r="B38" s="119" t="str">
        <f t="shared" si="0"/>
        <v>38M</v>
      </c>
      <c r="C38" s="174">
        <v>38</v>
      </c>
      <c r="D38" s="120" t="str">
        <f t="shared" si="1"/>
        <v>x50F</v>
      </c>
      <c r="E38" s="119" t="str">
        <f t="shared" si="2"/>
        <v>GbpLibor1Y</v>
      </c>
      <c r="F38" s="121" t="b">
        <v>1</v>
      </c>
      <c r="G38" s="119" t="str">
        <f>Currency&amp;C38&amp;D38&amp;IF(F38,"_SYNTH"&amp;$E$1,"")&amp;"_Quote"</f>
        <v>GBP38x50F_SYNTH1Y_Quote</v>
      </c>
      <c r="H38" s="119" t="str">
        <f>_xll.qlFraRateHelper(,G38,B38,E38,Permanent,Trigger,ObjectOverwrite)</f>
        <v>obj_005f7#0010</v>
      </c>
      <c r="I38" s="122" t="str">
        <f>_xll.ohRangeRetrieveError(H38)</f>
        <v/>
      </c>
      <c r="J38" s="93"/>
    </row>
    <row r="39" spans="1:10" ht="11.25" customHeight="1" x14ac:dyDescent="0.2">
      <c r="A39" s="95"/>
      <c r="B39" s="119" t="str">
        <f t="shared" si="0"/>
        <v>39M</v>
      </c>
      <c r="C39" s="174">
        <v>39</v>
      </c>
      <c r="D39" s="120" t="str">
        <f t="shared" si="1"/>
        <v>x51F</v>
      </c>
      <c r="E39" s="119" t="str">
        <f t="shared" si="2"/>
        <v>GbpLibor1Y</v>
      </c>
      <c r="F39" s="121" t="b">
        <v>1</v>
      </c>
      <c r="G39" s="119" t="str">
        <f>Currency&amp;C39&amp;D39&amp;IF(F39,"_SYNTH"&amp;$E$1,"")&amp;"_Quote"</f>
        <v>GBP39x51F_SYNTH1Y_Quote</v>
      </c>
      <c r="H39" s="119" t="str">
        <f>_xll.qlFraRateHelper(,G39,B39,E39,Permanent,Trigger,ObjectOverwrite)</f>
        <v>obj_005f1#0010</v>
      </c>
      <c r="I39" s="122" t="str">
        <f>_xll.ohRangeRetrieveError(H39)</f>
        <v/>
      </c>
      <c r="J39" s="93"/>
    </row>
    <row r="40" spans="1:10" ht="11.25" customHeight="1" x14ac:dyDescent="0.2">
      <c r="A40" s="95"/>
      <c r="B40" s="119" t="str">
        <f t="shared" si="0"/>
        <v>40M</v>
      </c>
      <c r="C40" s="174">
        <v>40</v>
      </c>
      <c r="D40" s="120" t="str">
        <f t="shared" si="1"/>
        <v>x52F</v>
      </c>
      <c r="E40" s="119" t="str">
        <f t="shared" si="2"/>
        <v>GbpLibor1Y</v>
      </c>
      <c r="F40" s="121" t="b">
        <v>1</v>
      </c>
      <c r="G40" s="119" t="str">
        <f>Currency&amp;C40&amp;D40&amp;IF(F40,"_SYNTH"&amp;$E$1,"")&amp;"_Quote"</f>
        <v>GBP40x52F_SYNTH1Y_Quote</v>
      </c>
      <c r="H40" s="119" t="str">
        <f>_xll.qlFraRateHelper(,G40,B40,E40,Permanent,Trigger,ObjectOverwrite)</f>
        <v>obj_005ee#0010</v>
      </c>
      <c r="I40" s="122" t="str">
        <f>_xll.ohRangeRetrieveError(H40)</f>
        <v/>
      </c>
      <c r="J40" s="93"/>
    </row>
    <row r="41" spans="1:10" ht="11.25" customHeight="1" x14ac:dyDescent="0.2">
      <c r="A41" s="95"/>
      <c r="B41" s="119" t="str">
        <f t="shared" si="0"/>
        <v>41M</v>
      </c>
      <c r="C41" s="174">
        <v>41</v>
      </c>
      <c r="D41" s="120" t="str">
        <f t="shared" si="1"/>
        <v>x53F</v>
      </c>
      <c r="E41" s="119" t="str">
        <f t="shared" si="2"/>
        <v>GbpLibor1Y</v>
      </c>
      <c r="F41" s="121" t="b">
        <v>1</v>
      </c>
      <c r="G41" s="119" t="str">
        <f t="shared" si="4"/>
        <v>GBP41x53F_SYNTH1Y_Quote</v>
      </c>
      <c r="H41" s="119" t="str">
        <f>_xll.qlFraRateHelper(,G41,B41,E41,Permanent,Trigger,ObjectOverwrite)</f>
        <v>obj_0060b#0010</v>
      </c>
      <c r="I41" s="122" t="str">
        <f>_xll.ohRangeRetrieveError(H41)</f>
        <v/>
      </c>
      <c r="J41" s="93"/>
    </row>
    <row r="42" spans="1:10" ht="11.25" customHeight="1" x14ac:dyDescent="0.2">
      <c r="A42" s="95"/>
      <c r="B42" s="119" t="str">
        <f t="shared" si="0"/>
        <v>42M</v>
      </c>
      <c r="C42" s="174">
        <v>42</v>
      </c>
      <c r="D42" s="120" t="str">
        <f t="shared" si="1"/>
        <v>x54F</v>
      </c>
      <c r="E42" s="119" t="str">
        <f t="shared" si="2"/>
        <v>GbpLibor1Y</v>
      </c>
      <c r="F42" s="121" t="b">
        <v>1</v>
      </c>
      <c r="G42" s="119" t="str">
        <f t="shared" ref="G42:G47" si="5">Currency&amp;C42&amp;D42&amp;IF(F42,"_SYNTH"&amp;$E$1,"")&amp;"_Quote"</f>
        <v>GBP42x54F_SYNTH1Y_Quote</v>
      </c>
      <c r="H42" s="119" t="str">
        <f>_xll.qlFraRateHelper(,G42,B42,E42,Permanent,Trigger,ObjectOverwrite)</f>
        <v>obj_005fc#0010</v>
      </c>
      <c r="I42" s="122" t="str">
        <f>_xll.ohRangeRetrieveError(H42)</f>
        <v/>
      </c>
      <c r="J42" s="93"/>
    </row>
    <row r="43" spans="1:10" ht="11.25" customHeight="1" x14ac:dyDescent="0.2">
      <c r="A43" s="95"/>
      <c r="B43" s="119" t="str">
        <f t="shared" si="0"/>
        <v>43M</v>
      </c>
      <c r="C43" s="174">
        <v>43</v>
      </c>
      <c r="D43" s="120" t="str">
        <f t="shared" si="1"/>
        <v>x55F</v>
      </c>
      <c r="E43" s="119" t="str">
        <f t="shared" si="2"/>
        <v>GbpLibor1Y</v>
      </c>
      <c r="F43" s="121" t="b">
        <v>1</v>
      </c>
      <c r="G43" s="119" t="str">
        <f t="shared" si="5"/>
        <v>GBP43x55F_SYNTH1Y_Quote</v>
      </c>
      <c r="H43" s="119" t="str">
        <f>_xll.qlFraRateHelper(,G43,B43,E43,Permanent,Trigger,ObjectOverwrite)</f>
        <v>obj_005ef#0010</v>
      </c>
      <c r="I43" s="122" t="str">
        <f>_xll.ohRangeRetrieveError(H43)</f>
        <v/>
      </c>
      <c r="J43" s="93"/>
    </row>
    <row r="44" spans="1:10" ht="11.25" customHeight="1" x14ac:dyDescent="0.2">
      <c r="A44" s="95"/>
      <c r="B44" s="119" t="str">
        <f t="shared" si="0"/>
        <v>44M</v>
      </c>
      <c r="C44" s="174">
        <v>44</v>
      </c>
      <c r="D44" s="120" t="str">
        <f t="shared" si="1"/>
        <v>x56F</v>
      </c>
      <c r="E44" s="119" t="str">
        <f t="shared" si="2"/>
        <v>GbpLibor1Y</v>
      </c>
      <c r="F44" s="121" t="b">
        <v>1</v>
      </c>
      <c r="G44" s="119" t="str">
        <f t="shared" si="5"/>
        <v>GBP44x56F_SYNTH1Y_Quote</v>
      </c>
      <c r="H44" s="119" t="str">
        <f>_xll.qlFraRateHelper(,G44,B44,E44,Permanent,Trigger,ObjectOverwrite)</f>
        <v>obj_005f2#0010</v>
      </c>
      <c r="I44" s="122" t="str">
        <f>_xll.ohRangeRetrieveError(H44)</f>
        <v/>
      </c>
      <c r="J44" s="93"/>
    </row>
    <row r="45" spans="1:10" ht="11.25" customHeight="1" x14ac:dyDescent="0.2">
      <c r="A45" s="95"/>
      <c r="B45" s="119" t="str">
        <f t="shared" si="0"/>
        <v>45M</v>
      </c>
      <c r="C45" s="174">
        <v>45</v>
      </c>
      <c r="D45" s="120" t="str">
        <f t="shared" si="1"/>
        <v>x57F</v>
      </c>
      <c r="E45" s="119" t="str">
        <f t="shared" si="2"/>
        <v>GbpLibor1Y</v>
      </c>
      <c r="F45" s="121" t="b">
        <v>1</v>
      </c>
      <c r="G45" s="119" t="str">
        <f t="shared" si="5"/>
        <v>GBP45x57F_SYNTH1Y_Quote</v>
      </c>
      <c r="H45" s="119" t="str">
        <f>_xll.qlFraRateHelper(,G45,B45,E45,Permanent,Trigger,ObjectOverwrite)</f>
        <v>obj_005e7#0010</v>
      </c>
      <c r="I45" s="122" t="str">
        <f>_xll.ohRangeRetrieveError(H45)</f>
        <v/>
      </c>
      <c r="J45" s="93"/>
    </row>
    <row r="46" spans="1:10" ht="11.25" customHeight="1" x14ac:dyDescent="0.2">
      <c r="A46" s="95"/>
      <c r="B46" s="119" t="str">
        <f t="shared" si="0"/>
        <v>46M</v>
      </c>
      <c r="C46" s="174">
        <v>46</v>
      </c>
      <c r="D46" s="120" t="str">
        <f t="shared" si="1"/>
        <v>x58F</v>
      </c>
      <c r="E46" s="119" t="str">
        <f t="shared" si="2"/>
        <v>GbpLibor1Y</v>
      </c>
      <c r="F46" s="121" t="b">
        <v>1</v>
      </c>
      <c r="G46" s="119" t="str">
        <f t="shared" si="5"/>
        <v>GBP46x58F_SYNTH1Y_Quote</v>
      </c>
      <c r="H46" s="119" t="str">
        <f>_xll.qlFraRateHelper(,G46,B46,E46,Permanent,Trigger,ObjectOverwrite)</f>
        <v>obj_005f4#0010</v>
      </c>
      <c r="I46" s="122" t="str">
        <f>_xll.ohRangeRetrieveError(H46)</f>
        <v/>
      </c>
      <c r="J46" s="93"/>
    </row>
    <row r="47" spans="1:10" ht="11.25" customHeight="1" x14ac:dyDescent="0.2">
      <c r="A47" s="95"/>
      <c r="B47" s="119" t="str">
        <f t="shared" si="0"/>
        <v>47M</v>
      </c>
      <c r="C47" s="174">
        <v>47</v>
      </c>
      <c r="D47" s="120" t="str">
        <f t="shared" si="1"/>
        <v>x59F</v>
      </c>
      <c r="E47" s="119" t="str">
        <f t="shared" si="2"/>
        <v>GbpLibor1Y</v>
      </c>
      <c r="F47" s="121" t="b">
        <v>1</v>
      </c>
      <c r="G47" s="119" t="str">
        <f t="shared" si="5"/>
        <v>GBP47x59F_SYNTH1Y_Quote</v>
      </c>
      <c r="H47" s="119" t="str">
        <f>_xll.qlFraRateHelper(,G47,B47,E47,Permanent,Trigger,ObjectOverwrite)</f>
        <v>obj_0060a#0010</v>
      </c>
      <c r="I47" s="122" t="str">
        <f>_xll.ohRangeRetrieveError(H47)</f>
        <v/>
      </c>
      <c r="J47" s="93"/>
    </row>
    <row r="48" spans="1:10" ht="11.25" customHeight="1" thickBot="1" x14ac:dyDescent="0.25">
      <c r="A48" s="105"/>
      <c r="B48" s="106"/>
      <c r="C48" s="175"/>
      <c r="D48" s="123"/>
      <c r="E48" s="106"/>
      <c r="F48" s="106"/>
      <c r="G48" s="106"/>
      <c r="H48" s="123"/>
      <c r="I48" s="123"/>
      <c r="J48" s="107"/>
    </row>
    <row r="50" spans="8:8" x14ac:dyDescent="0.2">
      <c r="H50" s="7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9"/>
  <sheetViews>
    <sheetView workbookViewId="0"/>
  </sheetViews>
  <sheetFormatPr defaultRowHeight="11.25" x14ac:dyDescent="0.2"/>
  <cols>
    <col min="1" max="1" width="2.7109375" style="70" customWidth="1"/>
    <col min="2" max="2" width="6.7109375" style="70" customWidth="1"/>
    <col min="3" max="3" width="3.85546875" style="70" bestFit="1" customWidth="1"/>
    <col min="4" max="4" width="3" style="70" bestFit="1" customWidth="1"/>
    <col min="5" max="5" width="4" style="70" bestFit="1" customWidth="1"/>
    <col min="6" max="6" width="11" style="70" bestFit="1" customWidth="1"/>
    <col min="7" max="8" width="19.28515625" style="70" bestFit="1" customWidth="1"/>
    <col min="9" max="9" width="8" style="70" bestFit="1" customWidth="1"/>
    <col min="10" max="10" width="24.42578125" style="70" bestFit="1" customWidth="1"/>
    <col min="11" max="11" width="31.140625" style="92" customWidth="1"/>
    <col min="12" max="12" width="20.7109375" style="70" customWidth="1"/>
    <col min="13" max="13" width="2.7109375" style="70" customWidth="1"/>
    <col min="14" max="14" width="2.5703125" style="70" customWidth="1"/>
    <col min="15" max="15" width="4" style="70" bestFit="1" customWidth="1"/>
    <col min="16" max="16" width="3.28515625" style="70" bestFit="1" customWidth="1"/>
    <col min="17" max="17" width="3.5703125" style="70" bestFit="1" customWidth="1"/>
    <col min="18" max="16384" width="9.140625" style="70"/>
  </cols>
  <sheetData>
    <row r="1" spans="1:17" ht="12" x14ac:dyDescent="0.2">
      <c r="A1" s="95"/>
      <c r="B1" s="90"/>
      <c r="C1" s="90"/>
      <c r="D1" s="90"/>
      <c r="E1" s="90"/>
      <c r="F1" s="90"/>
      <c r="G1" s="90"/>
      <c r="H1" s="91" t="s">
        <v>129</v>
      </c>
      <c r="I1" s="91" t="s">
        <v>25</v>
      </c>
      <c r="J1" s="91" t="str">
        <f>Currency&amp;"_YC"&amp;$I$1&amp;"RH"</f>
        <v>GBP_YC1YRH</v>
      </c>
      <c r="K1" s="97" t="str">
        <f>J1&amp;"_SwapsFromBasis.xml"</f>
        <v>GBP_YC1YRH_SwapsFromBasis.xml</v>
      </c>
      <c r="L1" s="90"/>
      <c r="M1" s="124"/>
    </row>
    <row r="2" spans="1:17" ht="22.5" x14ac:dyDescent="0.2">
      <c r="A2" s="95"/>
      <c r="B2" s="96" t="s">
        <v>130</v>
      </c>
      <c r="C2" s="96"/>
      <c r="D2" s="96"/>
      <c r="E2" s="96"/>
      <c r="F2" s="96" t="s">
        <v>131</v>
      </c>
      <c r="G2" s="96" t="s">
        <v>132</v>
      </c>
      <c r="H2" s="96" t="s">
        <v>133</v>
      </c>
      <c r="I2" s="96" t="s">
        <v>134</v>
      </c>
      <c r="J2" s="96" t="s">
        <v>95</v>
      </c>
      <c r="K2" s="125" t="str">
        <f>IF(Serialize,_xll.ohObjectSave(K3:K38,SerializationPath&amp;K1,FileOverwrite,Serialize),"---")</f>
        <v>---</v>
      </c>
      <c r="L2" s="126" t="str">
        <f>_xll.ohRangeRetrieveError(K2)</f>
        <v/>
      </c>
      <c r="M2" s="124"/>
    </row>
    <row r="3" spans="1:17" ht="11.25" customHeight="1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29" t="str">
        <f>_xll.qlLibor(,Currency,$I$1,,Permanent,Trigger,ObjectOverwrite)</f>
        <v>obj_005c2#0008</v>
      </c>
      <c r="L3" s="127" t="str">
        <f>_xll.ohRangeRetrieveError(K3)</f>
        <v/>
      </c>
      <c r="M3" s="124"/>
    </row>
    <row r="4" spans="1:17" ht="11.25" customHeight="1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1"/>
      <c r="L4" s="90"/>
      <c r="M4" s="124"/>
    </row>
    <row r="5" spans="1:17" ht="11.25" customHeight="1" thickBot="1" x14ac:dyDescent="0.25">
      <c r="A5" s="95"/>
      <c r="B5" s="128" t="s">
        <v>135</v>
      </c>
      <c r="C5" s="121" t="s">
        <v>25</v>
      </c>
      <c r="D5" s="128" t="str">
        <f>VLOOKUP(Currency,Swap1YConventions,2)</f>
        <v>SB</v>
      </c>
      <c r="E5" s="128" t="str">
        <f>VLOOKUP(Currency,Swap1YConventions,3)</f>
        <v>12L</v>
      </c>
      <c r="F5" s="183" t="s">
        <v>139</v>
      </c>
      <c r="G5" s="129" t="s">
        <v>136</v>
      </c>
      <c r="H5" s="129" t="str">
        <f t="shared" ref="H5:H38" si="0">IF(UPPER(RIGHT($D5))="B",BondBasisDayCounter,IF(UPPER(RIGHT($D5))="M",MoneyMarketDayCounter,"--"))</f>
        <v>Actual/365 (Fixed)</v>
      </c>
      <c r="I5" s="130">
        <v>0</v>
      </c>
      <c r="J5" s="131" t="str">
        <f>Currency&amp;$D5&amp;$H$1&amp;$C5&amp;"_S"&amp;$H$1&amp;$E5&amp;"_Quote"</f>
        <v>GBPSB6L1Y_S6L12L_Quote</v>
      </c>
      <c r="K5" s="121" t="str">
        <f>_xll.qlSwapRateHelper2(,$J5,$C5,Calendar,$F5,$G5,$H5,$K$3,$I5,B5,Discounting,Permanent,,ObjectOverwrite)</f>
        <v>obj_00633#0006</v>
      </c>
      <c r="L5" s="126" t="str">
        <f>_xll.ohRangeRetrieveError(K5)</f>
        <v/>
      </c>
      <c r="M5" s="124"/>
    </row>
    <row r="6" spans="1:17" ht="11.25" customHeight="1" x14ac:dyDescent="0.2">
      <c r="A6" s="95"/>
      <c r="B6" s="121" t="str">
        <f>B5</f>
        <v>0d</v>
      </c>
      <c r="C6" s="121" t="s">
        <v>29</v>
      </c>
      <c r="D6" s="121" t="str">
        <f>D5</f>
        <v>SB</v>
      </c>
      <c r="E6" s="121" t="str">
        <f>E5</f>
        <v>12L</v>
      </c>
      <c r="F6" s="132" t="str">
        <f t="shared" ref="F6:F38" si="1">IF(UPPER(LEFT($D6))="A","Annual",IF(UPPER(LEFT($D6))="S","Semiannual","--"))</f>
        <v>Semiannual</v>
      </c>
      <c r="G6" s="132" t="s">
        <v>136</v>
      </c>
      <c r="H6" s="132" t="str">
        <f t="shared" si="0"/>
        <v>Actual/365 (Fixed)</v>
      </c>
      <c r="I6" s="130">
        <v>0</v>
      </c>
      <c r="J6" s="131" t="str">
        <f>Currency&amp;$D6&amp;$H$1&amp;$C6&amp;"_S"&amp;$H$1&amp;$E6&amp;"_Quote"</f>
        <v>GBPSB6L2Y_S6L12L_Quote</v>
      </c>
      <c r="K6" s="118" t="str">
        <f>_xll.qlSwapRateHelper2(,$J6,$C6,Calendar,$F6,$G6,$H6,$K$3,$I6,B6,Discounting,Permanent,,ObjectOverwrite)</f>
        <v>obj_005c3#0026</v>
      </c>
      <c r="L6" s="126" t="str">
        <f>_xll.ohRangeRetrieveError(K6)</f>
        <v/>
      </c>
      <c r="M6" s="124"/>
      <c r="O6" s="133" t="s">
        <v>83</v>
      </c>
      <c r="P6" s="111" t="s">
        <v>41</v>
      </c>
      <c r="Q6" s="134" t="s">
        <v>137</v>
      </c>
    </row>
    <row r="7" spans="1:17" ht="11.25" customHeight="1" x14ac:dyDescent="0.2">
      <c r="A7" s="95"/>
      <c r="B7" s="121" t="str">
        <f t="shared" ref="B7:B38" si="2">B6</f>
        <v>0d</v>
      </c>
      <c r="C7" s="121" t="s">
        <v>30</v>
      </c>
      <c r="D7" s="121" t="str">
        <f t="shared" ref="D7:E22" si="3">D6</f>
        <v>SB</v>
      </c>
      <c r="E7" s="121" t="str">
        <f t="shared" si="3"/>
        <v>12L</v>
      </c>
      <c r="F7" s="132" t="str">
        <f t="shared" si="1"/>
        <v>Semiannual</v>
      </c>
      <c r="G7" s="132" t="s">
        <v>136</v>
      </c>
      <c r="H7" s="132" t="str">
        <f t="shared" si="0"/>
        <v>Actual/365 (Fixed)</v>
      </c>
      <c r="I7" s="130">
        <v>0</v>
      </c>
      <c r="J7" s="131" t="str">
        <f>Currency&amp;$D7&amp;$H$1&amp;$C7&amp;"_S"&amp;$H$1&amp;$E7&amp;"_Quote"</f>
        <v>GBPSB6L3Y_S6L12L_Quote</v>
      </c>
      <c r="K7" s="118" t="str">
        <f>_xll.qlSwapRateHelper2(,$J7,$C7,Calendar,$F7,$G7,$H7,$K$3,$I7,B7,Discounting,Permanent,,ObjectOverwrite)</f>
        <v>obj_005c4#0013</v>
      </c>
      <c r="L7" s="126" t="str">
        <f>_xll.ohRangeRetrieveError(K7)</f>
        <v/>
      </c>
      <c r="M7" s="124"/>
      <c r="O7" s="135" t="s">
        <v>6</v>
      </c>
      <c r="P7" s="136" t="s">
        <v>41</v>
      </c>
      <c r="Q7" s="137" t="s">
        <v>138</v>
      </c>
    </row>
    <row r="8" spans="1:17" ht="11.25" customHeight="1" x14ac:dyDescent="0.2">
      <c r="A8" s="95"/>
      <c r="B8" s="121" t="str">
        <f t="shared" si="2"/>
        <v>0d</v>
      </c>
      <c r="C8" s="121" t="s">
        <v>31</v>
      </c>
      <c r="D8" s="121" t="str">
        <f t="shared" si="3"/>
        <v>SB</v>
      </c>
      <c r="E8" s="121" t="str">
        <f t="shared" si="3"/>
        <v>12L</v>
      </c>
      <c r="F8" s="132" t="str">
        <f t="shared" si="1"/>
        <v>Semiannual</v>
      </c>
      <c r="G8" s="132" t="s">
        <v>136</v>
      </c>
      <c r="H8" s="132" t="str">
        <f t="shared" si="0"/>
        <v>Actual/365 (Fixed)</v>
      </c>
      <c r="I8" s="130">
        <v>0</v>
      </c>
      <c r="J8" s="131" t="str">
        <f>Currency&amp;$D8&amp;$H$1&amp;$C8&amp;"_S"&amp;$H$1&amp;$E8&amp;"_Quote"</f>
        <v>GBPSB6L4Y_S6L12L_Quote</v>
      </c>
      <c r="K8" s="118" t="str">
        <f>_xll.qlSwapRateHelper2(,$J8,$C8,Calendar,$F8,$G8,$H8,$K$3,$I8,B8,Discounting,Permanent,,ObjectOverwrite)</f>
        <v>obj_005c5#0013</v>
      </c>
      <c r="L8" s="126" t="str">
        <f>_xll.ohRangeRetrieveError(K8)</f>
        <v/>
      </c>
      <c r="M8" s="124"/>
      <c r="O8" s="135" t="s">
        <v>84</v>
      </c>
      <c r="P8" s="136" t="s">
        <v>93</v>
      </c>
      <c r="Q8" s="137" t="s">
        <v>137</v>
      </c>
    </row>
    <row r="9" spans="1:17" ht="11.25" customHeight="1" x14ac:dyDescent="0.2">
      <c r="A9" s="95"/>
      <c r="B9" s="121" t="str">
        <f t="shared" si="2"/>
        <v>0d</v>
      </c>
      <c r="C9" s="121" t="s">
        <v>32</v>
      </c>
      <c r="D9" s="121" t="str">
        <f t="shared" si="3"/>
        <v>SB</v>
      </c>
      <c r="E9" s="121" t="str">
        <f t="shared" si="3"/>
        <v>12L</v>
      </c>
      <c r="F9" s="132" t="str">
        <f t="shared" si="1"/>
        <v>Semiannual</v>
      </c>
      <c r="G9" s="132" t="s">
        <v>136</v>
      </c>
      <c r="H9" s="132" t="str">
        <f t="shared" si="0"/>
        <v>Actual/365 (Fixed)</v>
      </c>
      <c r="I9" s="130">
        <v>0</v>
      </c>
      <c r="J9" s="131" t="str">
        <f>Currency&amp;$D9&amp;$H$1&amp;$C9&amp;"_S"&amp;$H$1&amp;$E9&amp;"_Quote"</f>
        <v>GBPSB6L5Y_S6L12L_Quote</v>
      </c>
      <c r="K9" s="118" t="str">
        <f>_xll.qlSwapRateHelper2(,$J9,$C9,Calendar,$F9,$G9,$H9,$K$3,$I9,B9,Discounting,Permanent,,ObjectOverwrite)</f>
        <v>obj_005c6#0013</v>
      </c>
      <c r="L9" s="126" t="str">
        <f>_xll.ohRangeRetrieveError(K9)</f>
        <v/>
      </c>
      <c r="M9" s="124"/>
      <c r="O9" s="135" t="s">
        <v>85</v>
      </c>
      <c r="P9" s="136" t="s">
        <v>93</v>
      </c>
      <c r="Q9" s="137" t="s">
        <v>137</v>
      </c>
    </row>
    <row r="10" spans="1:17" ht="11.25" customHeight="1" thickBot="1" x14ac:dyDescent="0.25">
      <c r="A10" s="95"/>
      <c r="B10" s="121" t="str">
        <f t="shared" si="2"/>
        <v>0d</v>
      </c>
      <c r="C10" s="121" t="s">
        <v>33</v>
      </c>
      <c r="D10" s="121" t="str">
        <f t="shared" si="3"/>
        <v>SB</v>
      </c>
      <c r="E10" s="121" t="str">
        <f t="shared" si="3"/>
        <v>12L</v>
      </c>
      <c r="F10" s="132" t="str">
        <f t="shared" si="1"/>
        <v>Semiannual</v>
      </c>
      <c r="G10" s="132" t="s">
        <v>136</v>
      </c>
      <c r="H10" s="132" t="str">
        <f t="shared" si="0"/>
        <v>Actual/365 (Fixed)</v>
      </c>
      <c r="I10" s="130">
        <v>0</v>
      </c>
      <c r="J10" s="131" t="str">
        <f>Currency&amp;$D10&amp;$H$1&amp;$C10&amp;"_S"&amp;$H$1&amp;$E10&amp;"_Quote"</f>
        <v>GBPSB6L6Y_S6L12L_Quote</v>
      </c>
      <c r="K10" s="118" t="str">
        <f>_xll.qlSwapRateHelper2(,$J10,$C10,Calendar,$F10,$G10,$H10,$K$3,$I10,B10,Discounting,Permanent,,ObjectOverwrite)</f>
        <v>obj_005c7#0013</v>
      </c>
      <c r="L10" s="126" t="str">
        <f>_xll.ohRangeRetrieveError(K10)</f>
        <v/>
      </c>
      <c r="M10" s="124"/>
      <c r="O10" s="138" t="s">
        <v>86</v>
      </c>
      <c r="P10" s="139" t="s">
        <v>87</v>
      </c>
      <c r="Q10" s="140" t="s">
        <v>137</v>
      </c>
    </row>
    <row r="11" spans="1:17" ht="11.25" customHeight="1" x14ac:dyDescent="0.2">
      <c r="A11" s="95"/>
      <c r="B11" s="121" t="str">
        <f t="shared" si="2"/>
        <v>0d</v>
      </c>
      <c r="C11" s="121" t="s">
        <v>34</v>
      </c>
      <c r="D11" s="121" t="str">
        <f t="shared" si="3"/>
        <v>SB</v>
      </c>
      <c r="E11" s="121" t="str">
        <f t="shared" si="3"/>
        <v>12L</v>
      </c>
      <c r="F11" s="132" t="str">
        <f t="shared" si="1"/>
        <v>Semiannual</v>
      </c>
      <c r="G11" s="132" t="s">
        <v>136</v>
      </c>
      <c r="H11" s="132" t="str">
        <f t="shared" si="0"/>
        <v>Actual/365 (Fixed)</v>
      </c>
      <c r="I11" s="130">
        <v>0</v>
      </c>
      <c r="J11" s="131" t="str">
        <f>Currency&amp;$D11&amp;$H$1&amp;$C11&amp;"_S"&amp;$H$1&amp;$E11&amp;"_Quote"</f>
        <v>GBPSB6L7Y_S6L12L_Quote</v>
      </c>
      <c r="K11" s="118" t="str">
        <f>_xll.qlSwapRateHelper2(,$J11,$C11,Calendar,$F11,$G11,$H11,$K$3,$I11,B11,Discounting,Permanent,,ObjectOverwrite)</f>
        <v>obj_005c8#0013</v>
      </c>
      <c r="L11" s="126" t="str">
        <f>_xll.ohRangeRetrieveError(K11)</f>
        <v/>
      </c>
      <c r="M11" s="124"/>
      <c r="O11" s="136"/>
      <c r="P11" s="136"/>
      <c r="Q11" s="136"/>
    </row>
    <row r="12" spans="1:17" ht="11.25" customHeight="1" x14ac:dyDescent="0.2">
      <c r="A12" s="95"/>
      <c r="B12" s="121" t="str">
        <f t="shared" si="2"/>
        <v>0d</v>
      </c>
      <c r="C12" s="121" t="s">
        <v>35</v>
      </c>
      <c r="D12" s="121" t="str">
        <f t="shared" si="3"/>
        <v>SB</v>
      </c>
      <c r="E12" s="121" t="str">
        <f t="shared" si="3"/>
        <v>12L</v>
      </c>
      <c r="F12" s="132" t="str">
        <f t="shared" si="1"/>
        <v>Semiannual</v>
      </c>
      <c r="G12" s="132" t="s">
        <v>136</v>
      </c>
      <c r="H12" s="132" t="str">
        <f t="shared" si="0"/>
        <v>Actual/365 (Fixed)</v>
      </c>
      <c r="I12" s="130">
        <v>0</v>
      </c>
      <c r="J12" s="131" t="str">
        <f>Currency&amp;$D12&amp;$H$1&amp;$C12&amp;"_S"&amp;$H$1&amp;$E12&amp;"_Quote"</f>
        <v>GBPSB6L8Y_S6L12L_Quote</v>
      </c>
      <c r="K12" s="118" t="str">
        <f>_xll.qlSwapRateHelper2(,$J12,$C12,Calendar,$F12,$G12,$H12,$K$3,$I12,B12,Discounting,Permanent,,ObjectOverwrite)</f>
        <v>obj_005c9#0013</v>
      </c>
      <c r="L12" s="126" t="str">
        <f>_xll.ohRangeRetrieveError(K12)</f>
        <v/>
      </c>
      <c r="M12" s="124"/>
    </row>
    <row r="13" spans="1:17" ht="11.25" customHeight="1" x14ac:dyDescent="0.2">
      <c r="A13" s="95"/>
      <c r="B13" s="121" t="str">
        <f t="shared" si="2"/>
        <v>0d</v>
      </c>
      <c r="C13" s="121" t="s">
        <v>36</v>
      </c>
      <c r="D13" s="121" t="str">
        <f t="shared" si="3"/>
        <v>SB</v>
      </c>
      <c r="E13" s="121" t="str">
        <f t="shared" si="3"/>
        <v>12L</v>
      </c>
      <c r="F13" s="132" t="str">
        <f t="shared" si="1"/>
        <v>Semiannual</v>
      </c>
      <c r="G13" s="132" t="s">
        <v>136</v>
      </c>
      <c r="H13" s="132" t="str">
        <f t="shared" si="0"/>
        <v>Actual/365 (Fixed)</v>
      </c>
      <c r="I13" s="130">
        <v>0</v>
      </c>
      <c r="J13" s="131" t="str">
        <f>Currency&amp;$D13&amp;$H$1&amp;$C13&amp;"_S"&amp;$H$1&amp;$E13&amp;"_Quote"</f>
        <v>GBPSB6L9Y_S6L12L_Quote</v>
      </c>
      <c r="K13" s="118" t="str">
        <f>_xll.qlSwapRateHelper2(,$J13,$C13,Calendar,$F13,$G13,$H13,$K$3,$I13,B13,Discounting,Permanent,,ObjectOverwrite)</f>
        <v>obj_005ca#0013</v>
      </c>
      <c r="L13" s="126" t="str">
        <f>_xll.ohRangeRetrieveError(K13)</f>
        <v/>
      </c>
      <c r="M13" s="124"/>
    </row>
    <row r="14" spans="1:17" ht="11.25" customHeight="1" x14ac:dyDescent="0.2">
      <c r="A14" s="95"/>
      <c r="B14" s="121" t="str">
        <f t="shared" si="2"/>
        <v>0d</v>
      </c>
      <c r="C14" s="121" t="s">
        <v>37</v>
      </c>
      <c r="D14" s="121" t="str">
        <f t="shared" si="3"/>
        <v>SB</v>
      </c>
      <c r="E14" s="121" t="str">
        <f t="shared" si="3"/>
        <v>12L</v>
      </c>
      <c r="F14" s="132" t="str">
        <f t="shared" si="1"/>
        <v>Semiannual</v>
      </c>
      <c r="G14" s="132" t="s">
        <v>136</v>
      </c>
      <c r="H14" s="132" t="str">
        <f t="shared" si="0"/>
        <v>Actual/365 (Fixed)</v>
      </c>
      <c r="I14" s="130">
        <v>0</v>
      </c>
      <c r="J14" s="131" t="str">
        <f>Currency&amp;$D14&amp;$H$1&amp;$C14&amp;"_S"&amp;$H$1&amp;$E14&amp;"_Quote"</f>
        <v>GBPSB6L10Y_S6L12L_Quote</v>
      </c>
      <c r="K14" s="118" t="str">
        <f>_xll.qlSwapRateHelper2(,$J14,$C14,Calendar,$F14,$G14,$H14,$K$3,$I14,B14,Discounting,Permanent,,ObjectOverwrite)</f>
        <v>obj_005cb#0013</v>
      </c>
      <c r="L14" s="126" t="str">
        <f>_xll.ohRangeRetrieveError(K14)</f>
        <v/>
      </c>
      <c r="M14" s="124"/>
    </row>
    <row r="15" spans="1:17" ht="11.25" customHeight="1" x14ac:dyDescent="0.2">
      <c r="A15" s="95"/>
      <c r="B15" s="121" t="str">
        <f t="shared" si="2"/>
        <v>0d</v>
      </c>
      <c r="C15" s="121" t="s">
        <v>44</v>
      </c>
      <c r="D15" s="121" t="str">
        <f t="shared" si="3"/>
        <v>SB</v>
      </c>
      <c r="E15" s="121" t="str">
        <f t="shared" si="3"/>
        <v>12L</v>
      </c>
      <c r="F15" s="132" t="str">
        <f t="shared" si="1"/>
        <v>Semiannual</v>
      </c>
      <c r="G15" s="132" t="s">
        <v>136</v>
      </c>
      <c r="H15" s="132" t="str">
        <f t="shared" si="0"/>
        <v>Actual/365 (Fixed)</v>
      </c>
      <c r="I15" s="130">
        <v>0</v>
      </c>
      <c r="J15" s="131" t="str">
        <f>Currency&amp;$D15&amp;$H$1&amp;$C15&amp;"_S"&amp;$H$1&amp;$E15&amp;"_Quote"</f>
        <v>GBPSB6L11Y_S6L12L_Quote</v>
      </c>
      <c r="K15" s="118" t="str">
        <f>_xll.qlSwapRateHelper2(,$J15,$C15,Calendar,$F15,$G15,$H15,$K$3,$I15,B15,Discounting,Permanent,,ObjectOverwrite)</f>
        <v>obj_005cc#0013</v>
      </c>
      <c r="L15" s="126" t="str">
        <f>_xll.ohRangeRetrieveError(K15)</f>
        <v/>
      </c>
      <c r="M15" s="124"/>
    </row>
    <row r="16" spans="1:17" ht="11.25" customHeight="1" x14ac:dyDescent="0.2">
      <c r="A16" s="95"/>
      <c r="B16" s="121" t="str">
        <f t="shared" si="2"/>
        <v>0d</v>
      </c>
      <c r="C16" s="121" t="s">
        <v>45</v>
      </c>
      <c r="D16" s="121" t="str">
        <f t="shared" si="3"/>
        <v>SB</v>
      </c>
      <c r="E16" s="121" t="str">
        <f t="shared" si="3"/>
        <v>12L</v>
      </c>
      <c r="F16" s="132" t="str">
        <f t="shared" si="1"/>
        <v>Semiannual</v>
      </c>
      <c r="G16" s="132" t="s">
        <v>136</v>
      </c>
      <c r="H16" s="132" t="str">
        <f t="shared" si="0"/>
        <v>Actual/365 (Fixed)</v>
      </c>
      <c r="I16" s="130">
        <v>0</v>
      </c>
      <c r="J16" s="131" t="str">
        <f>Currency&amp;$D16&amp;$H$1&amp;$C16&amp;"_S"&amp;$H$1&amp;$E16&amp;"_Quote"</f>
        <v>GBPSB6L12Y_S6L12L_Quote</v>
      </c>
      <c r="K16" s="118" t="str">
        <f>_xll.qlSwapRateHelper2(,$J16,$C16,Calendar,$F16,$G16,$H16,$K$3,$I16,B16,Discounting,Permanent,,ObjectOverwrite)</f>
        <v>obj_005cd#0013</v>
      </c>
      <c r="L16" s="126" t="str">
        <f>_xll.ohRangeRetrieveError(K16)</f>
        <v/>
      </c>
      <c r="M16" s="124"/>
    </row>
    <row r="17" spans="1:13" ht="11.25" customHeight="1" x14ac:dyDescent="0.2">
      <c r="A17" s="95"/>
      <c r="B17" s="121" t="str">
        <f t="shared" si="2"/>
        <v>0d</v>
      </c>
      <c r="C17" s="121" t="s">
        <v>46</v>
      </c>
      <c r="D17" s="121" t="str">
        <f t="shared" si="3"/>
        <v>SB</v>
      </c>
      <c r="E17" s="121" t="str">
        <f t="shared" si="3"/>
        <v>12L</v>
      </c>
      <c r="F17" s="132" t="str">
        <f t="shared" si="1"/>
        <v>Semiannual</v>
      </c>
      <c r="G17" s="132" t="s">
        <v>136</v>
      </c>
      <c r="H17" s="132" t="str">
        <f t="shared" si="0"/>
        <v>Actual/365 (Fixed)</v>
      </c>
      <c r="I17" s="130">
        <v>0</v>
      </c>
      <c r="J17" s="131" t="str">
        <f>Currency&amp;$D17&amp;$H$1&amp;$C17&amp;"_S"&amp;$H$1&amp;$E17&amp;"_Quote"</f>
        <v>GBPSB6L13Y_S6L12L_Quote</v>
      </c>
      <c r="K17" s="118" t="str">
        <f>_xll.qlSwapRateHelper2(,$J17,$C17,Calendar,$F17,$G17,$H17,$K$3,$I17,B17,Discounting,Permanent,,ObjectOverwrite)</f>
        <v>obj_005ce#0013</v>
      </c>
      <c r="L17" s="126" t="str">
        <f>_xll.ohRangeRetrieveError(K17)</f>
        <v/>
      </c>
      <c r="M17" s="124"/>
    </row>
    <row r="18" spans="1:13" ht="11.25" customHeight="1" x14ac:dyDescent="0.2">
      <c r="A18" s="95"/>
      <c r="B18" s="121" t="str">
        <f t="shared" si="2"/>
        <v>0d</v>
      </c>
      <c r="C18" s="121" t="s">
        <v>47</v>
      </c>
      <c r="D18" s="121" t="str">
        <f t="shared" si="3"/>
        <v>SB</v>
      </c>
      <c r="E18" s="121" t="str">
        <f t="shared" si="3"/>
        <v>12L</v>
      </c>
      <c r="F18" s="132" t="str">
        <f t="shared" si="1"/>
        <v>Semiannual</v>
      </c>
      <c r="G18" s="132" t="s">
        <v>136</v>
      </c>
      <c r="H18" s="132" t="str">
        <f t="shared" si="0"/>
        <v>Actual/365 (Fixed)</v>
      </c>
      <c r="I18" s="130">
        <v>0</v>
      </c>
      <c r="J18" s="131" t="str">
        <f>Currency&amp;$D18&amp;$H$1&amp;$C18&amp;"_S"&amp;$H$1&amp;$E18&amp;"_Quote"</f>
        <v>GBPSB6L14Y_S6L12L_Quote</v>
      </c>
      <c r="K18" s="118" t="str">
        <f>_xll.qlSwapRateHelper2(,$J18,$C18,Calendar,$F18,$G18,$H18,$K$3,$I18,B18,Discounting,Permanent,,ObjectOverwrite)</f>
        <v>obj_005cf#0013</v>
      </c>
      <c r="L18" s="126" t="str">
        <f>_xll.ohRangeRetrieveError(K18)</f>
        <v/>
      </c>
      <c r="M18" s="124"/>
    </row>
    <row r="19" spans="1:13" ht="11.25" customHeight="1" x14ac:dyDescent="0.2">
      <c r="A19" s="95"/>
      <c r="B19" s="121" t="str">
        <f t="shared" si="2"/>
        <v>0d</v>
      </c>
      <c r="C19" s="121" t="s">
        <v>38</v>
      </c>
      <c r="D19" s="121" t="str">
        <f t="shared" si="3"/>
        <v>SB</v>
      </c>
      <c r="E19" s="121" t="str">
        <f t="shared" si="3"/>
        <v>12L</v>
      </c>
      <c r="F19" s="132" t="str">
        <f t="shared" si="1"/>
        <v>Semiannual</v>
      </c>
      <c r="G19" s="132" t="s">
        <v>136</v>
      </c>
      <c r="H19" s="132" t="str">
        <f t="shared" si="0"/>
        <v>Actual/365 (Fixed)</v>
      </c>
      <c r="I19" s="130">
        <v>0</v>
      </c>
      <c r="J19" s="131" t="str">
        <f>Currency&amp;$D19&amp;$H$1&amp;$C19&amp;"_S"&amp;$H$1&amp;$E19&amp;"_Quote"</f>
        <v>GBPSB6L15Y_S6L12L_Quote</v>
      </c>
      <c r="K19" s="118" t="str">
        <f>_xll.qlSwapRateHelper2(,$J19,$C19,Calendar,$F19,$G19,$H19,$K$3,$I19,B19,Discounting,Permanent,,ObjectOverwrite)</f>
        <v>obj_005d0#0013</v>
      </c>
      <c r="L19" s="126" t="str">
        <f>_xll.ohRangeRetrieveError(K19)</f>
        <v/>
      </c>
      <c r="M19" s="124"/>
    </row>
    <row r="20" spans="1:13" ht="11.25" customHeight="1" x14ac:dyDescent="0.2">
      <c r="A20" s="95"/>
      <c r="B20" s="121" t="str">
        <f t="shared" si="2"/>
        <v>0d</v>
      </c>
      <c r="C20" s="121" t="s">
        <v>48</v>
      </c>
      <c r="D20" s="121" t="str">
        <f t="shared" si="3"/>
        <v>SB</v>
      </c>
      <c r="E20" s="121" t="str">
        <f t="shared" si="3"/>
        <v>12L</v>
      </c>
      <c r="F20" s="132" t="str">
        <f t="shared" si="1"/>
        <v>Semiannual</v>
      </c>
      <c r="G20" s="132" t="s">
        <v>136</v>
      </c>
      <c r="H20" s="132" t="str">
        <f t="shared" si="0"/>
        <v>Actual/365 (Fixed)</v>
      </c>
      <c r="I20" s="130">
        <v>0</v>
      </c>
      <c r="J20" s="131" t="str">
        <f>Currency&amp;$D20&amp;$H$1&amp;$C20&amp;"_S"&amp;$H$1&amp;$E20&amp;"_Quote"</f>
        <v>GBPSB6L16Y_S6L12L_Quote</v>
      </c>
      <c r="K20" s="118" t="str">
        <f>_xll.qlSwapRateHelper2(,$J20,$C20,Calendar,$F20,$G20,$H20,$K$3,$I20,B20,Discounting,Permanent,,ObjectOverwrite)</f>
        <v>obj_005d1#0013</v>
      </c>
      <c r="L20" s="126" t="str">
        <f>_xll.ohRangeRetrieveError(K20)</f>
        <v/>
      </c>
      <c r="M20" s="124"/>
    </row>
    <row r="21" spans="1:13" ht="11.25" customHeight="1" x14ac:dyDescent="0.2">
      <c r="A21" s="95"/>
      <c r="B21" s="121" t="str">
        <f t="shared" si="2"/>
        <v>0d</v>
      </c>
      <c r="C21" s="121" t="s">
        <v>49</v>
      </c>
      <c r="D21" s="121" t="str">
        <f t="shared" si="3"/>
        <v>SB</v>
      </c>
      <c r="E21" s="121" t="str">
        <f t="shared" si="3"/>
        <v>12L</v>
      </c>
      <c r="F21" s="132" t="str">
        <f t="shared" si="1"/>
        <v>Semiannual</v>
      </c>
      <c r="G21" s="132" t="s">
        <v>136</v>
      </c>
      <c r="H21" s="132" t="str">
        <f t="shared" si="0"/>
        <v>Actual/365 (Fixed)</v>
      </c>
      <c r="I21" s="130">
        <v>0</v>
      </c>
      <c r="J21" s="131" t="str">
        <f>Currency&amp;$D21&amp;$H$1&amp;$C21&amp;"_S"&amp;$H$1&amp;$E21&amp;"_Quote"</f>
        <v>GBPSB6L17Y_S6L12L_Quote</v>
      </c>
      <c r="K21" s="118" t="str">
        <f>_xll.qlSwapRateHelper2(,$J21,$C21,Calendar,$F21,$G21,$H21,$K$3,$I21,B21,Discounting,Permanent,,ObjectOverwrite)</f>
        <v>obj_005d2#0013</v>
      </c>
      <c r="L21" s="126" t="str">
        <f>_xll.ohRangeRetrieveError(K21)</f>
        <v/>
      </c>
      <c r="M21" s="124"/>
    </row>
    <row r="22" spans="1:13" ht="11.25" customHeight="1" x14ac:dyDescent="0.2">
      <c r="A22" s="95"/>
      <c r="B22" s="121" t="str">
        <f t="shared" si="2"/>
        <v>0d</v>
      </c>
      <c r="C22" s="121" t="s">
        <v>50</v>
      </c>
      <c r="D22" s="121" t="str">
        <f t="shared" si="3"/>
        <v>SB</v>
      </c>
      <c r="E22" s="121" t="str">
        <f t="shared" si="3"/>
        <v>12L</v>
      </c>
      <c r="F22" s="132" t="str">
        <f t="shared" si="1"/>
        <v>Semiannual</v>
      </c>
      <c r="G22" s="132" t="s">
        <v>136</v>
      </c>
      <c r="H22" s="132" t="str">
        <f t="shared" si="0"/>
        <v>Actual/365 (Fixed)</v>
      </c>
      <c r="I22" s="130">
        <v>0</v>
      </c>
      <c r="J22" s="131" t="str">
        <f>Currency&amp;$D22&amp;$H$1&amp;$C22&amp;"_S"&amp;$H$1&amp;$E22&amp;"_Quote"</f>
        <v>GBPSB6L18Y_S6L12L_Quote</v>
      </c>
      <c r="K22" s="118" t="str">
        <f>_xll.qlSwapRateHelper2(,$J22,$C22,Calendar,$F22,$G22,$H22,$K$3,$I22,B22,Discounting,Permanent,,ObjectOverwrite)</f>
        <v>obj_005d3#0013</v>
      </c>
      <c r="L22" s="126" t="str">
        <f>_xll.ohRangeRetrieveError(K22)</f>
        <v/>
      </c>
      <c r="M22" s="124"/>
    </row>
    <row r="23" spans="1:13" ht="11.25" customHeight="1" x14ac:dyDescent="0.2">
      <c r="A23" s="95"/>
      <c r="B23" s="121" t="str">
        <f t="shared" si="2"/>
        <v>0d</v>
      </c>
      <c r="C23" s="121" t="s">
        <v>51</v>
      </c>
      <c r="D23" s="121" t="str">
        <f t="shared" ref="D23:E38" si="4">D22</f>
        <v>SB</v>
      </c>
      <c r="E23" s="121" t="str">
        <f t="shared" si="4"/>
        <v>12L</v>
      </c>
      <c r="F23" s="132" t="str">
        <f t="shared" si="1"/>
        <v>Semiannual</v>
      </c>
      <c r="G23" s="132" t="s">
        <v>136</v>
      </c>
      <c r="H23" s="132" t="str">
        <f t="shared" si="0"/>
        <v>Actual/365 (Fixed)</v>
      </c>
      <c r="I23" s="130">
        <v>0</v>
      </c>
      <c r="J23" s="131" t="str">
        <f>Currency&amp;$D23&amp;$H$1&amp;$C23&amp;"_S"&amp;$H$1&amp;$E23&amp;"_Quote"</f>
        <v>GBPSB6L19Y_S6L12L_Quote</v>
      </c>
      <c r="K23" s="118" t="str">
        <f>_xll.qlSwapRateHelper2(,$J23,$C23,Calendar,$F23,$G23,$H23,$K$3,$I23,B23,Discounting,Permanent,,ObjectOverwrite)</f>
        <v>obj_005d4#0013</v>
      </c>
      <c r="L23" s="126" t="str">
        <f>_xll.ohRangeRetrieveError(K23)</f>
        <v/>
      </c>
      <c r="M23" s="124"/>
    </row>
    <row r="24" spans="1:13" ht="11.25" customHeight="1" x14ac:dyDescent="0.2">
      <c r="A24" s="95"/>
      <c r="B24" s="121" t="str">
        <f t="shared" si="2"/>
        <v>0d</v>
      </c>
      <c r="C24" s="121" t="s">
        <v>39</v>
      </c>
      <c r="D24" s="121" t="str">
        <f t="shared" si="4"/>
        <v>SB</v>
      </c>
      <c r="E24" s="121" t="str">
        <f t="shared" si="4"/>
        <v>12L</v>
      </c>
      <c r="F24" s="132" t="str">
        <f t="shared" si="1"/>
        <v>Semiannual</v>
      </c>
      <c r="G24" s="132" t="s">
        <v>136</v>
      </c>
      <c r="H24" s="132" t="str">
        <f t="shared" si="0"/>
        <v>Actual/365 (Fixed)</v>
      </c>
      <c r="I24" s="130">
        <v>0</v>
      </c>
      <c r="J24" s="131" t="str">
        <f>Currency&amp;$D24&amp;$H$1&amp;$C24&amp;"_S"&amp;$H$1&amp;$E24&amp;"_Quote"</f>
        <v>GBPSB6L20Y_S6L12L_Quote</v>
      </c>
      <c r="K24" s="118" t="str">
        <f>_xll.qlSwapRateHelper2(,$J24,$C24,Calendar,$F24,$G24,$H24,$K$3,$I24,B24,Discounting,Permanent,,ObjectOverwrite)</f>
        <v>obj_005d5#0013</v>
      </c>
      <c r="L24" s="126" t="str">
        <f>_xll.ohRangeRetrieveError(K24)</f>
        <v/>
      </c>
      <c r="M24" s="124"/>
    </row>
    <row r="25" spans="1:13" ht="11.25" customHeight="1" x14ac:dyDescent="0.2">
      <c r="A25" s="95"/>
      <c r="B25" s="121" t="str">
        <f t="shared" si="2"/>
        <v>0d</v>
      </c>
      <c r="C25" s="121" t="s">
        <v>52</v>
      </c>
      <c r="D25" s="121" t="str">
        <f t="shared" si="4"/>
        <v>SB</v>
      </c>
      <c r="E25" s="121" t="str">
        <f t="shared" si="4"/>
        <v>12L</v>
      </c>
      <c r="F25" s="132" t="str">
        <f t="shared" si="1"/>
        <v>Semiannual</v>
      </c>
      <c r="G25" s="132" t="s">
        <v>136</v>
      </c>
      <c r="H25" s="132" t="str">
        <f t="shared" si="0"/>
        <v>Actual/365 (Fixed)</v>
      </c>
      <c r="I25" s="130">
        <v>0</v>
      </c>
      <c r="J25" s="131" t="str">
        <f>Currency&amp;$D25&amp;$H$1&amp;$C25&amp;"_S"&amp;$H$1&amp;$E25&amp;"_Quote"</f>
        <v>GBPSB6L21Y_S6L12L_Quote</v>
      </c>
      <c r="K25" s="118" t="str">
        <f>_xll.qlSwapRateHelper2(,$J25,$C25,Calendar,$F25,$G25,$H25,$K$3,$I25,B25,Discounting,Permanent,,ObjectOverwrite)</f>
        <v>obj_005d6#0013</v>
      </c>
      <c r="L25" s="126" t="str">
        <f>_xll.ohRangeRetrieveError(K25)</f>
        <v/>
      </c>
      <c r="M25" s="124"/>
    </row>
    <row r="26" spans="1:13" ht="11.25" customHeight="1" x14ac:dyDescent="0.2">
      <c r="A26" s="95"/>
      <c r="B26" s="121" t="str">
        <f t="shared" si="2"/>
        <v>0d</v>
      </c>
      <c r="C26" s="121" t="s">
        <v>53</v>
      </c>
      <c r="D26" s="121" t="str">
        <f t="shared" si="4"/>
        <v>SB</v>
      </c>
      <c r="E26" s="121" t="str">
        <f t="shared" si="4"/>
        <v>12L</v>
      </c>
      <c r="F26" s="132" t="str">
        <f t="shared" si="1"/>
        <v>Semiannual</v>
      </c>
      <c r="G26" s="132" t="s">
        <v>136</v>
      </c>
      <c r="H26" s="132" t="str">
        <f t="shared" si="0"/>
        <v>Actual/365 (Fixed)</v>
      </c>
      <c r="I26" s="130">
        <v>0</v>
      </c>
      <c r="J26" s="131" t="str">
        <f>Currency&amp;$D26&amp;$H$1&amp;$C26&amp;"_S"&amp;$H$1&amp;$E26&amp;"_Quote"</f>
        <v>GBPSB6L22Y_S6L12L_Quote</v>
      </c>
      <c r="K26" s="118" t="str">
        <f>_xll.qlSwapRateHelper2(,$J26,$C26,Calendar,$F26,$G26,$H26,$K$3,$I26,B26,Discounting,Permanent,,ObjectOverwrite)</f>
        <v>obj_005d7#0013</v>
      </c>
      <c r="L26" s="126" t="str">
        <f>_xll.ohRangeRetrieveError(K26)</f>
        <v/>
      </c>
      <c r="M26" s="124"/>
    </row>
    <row r="27" spans="1:13" ht="11.25" customHeight="1" x14ac:dyDescent="0.2">
      <c r="A27" s="95"/>
      <c r="B27" s="121" t="str">
        <f t="shared" si="2"/>
        <v>0d</v>
      </c>
      <c r="C27" s="121" t="s">
        <v>54</v>
      </c>
      <c r="D27" s="121" t="str">
        <f t="shared" si="4"/>
        <v>SB</v>
      </c>
      <c r="E27" s="121" t="str">
        <f t="shared" si="4"/>
        <v>12L</v>
      </c>
      <c r="F27" s="132" t="str">
        <f t="shared" si="1"/>
        <v>Semiannual</v>
      </c>
      <c r="G27" s="132" t="s">
        <v>136</v>
      </c>
      <c r="H27" s="132" t="str">
        <f t="shared" si="0"/>
        <v>Actual/365 (Fixed)</v>
      </c>
      <c r="I27" s="130">
        <v>0</v>
      </c>
      <c r="J27" s="131" t="str">
        <f>Currency&amp;$D27&amp;$H$1&amp;$C27&amp;"_S"&amp;$H$1&amp;$E27&amp;"_Quote"</f>
        <v>GBPSB6L23Y_S6L12L_Quote</v>
      </c>
      <c r="K27" s="118" t="str">
        <f>_xll.qlSwapRateHelper2(,$J27,$C27,Calendar,$F27,$G27,$H27,$K$3,$I27,B27,Discounting,Permanent,,ObjectOverwrite)</f>
        <v>obj_005d8#0013</v>
      </c>
      <c r="L27" s="126" t="str">
        <f>_xll.ohRangeRetrieveError(K27)</f>
        <v/>
      </c>
      <c r="M27" s="124"/>
    </row>
    <row r="28" spans="1:13" ht="11.25" customHeight="1" x14ac:dyDescent="0.2">
      <c r="A28" s="95"/>
      <c r="B28" s="121" t="str">
        <f t="shared" si="2"/>
        <v>0d</v>
      </c>
      <c r="C28" s="121" t="s">
        <v>55</v>
      </c>
      <c r="D28" s="121" t="str">
        <f t="shared" si="4"/>
        <v>SB</v>
      </c>
      <c r="E28" s="121" t="str">
        <f t="shared" si="4"/>
        <v>12L</v>
      </c>
      <c r="F28" s="132" t="str">
        <f t="shared" si="1"/>
        <v>Semiannual</v>
      </c>
      <c r="G28" s="132" t="s">
        <v>136</v>
      </c>
      <c r="H28" s="132" t="str">
        <f t="shared" si="0"/>
        <v>Actual/365 (Fixed)</v>
      </c>
      <c r="I28" s="130">
        <v>0</v>
      </c>
      <c r="J28" s="131" t="str">
        <f>Currency&amp;$D28&amp;$H$1&amp;$C28&amp;"_S"&amp;$H$1&amp;$E28&amp;"_Quote"</f>
        <v>GBPSB6L24Y_S6L12L_Quote</v>
      </c>
      <c r="K28" s="118" t="str">
        <f>_xll.qlSwapRateHelper2(,$J28,$C28,Calendar,$F28,$G28,$H28,$K$3,$I28,B28,Discounting,Permanent,,ObjectOverwrite)</f>
        <v>obj_005d9#0013</v>
      </c>
      <c r="L28" s="126" t="str">
        <f>_xll.ohRangeRetrieveError(K28)</f>
        <v/>
      </c>
      <c r="M28" s="124"/>
    </row>
    <row r="29" spans="1:13" ht="11.25" customHeight="1" x14ac:dyDescent="0.2">
      <c r="A29" s="95"/>
      <c r="B29" s="121" t="str">
        <f t="shared" si="2"/>
        <v>0d</v>
      </c>
      <c r="C29" s="121" t="s">
        <v>56</v>
      </c>
      <c r="D29" s="121" t="str">
        <f t="shared" si="4"/>
        <v>SB</v>
      </c>
      <c r="E29" s="121" t="str">
        <f t="shared" si="4"/>
        <v>12L</v>
      </c>
      <c r="F29" s="132" t="str">
        <f t="shared" si="1"/>
        <v>Semiannual</v>
      </c>
      <c r="G29" s="132" t="s">
        <v>136</v>
      </c>
      <c r="H29" s="132" t="str">
        <f t="shared" si="0"/>
        <v>Actual/365 (Fixed)</v>
      </c>
      <c r="I29" s="130">
        <v>0</v>
      </c>
      <c r="J29" s="131" t="str">
        <f>Currency&amp;$D29&amp;$H$1&amp;$C29&amp;"_S"&amp;$H$1&amp;$E29&amp;"_Quote"</f>
        <v>GBPSB6L25Y_S6L12L_Quote</v>
      </c>
      <c r="K29" s="118" t="str">
        <f>_xll.qlSwapRateHelper2(,$J29,$C29,Calendar,$F29,$G29,$H29,$K$3,$I29,B29,Discounting,Permanent,,ObjectOverwrite)</f>
        <v>obj_005da#0013</v>
      </c>
      <c r="L29" s="126" t="str">
        <f>_xll.ohRangeRetrieveError(K29)</f>
        <v/>
      </c>
      <c r="M29" s="124"/>
    </row>
    <row r="30" spans="1:13" ht="11.25" customHeight="1" x14ac:dyDescent="0.2">
      <c r="A30" s="95"/>
      <c r="B30" s="121" t="str">
        <f t="shared" si="2"/>
        <v>0d</v>
      </c>
      <c r="C30" s="121" t="s">
        <v>57</v>
      </c>
      <c r="D30" s="121" t="str">
        <f t="shared" si="4"/>
        <v>SB</v>
      </c>
      <c r="E30" s="121" t="str">
        <f t="shared" si="4"/>
        <v>12L</v>
      </c>
      <c r="F30" s="132" t="str">
        <f t="shared" si="1"/>
        <v>Semiannual</v>
      </c>
      <c r="G30" s="132" t="s">
        <v>136</v>
      </c>
      <c r="H30" s="132" t="str">
        <f t="shared" si="0"/>
        <v>Actual/365 (Fixed)</v>
      </c>
      <c r="I30" s="130">
        <v>0</v>
      </c>
      <c r="J30" s="131" t="str">
        <f>Currency&amp;$D30&amp;$H$1&amp;$C30&amp;"_S"&amp;$H$1&amp;$E30&amp;"_Quote"</f>
        <v>GBPSB6L26Y_S6L12L_Quote</v>
      </c>
      <c r="K30" s="118" t="str">
        <f>_xll.qlSwapRateHelper2(,$J30,$C30,Calendar,$F30,$G30,$H30,$K$3,$I30,B30,Discounting,Permanent,,ObjectOverwrite)</f>
        <v>obj_005db#0013</v>
      </c>
      <c r="L30" s="126" t="str">
        <f>_xll.ohRangeRetrieveError(K30)</f>
        <v/>
      </c>
      <c r="M30" s="124"/>
    </row>
    <row r="31" spans="1:13" ht="11.25" customHeight="1" x14ac:dyDescent="0.2">
      <c r="A31" s="95"/>
      <c r="B31" s="121" t="str">
        <f t="shared" si="2"/>
        <v>0d</v>
      </c>
      <c r="C31" s="121" t="s">
        <v>58</v>
      </c>
      <c r="D31" s="121" t="str">
        <f t="shared" si="4"/>
        <v>SB</v>
      </c>
      <c r="E31" s="121" t="str">
        <f t="shared" si="4"/>
        <v>12L</v>
      </c>
      <c r="F31" s="132" t="str">
        <f t="shared" si="1"/>
        <v>Semiannual</v>
      </c>
      <c r="G31" s="132" t="s">
        <v>136</v>
      </c>
      <c r="H31" s="132" t="str">
        <f t="shared" si="0"/>
        <v>Actual/365 (Fixed)</v>
      </c>
      <c r="I31" s="130">
        <v>0</v>
      </c>
      <c r="J31" s="131" t="str">
        <f>Currency&amp;$D31&amp;$H$1&amp;$C31&amp;"_S"&amp;$H$1&amp;$E31&amp;"_Quote"</f>
        <v>GBPSB6L27Y_S6L12L_Quote</v>
      </c>
      <c r="K31" s="118" t="str">
        <f>_xll.qlSwapRateHelper2(,$J31,$C31,Calendar,$F31,$G31,$H31,$K$3,$I31,B31,Discounting,Permanent,,ObjectOverwrite)</f>
        <v>obj_005dc#0013</v>
      </c>
      <c r="L31" s="126" t="str">
        <f>_xll.ohRangeRetrieveError(K31)</f>
        <v/>
      </c>
      <c r="M31" s="124"/>
    </row>
    <row r="32" spans="1:13" ht="11.25" customHeight="1" x14ac:dyDescent="0.2">
      <c r="A32" s="95"/>
      <c r="B32" s="121" t="str">
        <f t="shared" si="2"/>
        <v>0d</v>
      </c>
      <c r="C32" s="121" t="s">
        <v>59</v>
      </c>
      <c r="D32" s="121" t="str">
        <f t="shared" si="4"/>
        <v>SB</v>
      </c>
      <c r="E32" s="121" t="str">
        <f t="shared" si="4"/>
        <v>12L</v>
      </c>
      <c r="F32" s="132" t="str">
        <f t="shared" si="1"/>
        <v>Semiannual</v>
      </c>
      <c r="G32" s="132" t="s">
        <v>136</v>
      </c>
      <c r="H32" s="132" t="str">
        <f t="shared" si="0"/>
        <v>Actual/365 (Fixed)</v>
      </c>
      <c r="I32" s="130">
        <v>0</v>
      </c>
      <c r="J32" s="131" t="str">
        <f>Currency&amp;$D32&amp;$H$1&amp;$C32&amp;"_S"&amp;$H$1&amp;$E32&amp;"_Quote"</f>
        <v>GBPSB6L28Y_S6L12L_Quote</v>
      </c>
      <c r="K32" s="118" t="str">
        <f>_xll.qlSwapRateHelper2(,$J32,$C32,Calendar,$F32,$G32,$H32,$K$3,$I32,B32,Discounting,Permanent,,ObjectOverwrite)</f>
        <v>obj_005dd#0013</v>
      </c>
      <c r="L32" s="126" t="str">
        <f>_xll.ohRangeRetrieveError(K32)</f>
        <v/>
      </c>
      <c r="M32" s="124"/>
    </row>
    <row r="33" spans="1:13" ht="11.25" customHeight="1" x14ac:dyDescent="0.2">
      <c r="A33" s="95"/>
      <c r="B33" s="121" t="str">
        <f t="shared" si="2"/>
        <v>0d</v>
      </c>
      <c r="C33" s="121" t="s">
        <v>60</v>
      </c>
      <c r="D33" s="121" t="str">
        <f t="shared" si="4"/>
        <v>SB</v>
      </c>
      <c r="E33" s="121" t="str">
        <f t="shared" si="4"/>
        <v>12L</v>
      </c>
      <c r="F33" s="132" t="str">
        <f t="shared" si="1"/>
        <v>Semiannual</v>
      </c>
      <c r="G33" s="132" t="s">
        <v>136</v>
      </c>
      <c r="H33" s="132" t="str">
        <f t="shared" si="0"/>
        <v>Actual/365 (Fixed)</v>
      </c>
      <c r="I33" s="130">
        <v>0</v>
      </c>
      <c r="J33" s="131" t="str">
        <f>Currency&amp;$D33&amp;$H$1&amp;$C33&amp;"_S"&amp;$H$1&amp;$E33&amp;"_Quote"</f>
        <v>GBPSB6L29Y_S6L12L_Quote</v>
      </c>
      <c r="K33" s="118" t="str">
        <f>_xll.qlSwapRateHelper2(,$J33,$C33,Calendar,$F33,$G33,$H33,$K$3,$I33,B33,Discounting,Permanent,,ObjectOverwrite)</f>
        <v>obj_005de#0013</v>
      </c>
      <c r="L33" s="126" t="str">
        <f>_xll.ohRangeRetrieveError(K33)</f>
        <v/>
      </c>
      <c r="M33" s="124"/>
    </row>
    <row r="34" spans="1:13" ht="11.25" customHeight="1" x14ac:dyDescent="0.2">
      <c r="A34" s="95"/>
      <c r="B34" s="121" t="str">
        <f t="shared" si="2"/>
        <v>0d</v>
      </c>
      <c r="C34" s="121" t="s">
        <v>40</v>
      </c>
      <c r="D34" s="121" t="str">
        <f t="shared" si="4"/>
        <v>SB</v>
      </c>
      <c r="E34" s="121" t="str">
        <f t="shared" si="4"/>
        <v>12L</v>
      </c>
      <c r="F34" s="132" t="str">
        <f t="shared" si="1"/>
        <v>Semiannual</v>
      </c>
      <c r="G34" s="132" t="s">
        <v>136</v>
      </c>
      <c r="H34" s="132" t="str">
        <f t="shared" si="0"/>
        <v>Actual/365 (Fixed)</v>
      </c>
      <c r="I34" s="130">
        <v>0</v>
      </c>
      <c r="J34" s="131" t="str">
        <f>Currency&amp;$D34&amp;$H$1&amp;$C34&amp;"_S"&amp;$H$1&amp;$E34&amp;"_Quote"</f>
        <v>GBPSB6L30Y_S6L12L_Quote</v>
      </c>
      <c r="K34" s="118" t="str">
        <f>_xll.qlSwapRateHelper2(,$J34,$C34,Calendar,$F34,$G34,$H34,$K$3,$I34,B34,Discounting,Permanent,,ObjectOverwrite)</f>
        <v>obj_005df#0013</v>
      </c>
      <c r="L34" s="126" t="str">
        <f>_xll.ohRangeRetrieveError(K34)</f>
        <v/>
      </c>
      <c r="M34" s="124"/>
    </row>
    <row r="35" spans="1:13" ht="11.25" customHeight="1" x14ac:dyDescent="0.2">
      <c r="A35" s="95"/>
      <c r="B35" s="121" t="str">
        <f t="shared" si="2"/>
        <v>0d</v>
      </c>
      <c r="C35" s="121" t="s">
        <v>61</v>
      </c>
      <c r="D35" s="121" t="str">
        <f t="shared" si="4"/>
        <v>SB</v>
      </c>
      <c r="E35" s="121" t="str">
        <f t="shared" si="4"/>
        <v>12L</v>
      </c>
      <c r="F35" s="132" t="str">
        <f t="shared" si="1"/>
        <v>Semiannual</v>
      </c>
      <c r="G35" s="132" t="s">
        <v>136</v>
      </c>
      <c r="H35" s="132" t="str">
        <f t="shared" si="0"/>
        <v>Actual/365 (Fixed)</v>
      </c>
      <c r="I35" s="130">
        <v>0</v>
      </c>
      <c r="J35" s="131" t="str">
        <f>Currency&amp;$D35&amp;$H$1&amp;$C35&amp;"_S"&amp;$H$1&amp;$E35&amp;"_Quote"</f>
        <v>GBPSB6L35Y_S6L12L_Quote</v>
      </c>
      <c r="K35" s="118" t="str">
        <f>_xll.qlSwapRateHelper2(,$J35,$C35,Calendar,$F35,$G35,$H35,$K$3,$I35,B35,Discounting,Permanent,,ObjectOverwrite)</f>
        <v>obj_005e0#0013</v>
      </c>
      <c r="L35" s="126" t="str">
        <f>_xll.ohRangeRetrieveError(K35)</f>
        <v/>
      </c>
      <c r="M35" s="124"/>
    </row>
    <row r="36" spans="1:13" ht="11.25" customHeight="1" x14ac:dyDescent="0.2">
      <c r="A36" s="95"/>
      <c r="B36" s="121" t="str">
        <f t="shared" si="2"/>
        <v>0d</v>
      </c>
      <c r="C36" s="121" t="s">
        <v>62</v>
      </c>
      <c r="D36" s="121" t="str">
        <f t="shared" si="4"/>
        <v>SB</v>
      </c>
      <c r="E36" s="121" t="str">
        <f t="shared" si="4"/>
        <v>12L</v>
      </c>
      <c r="F36" s="132" t="str">
        <f t="shared" si="1"/>
        <v>Semiannual</v>
      </c>
      <c r="G36" s="132" t="s">
        <v>136</v>
      </c>
      <c r="H36" s="132" t="str">
        <f t="shared" si="0"/>
        <v>Actual/365 (Fixed)</v>
      </c>
      <c r="I36" s="130">
        <v>0</v>
      </c>
      <c r="J36" s="131" t="str">
        <f>Currency&amp;$D36&amp;$H$1&amp;$C36&amp;"_S"&amp;$H$1&amp;$E36&amp;"_Quote"</f>
        <v>GBPSB6L40Y_S6L12L_Quote</v>
      </c>
      <c r="K36" s="118" t="str">
        <f>_xll.qlSwapRateHelper2(,$J36,$C36,Calendar,$F36,$G36,$H36,$K$3,$I36,B36,Discounting,Permanent,,ObjectOverwrite)</f>
        <v>obj_005e1#0013</v>
      </c>
      <c r="L36" s="126" t="str">
        <f>_xll.ohRangeRetrieveError(K36)</f>
        <v/>
      </c>
      <c r="M36" s="124"/>
    </row>
    <row r="37" spans="1:13" ht="11.25" customHeight="1" x14ac:dyDescent="0.2">
      <c r="A37" s="95"/>
      <c r="B37" s="121" t="str">
        <f t="shared" si="2"/>
        <v>0d</v>
      </c>
      <c r="C37" s="121" t="s">
        <v>63</v>
      </c>
      <c r="D37" s="121" t="str">
        <f t="shared" si="4"/>
        <v>SB</v>
      </c>
      <c r="E37" s="121" t="str">
        <f t="shared" si="4"/>
        <v>12L</v>
      </c>
      <c r="F37" s="132" t="str">
        <f t="shared" si="1"/>
        <v>Semiannual</v>
      </c>
      <c r="G37" s="132" t="s">
        <v>136</v>
      </c>
      <c r="H37" s="132" t="str">
        <f t="shared" si="0"/>
        <v>Actual/365 (Fixed)</v>
      </c>
      <c r="I37" s="130">
        <v>0</v>
      </c>
      <c r="J37" s="131" t="str">
        <f>Currency&amp;$D37&amp;$H$1&amp;$C37&amp;"_S"&amp;$H$1&amp;$E37&amp;"_Quote"</f>
        <v>GBPSB6L50Y_S6L12L_Quote</v>
      </c>
      <c r="K37" s="118" t="str">
        <f>_xll.qlSwapRateHelper2(,$J37,$C37,Calendar,$F37,$G37,$H37,$K$3,$I37,B37,Discounting,Permanent,,ObjectOverwrite)</f>
        <v>obj_005e2#0013</v>
      </c>
      <c r="L37" s="126" t="str">
        <f>_xll.ohRangeRetrieveError(K37)</f>
        <v/>
      </c>
      <c r="M37" s="124"/>
    </row>
    <row r="38" spans="1:13" ht="11.25" customHeight="1" x14ac:dyDescent="0.2">
      <c r="A38" s="95"/>
      <c r="B38" s="121" t="str">
        <f t="shared" si="2"/>
        <v>0d</v>
      </c>
      <c r="C38" s="121" t="s">
        <v>64</v>
      </c>
      <c r="D38" s="121" t="str">
        <f t="shared" si="4"/>
        <v>SB</v>
      </c>
      <c r="E38" s="121" t="str">
        <f t="shared" si="4"/>
        <v>12L</v>
      </c>
      <c r="F38" s="132" t="str">
        <f t="shared" si="1"/>
        <v>Semiannual</v>
      </c>
      <c r="G38" s="132" t="s">
        <v>136</v>
      </c>
      <c r="H38" s="132" t="str">
        <f t="shared" si="0"/>
        <v>Actual/365 (Fixed)</v>
      </c>
      <c r="I38" s="130">
        <v>0</v>
      </c>
      <c r="J38" s="131" t="str">
        <f>Currency&amp;$D38&amp;$H$1&amp;$C38&amp;"_S"&amp;$H$1&amp;$E38&amp;"_Quote"</f>
        <v>GBPSB6L60Y_S6L12L_Quote</v>
      </c>
      <c r="K38" s="118" t="str">
        <f>_xll.qlSwapRateHelper2(,$J38,$C38,Calendar,$F38,$G38,$H38,$K$3,$I38,B38,Discounting,Permanent,,ObjectOverwrite)</f>
        <v>obj_005e3#0013</v>
      </c>
      <c r="L38" s="126" t="str">
        <f>_xll.ohRangeRetrieveError(K38)</f>
        <v/>
      </c>
      <c r="M38" s="124"/>
    </row>
    <row r="39" spans="1:13" ht="11.25" customHeight="1" thickBot="1" x14ac:dyDescent="0.25">
      <c r="A39" s="105"/>
      <c r="B39" s="106"/>
      <c r="C39" s="106"/>
      <c r="D39" s="106"/>
      <c r="E39" s="106"/>
      <c r="F39" s="106"/>
      <c r="G39" s="106"/>
      <c r="H39" s="106"/>
      <c r="I39" s="106"/>
      <c r="J39" s="106"/>
      <c r="K39" s="184"/>
      <c r="L39" s="123"/>
      <c r="M39" s="141"/>
    </row>
  </sheetData>
  <dataValidations count="1">
    <dataValidation type="list" allowBlank="1" showInputMessage="1" showErrorMessage="1" sqref="G5:G38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99" customWidth="1"/>
    <col min="2" max="2" width="6" style="194" bestFit="1" customWidth="1"/>
    <col min="3" max="3" width="17.28515625" style="194" bestFit="1" customWidth="1"/>
    <col min="4" max="4" width="7" style="199" bestFit="1" customWidth="1"/>
    <col min="5" max="5" width="17.28515625" style="199" bestFit="1" customWidth="1"/>
    <col min="6" max="6" width="20.28515625" style="194" bestFit="1" customWidth="1"/>
    <col min="7" max="7" width="6.7109375" style="194" customWidth="1"/>
    <col min="8" max="8" width="6" style="194" bestFit="1" customWidth="1"/>
    <col min="9" max="9" width="11" style="194" bestFit="1" customWidth="1"/>
    <col min="10" max="10" width="15.140625" style="194" bestFit="1" customWidth="1"/>
    <col min="11" max="11" width="10" style="199" bestFit="1" customWidth="1"/>
    <col min="12" max="12" width="4" style="199" customWidth="1"/>
    <col min="13" max="13" width="13" style="199" hidden="1" customWidth="1"/>
    <col min="14" max="14" width="24.42578125" style="199" bestFit="1" customWidth="1"/>
    <col min="15" max="15" width="17.28515625" style="199" bestFit="1" customWidth="1"/>
    <col min="16" max="16" width="12" style="199" bestFit="1" customWidth="1"/>
    <col min="17" max="17" width="8" style="199" hidden="1" customWidth="1" outlineLevel="1"/>
    <col min="18" max="18" width="17.28515625" style="199" hidden="1" customWidth="1" outlineLevel="1"/>
    <col min="19" max="19" width="15.140625" style="200" hidden="1" customWidth="1" outlineLevel="1"/>
    <col min="20" max="20" width="16.140625" style="199" customWidth="1" collapsed="1"/>
    <col min="21" max="21" width="10" style="199" bestFit="1" customWidth="1"/>
    <col min="22" max="22" width="7.5703125" style="199" customWidth="1"/>
    <col min="23" max="23" width="19.28515625" style="199" bestFit="1" customWidth="1"/>
    <col min="24" max="25" width="17.28515625" style="199" bestFit="1" customWidth="1"/>
    <col min="26" max="27" width="15.140625" style="199" bestFit="1" customWidth="1"/>
    <col min="28" max="28" width="13.140625" style="199" bestFit="1" customWidth="1"/>
    <col min="29" max="16384" width="9.140625" style="199"/>
  </cols>
  <sheetData>
    <row r="1" spans="1:28" s="194" customFormat="1" ht="12" hidden="1" outlineLevel="1" thickBot="1" x14ac:dyDescent="0.25">
      <c r="A1" s="188"/>
      <c r="B1" s="189" t="s">
        <v>141</v>
      </c>
      <c r="C1" s="190"/>
      <c r="D1" s="189"/>
      <c r="E1" s="191"/>
      <c r="F1" s="192"/>
      <c r="G1" s="188" t="s">
        <v>142</v>
      </c>
      <c r="H1" s="193"/>
      <c r="I1" s="192"/>
      <c r="J1" s="193"/>
      <c r="K1" s="192"/>
    </row>
    <row r="2" spans="1:28" hidden="1" outlineLevel="1" x14ac:dyDescent="0.2">
      <c r="A2" s="195"/>
      <c r="B2" s="196" t="s">
        <v>143</v>
      </c>
      <c r="C2" s="197" t="s">
        <v>144</v>
      </c>
      <c r="D2" s="197" t="s">
        <v>79</v>
      </c>
      <c r="E2" s="197" t="s">
        <v>145</v>
      </c>
      <c r="F2" s="198" t="s">
        <v>146</v>
      </c>
      <c r="G2" s="196" t="s">
        <v>144</v>
      </c>
      <c r="H2" s="197" t="s">
        <v>145</v>
      </c>
      <c r="I2" s="198" t="s">
        <v>147</v>
      </c>
      <c r="J2" s="197" t="s">
        <v>148</v>
      </c>
      <c r="K2" s="198" t="s">
        <v>149</v>
      </c>
      <c r="L2" s="194"/>
      <c r="M2" s="194"/>
    </row>
    <row r="3" spans="1:28" hidden="1" outlineLevel="1" x14ac:dyDescent="0.2">
      <c r="A3" s="201"/>
      <c r="B3" s="202" t="str">
        <f>_xll.qlPeriodEquivalent(D3&amp;"M")</f>
        <v>1Y</v>
      </c>
      <c r="C3" s="203">
        <f>_xll.qlDateEndOfMonth(EDATE(_xll.qlSettingsEvaluationDate(Trigger),-1))</f>
        <v>41790</v>
      </c>
      <c r="D3" s="204">
        <v>12</v>
      </c>
      <c r="E3" s="203">
        <f t="shared" ref="E3:E16" si="0">EDATE($Y$19,$D3)</f>
        <v>42182</v>
      </c>
      <c r="F3" s="205">
        <f>IF(D3&lt;=12,1,IF(D3&lt;=24,3,IF(D3&lt;=120,6,IF(D3&lt;=240,12,IF(D3&lt;=360,36,60)))))</f>
        <v>1</v>
      </c>
      <c r="G3" s="251">
        <f>ROUNDDOWN(J3*10,2)/10</f>
        <v>0.01</v>
      </c>
      <c r="H3" s="206">
        <f>IF(K3-J3&gt;1%,(QUOTIENT(K3*10000,50)+1)*0.5%,(QUOTIENT(K3*10000,10)+1)*0.1%)</f>
        <v>0.02</v>
      </c>
      <c r="I3" s="207">
        <f>IF(H3-G3&lt;0.5%,0.05%,IF(H3-G3&lt;1%,0.1%,IF(H3-G3&lt;2%,0.25%,0.5%)))</f>
        <v>2.5000000000000001E-3</v>
      </c>
      <c r="J3" s="206">
        <f>MIN(_xll.ohPack($Z$19:INDEX($Z$19:$Z$3552,MATCH(E3+1,$Y$19:$Y$3552,1),1)))</f>
        <v>1.0449999999957859E-2</v>
      </c>
      <c r="K3" s="207">
        <f>MAX(_xll.ohPack($Z$19:INDEX($Z$19:$Z$3552,MATCH(E3+1,$Y$19:$Y$3552,1),1)))</f>
        <v>1.9744304204445493E-2</v>
      </c>
      <c r="L3" s="194"/>
      <c r="M3" s="194"/>
      <c r="N3" s="208"/>
    </row>
    <row r="4" spans="1:28" ht="12" hidden="1" customHeight="1" outlineLevel="1" x14ac:dyDescent="0.25">
      <c r="A4" s="201"/>
      <c r="B4" s="202" t="str">
        <f>_xll.qlPeriodEquivalent(D4&amp;"M")</f>
        <v>2Y</v>
      </c>
      <c r="C4" s="203">
        <f>_xll.qlDateEndOfMonth(EDATE(_xll.qlIMMNextDate(_xll.qlSettingsEvaluationDate(Trigger)-1,TRUE),-3))</f>
        <v>41820</v>
      </c>
      <c r="D4" s="204">
        <v>24</v>
      </c>
      <c r="E4" s="203">
        <f t="shared" si="0"/>
        <v>42548</v>
      </c>
      <c r="F4" s="205">
        <f t="shared" ref="F4:F16" si="1">IF(D4&lt;=12,1,IF(D4&lt;=24,3,IF(D4&lt;=120,6,IF(D4&lt;=240,12,IF(D4&lt;=360,36,60)))))</f>
        <v>3</v>
      </c>
      <c r="G4" s="251">
        <f t="shared" ref="G4:G16" si="2">ROUNDDOWN(J4*10,2)/10</f>
        <v>0.01</v>
      </c>
      <c r="H4" s="206">
        <f t="shared" ref="H4:H16" si="3">IF(K4-J4&gt;1%,(QUOTIENT(K4*10000,50)+1)*0.5%,(QUOTIENT(K4*10000,10)+1)*0.1%)</f>
        <v>0.03</v>
      </c>
      <c r="I4" s="207">
        <f t="shared" ref="I4:I16" si="4">IF(H4-G4&lt;0.5%,0.05%,IF(H4-G4&lt;1%,0.1%,IF(H4-G4&lt;2%,0.25%,0.5%)))</f>
        <v>5.0000000000000001E-3</v>
      </c>
      <c r="J4" s="206">
        <f>MIN(_xll.ohPack($Z$19:INDEX($Z$19:$Z$3552,MATCH(E4+1,$Y$19:$Y$3552,1),1)))</f>
        <v>1.0449999999957859E-2</v>
      </c>
      <c r="K4" s="207">
        <f>MAX(_xll.ohPack($Z$19:INDEX($Z$19:$Z$3552,MATCH(E4+1,$Y$19:$Y$3552,1),1)))</f>
        <v>2.5607427336254984E-2</v>
      </c>
      <c r="L4" s="194"/>
      <c r="M4" s="194"/>
      <c r="X4" s="209"/>
      <c r="Y4" s="209"/>
      <c r="Z4" s="209"/>
      <c r="AA4" s="209"/>
      <c r="AB4" s="209"/>
    </row>
    <row r="5" spans="1:28" hidden="1" outlineLevel="1" x14ac:dyDescent="0.2">
      <c r="A5" s="201"/>
      <c r="B5" s="202" t="str">
        <f>_xll.qlPeriodEquivalent(D5&amp;"M")</f>
        <v>5Y</v>
      </c>
      <c r="C5" s="20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204">
        <v>60</v>
      </c>
      <c r="E5" s="203">
        <f t="shared" si="0"/>
        <v>43643</v>
      </c>
      <c r="F5" s="205">
        <f t="shared" si="1"/>
        <v>6</v>
      </c>
      <c r="G5" s="251">
        <f t="shared" si="2"/>
        <v>0.01</v>
      </c>
      <c r="H5" s="206">
        <f t="shared" si="3"/>
        <v>3.5000000000000003E-2</v>
      </c>
      <c r="I5" s="207">
        <f t="shared" si="4"/>
        <v>5.0000000000000001E-3</v>
      </c>
      <c r="J5" s="206">
        <f>MIN(_xll.ohPack($Z$19:INDEX($Z$19:$Z$3552,MATCH(E5+1,$Y$19:$Y$3552,1),1)))</f>
        <v>1.0449999999957859E-2</v>
      </c>
      <c r="K5" s="207">
        <f>MAX(_xll.ohPack($Z$19:INDEX($Z$19:$Z$3552,MATCH(E5+1,$Y$19:$Y$3552,1),1)))</f>
        <v>3.3951979543288435E-2</v>
      </c>
      <c r="L5" s="194"/>
      <c r="M5" s="194"/>
    </row>
    <row r="6" spans="1:28" hidden="1" outlineLevel="1" x14ac:dyDescent="0.2">
      <c r="A6" s="201" t="s">
        <v>150</v>
      </c>
      <c r="B6" s="202" t="str">
        <f>_xll.qlPeriodEquivalent(D6&amp;"M")</f>
        <v>10Y</v>
      </c>
      <c r="C6" s="203">
        <f>C5</f>
        <v>41820</v>
      </c>
      <c r="D6" s="204">
        <v>120</v>
      </c>
      <c r="E6" s="203">
        <f t="shared" si="0"/>
        <v>45470</v>
      </c>
      <c r="F6" s="205">
        <f t="shared" si="1"/>
        <v>6</v>
      </c>
      <c r="G6" s="251">
        <f t="shared" si="2"/>
        <v>0.01</v>
      </c>
      <c r="H6" s="206">
        <f t="shared" si="3"/>
        <v>0.04</v>
      </c>
      <c r="I6" s="207">
        <f t="shared" si="4"/>
        <v>5.0000000000000001E-3</v>
      </c>
      <c r="J6" s="206">
        <f>MIN(_xll.ohPack($Z$19:INDEX($Z$19:$Z$3552,MATCH(E6+1,$Y$19:$Y$3552,1),1)))</f>
        <v>1.0449999999957859E-2</v>
      </c>
      <c r="K6" s="207">
        <f>MAX(_xll.ohPack($Z$19:INDEX($Z$19:$Z$3552,MATCH(E6+1,$Y$19:$Y$3552,1),1)))</f>
        <v>3.821440842738677E-2</v>
      </c>
      <c r="L6" s="194"/>
      <c r="M6" s="194"/>
    </row>
    <row r="7" spans="1:28" hidden="1" outlineLevel="1" x14ac:dyDescent="0.2">
      <c r="A7" s="201"/>
      <c r="B7" s="202" t="str">
        <f>_xll.qlPeriodEquivalent(D7&amp;"M")</f>
        <v>20Y</v>
      </c>
      <c r="C7" s="203">
        <f>IF(AND(MONTH(C6)=12),C6,_xll.qlDateEndOfMonth(EDATE(C6,-6)))</f>
        <v>41639</v>
      </c>
      <c r="D7" s="204">
        <v>240</v>
      </c>
      <c r="E7" s="203">
        <f t="shared" si="0"/>
        <v>49122</v>
      </c>
      <c r="F7" s="205">
        <f t="shared" si="1"/>
        <v>12</v>
      </c>
      <c r="G7" s="251">
        <f t="shared" si="2"/>
        <v>0.01</v>
      </c>
      <c r="H7" s="206">
        <f t="shared" si="3"/>
        <v>0.04</v>
      </c>
      <c r="I7" s="207">
        <f t="shared" si="4"/>
        <v>5.0000000000000001E-3</v>
      </c>
      <c r="J7" s="206">
        <f>MIN(_xll.ohPack($Z$19:INDEX($Z$19:$Z$3552,MATCH(E7+1,$Y$19:$Y$3552,1),1)))</f>
        <v>1.0449999999957859E-2</v>
      </c>
      <c r="K7" s="207">
        <f>MAX(_xll.ohPack($Z$19:INDEX($Z$19:$Z$3552,MATCH(E7+1,$Y$19:$Y$3552,1),1)))</f>
        <v>3.9095682987393632E-2</v>
      </c>
      <c r="L7" s="194"/>
      <c r="M7" s="194"/>
    </row>
    <row r="8" spans="1:28" hidden="1" outlineLevel="1" x14ac:dyDescent="0.2">
      <c r="A8" s="201"/>
      <c r="B8" s="202" t="str">
        <f>_xll.qlPeriodEquivalent(D8&amp;"M")</f>
        <v>30Y</v>
      </c>
      <c r="C8" s="203">
        <f>C7</f>
        <v>41639</v>
      </c>
      <c r="D8" s="204">
        <v>360</v>
      </c>
      <c r="E8" s="203">
        <f t="shared" si="0"/>
        <v>52775</v>
      </c>
      <c r="F8" s="205">
        <f t="shared" si="1"/>
        <v>36</v>
      </c>
      <c r="G8" s="251">
        <f t="shared" si="2"/>
        <v>0.01</v>
      </c>
      <c r="H8" s="206">
        <f t="shared" si="3"/>
        <v>0.04</v>
      </c>
      <c r="I8" s="207">
        <f t="shared" si="4"/>
        <v>5.0000000000000001E-3</v>
      </c>
      <c r="J8" s="206">
        <f>MIN(_xll.ohPack($Z$19:INDEX($Z$19:$Z$3552,MATCH(E8+1,$Y$19:$Y$3552,1),1)))</f>
        <v>1.0449999999957859E-2</v>
      </c>
      <c r="K8" s="207">
        <f>MAX(_xll.ohPack($Z$19:INDEX($Z$19:$Z$3552,MATCH(E8+1,$Y$19:$Y$3552,1),1)))</f>
        <v>3.9095682987393632E-2</v>
      </c>
      <c r="L8" s="194"/>
      <c r="M8" s="194"/>
      <c r="AA8" s="210"/>
    </row>
    <row r="9" spans="1:28" ht="12" hidden="1" outlineLevel="1" thickBot="1" x14ac:dyDescent="0.25">
      <c r="A9" s="201"/>
      <c r="B9" s="202" t="str">
        <f>_xll.qlPeriodEquivalent(D9&amp;"M")</f>
        <v>60Y</v>
      </c>
      <c r="C9" s="203">
        <f>C8</f>
        <v>41639</v>
      </c>
      <c r="D9" s="204">
        <f>60*12</f>
        <v>720</v>
      </c>
      <c r="E9" s="203">
        <f t="shared" si="0"/>
        <v>63732</v>
      </c>
      <c r="F9" s="205">
        <f t="shared" si="1"/>
        <v>60</v>
      </c>
      <c r="G9" s="251">
        <f t="shared" si="2"/>
        <v>0.01</v>
      </c>
      <c r="H9" s="206">
        <f t="shared" si="3"/>
        <v>0.04</v>
      </c>
      <c r="I9" s="207">
        <f t="shared" si="4"/>
        <v>5.0000000000000001E-3</v>
      </c>
      <c r="J9" s="206">
        <f>MIN(_xll.ohPack($Z$19:INDEX($Z$19:$Z$3552,MATCH(E9+1,$Y$19:$Y$3552,1),1)))</f>
        <v>1.0449999999957859E-2</v>
      </c>
      <c r="K9" s="207">
        <f>MAX(_xll.ohPack($Z$19:INDEX($Z$19:$Z$3552,MATCH(E9+1,$Y$19:$Y$3552,1),1)))</f>
        <v>3.9095682987393632E-2</v>
      </c>
      <c r="L9" s="194"/>
      <c r="M9" s="194"/>
      <c r="AA9" s="210"/>
    </row>
    <row r="10" spans="1:28" hidden="1" outlineLevel="1" x14ac:dyDescent="0.2">
      <c r="A10" s="211"/>
      <c r="B10" s="212" t="str">
        <f>_xll.qlPeriodEquivalent(D10&amp;"M")</f>
        <v>1Y</v>
      </c>
      <c r="C10" s="213">
        <f>C3</f>
        <v>41790</v>
      </c>
      <c r="D10" s="214">
        <v>12</v>
      </c>
      <c r="E10" s="213">
        <f t="shared" si="0"/>
        <v>42182</v>
      </c>
      <c r="F10" s="215">
        <f t="shared" si="1"/>
        <v>1</v>
      </c>
      <c r="G10" s="252">
        <f t="shared" si="2"/>
        <v>7.000000000000001E-3</v>
      </c>
      <c r="H10" s="216">
        <f t="shared" si="3"/>
        <v>1.6E-2</v>
      </c>
      <c r="I10" s="217">
        <f t="shared" si="4"/>
        <v>1E-3</v>
      </c>
      <c r="J10" s="216">
        <f>MIN(_xll.ohPack($AA$19:INDEX($AA$19:$AA$3552,MATCH(E10+1,$Y$19:$Y$3552,1),1)))</f>
        <v>7.195780521862539E-3</v>
      </c>
      <c r="K10" s="217">
        <f>MAX(_xll.ohPack($AA$19:INDEX($AA$19:$AA$3552,MATCH(E10+1,$Y$19:$Y$3552,1),1)))</f>
        <v>1.5102057758840106E-2</v>
      </c>
      <c r="L10" s="194"/>
      <c r="M10" s="194"/>
    </row>
    <row r="11" spans="1:28" hidden="1" outlineLevel="1" x14ac:dyDescent="0.2">
      <c r="A11" s="201"/>
      <c r="B11" s="202" t="str">
        <f>_xll.qlPeriodEquivalent(D11&amp;"M")</f>
        <v>2Y</v>
      </c>
      <c r="C11" s="203">
        <f t="shared" ref="C11:C16" si="5">C4</f>
        <v>41820</v>
      </c>
      <c r="D11" s="204">
        <v>24</v>
      </c>
      <c r="E11" s="203">
        <f t="shared" si="0"/>
        <v>42548</v>
      </c>
      <c r="F11" s="205">
        <f t="shared" si="1"/>
        <v>3</v>
      </c>
      <c r="G11" s="251">
        <f t="shared" si="2"/>
        <v>7.000000000000001E-3</v>
      </c>
      <c r="H11" s="206">
        <f t="shared" si="3"/>
        <v>2.5000000000000001E-2</v>
      </c>
      <c r="I11" s="207">
        <f t="shared" si="4"/>
        <v>2.5000000000000001E-3</v>
      </c>
      <c r="J11" s="206">
        <f>MIN(_xll.ohPack($AA$19:INDEX($AA$19:$AA$3552,MATCH(E11+1,$Y$19:$Y$3552,1),1)))</f>
        <v>7.195780521862539E-3</v>
      </c>
      <c r="K11" s="207">
        <f>MAX(_xll.ohPack($AA$19:INDEX($AA$19:$AA$3552,MATCH(E11+1,$Y$19:$Y$3552,1),1)))</f>
        <v>2.2974977498390059E-2</v>
      </c>
      <c r="L11" s="194"/>
      <c r="M11" s="194"/>
    </row>
    <row r="12" spans="1:28" hidden="1" outlineLevel="1" x14ac:dyDescent="0.2">
      <c r="A12" s="201"/>
      <c r="B12" s="202" t="str">
        <f>_xll.qlPeriodEquivalent(D12&amp;"M")</f>
        <v>5Y</v>
      </c>
      <c r="C12" s="203">
        <f t="shared" si="5"/>
        <v>41820</v>
      </c>
      <c r="D12" s="204">
        <v>60</v>
      </c>
      <c r="E12" s="203">
        <f t="shared" si="0"/>
        <v>43643</v>
      </c>
      <c r="F12" s="205">
        <f t="shared" si="1"/>
        <v>6</v>
      </c>
      <c r="G12" s="251">
        <f>ROUNDDOWN(J12*10,2)/10</f>
        <v>7.000000000000001E-3</v>
      </c>
      <c r="H12" s="206">
        <f t="shared" si="3"/>
        <v>3.5000000000000003E-2</v>
      </c>
      <c r="I12" s="207">
        <f t="shared" si="4"/>
        <v>5.0000000000000001E-3</v>
      </c>
      <c r="J12" s="206">
        <f>MIN(_xll.ohPack($AA$19:INDEX($AA$19:$AA$3552,MATCH(E12+1,$Y$19:$Y$3552,1),1)))</f>
        <v>7.195780521862539E-3</v>
      </c>
      <c r="K12" s="207">
        <f>MAX(_xll.ohPack($AA$19:INDEX($AA$19:$AA$3552,MATCH(E12+1,$Y$19:$Y$3552,1),1)))</f>
        <v>3.2647263885006161E-2</v>
      </c>
      <c r="L12" s="194"/>
      <c r="M12" s="194"/>
    </row>
    <row r="13" spans="1:28" hidden="1" outlineLevel="1" x14ac:dyDescent="0.2">
      <c r="A13" s="201" t="s">
        <v>151</v>
      </c>
      <c r="B13" s="202" t="str">
        <f>_xll.qlPeriodEquivalent(D13&amp;"M")</f>
        <v>10Y</v>
      </c>
      <c r="C13" s="203">
        <f t="shared" si="5"/>
        <v>41820</v>
      </c>
      <c r="D13" s="204">
        <v>120</v>
      </c>
      <c r="E13" s="203">
        <f t="shared" si="0"/>
        <v>45470</v>
      </c>
      <c r="F13" s="205">
        <f t="shared" si="1"/>
        <v>6</v>
      </c>
      <c r="G13" s="251">
        <f t="shared" si="2"/>
        <v>7.000000000000001E-3</v>
      </c>
      <c r="H13" s="206">
        <f t="shared" si="3"/>
        <v>0.04</v>
      </c>
      <c r="I13" s="207">
        <f t="shared" si="4"/>
        <v>5.0000000000000001E-3</v>
      </c>
      <c r="J13" s="206">
        <f>MIN(_xll.ohPack($AA$19:INDEX($AA$19:$AA$3552,MATCH(E13+1,$Y$19:$Y$3552,1),1)))</f>
        <v>7.195780521862539E-3</v>
      </c>
      <c r="K13" s="207">
        <f>MAX(_xll.ohPack($AA$19:INDEX($AA$19:$AA$3552,MATCH(E13+1,$Y$19:$Y$3552,1),1)))</f>
        <v>3.7178791347819429E-2</v>
      </c>
      <c r="L13" s="194"/>
      <c r="M13" s="194"/>
    </row>
    <row r="14" spans="1:28" hidden="1" outlineLevel="1" x14ac:dyDescent="0.2">
      <c r="A14" s="201"/>
      <c r="B14" s="202" t="str">
        <f>_xll.qlPeriodEquivalent(D14&amp;"M")</f>
        <v>20Y</v>
      </c>
      <c r="C14" s="203">
        <f t="shared" si="5"/>
        <v>41639</v>
      </c>
      <c r="D14" s="204">
        <v>240</v>
      </c>
      <c r="E14" s="203">
        <f t="shared" si="0"/>
        <v>49122</v>
      </c>
      <c r="F14" s="205">
        <f t="shared" si="1"/>
        <v>12</v>
      </c>
      <c r="G14" s="251">
        <f t="shared" si="2"/>
        <v>7.000000000000001E-3</v>
      </c>
      <c r="H14" s="206">
        <f t="shared" si="3"/>
        <v>0.04</v>
      </c>
      <c r="I14" s="207">
        <f t="shared" si="4"/>
        <v>5.0000000000000001E-3</v>
      </c>
      <c r="J14" s="206">
        <f>MIN(_xll.ohPack($AA$19:INDEX($AA$19:$AA$3552,MATCH(E14+1,$Y$19:$Y$3552,1),1)))</f>
        <v>7.195780521862539E-3</v>
      </c>
      <c r="K14" s="207">
        <f>MAX(_xll.ohPack($AA$19:INDEX($AA$19:$AA$3552,MATCH(E14+1,$Y$19:$Y$3552,1),1)))</f>
        <v>3.8358529664292984E-2</v>
      </c>
      <c r="L14" s="194"/>
      <c r="M14" s="194"/>
    </row>
    <row r="15" spans="1:28" hidden="1" outlineLevel="1" x14ac:dyDescent="0.2">
      <c r="A15" s="201"/>
      <c r="B15" s="202" t="str">
        <f>_xll.qlPeriodEquivalent(D15&amp;"M")</f>
        <v>30Y</v>
      </c>
      <c r="C15" s="203">
        <f t="shared" si="5"/>
        <v>41639</v>
      </c>
      <c r="D15" s="204">
        <v>360</v>
      </c>
      <c r="E15" s="203">
        <f t="shared" si="0"/>
        <v>52775</v>
      </c>
      <c r="F15" s="205">
        <f t="shared" si="1"/>
        <v>36</v>
      </c>
      <c r="G15" s="251">
        <f t="shared" si="2"/>
        <v>7.000000000000001E-3</v>
      </c>
      <c r="H15" s="206">
        <f t="shared" si="3"/>
        <v>0.04</v>
      </c>
      <c r="I15" s="207">
        <f t="shared" si="4"/>
        <v>5.0000000000000001E-3</v>
      </c>
      <c r="J15" s="206">
        <f>MIN(_xll.ohPack($AA$19:INDEX($AA$19:$AA$3552,MATCH(E15+1,$Y$19:$Y$3552,1),1)))</f>
        <v>7.195780521862539E-3</v>
      </c>
      <c r="K15" s="207">
        <f>MAX(_xll.ohPack($AA$19:INDEX($AA$19:$AA$3552,MATCH(E15+1,$Y$19:$Y$3552,1),1)))</f>
        <v>3.8358529664292984E-2</v>
      </c>
      <c r="L15" s="194"/>
      <c r="M15" s="194"/>
    </row>
    <row r="16" spans="1:28" ht="12" hidden="1" outlineLevel="1" thickBot="1" x14ac:dyDescent="0.25">
      <c r="A16" s="218"/>
      <c r="B16" s="202" t="str">
        <f>_xll.qlPeriodEquivalent(D16&amp;"M")</f>
        <v>60Y</v>
      </c>
      <c r="C16" s="203">
        <f t="shared" si="5"/>
        <v>41639</v>
      </c>
      <c r="D16" s="204">
        <v>720</v>
      </c>
      <c r="E16" s="203">
        <f t="shared" si="0"/>
        <v>63732</v>
      </c>
      <c r="F16" s="205">
        <f t="shared" si="1"/>
        <v>60</v>
      </c>
      <c r="G16" s="251">
        <f t="shared" si="2"/>
        <v>7.000000000000001E-3</v>
      </c>
      <c r="H16" s="206">
        <f t="shared" si="3"/>
        <v>0.04</v>
      </c>
      <c r="I16" s="207">
        <f t="shared" si="4"/>
        <v>5.0000000000000001E-3</v>
      </c>
      <c r="J16" s="206">
        <f>MIN(_xll.ohPack($AA$19:INDEX($AA$19:$AA$3552,MATCH(E16+1,$Y$19:$Y$3552,1),1)))</f>
        <v>7.195780521862539E-3</v>
      </c>
      <c r="K16" s="207">
        <f>MAX(_xll.ohPack($AA$19:INDEX($AA$19:$AA$3552,MATCH(E16+1,$Y$19:$Y$3552,1),1)))</f>
        <v>3.8358529664292984E-2</v>
      </c>
      <c r="L16" s="194"/>
      <c r="M16" s="194"/>
      <c r="Z16" s="219" t="s">
        <v>152</v>
      </c>
      <c r="AA16" s="219" t="s">
        <v>153</v>
      </c>
    </row>
    <row r="17" spans="1:27" ht="12" collapsed="1" thickBot="1" x14ac:dyDescent="0.25">
      <c r="A17" s="220"/>
      <c r="B17" s="221"/>
      <c r="C17" s="221"/>
      <c r="D17" s="220"/>
      <c r="E17" s="220"/>
      <c r="F17" s="221"/>
      <c r="G17" s="221"/>
      <c r="H17" s="221"/>
      <c r="I17" s="221"/>
      <c r="J17" s="221"/>
      <c r="K17" s="220"/>
      <c r="L17" s="222"/>
      <c r="M17" s="222"/>
      <c r="Z17" s="223" t="str">
        <f>_xll.qlLibor(,Currency,IndexTenor,YieldCurve,,YieldCurve)</f>
        <v>obj_00698#0008</v>
      </c>
      <c r="AA17" s="223" t="str">
        <f>_xll.qlSonia(,YieldCurve,,YieldCurve)</f>
        <v>obj_00699#0006</v>
      </c>
    </row>
    <row r="18" spans="1:27" ht="12" thickBot="1" x14ac:dyDescent="0.25">
      <c r="M18" s="224" t="s">
        <v>20</v>
      </c>
      <c r="N18" s="224" t="s">
        <v>154</v>
      </c>
      <c r="O18" s="225" t="s">
        <v>155</v>
      </c>
      <c r="P18" s="226" t="s">
        <v>17</v>
      </c>
      <c r="Q18" s="225" t="s">
        <v>156</v>
      </c>
      <c r="R18" s="225" t="s">
        <v>157</v>
      </c>
      <c r="S18" s="225" t="s">
        <v>158</v>
      </c>
      <c r="T18" s="227" t="s">
        <v>159</v>
      </c>
      <c r="U18" s="219" t="s">
        <v>160</v>
      </c>
      <c r="V18" s="194"/>
      <c r="W18" s="228" t="s">
        <v>161</v>
      </c>
      <c r="X18" s="229" t="s">
        <v>157</v>
      </c>
      <c r="Y18" s="229" t="s">
        <v>155</v>
      </c>
      <c r="Z18" s="230" t="s">
        <v>162</v>
      </c>
      <c r="AA18" s="231" t="s">
        <v>151</v>
      </c>
    </row>
    <row r="19" spans="1:27" ht="12" thickBot="1" x14ac:dyDescent="0.25">
      <c r="J19" s="232" t="s">
        <v>163</v>
      </c>
      <c r="M19" s="233" t="str">
        <f>_xll.ohFilter(RateHelpers!E28,IF(ISERROR(RateHelpers!E28),FALSE,TRUE))</f>
        <v>obj_00609#0010</v>
      </c>
      <c r="N19" s="243" t="str">
        <f>_xll.qlRateHelperQuoteName(M19)</f>
        <v>GBP12x24F_Quote</v>
      </c>
      <c r="O19" s="245">
        <f>_xll.qlRateHelperEarliestDate(M19)</f>
        <v>42184</v>
      </c>
      <c r="P19" s="247">
        <f>_xll.qlRateHelperQuoteValue(M19,"ohTrigger(Trigger,RecalcTrigger))")</f>
        <v>1.9799999999999998E-2</v>
      </c>
      <c r="Q19" s="246" t="e">
        <f>NA()</f>
        <v>#N/A</v>
      </c>
      <c r="R19" s="245">
        <f>_xll.qlInterestRateIndexFixingDate(IborIndex,O19)</f>
        <v>42184</v>
      </c>
      <c r="S19" s="247">
        <f>_xll.qlIndexFixing(IborIndex,R19,TRUE,RecalcTrigger)</f>
        <v>1.9799999999999936E-2</v>
      </c>
      <c r="T19" s="250">
        <f t="shared" ref="T19:T24" si="6">S19-P19</f>
        <v>-6.2450045135165055E-17</v>
      </c>
      <c r="U19" s="235">
        <f t="array" ref="U19">MAX(ABS(T19:T24))</f>
        <v>6.2450045135165055E-17</v>
      </c>
      <c r="V19" s="236"/>
      <c r="W19" s="233" t="s">
        <v>128</v>
      </c>
      <c r="X19" s="237">
        <f>_xll.qlSettingsEvaluationDate(Trigger)</f>
        <v>41817</v>
      </c>
      <c r="Y19" s="237">
        <f>_xll.qlCalendarAdvance(Calendar,X19,NDays&amp;"D")</f>
        <v>41817</v>
      </c>
      <c r="Z19" s="238">
        <f t="array" ref="Z19:Z3552">IFERROR(_xll.qlIndexFixing(IborIndex,X19:X3552,TRUE,RecalcTrigger),NA())</f>
        <v>1.0449999999957859E-2</v>
      </c>
      <c r="AA19" s="240">
        <f t="array" ref="AA19:AA3552">IFERROR(_xll.qlIndexFixing(OverNightIndex,Y19:Y3552,TRUE,RecalcTrigger),NA())</f>
        <v>7.195780521862539E-3</v>
      </c>
    </row>
    <row r="20" spans="1:27" ht="12" thickBot="1" x14ac:dyDescent="0.25">
      <c r="J20" s="242"/>
      <c r="S20" s="199"/>
      <c r="W20" s="233" t="str">
        <f>W19</f>
        <v>1D</v>
      </c>
      <c r="X20" s="234">
        <f>_xll.qlCalendarAdvance(Calendar,X19,W20,"f",FALSE)</f>
        <v>41820</v>
      </c>
      <c r="Y20" s="237">
        <f>_xll.qlCalendarAdvance(Calendar,X20,NDays&amp;"D")</f>
        <v>41820</v>
      </c>
      <c r="Z20" s="238">
        <v>1.0489575785451288E-2</v>
      </c>
      <c r="AA20" s="240">
        <v>7.1974973579713719E-3</v>
      </c>
    </row>
    <row r="21" spans="1:27" x14ac:dyDescent="0.2">
      <c r="S21" s="199"/>
      <c r="W21" s="233" t="str">
        <f t="shared" ref="W21:W84" si="7">W20</f>
        <v>1D</v>
      </c>
      <c r="X21" s="234">
        <f>_xll.qlCalendarAdvance(Calendar,X20,W21,"f",FALSE)</f>
        <v>41821</v>
      </c>
      <c r="Y21" s="237">
        <f>_xll.qlCalendarAdvance(Calendar,X21,NDays&amp;"D")</f>
        <v>41821</v>
      </c>
      <c r="Z21" s="238">
        <v>1.0511862308411279E-2</v>
      </c>
      <c r="AA21" s="240">
        <v>7.1990905229668556E-3</v>
      </c>
    </row>
    <row r="22" spans="1:27" x14ac:dyDescent="0.2">
      <c r="S22" s="199"/>
      <c r="W22" s="233" t="str">
        <f t="shared" si="7"/>
        <v>1D</v>
      </c>
      <c r="X22" s="234">
        <f>_xll.qlCalendarAdvance(Calendar,X21,W22,"f",FALSE)</f>
        <v>41822</v>
      </c>
      <c r="Y22" s="237">
        <f>_xll.qlCalendarAdvance(Calendar,X22,NDays&amp;"D")</f>
        <v>41822</v>
      </c>
      <c r="Z22" s="238">
        <v>1.0534276497612183E-2</v>
      </c>
      <c r="AA22" s="240">
        <v>7.2010819791301639E-3</v>
      </c>
    </row>
    <row r="23" spans="1:27" x14ac:dyDescent="0.2">
      <c r="S23" s="199"/>
      <c r="W23" s="233" t="str">
        <f t="shared" si="7"/>
        <v>1D</v>
      </c>
      <c r="X23" s="234">
        <f>_xll.qlCalendarAdvance(Calendar,X22,W23,"f",FALSE)</f>
        <v>41823</v>
      </c>
      <c r="Y23" s="237">
        <f>_xll.qlCalendarAdvance(Calendar,X23,NDays&amp;"D")</f>
        <v>41823</v>
      </c>
      <c r="Z23" s="238">
        <v>1.0556814430700889E-2</v>
      </c>
      <c r="AA23" s="240">
        <v>7.2034717265423431E-3</v>
      </c>
    </row>
    <row r="24" spans="1:27" x14ac:dyDescent="0.2">
      <c r="S24" s="199"/>
      <c r="W24" s="233" t="str">
        <f t="shared" si="7"/>
        <v>1D</v>
      </c>
      <c r="X24" s="234">
        <f>_xll.qlCalendarAdvance(Calendar,X23,W24,"f",FALSE)</f>
        <v>41824</v>
      </c>
      <c r="Y24" s="237">
        <f>_xll.qlCalendarAdvance(Calendar,X24,NDays&amp;"D")</f>
        <v>41824</v>
      </c>
      <c r="Z24" s="238">
        <v>1.06069264394133E-2</v>
      </c>
      <c r="AA24" s="240">
        <v>7.2097212654990512E-3</v>
      </c>
    </row>
    <row r="25" spans="1:27" x14ac:dyDescent="0.2">
      <c r="S25" s="199"/>
      <c r="W25" s="233" t="str">
        <f t="shared" si="7"/>
        <v>1D</v>
      </c>
      <c r="X25" s="234">
        <f>_xll.qlCalendarAdvance(Calendar,X24,W25,"f",FALSE)</f>
        <v>41827</v>
      </c>
      <c r="Y25" s="237">
        <f>_xll.qlCalendarAdvance(Calendar,X25,NDays&amp;"D")</f>
        <v>41827</v>
      </c>
      <c r="Z25" s="238">
        <v>1.0648125144109954E-2</v>
      </c>
      <c r="AA25" s="240">
        <v>7.2170136290850007E-3</v>
      </c>
    </row>
    <row r="26" spans="1:27" x14ac:dyDescent="0.2">
      <c r="S26" s="199"/>
      <c r="W26" s="233" t="str">
        <f t="shared" si="7"/>
        <v>1D</v>
      </c>
      <c r="X26" s="234">
        <f>_xll.qlCalendarAdvance(Calendar,X25,W26,"f",FALSE)</f>
        <v>41828</v>
      </c>
      <c r="Y26" s="237">
        <f>_xll.qlCalendarAdvance(Calendar,X26,NDays&amp;"D")</f>
        <v>41828</v>
      </c>
      <c r="Z26" s="238">
        <v>1.0671222950520143E-2</v>
      </c>
      <c r="AA26" s="240">
        <v>7.221394832903627E-3</v>
      </c>
    </row>
    <row r="27" spans="1:27" x14ac:dyDescent="0.2">
      <c r="S27" s="199"/>
      <c r="W27" s="233" t="str">
        <f t="shared" si="7"/>
        <v>1D</v>
      </c>
      <c r="X27" s="234">
        <f>_xll.qlCalendarAdvance(Calendar,X26,W27,"f",FALSE)</f>
        <v>41829</v>
      </c>
      <c r="Y27" s="237">
        <f>_xll.qlCalendarAdvance(Calendar,X27,NDays&amp;"D")</f>
        <v>41829</v>
      </c>
      <c r="Z27" s="238">
        <v>1.06944209601465E-2</v>
      </c>
      <c r="AA27" s="240">
        <v>7.2261743281332169E-3</v>
      </c>
    </row>
    <row r="28" spans="1:27" x14ac:dyDescent="0.2">
      <c r="S28" s="199"/>
      <c r="W28" s="233" t="str">
        <f t="shared" si="7"/>
        <v>1D</v>
      </c>
      <c r="X28" s="234">
        <f>_xll.qlCalendarAdvance(Calendar,X27,W28,"f",FALSE)</f>
        <v>41830</v>
      </c>
      <c r="Y28" s="237">
        <f>_xll.qlCalendarAdvance(Calendar,X28,NDays&amp;"D")</f>
        <v>41830</v>
      </c>
      <c r="Z28" s="238">
        <v>1.0717715248411475E-2</v>
      </c>
      <c r="AA28" s="240">
        <v>7.2313521146116777E-3</v>
      </c>
    </row>
    <row r="29" spans="1:27" x14ac:dyDescent="0.2">
      <c r="S29" s="199"/>
      <c r="W29" s="233" t="str">
        <f t="shared" si="7"/>
        <v>1D</v>
      </c>
      <c r="X29" s="234">
        <f>_xll.qlCalendarAdvance(Calendar,X28,W29,"f",FALSE)</f>
        <v>41831</v>
      </c>
      <c r="Y29" s="237">
        <f>_xll.qlCalendarAdvance(Calendar,X29,NDays&amp;"D")</f>
        <v>41831</v>
      </c>
      <c r="Z29" s="238">
        <v>1.0769226216064697E-2</v>
      </c>
      <c r="AA29" s="240">
        <v>7.2431790567265937E-3</v>
      </c>
    </row>
    <row r="30" spans="1:27" x14ac:dyDescent="0.2">
      <c r="Q30" s="248"/>
      <c r="S30" s="199"/>
      <c r="T30" s="200"/>
      <c r="W30" s="233" t="str">
        <f t="shared" si="7"/>
        <v>1D</v>
      </c>
      <c r="X30" s="234">
        <f>_xll.qlCalendarAdvance(Calendar,X29,W30,"f",FALSE)</f>
        <v>41834</v>
      </c>
      <c r="Y30" s="237">
        <f>_xll.qlCalendarAdvance(Calendar,X30,NDays&amp;"D")</f>
        <v>41834</v>
      </c>
      <c r="Z30" s="238">
        <v>1.0811776684541474E-2</v>
      </c>
      <c r="AA30" s="240">
        <v>7.2560461743920168E-3</v>
      </c>
    </row>
    <row r="31" spans="1:27" x14ac:dyDescent="0.2">
      <c r="Q31" s="248"/>
      <c r="S31" s="199"/>
      <c r="T31" s="200"/>
      <c r="W31" s="233" t="str">
        <f t="shared" si="7"/>
        <v>1D</v>
      </c>
      <c r="X31" s="234">
        <f>_xll.qlCalendarAdvance(Calendar,X30,W31,"f",FALSE)</f>
        <v>41835</v>
      </c>
      <c r="Y31" s="237">
        <f>_xll.qlCalendarAdvance(Calendar,X31,NDays&amp;"D")</f>
        <v>41835</v>
      </c>
      <c r="Z31" s="238">
        <v>1.0835493485519487E-2</v>
      </c>
      <c r="AA31" s="240">
        <v>7.2632154178442487E-3</v>
      </c>
    </row>
    <row r="32" spans="1:27" x14ac:dyDescent="0.2">
      <c r="Q32" s="248"/>
      <c r="S32" s="199"/>
      <c r="T32" s="200"/>
      <c r="W32" s="233" t="str">
        <f t="shared" si="7"/>
        <v>1D</v>
      </c>
      <c r="X32" s="234">
        <f>_xll.qlCalendarAdvance(Calendar,X31,W32,"f",FALSE)</f>
        <v>41836</v>
      </c>
      <c r="Y32" s="237">
        <f>_xll.qlCalendarAdvance(Calendar,X32,NDays&amp;"D")</f>
        <v>41836</v>
      </c>
      <c r="Z32" s="238">
        <v>1.0859283010531851E-2</v>
      </c>
      <c r="AA32" s="240">
        <v>7.2707829527884904E-3</v>
      </c>
    </row>
    <row r="33" spans="17:27" x14ac:dyDescent="0.2">
      <c r="Q33" s="248"/>
      <c r="S33" s="199"/>
      <c r="T33" s="200"/>
      <c r="W33" s="233" t="str">
        <f t="shared" si="7"/>
        <v>1D</v>
      </c>
      <c r="X33" s="234">
        <f>_xll.qlCalendarAdvance(Calendar,X32,W33,"f",FALSE)</f>
        <v>41837</v>
      </c>
      <c r="Y33" s="237">
        <f>_xll.qlCalendarAdvance(Calendar,X33,NDays&amp;"D")</f>
        <v>41837</v>
      </c>
      <c r="Z33" s="238">
        <v>1.0883141332590496E-2</v>
      </c>
      <c r="AA33" s="240">
        <v>7.2787487791436956E-3</v>
      </c>
    </row>
    <row r="34" spans="17:27" x14ac:dyDescent="0.2">
      <c r="Q34" s="248"/>
      <c r="S34" s="199"/>
      <c r="T34" s="200"/>
      <c r="W34" s="233" t="str">
        <f t="shared" si="7"/>
        <v>1D</v>
      </c>
      <c r="X34" s="234">
        <f>_xll.qlCalendarAdvance(Calendar,X33,W34,"f",FALSE)</f>
        <v>41838</v>
      </c>
      <c r="Y34" s="237">
        <f>_xll.qlCalendarAdvance(Calendar,X34,NDays&amp;"D")</f>
        <v>41838</v>
      </c>
      <c r="Z34" s="238">
        <v>1.093556041558809E-2</v>
      </c>
      <c r="AA34" s="240">
        <v>7.2961539116733762E-3</v>
      </c>
    </row>
    <row r="35" spans="17:27" x14ac:dyDescent="0.2">
      <c r="Q35" s="248"/>
      <c r="S35" s="199"/>
      <c r="T35" s="200"/>
      <c r="W35" s="233" t="str">
        <f t="shared" si="7"/>
        <v>1D</v>
      </c>
      <c r="X35" s="234">
        <f>_xll.qlCalendarAdvance(Calendar,X34,W35,"f",FALSE)</f>
        <v>41841</v>
      </c>
      <c r="Y35" s="237">
        <f>_xll.qlCalendarAdvance(Calendar,X35,NDays&amp;"D")</f>
        <v>41841</v>
      </c>
      <c r="Z35" s="238">
        <v>1.0979184038989453E-2</v>
      </c>
      <c r="AA35" s="240">
        <v>7.314595000132984E-3</v>
      </c>
    </row>
    <row r="36" spans="17:27" x14ac:dyDescent="0.2">
      <c r="Q36" s="248"/>
      <c r="S36" s="199"/>
      <c r="T36" s="200"/>
      <c r="W36" s="233" t="str">
        <f t="shared" si="7"/>
        <v>1D</v>
      </c>
      <c r="X36" s="234">
        <f>_xll.qlCalendarAdvance(Calendar,X35,W36,"f",FALSE)</f>
        <v>41842</v>
      </c>
      <c r="Y36" s="237">
        <f>_xll.qlCalendarAdvance(Calendar,X36,NDays&amp;"D")</f>
        <v>41842</v>
      </c>
      <c r="Z36" s="238">
        <v>1.1003327428888099E-2</v>
      </c>
      <c r="AA36" s="240">
        <v>7.3245522844345157E-3</v>
      </c>
    </row>
    <row r="37" spans="17:27" x14ac:dyDescent="0.2">
      <c r="Q37" s="248"/>
      <c r="S37" s="199"/>
      <c r="T37" s="200"/>
      <c r="W37" s="233" t="str">
        <f t="shared" si="7"/>
        <v>1D</v>
      </c>
      <c r="X37" s="234">
        <f>_xll.qlCalendarAdvance(Calendar,X36,W37,"f",FALSE)</f>
        <v>41843</v>
      </c>
      <c r="Y37" s="237">
        <f>_xll.qlCalendarAdvance(Calendar,X37,NDays&amp;"D")</f>
        <v>41843</v>
      </c>
      <c r="Z37" s="238">
        <v>1.1027516046329566E-2</v>
      </c>
      <c r="AA37" s="240">
        <v>7.3349078603091034E-3</v>
      </c>
    </row>
    <row r="38" spans="17:27" x14ac:dyDescent="0.2">
      <c r="Q38" s="248"/>
      <c r="S38" s="199"/>
      <c r="T38" s="200"/>
      <c r="W38" s="233" t="str">
        <f t="shared" si="7"/>
        <v>1D</v>
      </c>
      <c r="X38" s="234">
        <f>_xll.qlCalendarAdvance(Calendar,X37,W38,"f",FALSE)</f>
        <v>41844</v>
      </c>
      <c r="Y38" s="237">
        <f>_xll.qlCalendarAdvance(Calendar,X38,NDays&amp;"D")</f>
        <v>41844</v>
      </c>
      <c r="Z38" s="238">
        <v>1.105174596178049E-2</v>
      </c>
      <c r="AA38" s="240">
        <v>7.3456617279188396E-3</v>
      </c>
    </row>
    <row r="39" spans="17:27" x14ac:dyDescent="0.2">
      <c r="Q39" s="248"/>
      <c r="S39" s="199"/>
      <c r="T39" s="200"/>
      <c r="W39" s="233" t="str">
        <f t="shared" si="7"/>
        <v>1D</v>
      </c>
      <c r="X39" s="234">
        <f>_xll.qlCalendarAdvance(Calendar,X38,W39,"f",FALSE)</f>
        <v>41845</v>
      </c>
      <c r="Y39" s="237">
        <f>_xll.qlCalendarAdvance(Calendar,X39,NDays&amp;"D")</f>
        <v>41845</v>
      </c>
      <c r="Z39" s="238">
        <v>1.1104589297094335E-2</v>
      </c>
      <c r="AA39" s="240">
        <v>7.368645855814945E-3</v>
      </c>
    </row>
    <row r="40" spans="17:27" x14ac:dyDescent="0.2">
      <c r="Q40" s="248"/>
      <c r="S40" s="199"/>
      <c r="T40" s="200"/>
      <c r="W40" s="233" t="str">
        <f t="shared" si="7"/>
        <v>1D</v>
      </c>
      <c r="X40" s="234">
        <f>_xll.qlCalendarAdvance(Calendar,X39,W40,"f",FALSE)</f>
        <v>41848</v>
      </c>
      <c r="Y40" s="237">
        <f>_xll.qlCalendarAdvance(Calendar,X40,NDays&amp;"D")</f>
        <v>41848</v>
      </c>
      <c r="Z40" s="238">
        <v>1.1148999999966769E-2</v>
      </c>
      <c r="AA40" s="240">
        <v>7.3926046009520352E-3</v>
      </c>
    </row>
    <row r="41" spans="17:27" x14ac:dyDescent="0.2">
      <c r="Q41" s="248"/>
      <c r="S41" s="199"/>
      <c r="T41" s="200"/>
      <c r="W41" s="233" t="str">
        <f t="shared" si="7"/>
        <v>1D</v>
      </c>
      <c r="X41" s="234">
        <f>_xll.qlCalendarAdvance(Calendar,X40,W41,"f",FALSE)</f>
        <v>41849</v>
      </c>
      <c r="Y41" s="237">
        <f>_xll.qlCalendarAdvance(Calendar,X41,NDays&amp;"D")</f>
        <v>41849</v>
      </c>
      <c r="Z41" s="238">
        <v>1.1173378224649255E-2</v>
      </c>
      <c r="AA41" s="240">
        <v>7.4050168381267767E-3</v>
      </c>
    </row>
    <row r="42" spans="17:27" x14ac:dyDescent="0.2">
      <c r="Q42" s="248"/>
      <c r="S42" s="199"/>
      <c r="T42" s="200"/>
      <c r="W42" s="233" t="str">
        <f t="shared" si="7"/>
        <v>1D</v>
      </c>
      <c r="X42" s="234">
        <f>_xll.qlCalendarAdvance(Calendar,X41,W42,"f",FALSE)</f>
        <v>41850</v>
      </c>
      <c r="Y42" s="237">
        <f>_xll.qlCalendarAdvance(Calendar,X42,NDays&amp;"D")</f>
        <v>41850</v>
      </c>
      <c r="Z42" s="238">
        <v>1.1197778813912818E-2</v>
      </c>
      <c r="AA42" s="240">
        <v>7.4174942777638364E-3</v>
      </c>
    </row>
    <row r="43" spans="17:27" x14ac:dyDescent="0.2">
      <c r="Q43" s="248"/>
      <c r="S43" s="199"/>
      <c r="T43" s="200"/>
      <c r="W43" s="233" t="str">
        <f t="shared" si="7"/>
        <v>1D</v>
      </c>
      <c r="X43" s="234">
        <f>_xll.qlCalendarAdvance(Calendar,X42,W43,"f",FALSE)</f>
        <v>41851</v>
      </c>
      <c r="Y43" s="237">
        <f>_xll.qlCalendarAdvance(Calendar,X43,NDays&amp;"D")</f>
        <v>41851</v>
      </c>
      <c r="Z43" s="238">
        <v>1.1222202487633171E-2</v>
      </c>
      <c r="AA43" s="240">
        <v>7.4300369198632144E-3</v>
      </c>
    </row>
    <row r="44" spans="17:27" x14ac:dyDescent="0.2">
      <c r="Q44" s="248"/>
      <c r="S44" s="199"/>
      <c r="T44" s="200"/>
      <c r="W44" s="233" t="str">
        <f t="shared" si="7"/>
        <v>1D</v>
      </c>
      <c r="X44" s="234">
        <f>_xll.qlCalendarAdvance(Calendar,X43,W44,"f",FALSE)</f>
        <v>41852</v>
      </c>
      <c r="Y44" s="237">
        <f>_xll.qlCalendarAdvance(Calendar,X44,NDays&amp;"D")</f>
        <v>41852</v>
      </c>
      <c r="Z44" s="238">
        <v>1.1275115563028763E-2</v>
      </c>
      <c r="AA44" s="240">
        <v>7.4554918262155958E-3</v>
      </c>
    </row>
    <row r="45" spans="17:27" x14ac:dyDescent="0.2">
      <c r="Q45" s="248"/>
      <c r="S45" s="199"/>
      <c r="T45" s="200"/>
      <c r="W45" s="233" t="str">
        <f t="shared" si="7"/>
        <v>1D</v>
      </c>
      <c r="X45" s="234">
        <f>_xll.qlCalendarAdvance(Calendar,X44,W45,"f",FALSE)</f>
        <v>41855</v>
      </c>
      <c r="Y45" s="237">
        <f>_xll.qlCalendarAdvance(Calendar,X45,NDays&amp;"D")</f>
        <v>41855</v>
      </c>
      <c r="Z45" s="238">
        <v>1.1320142427087232E-2</v>
      </c>
      <c r="AA45" s="240">
        <v>7.4808595131270472E-3</v>
      </c>
    </row>
    <row r="46" spans="17:27" x14ac:dyDescent="0.2">
      <c r="Q46" s="248"/>
      <c r="S46" s="199"/>
      <c r="T46" s="200"/>
      <c r="W46" s="233" t="str">
        <f t="shared" si="7"/>
        <v>1D</v>
      </c>
      <c r="X46" s="234">
        <f>_xll.qlCalendarAdvance(Calendar,X45,W46,"f",FALSE)</f>
        <v>41856</v>
      </c>
      <c r="Y46" s="237">
        <f>_xll.qlCalendarAdvance(Calendar,X46,NDays&amp;"D")</f>
        <v>41856</v>
      </c>
      <c r="Z46" s="238">
        <v>1.1344692323718153E-2</v>
      </c>
      <c r="AA46" s="240">
        <v>7.4937281676190626E-3</v>
      </c>
    </row>
    <row r="47" spans="17:27" x14ac:dyDescent="0.2">
      <c r="Q47" s="248"/>
      <c r="S47" s="199"/>
      <c r="T47" s="200"/>
      <c r="W47" s="233" t="str">
        <f t="shared" si="7"/>
        <v>1D</v>
      </c>
      <c r="X47" s="234">
        <f>_xll.qlCalendarAdvance(Calendar,X46,W47,"f",FALSE)</f>
        <v>41857</v>
      </c>
      <c r="Y47" s="237">
        <f>_xll.qlCalendarAdvance(Calendar,X47,NDays&amp;"D")</f>
        <v>41857</v>
      </c>
      <c r="Z47" s="238">
        <v>1.1369269625557177E-2</v>
      </c>
      <c r="AA47" s="240">
        <v>7.5066620247354887E-3</v>
      </c>
    </row>
    <row r="48" spans="17:27" x14ac:dyDescent="0.2">
      <c r="Q48" s="248"/>
      <c r="S48" s="199"/>
      <c r="T48" s="200"/>
      <c r="W48" s="233" t="str">
        <f t="shared" si="7"/>
        <v>1D</v>
      </c>
      <c r="X48" s="234">
        <f>_xll.qlCalendarAdvance(Calendar,X47,W48,"f",FALSE)</f>
        <v>41858</v>
      </c>
      <c r="Y48" s="237">
        <f>_xll.qlCalendarAdvance(Calendar,X48,NDays&amp;"D")</f>
        <v>41858</v>
      </c>
      <c r="Z48" s="238">
        <v>1.1393875052979174E-2</v>
      </c>
      <c r="AA48" s="240">
        <v>7.5196610842331868E-3</v>
      </c>
    </row>
    <row r="49" spans="17:27" x14ac:dyDescent="0.2">
      <c r="Q49" s="248"/>
      <c r="S49" s="199"/>
      <c r="T49" s="200"/>
      <c r="W49" s="233" t="str">
        <f t="shared" si="7"/>
        <v>1D</v>
      </c>
      <c r="X49" s="234">
        <f>_xll.qlCalendarAdvance(Calendar,X48,W49,"f",FALSE)</f>
        <v>41859</v>
      </c>
      <c r="Y49" s="237">
        <f>_xll.qlCalendarAdvance(Calendar,X49,NDays&amp;"D")</f>
        <v>41859</v>
      </c>
      <c r="Z49" s="238">
        <v>1.144692975201435E-2</v>
      </c>
      <c r="AA49" s="240">
        <v>7.5460325467302533E-3</v>
      </c>
    </row>
    <row r="50" spans="17:27" x14ac:dyDescent="0.2">
      <c r="Q50" s="248"/>
      <c r="S50" s="199"/>
      <c r="T50" s="200"/>
      <c r="W50" s="233" t="str">
        <f t="shared" si="7"/>
        <v>1D</v>
      </c>
      <c r="X50" s="234">
        <f>_xll.qlCalendarAdvance(Calendar,X49,W50,"f",FALSE)</f>
        <v>41862</v>
      </c>
      <c r="Y50" s="237">
        <f>_xll.qlCalendarAdvance(Calendar,X50,NDays&amp;"D")</f>
        <v>41862</v>
      </c>
      <c r="Z50" s="238">
        <v>1.1492592428558046E-2</v>
      </c>
      <c r="AA50" s="240">
        <v>7.5723093478197168E-3</v>
      </c>
    </row>
    <row r="51" spans="17:27" x14ac:dyDescent="0.2">
      <c r="Q51" s="248"/>
      <c r="S51" s="199"/>
      <c r="T51" s="200"/>
      <c r="W51" s="233" t="str">
        <f t="shared" si="7"/>
        <v>1D</v>
      </c>
      <c r="X51" s="234">
        <f>_xll.qlCalendarAdvance(Calendar,X50,W51,"f",FALSE)</f>
        <v>41863</v>
      </c>
      <c r="Y51" s="237">
        <f>_xll.qlCalendarAdvance(Calendar,X51,NDays&amp;"D")</f>
        <v>41863</v>
      </c>
      <c r="Z51" s="238">
        <v>1.1517349292074153E-2</v>
      </c>
      <c r="AA51" s="240">
        <v>7.5856344200342374E-3</v>
      </c>
    </row>
    <row r="52" spans="17:27" x14ac:dyDescent="0.2">
      <c r="Q52" s="248"/>
      <c r="S52" s="199"/>
      <c r="T52" s="200"/>
      <c r="W52" s="233" t="str">
        <f t="shared" si="7"/>
        <v>1D</v>
      </c>
      <c r="X52" s="234">
        <f>_xll.qlCalendarAdvance(Calendar,X51,W52,"f",FALSE)</f>
        <v>41864</v>
      </c>
      <c r="Y52" s="237">
        <f>_xll.qlCalendarAdvance(Calendar,X52,NDays&amp;"D")</f>
        <v>41864</v>
      </c>
      <c r="Z52" s="238">
        <v>1.1542138604954344E-2</v>
      </c>
      <c r="AA52" s="240">
        <v>7.5990246948731688E-3</v>
      </c>
    </row>
    <row r="53" spans="17:27" x14ac:dyDescent="0.2">
      <c r="Q53" s="248"/>
      <c r="S53" s="199"/>
      <c r="T53" s="200"/>
      <c r="W53" s="233" t="str">
        <f t="shared" si="7"/>
        <v>1D</v>
      </c>
      <c r="X53" s="234">
        <f>_xll.qlCalendarAdvance(Calendar,X52,W53,"f",FALSE)</f>
        <v>41865</v>
      </c>
      <c r="Y53" s="237">
        <f>_xll.qlCalendarAdvance(Calendar,X53,NDays&amp;"D")</f>
        <v>41865</v>
      </c>
      <c r="Z53" s="238">
        <v>1.1566961088084415E-2</v>
      </c>
      <c r="AA53" s="240">
        <v>7.6124801722554647E-3</v>
      </c>
    </row>
    <row r="54" spans="17:27" x14ac:dyDescent="0.2">
      <c r="Q54" s="248"/>
      <c r="S54" s="199"/>
      <c r="T54" s="200"/>
      <c r="W54" s="233" t="str">
        <f t="shared" si="7"/>
        <v>1D</v>
      </c>
      <c r="X54" s="234">
        <f>_xll.qlCalendarAdvance(Calendar,X53,W54,"f",FALSE)</f>
        <v>41866</v>
      </c>
      <c r="Y54" s="237">
        <f>_xll.qlCalendarAdvance(Calendar,X54,NDays&amp;"D")</f>
        <v>41866</v>
      </c>
      <c r="Z54" s="238">
        <v>1.1620272904956847E-2</v>
      </c>
      <c r="AA54" s="240">
        <v>7.63976837022562E-3</v>
      </c>
    </row>
    <row r="55" spans="17:27" x14ac:dyDescent="0.2">
      <c r="Q55" s="248"/>
      <c r="S55" s="199"/>
      <c r="T55" s="200"/>
      <c r="W55" s="233" t="str">
        <f t="shared" si="7"/>
        <v>1D</v>
      </c>
      <c r="X55" s="234">
        <f>_xll.qlCalendarAdvance(Calendar,X54,W55,"f",FALSE)</f>
        <v>41869</v>
      </c>
      <c r="Y55" s="237">
        <f>_xll.qlCalendarAdvance(Calendar,X55,NDays&amp;"D")</f>
        <v>41869</v>
      </c>
      <c r="Z55" s="238">
        <v>1.1666597143409785E-2</v>
      </c>
      <c r="AA55" s="240">
        <v>7.6669541076235248E-3</v>
      </c>
    </row>
    <row r="56" spans="17:27" x14ac:dyDescent="0.2">
      <c r="Q56" s="248"/>
      <c r="S56" s="199"/>
      <c r="T56" s="200"/>
      <c r="W56" s="233" t="str">
        <f t="shared" si="7"/>
        <v>1D</v>
      </c>
      <c r="X56" s="234">
        <f>_xll.qlCalendarAdvance(Calendar,X55,W56,"f",FALSE)</f>
        <v>41870</v>
      </c>
      <c r="Y56" s="237">
        <f>_xll.qlCalendarAdvance(Calendar,X56,NDays&amp;"D")</f>
        <v>41870</v>
      </c>
      <c r="Z56" s="238">
        <v>1.1691596293669226E-2</v>
      </c>
      <c r="AA56" s="240">
        <v>7.6807355979657821E-3</v>
      </c>
    </row>
    <row r="57" spans="17:27" x14ac:dyDescent="0.2">
      <c r="Q57" s="248"/>
      <c r="S57" s="199"/>
      <c r="T57" s="200"/>
      <c r="W57" s="233" t="str">
        <f t="shared" si="7"/>
        <v>1D</v>
      </c>
      <c r="X57" s="234">
        <f>_xll.qlCalendarAdvance(Calendar,X56,W57,"f",FALSE)</f>
        <v>41871</v>
      </c>
      <c r="Y57" s="237">
        <f>_xll.qlCalendarAdvance(Calendar,X57,NDays&amp;"D")</f>
        <v>41871</v>
      </c>
      <c r="Z57" s="238">
        <v>1.1716632941051408E-2</v>
      </c>
      <c r="AA57" s="240">
        <v>7.6945822908514039E-3</v>
      </c>
    </row>
    <row r="58" spans="17:27" x14ac:dyDescent="0.2">
      <c r="Q58" s="248"/>
      <c r="S58" s="199"/>
      <c r="T58" s="200"/>
      <c r="W58" s="233" t="str">
        <f t="shared" si="7"/>
        <v>1D</v>
      </c>
      <c r="X58" s="234">
        <f>_xll.qlCalendarAdvance(Calendar,X57,W58,"f",FALSE)</f>
        <v>41872</v>
      </c>
      <c r="Y58" s="237">
        <f>_xll.qlCalendarAdvance(Calendar,X58,NDays&amp;"D")</f>
        <v>41872</v>
      </c>
      <c r="Z58" s="238">
        <v>1.1741707806964596E-2</v>
      </c>
      <c r="AA58" s="240">
        <v>7.7084941863614365E-3</v>
      </c>
    </row>
    <row r="59" spans="17:27" x14ac:dyDescent="0.2">
      <c r="Q59" s="248"/>
      <c r="S59" s="199"/>
      <c r="T59" s="200"/>
      <c r="W59" s="233" t="str">
        <f t="shared" si="7"/>
        <v>1D</v>
      </c>
      <c r="X59" s="234">
        <f>_xll.qlCalendarAdvance(Calendar,X58,W59,"f",FALSE)</f>
        <v>41873</v>
      </c>
      <c r="Y59" s="237">
        <f>_xll.qlCalendarAdvance(Calendar,X59,NDays&amp;"D")</f>
        <v>41873</v>
      </c>
      <c r="Z59" s="238">
        <v>1.1795390985762426E-2</v>
      </c>
      <c r="AA59" s="240">
        <v>7.7438463662629631E-3</v>
      </c>
    </row>
    <row r="60" spans="17:27" x14ac:dyDescent="0.2">
      <c r="Q60" s="248"/>
      <c r="S60" s="199"/>
      <c r="T60" s="200"/>
      <c r="W60" s="233" t="str">
        <f t="shared" si="7"/>
        <v>1D</v>
      </c>
      <c r="X60" s="234">
        <f>_xll.qlCalendarAdvance(Calendar,X59,W60,"f",FALSE)</f>
        <v>41877</v>
      </c>
      <c r="Y60" s="237">
        <f>_xll.qlCalendarAdvance(Calendar,X60,NDays&amp;"D")</f>
        <v>41877</v>
      </c>
      <c r="Z60" s="238">
        <v>1.1867680669049641E-2</v>
      </c>
      <c r="AA60" s="240">
        <v>7.7790317036829926E-3</v>
      </c>
    </row>
    <row r="61" spans="17:27" x14ac:dyDescent="0.2">
      <c r="Q61" s="248"/>
      <c r="S61" s="199"/>
      <c r="T61" s="200"/>
      <c r="W61" s="233" t="str">
        <f t="shared" si="7"/>
        <v>1D</v>
      </c>
      <c r="X61" s="234">
        <f>_xll.qlCalendarAdvance(Calendar,X60,W61,"f",FALSE)</f>
        <v>41878</v>
      </c>
      <c r="Y61" s="237">
        <f>_xll.qlCalendarAdvance(Calendar,X61,NDays&amp;"D")</f>
        <v>41878</v>
      </c>
      <c r="Z61" s="238">
        <v>1.1892999999950193E-2</v>
      </c>
      <c r="AA61" s="240">
        <v>7.7932634224053832E-3</v>
      </c>
    </row>
    <row r="62" spans="17:27" x14ac:dyDescent="0.2">
      <c r="Q62" s="248"/>
      <c r="S62" s="199"/>
      <c r="T62" s="200"/>
      <c r="W62" s="233" t="str">
        <f t="shared" si="7"/>
        <v>1D</v>
      </c>
      <c r="X62" s="234">
        <f>_xll.qlCalendarAdvance(Calendar,X61,W62,"f",FALSE)</f>
        <v>41879</v>
      </c>
      <c r="Y62" s="237">
        <f>_xll.qlCalendarAdvance(Calendar,X62,NDays&amp;"D")</f>
        <v>41879</v>
      </c>
      <c r="Z62" s="238">
        <v>1.1918362569752539E-2</v>
      </c>
      <c r="AA62" s="240">
        <v>7.8072033801090956E-3</v>
      </c>
    </row>
    <row r="63" spans="17:27" x14ac:dyDescent="0.2">
      <c r="Q63" s="248"/>
      <c r="S63" s="199"/>
      <c r="T63" s="200"/>
      <c r="W63" s="233" t="str">
        <f t="shared" si="7"/>
        <v>1D</v>
      </c>
      <c r="X63" s="234">
        <f>_xll.qlCalendarAdvance(Calendar,X62,W63,"f",FALSE)</f>
        <v>41880</v>
      </c>
      <c r="Y63" s="237">
        <f>_xll.qlCalendarAdvance(Calendar,X63,NDays&amp;"D")</f>
        <v>41880</v>
      </c>
      <c r="Z63" s="238">
        <v>1.1929401798018378E-2</v>
      </c>
      <c r="AA63" s="240">
        <v>7.83404091985666E-3</v>
      </c>
    </row>
    <row r="64" spans="17:27" x14ac:dyDescent="0.2">
      <c r="S64" s="199"/>
      <c r="T64" s="200"/>
      <c r="W64" s="233" t="str">
        <f t="shared" si="7"/>
        <v>1D</v>
      </c>
      <c r="X64" s="234">
        <f>_xll.qlCalendarAdvance(Calendar,X63,W64,"f",FALSE)</f>
        <v>41883</v>
      </c>
      <c r="Y64" s="237">
        <f>_xll.qlCalendarAdvance(Calendar,X64,NDays&amp;"D")</f>
        <v>41883</v>
      </c>
      <c r="Z64" s="238">
        <v>1.2020256201924484E-2</v>
      </c>
      <c r="AA64" s="240">
        <v>7.8593316732078478E-3</v>
      </c>
    </row>
    <row r="65" spans="10:27" x14ac:dyDescent="0.2">
      <c r="S65" s="199"/>
      <c r="T65" s="200"/>
      <c r="W65" s="233" t="str">
        <f t="shared" si="7"/>
        <v>1D</v>
      </c>
      <c r="X65" s="234">
        <f>_xll.qlCalendarAdvance(Calendar,X64,W65,"f",FALSE)</f>
        <v>41884</v>
      </c>
      <c r="Y65" s="237">
        <f>_xll.qlCalendarAdvance(Calendar,X65,NDays&amp;"D")</f>
        <v>41884</v>
      </c>
      <c r="Z65" s="238">
        <v>1.2045843110686905E-2</v>
      </c>
      <c r="AA65" s="240">
        <v>7.8714558619319419E-3</v>
      </c>
    </row>
    <row r="66" spans="10:27" x14ac:dyDescent="0.2">
      <c r="S66" s="199"/>
      <c r="T66" s="200"/>
      <c r="W66" s="233" t="str">
        <f t="shared" si="7"/>
        <v>1D</v>
      </c>
      <c r="X66" s="234">
        <f>_xll.qlCalendarAdvance(Calendar,X65,W66,"f",FALSE)</f>
        <v>41885</v>
      </c>
      <c r="Y66" s="237">
        <f>_xll.qlCalendarAdvance(Calendar,X66,NDays&amp;"D")</f>
        <v>41885</v>
      </c>
      <c r="Z66" s="238">
        <v>1.2071476484937227E-2</v>
      </c>
      <c r="AA66" s="240">
        <v>7.8832168966169736E-3</v>
      </c>
    </row>
    <row r="67" spans="10:27" x14ac:dyDescent="0.2">
      <c r="S67" s="199"/>
      <c r="T67" s="200"/>
      <c r="W67" s="233" t="str">
        <f t="shared" si="7"/>
        <v>1D</v>
      </c>
      <c r="X67" s="234">
        <f>_xll.qlCalendarAdvance(Calendar,X66,W67,"f",FALSE)</f>
        <v>41886</v>
      </c>
      <c r="Y67" s="237">
        <f>_xll.qlCalendarAdvance(Calendar,X67,NDays&amp;"D")</f>
        <v>41886</v>
      </c>
      <c r="Z67" s="238">
        <v>1.2097156857379554E-2</v>
      </c>
      <c r="AA67" s="240">
        <v>7.8946147774250353E-3</v>
      </c>
    </row>
    <row r="68" spans="10:27" x14ac:dyDescent="0.2">
      <c r="S68" s="199"/>
      <c r="T68" s="200"/>
      <c r="W68" s="233" t="str">
        <f t="shared" si="7"/>
        <v>1D</v>
      </c>
      <c r="X68" s="234">
        <f>_xll.qlCalendarAdvance(Calendar,X67,W68,"f",FALSE)</f>
        <v>41887</v>
      </c>
      <c r="Y68" s="237">
        <f>_xll.qlCalendarAdvance(Calendar,X68,NDays&amp;"D")</f>
        <v>41887</v>
      </c>
      <c r="Z68" s="238">
        <v>1.215177629424897E-2</v>
      </c>
      <c r="AA68" s="240">
        <v>7.9163717150184301E-3</v>
      </c>
    </row>
    <row r="69" spans="10:27" x14ac:dyDescent="0.2">
      <c r="S69" s="199"/>
      <c r="T69" s="200"/>
      <c r="W69" s="233" t="str">
        <f t="shared" si="7"/>
        <v>1D</v>
      </c>
      <c r="X69" s="234">
        <f>_xll.qlCalendarAdvance(Calendar,X68,W69,"f",FALSE)</f>
        <v>41890</v>
      </c>
      <c r="Y69" s="237">
        <f>_xll.qlCalendarAdvance(Calendar,X69,NDays&amp;"D")</f>
        <v>41890</v>
      </c>
      <c r="Z69" s="238">
        <v>1.2200358985274162E-2</v>
      </c>
      <c r="AA69" s="240">
        <v>7.936574760266657E-3</v>
      </c>
    </row>
    <row r="70" spans="10:27" x14ac:dyDescent="0.2">
      <c r="S70" s="199"/>
      <c r="T70" s="200"/>
      <c r="W70" s="233" t="str">
        <f t="shared" si="7"/>
        <v>1D</v>
      </c>
      <c r="X70" s="234">
        <f>_xll.qlCalendarAdvance(Calendar,X69,W70,"f",FALSE)</f>
        <v>41891</v>
      </c>
      <c r="Y70" s="237">
        <f>_xll.qlCalendarAdvance(Calendar,X70,NDays&amp;"D")</f>
        <v>41891</v>
      </c>
      <c r="Z70" s="238">
        <v>1.2226282341361472E-2</v>
      </c>
      <c r="AA70" s="240">
        <v>7.9461568707983599E-3</v>
      </c>
    </row>
    <row r="71" spans="10:27" x14ac:dyDescent="0.2">
      <c r="J71" s="199"/>
      <c r="S71" s="199"/>
      <c r="T71" s="200"/>
      <c r="W71" s="233" t="str">
        <f t="shared" si="7"/>
        <v>1D</v>
      </c>
      <c r="X71" s="234">
        <f>_xll.qlCalendarAdvance(Calendar,X70,W71,"f",FALSE)</f>
        <v>41892</v>
      </c>
      <c r="Y71" s="237">
        <f>_xll.qlCalendarAdvance(Calendar,X71,NDays&amp;"D")</f>
        <v>41892</v>
      </c>
      <c r="Z71" s="238">
        <v>1.2252255893141495E-2</v>
      </c>
      <c r="AA71" s="240">
        <v>7.9553758271289077E-3</v>
      </c>
    </row>
    <row r="72" spans="10:27" x14ac:dyDescent="0.2">
      <c r="S72" s="199"/>
      <c r="T72" s="200"/>
      <c r="W72" s="233" t="str">
        <f t="shared" si="7"/>
        <v>1D</v>
      </c>
      <c r="X72" s="234">
        <f>_xll.qlCalendarAdvance(Calendar,X71,W72,"f",FALSE)</f>
        <v>41893</v>
      </c>
      <c r="Y72" s="237">
        <f>_xll.qlCalendarAdvance(Calendar,X72,NDays&amp;"D")</f>
        <v>41893</v>
      </c>
      <c r="Z72" s="238">
        <v>1.2278280173745548E-2</v>
      </c>
      <c r="AA72" s="240">
        <v>7.9642316292583004E-3</v>
      </c>
    </row>
    <row r="73" spans="10:27" x14ac:dyDescent="0.2">
      <c r="S73" s="199"/>
      <c r="T73" s="200"/>
      <c r="W73" s="233" t="str">
        <f t="shared" si="7"/>
        <v>1D</v>
      </c>
      <c r="X73" s="234">
        <f>_xll.qlCalendarAdvance(Calendar,X72,W73,"f",FALSE)</f>
        <v>41894</v>
      </c>
      <c r="Y73" s="237">
        <f>_xll.qlCalendarAdvance(Calendar,X73,NDays&amp;"D")</f>
        <v>41894</v>
      </c>
      <c r="Z73" s="238">
        <v>1.2333331827204546E-2</v>
      </c>
      <c r="AA73" s="240">
        <v>7.9809072196930977E-3</v>
      </c>
    </row>
    <row r="74" spans="10:27" x14ac:dyDescent="0.2">
      <c r="S74" s="199"/>
      <c r="T74" s="200"/>
      <c r="W74" s="233" t="str">
        <f t="shared" si="7"/>
        <v>1D</v>
      </c>
      <c r="X74" s="234">
        <f>_xll.qlCalendarAdvance(Calendar,X73,W74,"f",FALSE)</f>
        <v>41897</v>
      </c>
      <c r="Y74" s="237">
        <f>_xll.qlCalendarAdvance(Calendar,X74,NDays&amp;"D")</f>
        <v>41897</v>
      </c>
      <c r="Z74" s="238">
        <v>1.2382895249202219E-2</v>
      </c>
      <c r="AA74" s="240">
        <v>7.9960232957643207E-3</v>
      </c>
    </row>
    <row r="75" spans="10:27" x14ac:dyDescent="0.2">
      <c r="S75" s="199"/>
      <c r="T75" s="200"/>
      <c r="W75" s="233" t="str">
        <f t="shared" si="7"/>
        <v>1D</v>
      </c>
      <c r="X75" s="234">
        <f>_xll.qlCalendarAdvance(Calendar,X74,W75,"f",FALSE)</f>
        <v>41898</v>
      </c>
      <c r="Y75" s="237">
        <f>_xll.qlCalendarAdvance(Calendar,X75,NDays&amp;"D")</f>
        <v>41898</v>
      </c>
      <c r="Z75" s="238">
        <v>1.2409181173074879E-2</v>
      </c>
      <c r="AA75" s="240">
        <v>8.0030633267258455E-3</v>
      </c>
    </row>
    <row r="76" spans="10:27" x14ac:dyDescent="0.2">
      <c r="S76" s="199"/>
      <c r="T76" s="200"/>
      <c r="W76" s="233" t="str">
        <f t="shared" si="7"/>
        <v>1D</v>
      </c>
      <c r="X76" s="234">
        <f>_xll.qlCalendarAdvance(Calendar,X75,W76,"f",FALSE)</f>
        <v>41899</v>
      </c>
      <c r="Y76" s="237">
        <f>_xll.qlCalendarAdvance(Calendar,X76,NDays&amp;"D")</f>
        <v>41899</v>
      </c>
      <c r="Z76" s="238">
        <v>1.2435521025870866E-2</v>
      </c>
      <c r="AA76" s="240">
        <v>8.0097402032430765E-3</v>
      </c>
    </row>
    <row r="77" spans="10:27" x14ac:dyDescent="0.2">
      <c r="S77" s="199"/>
      <c r="T77" s="200"/>
      <c r="W77" s="233" t="str">
        <f t="shared" si="7"/>
        <v>1D</v>
      </c>
      <c r="X77" s="234">
        <f>_xll.qlCalendarAdvance(Calendar,X76,W77,"f",FALSE)</f>
        <v>41900</v>
      </c>
      <c r="Y77" s="237">
        <f>_xll.qlCalendarAdvance(Calendar,X77,NDays&amp;"D")</f>
        <v>41900</v>
      </c>
      <c r="Z77" s="238">
        <v>1.2461915341161145E-2</v>
      </c>
      <c r="AA77" s="240">
        <v>8.0160539255591523E-3</v>
      </c>
    </row>
    <row r="78" spans="10:27" x14ac:dyDescent="0.2">
      <c r="S78" s="199"/>
      <c r="T78" s="200"/>
      <c r="W78" s="233" t="str">
        <f t="shared" si="7"/>
        <v>1D</v>
      </c>
      <c r="X78" s="234">
        <f>_xll.qlCalendarAdvance(Calendar,X77,W78,"f",FALSE)</f>
        <v>41901</v>
      </c>
      <c r="Y78" s="237">
        <f>_xll.qlCalendarAdvance(Calendar,X78,NDays&amp;"D")</f>
        <v>41901</v>
      </c>
      <c r="Z78" s="238">
        <v>1.2517365546199203E-2</v>
      </c>
      <c r="AA78" s="240">
        <v>8.0276474055414795E-3</v>
      </c>
    </row>
    <row r="79" spans="10:27" x14ac:dyDescent="0.2">
      <c r="S79" s="199"/>
      <c r="T79" s="200"/>
      <c r="W79" s="233" t="str">
        <f t="shared" si="7"/>
        <v>1D</v>
      </c>
      <c r="X79" s="234">
        <f>_xll.qlCalendarAdvance(Calendar,X78,W79,"f",FALSE)</f>
        <v>41904</v>
      </c>
      <c r="Y79" s="237">
        <f>_xll.qlCalendarAdvance(Calendar,X79,NDays&amp;"D")</f>
        <v>41904</v>
      </c>
      <c r="Z79" s="238">
        <v>1.25680479009318E-2</v>
      </c>
      <c r="AA79" s="240">
        <v>8.0376772709478406E-3</v>
      </c>
    </row>
    <row r="80" spans="10:27" x14ac:dyDescent="0.2">
      <c r="S80" s="199"/>
      <c r="T80" s="200"/>
      <c r="W80" s="233" t="str">
        <f t="shared" si="7"/>
        <v>1D</v>
      </c>
      <c r="X80" s="234">
        <f>_xll.qlCalendarAdvance(Calendar,X79,W80,"f",FALSE)</f>
        <v>41905</v>
      </c>
      <c r="Y80" s="237">
        <f>_xll.qlCalendarAdvance(Calendar,X80,NDays&amp;"D")</f>
        <v>41905</v>
      </c>
      <c r="Z80" s="238">
        <v>1.2594722534507774E-2</v>
      </c>
      <c r="AA80" s="240">
        <v>8.0421752212855857E-3</v>
      </c>
    </row>
    <row r="81" spans="19:27" x14ac:dyDescent="0.2">
      <c r="S81" s="199"/>
      <c r="T81" s="200"/>
      <c r="W81" s="233" t="str">
        <f t="shared" si="7"/>
        <v>1D</v>
      </c>
      <c r="X81" s="234">
        <f>_xll.qlCalendarAdvance(Calendar,X80,W81,"f",FALSE)</f>
        <v>41906</v>
      </c>
      <c r="Y81" s="237">
        <f>_xll.qlCalendarAdvance(Calendar,X81,NDays&amp;"D")</f>
        <v>41906</v>
      </c>
      <c r="Z81" s="238">
        <v>1.2621454833357193E-2</v>
      </c>
      <c r="AA81" s="240">
        <v>8.0463100170979907E-3</v>
      </c>
    </row>
    <row r="82" spans="19:27" x14ac:dyDescent="0.2">
      <c r="S82" s="199"/>
      <c r="T82" s="200"/>
      <c r="W82" s="233" t="str">
        <f t="shared" si="7"/>
        <v>1D</v>
      </c>
      <c r="X82" s="234">
        <f>_xll.qlCalendarAdvance(Calendar,X81,W82,"f",FALSE)</f>
        <v>41907</v>
      </c>
      <c r="Y82" s="237">
        <f>_xll.qlCalendarAdvance(Calendar,X82,NDays&amp;"D")</f>
        <v>41907</v>
      </c>
      <c r="Z82" s="238">
        <v>1.2648245331505104E-2</v>
      </c>
      <c r="AA82" s="240">
        <v>8.0500816586281942E-3</v>
      </c>
    </row>
    <row r="83" spans="19:27" x14ac:dyDescent="0.2">
      <c r="S83" s="199"/>
      <c r="T83" s="200"/>
      <c r="W83" s="233" t="str">
        <f t="shared" si="7"/>
        <v>1D</v>
      </c>
      <c r="X83" s="234">
        <f>_xll.qlCalendarAdvance(Calendar,X82,W83,"f",FALSE)</f>
        <v>41908</v>
      </c>
      <c r="Y83" s="237">
        <f>_xll.qlCalendarAdvance(Calendar,X83,NDays&amp;"D")</f>
        <v>41908</v>
      </c>
      <c r="Z83" s="238">
        <v>1.2704059447385301E-2</v>
      </c>
      <c r="AA83" s="240">
        <v>8.0565922520858813E-3</v>
      </c>
    </row>
    <row r="84" spans="19:27" x14ac:dyDescent="0.2">
      <c r="S84" s="199"/>
      <c r="T84" s="200"/>
      <c r="W84" s="233" t="str">
        <f t="shared" si="7"/>
        <v>1D</v>
      </c>
      <c r="X84" s="234">
        <f>_xll.qlCalendarAdvance(Calendar,X83,W84,"f",FALSE)</f>
        <v>41911</v>
      </c>
      <c r="Y84" s="237">
        <f>_xll.qlCalendarAdvance(Calendar,X84,NDays&amp;"D")</f>
        <v>41911</v>
      </c>
      <c r="Z84" s="238">
        <v>1.2755999999890744E-2</v>
      </c>
      <c r="AA84" s="240">
        <v>8.0618349503946973E-3</v>
      </c>
    </row>
    <row r="85" spans="19:27" x14ac:dyDescent="0.2">
      <c r="S85" s="199"/>
      <c r="T85" s="200"/>
      <c r="W85" s="233" t="str">
        <f t="shared" ref="W85:W148" si="8">W84</f>
        <v>1D</v>
      </c>
      <c r="X85" s="234">
        <f>_xll.qlCalendarAdvance(Calendar,X84,W85,"f",FALSE)</f>
        <v>41912</v>
      </c>
      <c r="Y85" s="237">
        <f>_xll.qlCalendarAdvance(Calendar,X85,NDays&amp;"D")</f>
        <v>41912</v>
      </c>
      <c r="Z85" s="238">
        <v>1.2783088745815796E-2</v>
      </c>
      <c r="AA85" s="240">
        <v>8.0655804432339107E-3</v>
      </c>
    </row>
    <row r="86" spans="19:27" x14ac:dyDescent="0.2">
      <c r="S86" s="199"/>
      <c r="T86" s="200"/>
      <c r="W86" s="233" t="str">
        <f t="shared" si="8"/>
        <v>1D</v>
      </c>
      <c r="X86" s="234">
        <f>_xll.qlCalendarAdvance(Calendar,X85,W86,"f",FALSE)</f>
        <v>41913</v>
      </c>
      <c r="Y86" s="237">
        <f>_xll.qlCalendarAdvance(Calendar,X86,NDays&amp;"D")</f>
        <v>41913</v>
      </c>
      <c r="Z86" s="238">
        <v>1.281023432798345E-2</v>
      </c>
      <c r="AA86" s="240">
        <v>8.0707524055645408E-3</v>
      </c>
    </row>
    <row r="87" spans="19:27" x14ac:dyDescent="0.2">
      <c r="S87" s="199"/>
      <c r="T87" s="200"/>
      <c r="W87" s="233" t="str">
        <f t="shared" si="8"/>
        <v>1D</v>
      </c>
      <c r="X87" s="234">
        <f>_xll.qlCalendarAdvance(Calendar,X86,W87,"f",FALSE)</f>
        <v>41914</v>
      </c>
      <c r="Y87" s="237">
        <f>_xll.qlCalendarAdvance(Calendar,X87,NDays&amp;"D")</f>
        <v>41914</v>
      </c>
      <c r="Z87" s="238">
        <v>1.2837432711835461E-2</v>
      </c>
      <c r="AA87" s="240">
        <v>8.0773508373055414E-3</v>
      </c>
    </row>
    <row r="88" spans="19:27" x14ac:dyDescent="0.2">
      <c r="S88" s="199"/>
      <c r="T88" s="200"/>
      <c r="W88" s="233" t="str">
        <f t="shared" si="8"/>
        <v>1D</v>
      </c>
      <c r="X88" s="234">
        <f>_xll.qlCalendarAdvance(Calendar,X87,W88,"f",FALSE)</f>
        <v>41915</v>
      </c>
      <c r="Y88" s="237">
        <f>_xll.qlCalendarAdvance(Calendar,X88,NDays&amp;"D")</f>
        <v>41915</v>
      </c>
      <c r="Z88" s="238">
        <v>1.2893557217443988E-2</v>
      </c>
      <c r="AA88" s="240">
        <v>8.0954821456188011E-3</v>
      </c>
    </row>
    <row r="89" spans="19:27" x14ac:dyDescent="0.2">
      <c r="S89" s="199"/>
      <c r="T89" s="200"/>
      <c r="W89" s="233" t="str">
        <f t="shared" si="8"/>
        <v>1D</v>
      </c>
      <c r="X89" s="234">
        <f>_xll.qlCalendarAdvance(Calendar,X88,W89,"f",FALSE)</f>
        <v>41918</v>
      </c>
      <c r="Y89" s="237">
        <f>_xll.qlCalendarAdvance(Calendar,X89,NDays&amp;"D")</f>
        <v>41918</v>
      </c>
      <c r="Z89" s="238">
        <v>1.2946673558007715E-2</v>
      </c>
      <c r="AA89" s="240">
        <v>8.1180092605614984E-3</v>
      </c>
    </row>
    <row r="90" spans="19:27" x14ac:dyDescent="0.2">
      <c r="S90" s="199"/>
      <c r="T90" s="200"/>
      <c r="W90" s="233" t="str">
        <f t="shared" si="8"/>
        <v>1D</v>
      </c>
      <c r="X90" s="234">
        <f>_xll.qlCalendarAdvance(Calendar,X89,W90,"f",FALSE)</f>
        <v>41919</v>
      </c>
      <c r="Y90" s="237">
        <f>_xll.qlCalendarAdvance(Calendar,X90,NDays&amp;"D")</f>
        <v>41919</v>
      </c>
      <c r="Z90" s="238">
        <v>1.2974075416964492E-2</v>
      </c>
      <c r="AA90" s="240">
        <v>8.1317400409752771E-3</v>
      </c>
    </row>
    <row r="91" spans="19:27" x14ac:dyDescent="0.2">
      <c r="S91" s="199"/>
      <c r="T91" s="200"/>
      <c r="W91" s="233" t="str">
        <f t="shared" si="8"/>
        <v>1D</v>
      </c>
      <c r="X91" s="234">
        <f>_xll.qlCalendarAdvance(Calendar,X90,W91,"f",FALSE)</f>
        <v>41920</v>
      </c>
      <c r="Y91" s="237">
        <f>_xll.qlCalendarAdvance(Calendar,X91,NDays&amp;"D")</f>
        <v>41920</v>
      </c>
      <c r="Z91" s="238">
        <v>1.3001505861264251E-2</v>
      </c>
      <c r="AA91" s="240">
        <v>8.1468972916909355E-3</v>
      </c>
    </row>
    <row r="92" spans="19:27" x14ac:dyDescent="0.2">
      <c r="S92" s="199"/>
      <c r="T92" s="200"/>
      <c r="W92" s="233" t="str">
        <f t="shared" si="8"/>
        <v>1D</v>
      </c>
      <c r="X92" s="234">
        <f>_xll.qlCalendarAdvance(Calendar,X91,W92,"f",FALSE)</f>
        <v>41921</v>
      </c>
      <c r="Y92" s="237">
        <f>_xll.qlCalendarAdvance(Calendar,X92,NDays&amp;"D")</f>
        <v>41921</v>
      </c>
      <c r="Z92" s="238">
        <v>1.3028960853336047E-2</v>
      </c>
      <c r="AA92" s="240">
        <v>8.1634810126274271E-3</v>
      </c>
    </row>
    <row r="93" spans="19:27" x14ac:dyDescent="0.2">
      <c r="S93" s="199"/>
      <c r="T93" s="200"/>
      <c r="W93" s="233" t="str">
        <f t="shared" si="8"/>
        <v>1D</v>
      </c>
      <c r="X93" s="234">
        <f>_xll.qlCalendarAdvance(Calendar,X92,W93,"f",FALSE)</f>
        <v>41922</v>
      </c>
      <c r="Y93" s="237">
        <f>_xll.qlCalendarAdvance(Calendar,X93,NDays&amp;"D")</f>
        <v>41922</v>
      </c>
      <c r="Z93" s="238">
        <v>1.3085205313826571E-2</v>
      </c>
      <c r="AA93" s="240">
        <v>8.2015876399717715E-3</v>
      </c>
    </row>
    <row r="94" spans="19:27" x14ac:dyDescent="0.2">
      <c r="S94" s="199"/>
      <c r="T94" s="200"/>
      <c r="W94" s="233" t="str">
        <f t="shared" si="8"/>
        <v>1D</v>
      </c>
      <c r="X94" s="234">
        <f>_xll.qlCalendarAdvance(Calendar,X93,W94,"f",FALSE)</f>
        <v>41925</v>
      </c>
      <c r="Y94" s="237">
        <f>_xll.qlCalendarAdvance(Calendar,X94,NDays&amp;"D")</f>
        <v>41925</v>
      </c>
      <c r="Z94" s="238">
        <v>1.3138945532646051E-2</v>
      </c>
      <c r="AA94" s="240">
        <v>8.2440806040118275E-3</v>
      </c>
    </row>
    <row r="95" spans="19:27" x14ac:dyDescent="0.2">
      <c r="S95" s="199"/>
      <c r="T95" s="200"/>
      <c r="W95" s="233" t="str">
        <f t="shared" si="8"/>
        <v>1D</v>
      </c>
      <c r="X95" s="234">
        <f>_xll.qlCalendarAdvance(Calendar,X94,W95,"f",FALSE)</f>
        <v>41926</v>
      </c>
      <c r="Y95" s="237">
        <f>_xll.qlCalendarAdvance(Calendar,X95,NDays&amp;"D")</f>
        <v>41926</v>
      </c>
      <c r="Z95" s="238">
        <v>1.3166462684725877E-2</v>
      </c>
      <c r="AA95" s="240">
        <v>8.2677966799427072E-3</v>
      </c>
    </row>
    <row r="96" spans="19:27" x14ac:dyDescent="0.2">
      <c r="S96" s="199"/>
      <c r="T96" s="200"/>
      <c r="W96" s="233" t="str">
        <f t="shared" si="8"/>
        <v>1D</v>
      </c>
      <c r="X96" s="234">
        <f>_xll.qlCalendarAdvance(Calendar,X95,W96,"f",FALSE)</f>
        <v>41927</v>
      </c>
      <c r="Y96" s="237">
        <f>_xll.qlCalendarAdvance(Calendar,X96,NDays&amp;"D")</f>
        <v>41927</v>
      </c>
      <c r="Z96" s="238">
        <v>1.319398014997053E-2</v>
      </c>
      <c r="AA96" s="240">
        <v>8.2929392276342995E-3</v>
      </c>
    </row>
    <row r="97" spans="19:27" x14ac:dyDescent="0.2">
      <c r="S97" s="199"/>
      <c r="T97" s="200"/>
      <c r="W97" s="233" t="str">
        <f t="shared" si="8"/>
        <v>1D</v>
      </c>
      <c r="X97" s="234">
        <f>_xll.qlCalendarAdvance(Calendar,X96,W97,"f",FALSE)</f>
        <v>41928</v>
      </c>
      <c r="Y97" s="237">
        <f>_xll.qlCalendarAdvance(Calendar,X97,NDays&amp;"D")</f>
        <v>41928</v>
      </c>
      <c r="Z97" s="238">
        <v>1.3221493887744407E-2</v>
      </c>
      <c r="AA97" s="240">
        <v>8.3195082474107895E-3</v>
      </c>
    </row>
    <row r="98" spans="19:27" x14ac:dyDescent="0.2">
      <c r="S98" s="199"/>
      <c r="T98" s="200"/>
      <c r="W98" s="233" t="str">
        <f t="shared" si="8"/>
        <v>1D</v>
      </c>
      <c r="X98" s="234">
        <f>_xll.qlCalendarAdvance(Calendar,X97,W98,"f",FALSE)</f>
        <v>41929</v>
      </c>
      <c r="Y98" s="237">
        <f>_xll.qlCalendarAdvance(Calendar,X98,NDays&amp;"D")</f>
        <v>41929</v>
      </c>
      <c r="Z98" s="238">
        <v>1.3277648563821878E-2</v>
      </c>
      <c r="AA98" s="240">
        <v>8.3775934722163381E-3</v>
      </c>
    </row>
    <row r="99" spans="19:27" x14ac:dyDescent="0.2">
      <c r="S99" s="199"/>
      <c r="T99" s="200"/>
      <c r="W99" s="233" t="str">
        <f t="shared" si="8"/>
        <v>1D</v>
      </c>
      <c r="X99" s="234">
        <f>_xll.qlCalendarAdvance(Calendar,X98,W99,"f",FALSE)</f>
        <v>41932</v>
      </c>
      <c r="Y99" s="237">
        <f>_xll.qlCalendarAdvance(Calendar,X99,NDays&amp;"D")</f>
        <v>41932</v>
      </c>
      <c r="Z99" s="238">
        <v>1.3331430736057914E-2</v>
      </c>
      <c r="AA99" s="240">
        <v>8.440049053282106E-3</v>
      </c>
    </row>
    <row r="100" spans="19:27" x14ac:dyDescent="0.2">
      <c r="S100" s="199"/>
      <c r="T100" s="200"/>
      <c r="W100" s="233" t="str">
        <f t="shared" si="8"/>
        <v>1D</v>
      </c>
      <c r="X100" s="234">
        <f>_xll.qlCalendarAdvance(Calendar,X99,W100,"f",FALSE)</f>
        <v>41933</v>
      </c>
      <c r="Y100" s="237">
        <f>_xll.qlCalendarAdvance(Calendar,X100,NDays&amp;"D")</f>
        <v>41933</v>
      </c>
      <c r="Z100" s="238">
        <v>1.3358865211589466E-2</v>
      </c>
      <c r="AA100" s="240">
        <v>8.4737504382648154E-3</v>
      </c>
    </row>
    <row r="101" spans="19:27" x14ac:dyDescent="0.2">
      <c r="S101" s="199"/>
      <c r="T101" s="200"/>
      <c r="W101" s="233" t="str">
        <f t="shared" si="8"/>
        <v>1D</v>
      </c>
      <c r="X101" s="234">
        <f>_xll.qlCalendarAdvance(Calendar,X100,W101,"f",FALSE)</f>
        <v>41934</v>
      </c>
      <c r="Y101" s="237">
        <f>_xll.qlCalendarAdvance(Calendar,X101,NDays&amp;"D")</f>
        <v>41934</v>
      </c>
      <c r="Z101" s="238">
        <v>1.3386271706632202E-2</v>
      </c>
      <c r="AA101" s="240">
        <v>8.5088782975206723E-3</v>
      </c>
    </row>
    <row r="102" spans="19:27" x14ac:dyDescent="0.2">
      <c r="S102" s="199"/>
      <c r="T102" s="200"/>
      <c r="W102" s="233" t="str">
        <f t="shared" si="8"/>
        <v>1D</v>
      </c>
      <c r="X102" s="234">
        <f>_xll.qlCalendarAdvance(Calendar,X101,W102,"f",FALSE)</f>
        <v>41935</v>
      </c>
      <c r="Y102" s="237">
        <f>_xll.qlCalendarAdvance(Calendar,X102,NDays&amp;"D")</f>
        <v>41935</v>
      </c>
      <c r="Z102" s="238">
        <v>1.3413646177488303E-2</v>
      </c>
      <c r="AA102" s="240">
        <v>8.545432631211769E-3</v>
      </c>
    </row>
    <row r="103" spans="19:27" x14ac:dyDescent="0.2">
      <c r="S103" s="199"/>
      <c r="T103" s="200"/>
      <c r="W103" s="233" t="str">
        <f t="shared" si="8"/>
        <v>1D</v>
      </c>
      <c r="X103" s="234">
        <f>_xll.qlCalendarAdvance(Calendar,X102,W103,"f",FALSE)</f>
        <v>41936</v>
      </c>
      <c r="Y103" s="237">
        <f>_xll.qlCalendarAdvance(Calendar,X103,NDays&amp;"D")</f>
        <v>41936</v>
      </c>
      <c r="Z103" s="238">
        <v>1.346950859013857E-2</v>
      </c>
      <c r="AA103" s="240">
        <v>8.6234999457087316E-3</v>
      </c>
    </row>
    <row r="104" spans="19:27" x14ac:dyDescent="0.2">
      <c r="S104" s="199"/>
      <c r="T104" s="200"/>
      <c r="W104" s="233" t="str">
        <f t="shared" si="8"/>
        <v>1D</v>
      </c>
      <c r="X104" s="234">
        <f>_xll.qlCalendarAdvance(Calendar,X103,W104,"f",FALSE)</f>
        <v>41939</v>
      </c>
      <c r="Y104" s="237">
        <f>_xll.qlCalendarAdvance(Calendar,X104,NDays&amp;"D")</f>
        <v>41939</v>
      </c>
      <c r="Z104" s="238">
        <v>1.3522742929943377E-2</v>
      </c>
      <c r="AA104" s="240">
        <v>8.7055517721157383E-3</v>
      </c>
    </row>
    <row r="105" spans="19:27" x14ac:dyDescent="0.2">
      <c r="S105" s="199"/>
      <c r="T105" s="200"/>
      <c r="W105" s="233" t="str">
        <f t="shared" si="8"/>
        <v>1D</v>
      </c>
      <c r="X105" s="234">
        <f>_xll.qlCalendarAdvance(Calendar,X104,W105,"f",FALSE)</f>
        <v>41940</v>
      </c>
      <c r="Y105" s="237">
        <f>_xll.qlCalendarAdvance(Calendar,X105,NDays&amp;"D")</f>
        <v>41940</v>
      </c>
      <c r="Z105" s="238">
        <v>1.3549897617100459E-2</v>
      </c>
      <c r="AA105" s="240">
        <v>8.7470607928652466E-3</v>
      </c>
    </row>
    <row r="106" spans="19:27" x14ac:dyDescent="0.2">
      <c r="S106" s="199"/>
      <c r="T106" s="200"/>
      <c r="W106" s="233" t="str">
        <f t="shared" si="8"/>
        <v>1D</v>
      </c>
      <c r="X106" s="234">
        <f>_xll.qlCalendarAdvance(Calendar,X105,W106,"f",FALSE)</f>
        <v>41941</v>
      </c>
      <c r="Y106" s="237">
        <f>_xll.qlCalendarAdvance(Calendar,X106,NDays&amp;"D")</f>
        <v>41941</v>
      </c>
      <c r="Z106" s="238">
        <v>1.3577002056022414E-2</v>
      </c>
      <c r="AA106" s="240">
        <v>8.7878185975831524E-3</v>
      </c>
    </row>
    <row r="107" spans="19:27" x14ac:dyDescent="0.2">
      <c r="S107" s="199"/>
      <c r="T107" s="200"/>
      <c r="W107" s="233" t="str">
        <f t="shared" si="8"/>
        <v>1D</v>
      </c>
      <c r="X107" s="234">
        <f>_xll.qlCalendarAdvance(Calendar,X106,W107,"f",FALSE)</f>
        <v>41942</v>
      </c>
      <c r="Y107" s="237">
        <f>_xll.qlCalendarAdvance(Calendar,X107,NDays&amp;"D")</f>
        <v>41942</v>
      </c>
      <c r="Z107" s="238">
        <v>1.3604058247794537E-2</v>
      </c>
      <c r="AA107" s="240">
        <v>8.8278251861884094E-3</v>
      </c>
    </row>
    <row r="108" spans="19:27" x14ac:dyDescent="0.2">
      <c r="S108" s="199"/>
      <c r="T108" s="200"/>
      <c r="W108" s="233" t="str">
        <f t="shared" si="8"/>
        <v>1D</v>
      </c>
      <c r="X108" s="234">
        <f>_xll.qlCalendarAdvance(Calendar,X107,W108,"f",FALSE)</f>
        <v>41943</v>
      </c>
      <c r="Y108" s="237">
        <f>_xll.qlCalendarAdvance(Calendar,X108,NDays&amp;"D")</f>
        <v>41943</v>
      </c>
      <c r="Z108" s="238">
        <v>1.3616850432467943E-2</v>
      </c>
      <c r="AA108" s="240">
        <v>8.9055515820176314E-3</v>
      </c>
    </row>
    <row r="109" spans="19:27" x14ac:dyDescent="0.2">
      <c r="S109" s="199"/>
      <c r="T109" s="200"/>
      <c r="W109" s="233" t="str">
        <f t="shared" si="8"/>
        <v>1D</v>
      </c>
      <c r="X109" s="234">
        <f>_xll.qlCalendarAdvance(Calendar,X108,W109,"f",FALSE)</f>
        <v>41946</v>
      </c>
      <c r="Y109" s="237">
        <f>_xll.qlCalendarAdvance(Calendar,X109,NDays&amp;"D")</f>
        <v>41946</v>
      </c>
      <c r="Z109" s="238">
        <v>1.3711840572812939E-2</v>
      </c>
      <c r="AA109" s="240">
        <v>8.9803393726750613E-3</v>
      </c>
    </row>
    <row r="110" spans="19:27" x14ac:dyDescent="0.2">
      <c r="S110" s="199"/>
      <c r="T110" s="200"/>
      <c r="W110" s="233" t="str">
        <f t="shared" si="8"/>
        <v>1D</v>
      </c>
      <c r="X110" s="234">
        <f>_xll.qlCalendarAdvance(Calendar,X109,W110,"f",FALSE)</f>
        <v>41947</v>
      </c>
      <c r="Y110" s="237">
        <f>_xll.qlCalendarAdvance(Calendar,X110,NDays&amp;"D")</f>
        <v>41947</v>
      </c>
      <c r="Z110" s="238">
        <v>1.3738685552825425E-2</v>
      </c>
      <c r="AA110" s="240">
        <v>9.0165898762595287E-3</v>
      </c>
    </row>
    <row r="111" spans="19:27" x14ac:dyDescent="0.2">
      <c r="S111" s="199"/>
      <c r="T111" s="200"/>
      <c r="W111" s="233" t="str">
        <f t="shared" si="8"/>
        <v>1D</v>
      </c>
      <c r="X111" s="234">
        <f>_xll.qlCalendarAdvance(Calendar,X110,W111,"f",FALSE)</f>
        <v>41948</v>
      </c>
      <c r="Y111" s="237">
        <f>_xll.qlCalendarAdvance(Calendar,X111,NDays&amp;"D")</f>
        <v>41948</v>
      </c>
      <c r="Z111" s="238">
        <v>1.3765494296813285E-2</v>
      </c>
      <c r="AA111" s="240">
        <v>9.0520891621914679E-3</v>
      </c>
    </row>
    <row r="112" spans="19:27" x14ac:dyDescent="0.2">
      <c r="S112" s="199"/>
      <c r="T112" s="200"/>
      <c r="W112" s="233" t="str">
        <f t="shared" si="8"/>
        <v>1D</v>
      </c>
      <c r="X112" s="234">
        <f>_xll.qlCalendarAdvance(Calendar,X111,W112,"f",FALSE)</f>
        <v>41949</v>
      </c>
      <c r="Y112" s="237">
        <f>_xll.qlCalendarAdvance(Calendar,X112,NDays&amp;"D")</f>
        <v>41949</v>
      </c>
      <c r="Z112" s="238">
        <v>1.379226880739215E-2</v>
      </c>
      <c r="AA112" s="240">
        <v>9.08683723022774E-3</v>
      </c>
    </row>
    <row r="113" spans="19:27" x14ac:dyDescent="0.2">
      <c r="S113" s="199"/>
      <c r="T113" s="200"/>
      <c r="W113" s="233" t="str">
        <f t="shared" si="8"/>
        <v>1D</v>
      </c>
      <c r="X113" s="234">
        <f>_xll.qlCalendarAdvance(Calendar,X112,W113,"f",FALSE)</f>
        <v>41950</v>
      </c>
      <c r="Y113" s="237">
        <f>_xll.qlCalendarAdvance(Calendar,X113,NDays&amp;"D")</f>
        <v>41950</v>
      </c>
      <c r="Z113" s="238">
        <v>1.3847294839495828E-2</v>
      </c>
      <c r="AA113" s="240">
        <v>9.1540588753443366E-3</v>
      </c>
    </row>
    <row r="114" spans="19:27" x14ac:dyDescent="0.2">
      <c r="S114" s="199"/>
      <c r="T114" s="200"/>
      <c r="W114" s="233" t="str">
        <f t="shared" si="8"/>
        <v>1D</v>
      </c>
      <c r="X114" s="234">
        <f>_xll.qlCalendarAdvance(Calendar,X113,W114,"f",FALSE)</f>
        <v>41953</v>
      </c>
      <c r="Y114" s="237">
        <f>_xll.qlCalendarAdvance(Calendar,X114,NDays&amp;"D")</f>
        <v>41953</v>
      </c>
      <c r="Z114" s="238">
        <v>1.3899064575452869E-2</v>
      </c>
      <c r="AA114" s="240">
        <v>9.2183173193638446E-3</v>
      </c>
    </row>
    <row r="115" spans="19:27" x14ac:dyDescent="0.2">
      <c r="S115" s="199"/>
      <c r="T115" s="200"/>
      <c r="W115" s="233" t="str">
        <f t="shared" si="8"/>
        <v>1D</v>
      </c>
      <c r="X115" s="234">
        <f>_xll.qlCalendarAdvance(Calendar,X114,W115,"f",FALSE)</f>
        <v>41954</v>
      </c>
      <c r="Y115" s="237">
        <f>_xll.qlCalendarAdvance(Calendar,X115,NDays&amp;"D")</f>
        <v>41954</v>
      </c>
      <c r="Z115" s="238">
        <v>1.3925697965736283E-2</v>
      </c>
      <c r="AA115" s="240">
        <v>9.249309294842023E-3</v>
      </c>
    </row>
    <row r="116" spans="19:27" x14ac:dyDescent="0.2">
      <c r="S116" s="199"/>
      <c r="T116" s="200"/>
      <c r="W116" s="233" t="str">
        <f t="shared" si="8"/>
        <v>1D</v>
      </c>
      <c r="X116" s="234">
        <f>_xll.qlCalendarAdvance(Calendar,X115,W116,"f",FALSE)</f>
        <v>41955</v>
      </c>
      <c r="Y116" s="237">
        <f>_xll.qlCalendarAdvance(Calendar,X116,NDays&amp;"D")</f>
        <v>41955</v>
      </c>
      <c r="Z116" s="238">
        <v>1.3952309142806207E-2</v>
      </c>
      <c r="AA116" s="240">
        <v>9.2795500512898865E-3</v>
      </c>
    </row>
    <row r="117" spans="19:27" x14ac:dyDescent="0.2">
      <c r="S117" s="199"/>
      <c r="T117" s="200"/>
      <c r="W117" s="233" t="str">
        <f t="shared" si="8"/>
        <v>1D</v>
      </c>
      <c r="X117" s="234">
        <f>_xll.qlCalendarAdvance(Calendar,X116,W117,"f",FALSE)</f>
        <v>41956</v>
      </c>
      <c r="Y117" s="237">
        <f>_xll.qlCalendarAdvance(Calendar,X117,NDays&amp;"D")</f>
        <v>41956</v>
      </c>
      <c r="Z117" s="238">
        <v>1.397890011077374E-2</v>
      </c>
      <c r="AA117" s="240">
        <v>9.3090395883022037E-3</v>
      </c>
    </row>
    <row r="118" spans="19:27" x14ac:dyDescent="0.2">
      <c r="S118" s="199"/>
      <c r="T118" s="200"/>
      <c r="W118" s="233" t="str">
        <f t="shared" si="8"/>
        <v>1D</v>
      </c>
      <c r="X118" s="234">
        <f>_xll.qlCalendarAdvance(Calendar,X117,W118,"f",FALSE)</f>
        <v>41957</v>
      </c>
      <c r="Y118" s="237">
        <f>_xll.qlCalendarAdvance(Calendar,X118,NDays&amp;"D")</f>
        <v>41957</v>
      </c>
      <c r="Z118" s="238">
        <v>1.4033638799919684E-2</v>
      </c>
      <c r="AA118" s="240">
        <v>9.3657549079229092E-3</v>
      </c>
    </row>
    <row r="119" spans="19:27" x14ac:dyDescent="0.2">
      <c r="S119" s="199"/>
      <c r="T119" s="200"/>
      <c r="W119" s="233" t="str">
        <f t="shared" si="8"/>
        <v>1D</v>
      </c>
      <c r="X119" s="234">
        <f>_xll.qlCalendarAdvance(Calendar,X118,W119,"f",FALSE)</f>
        <v>41960</v>
      </c>
      <c r="Y119" s="237">
        <f>_xll.qlCalendarAdvance(Calendar,X119,NDays&amp;"D")</f>
        <v>41960</v>
      </c>
      <c r="Z119" s="238">
        <v>1.4085101981247572E-2</v>
      </c>
      <c r="AA119" s="240">
        <v>9.4194855402129907E-3</v>
      </c>
    </row>
    <row r="120" spans="19:27" x14ac:dyDescent="0.2">
      <c r="S120" s="199"/>
      <c r="T120" s="200"/>
      <c r="W120" s="233" t="str">
        <f t="shared" si="8"/>
        <v>1D</v>
      </c>
      <c r="X120" s="234">
        <f>_xll.qlCalendarAdvance(Calendar,X119,W120,"f",FALSE)</f>
        <v>41961</v>
      </c>
      <c r="Y120" s="237">
        <f>_xll.qlCalendarAdvance(Calendar,X120,NDays&amp;"D")</f>
        <v>41961</v>
      </c>
      <c r="Z120" s="238">
        <v>1.4111621972769495E-2</v>
      </c>
      <c r="AA120" s="240">
        <v>9.4452189783456042E-3</v>
      </c>
    </row>
    <row r="121" spans="19:27" x14ac:dyDescent="0.2">
      <c r="S121" s="199"/>
      <c r="T121" s="200"/>
      <c r="W121" s="233" t="str">
        <f t="shared" si="8"/>
        <v>1D</v>
      </c>
      <c r="X121" s="234">
        <f>_xll.qlCalendarAdvance(Calendar,X120,W121,"f",FALSE)</f>
        <v>41962</v>
      </c>
      <c r="Y121" s="237">
        <f>_xll.qlCalendarAdvance(Calendar,X121,NDays&amp;"D")</f>
        <v>41962</v>
      </c>
      <c r="Z121" s="238">
        <v>1.4138133784290297E-2</v>
      </c>
      <c r="AA121" s="240">
        <v>9.4702011959890697E-3</v>
      </c>
    </row>
    <row r="122" spans="19:27" x14ac:dyDescent="0.2">
      <c r="S122" s="199"/>
      <c r="T122" s="200"/>
      <c r="W122" s="233" t="str">
        <f t="shared" si="8"/>
        <v>1D</v>
      </c>
      <c r="X122" s="234">
        <f>_xll.qlCalendarAdvance(Calendar,X121,W122,"f",FALSE)</f>
        <v>41963</v>
      </c>
      <c r="Y122" s="237">
        <f>_xll.qlCalendarAdvance(Calendar,X122,NDays&amp;"D")</f>
        <v>41963</v>
      </c>
      <c r="Z122" s="238">
        <v>1.4164639421396785E-2</v>
      </c>
      <c r="AA122" s="240">
        <v>9.4944321932244335E-3</v>
      </c>
    </row>
    <row r="123" spans="19:27" x14ac:dyDescent="0.2">
      <c r="S123" s="199"/>
      <c r="T123" s="200"/>
      <c r="W123" s="233" t="str">
        <f t="shared" si="8"/>
        <v>1D</v>
      </c>
      <c r="X123" s="234">
        <f>_xll.qlCalendarAdvance(Calendar,X122,W123,"f",FALSE)</f>
        <v>41964</v>
      </c>
      <c r="Y123" s="237">
        <f>_xll.qlCalendarAdvance(Calendar,X123,NDays&amp;"D")</f>
        <v>41964</v>
      </c>
      <c r="Z123" s="238">
        <v>1.4219185663534049E-2</v>
      </c>
      <c r="AA123" s="240">
        <v>9.5406394876466454E-3</v>
      </c>
    </row>
    <row r="124" spans="19:27" x14ac:dyDescent="0.2">
      <c r="S124" s="199"/>
      <c r="T124" s="200"/>
      <c r="W124" s="233" t="str">
        <f t="shared" si="8"/>
        <v>1D</v>
      </c>
      <c r="X124" s="234">
        <f>_xll.qlCalendarAdvance(Calendar,X123,W124,"f",FALSE)</f>
        <v>41967</v>
      </c>
      <c r="Y124" s="237">
        <f>_xll.qlCalendarAdvance(Calendar,X124,NDays&amp;"D")</f>
        <v>41967</v>
      </c>
      <c r="Z124" s="238">
        <v>1.4270640344755448E-2</v>
      </c>
      <c r="AA124" s="240">
        <v>9.5838439745188353E-3</v>
      </c>
    </row>
    <row r="125" spans="19:27" x14ac:dyDescent="0.2">
      <c r="S125" s="199"/>
      <c r="T125" s="200"/>
      <c r="W125" s="233" t="str">
        <f t="shared" si="8"/>
        <v>1D</v>
      </c>
      <c r="X125" s="234">
        <f>_xll.qlCalendarAdvance(Calendar,X124,W125,"f",FALSE)</f>
        <v>41968</v>
      </c>
      <c r="Y125" s="237">
        <f>_xll.qlCalendarAdvance(Calendar,X125,NDays&amp;"D")</f>
        <v>41968</v>
      </c>
      <c r="Z125" s="238">
        <v>1.4297145200932171E-2</v>
      </c>
      <c r="AA125" s="240">
        <v>9.6043188672823021E-3</v>
      </c>
    </row>
    <row r="126" spans="19:27" x14ac:dyDescent="0.2">
      <c r="S126" s="199"/>
      <c r="T126" s="200"/>
      <c r="W126" s="233" t="str">
        <f t="shared" si="8"/>
        <v>1D</v>
      </c>
      <c r="X126" s="234">
        <f>_xll.qlCalendarAdvance(Calendar,X125,W126,"f",FALSE)</f>
        <v>41969</v>
      </c>
      <c r="Y126" s="237">
        <f>_xll.qlCalendarAdvance(Calendar,X126,NDays&amp;"D")</f>
        <v>41969</v>
      </c>
      <c r="Z126" s="238">
        <v>1.432365592061946E-2</v>
      </c>
      <c r="AA126" s="240">
        <v>9.6240425386651118E-3</v>
      </c>
    </row>
    <row r="127" spans="19:27" x14ac:dyDescent="0.2">
      <c r="S127" s="199"/>
      <c r="T127" s="200"/>
      <c r="W127" s="233" t="str">
        <f t="shared" si="8"/>
        <v>1D</v>
      </c>
      <c r="X127" s="234">
        <f>_xll.qlCalendarAdvance(Calendar,X126,W127,"f",FALSE)</f>
        <v>41970</v>
      </c>
      <c r="Y127" s="237">
        <f>_xll.qlCalendarAdvance(Calendar,X127,NDays&amp;"D")</f>
        <v>41970</v>
      </c>
      <c r="Z127" s="238">
        <v>1.435017451087206E-2</v>
      </c>
      <c r="AA127" s="240">
        <v>9.6430473173803044E-3</v>
      </c>
    </row>
    <row r="128" spans="19:27" x14ac:dyDescent="0.2">
      <c r="S128" s="199"/>
      <c r="T128" s="200"/>
      <c r="W128" s="233" t="str">
        <f t="shared" si="8"/>
        <v>1D</v>
      </c>
      <c r="X128" s="234">
        <f>_xll.qlCalendarAdvance(Calendar,X127,W128,"f",FALSE)</f>
        <v>41971</v>
      </c>
      <c r="Y128" s="237">
        <f>_xll.qlCalendarAdvance(Calendar,X128,NDays&amp;"D")</f>
        <v>41971</v>
      </c>
      <c r="Z128" s="238">
        <v>1.4404619501956067E-2</v>
      </c>
      <c r="AA128" s="240">
        <v>9.6793913933805147E-3</v>
      </c>
    </row>
    <row r="129" spans="19:27" x14ac:dyDescent="0.2">
      <c r="S129" s="199"/>
      <c r="T129" s="200"/>
      <c r="W129" s="233" t="str">
        <f t="shared" si="8"/>
        <v>1D</v>
      </c>
      <c r="X129" s="234">
        <f>_xll.qlCalendarAdvance(Calendar,X128,W129,"f",FALSE)</f>
        <v>41974</v>
      </c>
      <c r="Y129" s="237">
        <f>_xll.qlCalendarAdvance(Calendar,X129,NDays&amp;"D")</f>
        <v>41974</v>
      </c>
      <c r="Z129" s="238">
        <v>1.4456361975611953E-2</v>
      </c>
      <c r="AA129" s="240">
        <v>9.7133646199620838E-3</v>
      </c>
    </row>
    <row r="130" spans="19:27" x14ac:dyDescent="0.2">
      <c r="S130" s="199"/>
      <c r="T130" s="200"/>
      <c r="W130" s="233" t="str">
        <f t="shared" si="8"/>
        <v>1D</v>
      </c>
      <c r="X130" s="234">
        <f>_xll.qlCalendarAdvance(Calendar,X129,W130,"f",FALSE)</f>
        <v>41975</v>
      </c>
      <c r="Y130" s="237">
        <f>_xll.qlCalendarAdvance(Calendar,X130,NDays&amp;"D")</f>
        <v>41975</v>
      </c>
      <c r="Z130" s="238">
        <v>1.4482944550749277E-2</v>
      </c>
      <c r="AA130" s="240">
        <v>9.7295508208861126E-3</v>
      </c>
    </row>
    <row r="131" spans="19:27" x14ac:dyDescent="0.2">
      <c r="S131" s="199"/>
      <c r="T131" s="200"/>
      <c r="W131" s="233" t="str">
        <f t="shared" si="8"/>
        <v>1D</v>
      </c>
      <c r="X131" s="234">
        <f>_xll.qlCalendarAdvance(Calendar,X130,W131,"f",FALSE)</f>
        <v>41976</v>
      </c>
      <c r="Y131" s="237">
        <f>_xll.qlCalendarAdvance(Calendar,X131,NDays&amp;"D")</f>
        <v>41976</v>
      </c>
      <c r="Z131" s="238">
        <v>1.4509544347280023E-2</v>
      </c>
      <c r="AA131" s="240">
        <v>9.7451797716541222E-3</v>
      </c>
    </row>
    <row r="132" spans="19:27" x14ac:dyDescent="0.2">
      <c r="S132" s="199"/>
      <c r="T132" s="200"/>
      <c r="W132" s="233" t="str">
        <f t="shared" si="8"/>
        <v>1D</v>
      </c>
      <c r="X132" s="234">
        <f>_xll.qlCalendarAdvance(Calendar,X131,W132,"f",FALSE)</f>
        <v>41977</v>
      </c>
      <c r="Y132" s="237">
        <f>_xll.qlCalendarAdvance(Calendar,X132,NDays&amp;"D")</f>
        <v>41977</v>
      </c>
      <c r="Z132" s="238">
        <v>1.4536162834381638E-2</v>
      </c>
      <c r="AA132" s="240">
        <v>9.760251472347159E-3</v>
      </c>
    </row>
    <row r="133" spans="19:27" x14ac:dyDescent="0.2">
      <c r="S133" s="199"/>
      <c r="T133" s="200"/>
      <c r="W133" s="233" t="str">
        <f t="shared" si="8"/>
        <v>1D</v>
      </c>
      <c r="X133" s="234">
        <f>_xll.qlCalendarAdvance(Calendar,X132,W133,"f",FALSE)</f>
        <v>41978</v>
      </c>
      <c r="Y133" s="237">
        <f>_xll.qlCalendarAdvance(Calendar,X133,NDays&amp;"D")</f>
        <v>41978</v>
      </c>
      <c r="Z133" s="238">
        <v>1.4590579486204673E-2</v>
      </c>
      <c r="AA133" s="240">
        <v>9.7887998832783367E-3</v>
      </c>
    </row>
    <row r="134" spans="19:27" x14ac:dyDescent="0.2">
      <c r="S134" s="199"/>
      <c r="T134" s="200"/>
      <c r="W134" s="233" t="str">
        <f t="shared" si="8"/>
        <v>1D</v>
      </c>
      <c r="X134" s="234">
        <f>_xll.qlCalendarAdvance(Calendar,X133,W134,"f",FALSE)</f>
        <v>41981</v>
      </c>
      <c r="Y134" s="237">
        <f>_xll.qlCalendarAdvance(Calendar,X134,NDays&amp;"D")</f>
        <v>41981</v>
      </c>
      <c r="Z134" s="238">
        <v>1.4642853077466267E-2</v>
      </c>
      <c r="AA134" s="240">
        <v>9.8149657725055128E-3</v>
      </c>
    </row>
    <row r="135" spans="19:27" x14ac:dyDescent="0.2">
      <c r="S135" s="199"/>
      <c r="T135" s="200"/>
      <c r="W135" s="233" t="str">
        <f t="shared" si="8"/>
        <v>1D</v>
      </c>
      <c r="X135" s="234">
        <f>_xll.qlCalendarAdvance(Calendar,X134,W135,"f",FALSE)</f>
        <v>41982</v>
      </c>
      <c r="Y135" s="237">
        <f>_xll.qlCalendarAdvance(Calendar,X135,NDays&amp;"D")</f>
        <v>41982</v>
      </c>
      <c r="Z135" s="238">
        <v>1.4669587060512468E-2</v>
      </c>
      <c r="AA135" s="240">
        <v>9.8272512215269447E-3</v>
      </c>
    </row>
    <row r="136" spans="19:27" x14ac:dyDescent="0.2">
      <c r="S136" s="199"/>
      <c r="T136" s="200"/>
      <c r="W136" s="233" t="str">
        <f t="shared" si="8"/>
        <v>1D</v>
      </c>
      <c r="X136" s="234">
        <f>_xll.qlCalendarAdvance(Calendar,X135,W136,"f",FALSE)</f>
        <v>41983</v>
      </c>
      <c r="Y136" s="237">
        <f>_xll.qlCalendarAdvance(Calendar,X136,NDays&amp;"D")</f>
        <v>41983</v>
      </c>
      <c r="Z136" s="238">
        <v>1.4696348552457383E-2</v>
      </c>
      <c r="AA136" s="240">
        <v>9.8389794200681724E-3</v>
      </c>
    </row>
    <row r="137" spans="19:27" x14ac:dyDescent="0.2">
      <c r="S137" s="199"/>
      <c r="T137" s="200"/>
      <c r="W137" s="233" t="str">
        <f t="shared" si="8"/>
        <v>1D</v>
      </c>
      <c r="X137" s="234">
        <f>_xll.qlCalendarAdvance(Calendar,X136,W137,"f",FALSE)</f>
        <v>41984</v>
      </c>
      <c r="Y137" s="237">
        <f>_xll.qlCalendarAdvance(Calendar,X137,NDays&amp;"D")</f>
        <v>41984</v>
      </c>
      <c r="Z137" s="238">
        <v>1.4723139023570253E-2</v>
      </c>
      <c r="AA137" s="240">
        <v>9.8501503680481495E-3</v>
      </c>
    </row>
    <row r="138" spans="19:27" x14ac:dyDescent="0.2">
      <c r="S138" s="199"/>
      <c r="T138" s="200"/>
      <c r="W138" s="233" t="str">
        <f t="shared" si="8"/>
        <v>1D</v>
      </c>
      <c r="X138" s="234">
        <f>_xll.qlCalendarAdvance(Calendar,X137,W138,"f",FALSE)</f>
        <v>41985</v>
      </c>
      <c r="Y138" s="237">
        <f>_xll.qlCalendarAdvance(Calendar,X138,NDays&amp;"D")</f>
        <v>41985</v>
      </c>
      <c r="Z138" s="238">
        <v>1.4777586094893156E-2</v>
      </c>
      <c r="AA138" s="240">
        <v>9.8709016941685625E-3</v>
      </c>
    </row>
    <row r="139" spans="19:27" x14ac:dyDescent="0.2">
      <c r="S139" s="199"/>
      <c r="T139" s="200"/>
      <c r="W139" s="233" t="str">
        <f t="shared" si="8"/>
        <v>1D</v>
      </c>
      <c r="X139" s="234">
        <f>_xll.qlCalendarAdvance(Calendar,X138,W139,"f",FALSE)</f>
        <v>41988</v>
      </c>
      <c r="Y139" s="237">
        <f>_xll.qlCalendarAdvance(Calendar,X139,NDays&amp;"D")</f>
        <v>41988</v>
      </c>
      <c r="Z139" s="238">
        <v>1.4830620110595438E-2</v>
      </c>
      <c r="AA139" s="240">
        <v>9.8892616533829969E-3</v>
      </c>
    </row>
    <row r="140" spans="19:27" x14ac:dyDescent="0.2">
      <c r="S140" s="199"/>
      <c r="T140" s="200"/>
      <c r="W140" s="233" t="str">
        <f t="shared" si="8"/>
        <v>1D</v>
      </c>
      <c r="X140" s="234">
        <f>_xll.qlCalendarAdvance(Calendar,X139,W140,"f",FALSE)</f>
        <v>41989</v>
      </c>
      <c r="Y140" s="237">
        <f>_xll.qlCalendarAdvance(Calendar,X140,NDays&amp;"D")</f>
        <v>41989</v>
      </c>
      <c r="Z140" s="238">
        <v>1.4857577537106037E-2</v>
      </c>
      <c r="AA140" s="240">
        <v>9.8976463478273047E-3</v>
      </c>
    </row>
    <row r="141" spans="19:27" x14ac:dyDescent="0.2">
      <c r="S141" s="199"/>
      <c r="T141" s="200"/>
      <c r="W141" s="233" t="str">
        <f t="shared" si="8"/>
        <v>1D</v>
      </c>
      <c r="X141" s="234">
        <f>_xll.qlCalendarAdvance(Calendar,X140,W141,"f",FALSE)</f>
        <v>41990</v>
      </c>
      <c r="Y141" s="237">
        <f>_xll.qlCalendarAdvance(Calendar,X141,NDays&amp;"D")</f>
        <v>41990</v>
      </c>
      <c r="Z141" s="238">
        <v>1.4884572767719373E-2</v>
      </c>
      <c r="AA141" s="240">
        <v>9.9054737914672231E-3</v>
      </c>
    </row>
    <row r="142" spans="19:27" x14ac:dyDescent="0.2">
      <c r="S142" s="199"/>
      <c r="T142" s="200"/>
      <c r="W142" s="233" t="str">
        <f t="shared" si="8"/>
        <v>1D</v>
      </c>
      <c r="X142" s="234">
        <f>_xll.qlCalendarAdvance(Calendar,X141,W142,"f",FALSE)</f>
        <v>41991</v>
      </c>
      <c r="Y142" s="237">
        <f>_xll.qlCalendarAdvance(Calendar,X142,NDays&amp;"D")</f>
        <v>41991</v>
      </c>
      <c r="Z142" s="238">
        <v>1.4911607273816685E-2</v>
      </c>
      <c r="AA142" s="240">
        <v>9.9127439842217058E-3</v>
      </c>
    </row>
    <row r="143" spans="19:27" x14ac:dyDescent="0.2">
      <c r="S143" s="199"/>
      <c r="T143" s="200"/>
      <c r="W143" s="233" t="str">
        <f t="shared" si="8"/>
        <v>1D</v>
      </c>
      <c r="X143" s="234">
        <f>_xll.qlCalendarAdvance(Calendar,X142,W143,"f",FALSE)</f>
        <v>41992</v>
      </c>
      <c r="Y143" s="237">
        <f>_xll.qlCalendarAdvance(Calendar,X143,NDays&amp;"D")</f>
        <v>41992</v>
      </c>
      <c r="Z143" s="238">
        <v>1.4966140881579167E-2</v>
      </c>
      <c r="AA143" s="240">
        <v>9.925696770723599E-3</v>
      </c>
    </row>
    <row r="144" spans="19:27" x14ac:dyDescent="0.2">
      <c r="S144" s="199"/>
      <c r="T144" s="200"/>
      <c r="W144" s="233" t="str">
        <f t="shared" si="8"/>
        <v>1D</v>
      </c>
      <c r="X144" s="234">
        <f>_xll.qlCalendarAdvance(Calendar,X143,W144,"f",FALSE)</f>
        <v>41995</v>
      </c>
      <c r="Y144" s="237">
        <f>_xll.qlCalendarAdvance(Calendar,X144,NDays&amp;"D")</f>
        <v>41995</v>
      </c>
      <c r="Z144" s="238">
        <v>1.5020167486302194E-2</v>
      </c>
      <c r="AA144" s="240">
        <v>9.9362522458990021E-3</v>
      </c>
    </row>
    <row r="145" spans="19:27" x14ac:dyDescent="0.2">
      <c r="S145" s="199"/>
      <c r="T145" s="200"/>
      <c r="W145" s="233" t="str">
        <f t="shared" si="8"/>
        <v>1D</v>
      </c>
      <c r="X145" s="234">
        <f>_xll.qlCalendarAdvance(Calendar,X144,W145,"f",FALSE)</f>
        <v>41996</v>
      </c>
      <c r="Y145" s="237">
        <f>_xll.qlCalendarAdvance(Calendar,X145,NDays&amp;"D")</f>
        <v>41996</v>
      </c>
      <c r="Z145" s="238">
        <v>1.5047420446181903E-2</v>
      </c>
      <c r="AA145" s="240">
        <v>9.9407361839021213E-3</v>
      </c>
    </row>
    <row r="146" spans="19:27" x14ac:dyDescent="0.2">
      <c r="S146" s="199"/>
      <c r="T146" s="200"/>
      <c r="W146" s="233" t="str">
        <f t="shared" si="8"/>
        <v>1D</v>
      </c>
      <c r="X146" s="234">
        <f>_xll.qlCalendarAdvance(Calendar,X145,W146,"f",FALSE)</f>
        <v>41997</v>
      </c>
      <c r="Y146" s="237">
        <f>_xll.qlCalendarAdvance(Calendar,X146,NDays&amp;"D")</f>
        <v>41997</v>
      </c>
      <c r="Z146" s="238">
        <v>1.5074721513230083E-2</v>
      </c>
      <c r="AA146" s="240">
        <v>9.9508297660844125E-3</v>
      </c>
    </row>
    <row r="147" spans="19:27" x14ac:dyDescent="0.2">
      <c r="S147" s="199"/>
      <c r="T147" s="200"/>
      <c r="W147" s="233" t="str">
        <f t="shared" si="8"/>
        <v>1D</v>
      </c>
      <c r="X147" s="234">
        <f>_xll.qlCalendarAdvance(Calendar,X146,W147,"f",FALSE)</f>
        <v>42002</v>
      </c>
      <c r="Y147" s="237">
        <f>_xll.qlCalendarAdvance(Calendar,X147,NDays&amp;"D")</f>
        <v>42002</v>
      </c>
      <c r="Z147" s="238">
        <v>1.5212000000000003E-2</v>
      </c>
      <c r="AA147" s="240">
        <v>9.9563395440638303E-3</v>
      </c>
    </row>
    <row r="148" spans="19:27" x14ac:dyDescent="0.2">
      <c r="S148" s="199"/>
      <c r="T148" s="200"/>
      <c r="W148" s="233" t="str">
        <f t="shared" si="8"/>
        <v>1D</v>
      </c>
      <c r="X148" s="234">
        <f>_xll.qlCalendarAdvance(Calendar,X147,W148,"f",FALSE)</f>
        <v>42003</v>
      </c>
      <c r="Y148" s="237">
        <f>_xll.qlCalendarAdvance(Calendar,X148,NDays&amp;"D")</f>
        <v>42003</v>
      </c>
      <c r="Z148" s="238">
        <v>1.5239619500104329E-2</v>
      </c>
      <c r="AA148" s="240">
        <v>9.9593347508775132E-3</v>
      </c>
    </row>
    <row r="149" spans="19:27" x14ac:dyDescent="0.2">
      <c r="S149" s="199"/>
      <c r="T149" s="200"/>
      <c r="W149" s="233" t="str">
        <f t="shared" ref="W149:W212" si="9">W148</f>
        <v>1D</v>
      </c>
      <c r="X149" s="234">
        <f>_xll.qlCalendarAdvance(Calendar,X148,W149,"f",FALSE)</f>
        <v>42004</v>
      </c>
      <c r="Y149" s="237">
        <f>_xll.qlCalendarAdvance(Calendar,X149,NDays&amp;"D")</f>
        <v>42004</v>
      </c>
      <c r="Z149" s="238">
        <v>1.5267290586135296E-2</v>
      </c>
      <c r="AA149" s="240">
        <v>9.9676732102826904E-3</v>
      </c>
    </row>
    <row r="150" spans="19:27" x14ac:dyDescent="0.2">
      <c r="S150" s="199"/>
      <c r="T150" s="200"/>
      <c r="W150" s="233" t="str">
        <f t="shared" si="9"/>
        <v>1D</v>
      </c>
      <c r="X150" s="234">
        <f>_xll.qlCalendarAdvance(Calendar,X149,W150,"f",FALSE)</f>
        <v>42006</v>
      </c>
      <c r="Y150" s="237">
        <f>_xll.qlCalendarAdvance(Calendar,X150,NDays&amp;"D")</f>
        <v>42006</v>
      </c>
      <c r="Z150" s="238">
        <v>1.5349827512314151E-2</v>
      </c>
      <c r="AA150" s="240">
        <v>9.9907550448733833E-3</v>
      </c>
    </row>
    <row r="151" spans="19:27" x14ac:dyDescent="0.2">
      <c r="S151" s="199"/>
      <c r="T151" s="200"/>
      <c r="W151" s="233" t="str">
        <f t="shared" si="9"/>
        <v>1D</v>
      </c>
      <c r="X151" s="234">
        <f>_xll.qlCalendarAdvance(Calendar,X150,W151,"f",FALSE)</f>
        <v>42009</v>
      </c>
      <c r="Y151" s="237">
        <f>_xll.qlCalendarAdvance(Calendar,X151,NDays&amp;"D")</f>
        <v>42009</v>
      </c>
      <c r="Z151" s="238">
        <v>1.5406232206852E-2</v>
      </c>
      <c r="AA151" s="240">
        <v>1.0016256277685098E-2</v>
      </c>
    </row>
    <row r="152" spans="19:27" x14ac:dyDescent="0.2">
      <c r="S152" s="199"/>
      <c r="T152" s="200"/>
      <c r="W152" s="233" t="str">
        <f t="shared" si="9"/>
        <v>1D</v>
      </c>
      <c r="X152" s="234">
        <f>_xll.qlCalendarAdvance(Calendar,X151,W152,"f",FALSE)</f>
        <v>42010</v>
      </c>
      <c r="Y152" s="237">
        <f>_xll.qlCalendarAdvance(Calendar,X152,NDays&amp;"D")</f>
        <v>42010</v>
      </c>
      <c r="Z152" s="238">
        <v>1.5434100241289883E-2</v>
      </c>
      <c r="AA152" s="240">
        <v>1.003223491438332E-2</v>
      </c>
    </row>
    <row r="153" spans="19:27" x14ac:dyDescent="0.2">
      <c r="S153" s="199"/>
      <c r="T153" s="200"/>
      <c r="W153" s="233" t="str">
        <f t="shared" si="9"/>
        <v>1D</v>
      </c>
      <c r="X153" s="234">
        <f>_xll.qlCalendarAdvance(Calendar,X152,W153,"f",FALSE)</f>
        <v>42011</v>
      </c>
      <c r="Y153" s="237">
        <f>_xll.qlCalendarAdvance(Calendar,X153,NDays&amp;"D")</f>
        <v>42011</v>
      </c>
      <c r="Z153" s="238">
        <v>1.5461982333821789E-2</v>
      </c>
      <c r="AA153" s="240">
        <v>1.0050068327555062E-2</v>
      </c>
    </row>
    <row r="154" spans="19:27" x14ac:dyDescent="0.2">
      <c r="S154" s="199"/>
      <c r="T154" s="200"/>
      <c r="W154" s="233" t="str">
        <f t="shared" si="9"/>
        <v>1D</v>
      </c>
      <c r="X154" s="234">
        <f>_xll.qlCalendarAdvance(Calendar,X153,W154,"f",FALSE)</f>
        <v>42012</v>
      </c>
      <c r="Y154" s="237">
        <f>_xll.qlCalendarAdvance(Calendar,X154,NDays&amp;"D")</f>
        <v>42012</v>
      </c>
      <c r="Z154" s="238">
        <v>1.5489873120985154E-2</v>
      </c>
      <c r="AA154" s="240">
        <v>1.0069756517443462E-2</v>
      </c>
    </row>
    <row r="155" spans="19:27" x14ac:dyDescent="0.2">
      <c r="S155" s="199"/>
      <c r="T155" s="200"/>
      <c r="W155" s="233" t="str">
        <f t="shared" si="9"/>
        <v>1D</v>
      </c>
      <c r="X155" s="234">
        <f>_xll.qlCalendarAdvance(Calendar,X154,W155,"f",FALSE)</f>
        <v>42013</v>
      </c>
      <c r="Y155" s="237">
        <f>_xll.qlCalendarAdvance(Calendar,X155,NDays&amp;"D")</f>
        <v>42013</v>
      </c>
      <c r="Z155" s="238">
        <v>1.5544589978674824E-2</v>
      </c>
      <c r="AA155" s="240">
        <v>1.0115595817499583E-2</v>
      </c>
    </row>
    <row r="156" spans="19:27" x14ac:dyDescent="0.2">
      <c r="S156" s="199"/>
      <c r="T156" s="200"/>
      <c r="W156" s="233" t="str">
        <f t="shared" si="9"/>
        <v>1D</v>
      </c>
      <c r="X156" s="234">
        <f>_xll.qlCalendarAdvance(Calendar,X155,W156,"f",FALSE)</f>
        <v>42016</v>
      </c>
      <c r="Y156" s="237">
        <f>_xll.qlCalendarAdvance(Calendar,X156,NDays&amp;"D")</f>
        <v>42016</v>
      </c>
      <c r="Z156" s="238">
        <v>1.5601415926077555E-2</v>
      </c>
      <c r="AA156" s="240">
        <v>1.0167057050404216E-2</v>
      </c>
    </row>
    <row r="157" spans="19:27" x14ac:dyDescent="0.2">
      <c r="S157" s="199"/>
      <c r="T157" s="200"/>
      <c r="W157" s="233" t="str">
        <f t="shared" si="9"/>
        <v>1D</v>
      </c>
      <c r="X157" s="234">
        <f>_xll.qlCalendarAdvance(Calendar,X156,W157,"f",FALSE)</f>
        <v>42017</v>
      </c>
      <c r="Y157" s="237">
        <f>_xll.qlCalendarAdvance(Calendar,X157,NDays&amp;"D")</f>
        <v>42017</v>
      </c>
      <c r="Z157" s="238">
        <v>1.5629269713836491E-2</v>
      </c>
      <c r="AA157" s="240">
        <v>1.0196019128981826E-2</v>
      </c>
    </row>
    <row r="158" spans="19:27" x14ac:dyDescent="0.2">
      <c r="S158" s="199"/>
      <c r="T158" s="200"/>
      <c r="W158" s="233" t="str">
        <f t="shared" si="9"/>
        <v>1D</v>
      </c>
      <c r="X158" s="234">
        <f>_xll.qlCalendarAdvance(Calendar,X157,W158,"f",FALSE)</f>
        <v>42018</v>
      </c>
      <c r="Y158" s="237">
        <f>_xll.qlCalendarAdvance(Calendar,X158,NDays&amp;"D")</f>
        <v>42018</v>
      </c>
      <c r="Z158" s="238">
        <v>1.5657100003080071E-2</v>
      </c>
      <c r="AA158" s="240">
        <v>1.0226835986383298E-2</v>
      </c>
    </row>
    <row r="159" spans="19:27" x14ac:dyDescent="0.2">
      <c r="S159" s="199"/>
      <c r="T159" s="200"/>
      <c r="W159" s="233" t="str">
        <f t="shared" si="9"/>
        <v>1D</v>
      </c>
      <c r="X159" s="234">
        <f>_xll.qlCalendarAdvance(Calendar,X158,W159,"f",FALSE)</f>
        <v>42019</v>
      </c>
      <c r="Y159" s="237">
        <f>_xll.qlCalendarAdvance(Calendar,X159,NDays&amp;"D")</f>
        <v>42019</v>
      </c>
      <c r="Z159" s="238">
        <v>1.5684901426225695E-2</v>
      </c>
      <c r="AA159" s="240">
        <v>1.0259507623257003E-2</v>
      </c>
    </row>
    <row r="160" spans="19:27" x14ac:dyDescent="0.2">
      <c r="S160" s="199"/>
      <c r="T160" s="200"/>
      <c r="W160" s="233" t="str">
        <f t="shared" si="9"/>
        <v>1D</v>
      </c>
      <c r="X160" s="234">
        <f>_xll.qlCalendarAdvance(Calendar,X159,W160,"f",FALSE)</f>
        <v>42020</v>
      </c>
      <c r="Y160" s="237">
        <f>_xll.qlCalendarAdvance(Calendar,X160,NDays&amp;"D")</f>
        <v>42020</v>
      </c>
      <c r="Z160" s="238">
        <v>1.5739233570695524E-2</v>
      </c>
      <c r="AA160" s="240">
        <v>1.0331325910604521E-2</v>
      </c>
    </row>
    <row r="161" spans="19:27" x14ac:dyDescent="0.2">
      <c r="S161" s="199"/>
      <c r="T161" s="200"/>
      <c r="W161" s="233" t="str">
        <f t="shared" si="9"/>
        <v>1D</v>
      </c>
      <c r="X161" s="234">
        <f>_xll.qlCalendarAdvance(Calendar,X160,W161,"f",FALSE)</f>
        <v>42023</v>
      </c>
      <c r="Y161" s="237">
        <f>_xll.qlCalendarAdvance(Calendar,X161,NDays&amp;"D")</f>
        <v>42023</v>
      </c>
      <c r="Z161" s="238">
        <v>1.5795711085730302E-2</v>
      </c>
      <c r="AA161" s="240">
        <v>1.0408741975037605E-2</v>
      </c>
    </row>
    <row r="162" spans="19:27" x14ac:dyDescent="0.2">
      <c r="S162" s="199"/>
      <c r="T162" s="200"/>
      <c r="W162" s="233" t="str">
        <f t="shared" si="9"/>
        <v>1D</v>
      </c>
      <c r="X162" s="234">
        <f>_xll.qlCalendarAdvance(Calendar,X161,W162,"f",FALSE)</f>
        <v>42024</v>
      </c>
      <c r="Y162" s="237">
        <f>_xll.qlCalendarAdvance(Calendar,X162,NDays&amp;"D")</f>
        <v>42024</v>
      </c>
      <c r="Z162" s="238">
        <v>1.5823287644227024E-2</v>
      </c>
      <c r="AA162" s="240">
        <v>1.0450687516971868E-2</v>
      </c>
    </row>
    <row r="163" spans="19:27" x14ac:dyDescent="0.2">
      <c r="S163" s="199"/>
      <c r="T163" s="200"/>
      <c r="W163" s="233" t="str">
        <f t="shared" si="9"/>
        <v>1D</v>
      </c>
      <c r="X163" s="234">
        <f>_xll.qlCalendarAdvance(Calendar,X162,W163,"f",FALSE)</f>
        <v>42025</v>
      </c>
      <c r="Y163" s="237">
        <f>_xll.qlCalendarAdvance(Calendar,X163,NDays&amp;"D")</f>
        <v>42025</v>
      </c>
      <c r="Z163" s="238">
        <v>1.5850803118908185E-2</v>
      </c>
      <c r="AA163" s="240">
        <v>1.0494487841701261E-2</v>
      </c>
    </row>
    <row r="164" spans="19:27" x14ac:dyDescent="0.2">
      <c r="S164" s="199"/>
      <c r="T164" s="200"/>
      <c r="W164" s="233" t="str">
        <f t="shared" si="9"/>
        <v>1D</v>
      </c>
      <c r="X164" s="234">
        <f>_xll.qlCalendarAdvance(Calendar,X163,W164,"f",FALSE)</f>
        <v>42026</v>
      </c>
      <c r="Y164" s="237">
        <f>_xll.qlCalendarAdvance(Calendar,X164,NDays&amp;"D")</f>
        <v>42026</v>
      </c>
      <c r="Z164" s="238">
        <v>1.5878252138138427E-2</v>
      </c>
      <c r="AA164" s="240">
        <v>1.0540142949874154E-2</v>
      </c>
    </row>
    <row r="165" spans="19:27" x14ac:dyDescent="0.2">
      <c r="S165" s="199"/>
      <c r="T165" s="200"/>
      <c r="W165" s="233" t="str">
        <f t="shared" si="9"/>
        <v>1D</v>
      </c>
      <c r="X165" s="234">
        <f>_xll.qlCalendarAdvance(Calendar,X164,W165,"f",FALSE)</f>
        <v>42027</v>
      </c>
      <c r="Y165" s="237">
        <f>_xll.qlCalendarAdvance(Calendar,X165,NDays&amp;"D")</f>
        <v>42027</v>
      </c>
      <c r="Z165" s="238">
        <v>1.5931927226608057E-2</v>
      </c>
      <c r="AA165" s="240">
        <v>1.0637945807656276E-2</v>
      </c>
    </row>
    <row r="166" spans="19:27" x14ac:dyDescent="0.2">
      <c r="S166" s="199"/>
      <c r="T166" s="200"/>
      <c r="W166" s="233" t="str">
        <f t="shared" si="9"/>
        <v>1D</v>
      </c>
      <c r="X166" s="234">
        <f>_xll.qlCalendarAdvance(Calendar,X165,W166,"f",FALSE)</f>
        <v>42030</v>
      </c>
      <c r="Y166" s="237">
        <f>_xll.qlCalendarAdvance(Calendar,X166,NDays&amp;"D")</f>
        <v>42030</v>
      </c>
      <c r="Z166" s="238">
        <v>1.5987276208070833E-2</v>
      </c>
      <c r="AA166" s="240">
        <v>1.0741311231994288E-2</v>
      </c>
    </row>
    <row r="167" spans="19:27" x14ac:dyDescent="0.2">
      <c r="S167" s="199"/>
      <c r="T167" s="200"/>
      <c r="W167" s="233" t="str">
        <f t="shared" si="9"/>
        <v>1D</v>
      </c>
      <c r="X167" s="234">
        <f>_xll.qlCalendarAdvance(Calendar,X166,W167,"f",FALSE)</f>
        <v>42031</v>
      </c>
      <c r="Y167" s="237">
        <f>_xll.qlCalendarAdvance(Calendar,X167,NDays&amp;"D")</f>
        <v>42031</v>
      </c>
      <c r="Z167" s="238">
        <v>1.6014312355793869E-2</v>
      </c>
      <c r="AA167" s="240">
        <v>1.0795733324406864E-2</v>
      </c>
    </row>
    <row r="168" spans="19:27" x14ac:dyDescent="0.2">
      <c r="S168" s="199"/>
      <c r="T168" s="200"/>
      <c r="W168" s="233" t="str">
        <f t="shared" si="9"/>
        <v>1D</v>
      </c>
      <c r="X168" s="234">
        <f>_xll.qlCalendarAdvance(Calendar,X167,W168,"f",FALSE)</f>
        <v>42032</v>
      </c>
      <c r="Y168" s="237">
        <f>_xll.qlCalendarAdvance(Calendar,X168,NDays&amp;"D")</f>
        <v>42032</v>
      </c>
      <c r="Z168" s="238">
        <v>1.6041251217601804E-2</v>
      </c>
      <c r="AA168" s="240">
        <v>1.084947548358528E-2</v>
      </c>
    </row>
    <row r="169" spans="19:27" x14ac:dyDescent="0.2">
      <c r="S169" s="199"/>
      <c r="T169" s="200"/>
      <c r="W169" s="233" t="str">
        <f t="shared" si="9"/>
        <v>1D</v>
      </c>
      <c r="X169" s="234">
        <f>_xll.qlCalendarAdvance(Calendar,X168,W169,"f",FALSE)</f>
        <v>42033</v>
      </c>
      <c r="Y169" s="237">
        <f>_xll.qlCalendarAdvance(Calendar,X169,NDays&amp;"D")</f>
        <v>42033</v>
      </c>
      <c r="Z169" s="238">
        <v>1.6068094473900008E-2</v>
      </c>
      <c r="AA169" s="240">
        <v>1.0902030764800008E-2</v>
      </c>
    </row>
    <row r="170" spans="19:27" x14ac:dyDescent="0.2">
      <c r="S170" s="199"/>
      <c r="T170" s="200"/>
      <c r="W170" s="233" t="str">
        <f t="shared" si="9"/>
        <v>1D</v>
      </c>
      <c r="X170" s="234">
        <f>_xll.qlCalendarAdvance(Calendar,X169,W170,"f",FALSE)</f>
        <v>42034</v>
      </c>
      <c r="Y170" s="237">
        <f>_xll.qlCalendarAdvance(Calendar,X170,NDays&amp;"D")</f>
        <v>42034</v>
      </c>
      <c r="Z170" s="238">
        <v>1.6081806615931071E-2</v>
      </c>
      <c r="AA170" s="240">
        <v>1.1003516764761525E-2</v>
      </c>
    </row>
    <row r="171" spans="19:27" x14ac:dyDescent="0.2">
      <c r="S171" s="199"/>
      <c r="T171" s="200"/>
      <c r="W171" s="233" t="str">
        <f t="shared" si="9"/>
        <v>1D</v>
      </c>
      <c r="X171" s="234">
        <f>_xll.qlCalendarAdvance(Calendar,X170,W171,"f",FALSE)</f>
        <v>42037</v>
      </c>
      <c r="Y171" s="237">
        <f>_xll.qlCalendarAdvance(Calendar,X171,NDays&amp;"D")</f>
        <v>42037</v>
      </c>
      <c r="Z171" s="238">
        <v>1.6174573285513416E-2</v>
      </c>
      <c r="AA171" s="240">
        <v>1.11003830999723E-2</v>
      </c>
    </row>
    <row r="172" spans="19:27" x14ac:dyDescent="0.2">
      <c r="S172" s="199"/>
      <c r="T172" s="200"/>
      <c r="W172" s="233" t="str">
        <f t="shared" si="9"/>
        <v>1D</v>
      </c>
      <c r="X172" s="234">
        <f>_xll.qlCalendarAdvance(Calendar,X171,W172,"f",FALSE)</f>
        <v>42038</v>
      </c>
      <c r="Y172" s="237">
        <f>_xll.qlCalendarAdvance(Calendar,X172,NDays&amp;"D")</f>
        <v>42038</v>
      </c>
      <c r="Z172" s="238">
        <v>1.6200984898453452E-2</v>
      </c>
      <c r="AA172" s="240">
        <v>1.1147003983993375E-2</v>
      </c>
    </row>
    <row r="173" spans="19:27" x14ac:dyDescent="0.2">
      <c r="S173" s="199"/>
      <c r="T173" s="200"/>
      <c r="W173" s="233" t="str">
        <f t="shared" si="9"/>
        <v>1D</v>
      </c>
      <c r="X173" s="234">
        <f>_xll.qlCalendarAdvance(Calendar,X172,W173,"f",FALSE)</f>
        <v>42039</v>
      </c>
      <c r="Y173" s="237">
        <f>_xll.qlCalendarAdvance(Calendar,X173,NDays&amp;"D")</f>
        <v>42039</v>
      </c>
      <c r="Z173" s="238">
        <v>1.62273194619873E-2</v>
      </c>
      <c r="AA173" s="240">
        <v>1.1192437987052051E-2</v>
      </c>
    </row>
    <row r="174" spans="19:27" x14ac:dyDescent="0.2">
      <c r="S174" s="199"/>
      <c r="T174" s="200"/>
      <c r="W174" s="233" t="str">
        <f t="shared" si="9"/>
        <v>1D</v>
      </c>
      <c r="X174" s="234">
        <f>_xll.qlCalendarAdvance(Calendar,X173,W174,"f",FALSE)</f>
        <v>42040</v>
      </c>
      <c r="Y174" s="237">
        <f>_xll.qlCalendarAdvance(Calendar,X174,NDays&amp;"D")</f>
        <v>42040</v>
      </c>
      <c r="Z174" s="238">
        <v>1.6253580070001217E-2</v>
      </c>
      <c r="AA174" s="240">
        <v>1.1236685108905187E-2</v>
      </c>
    </row>
    <row r="175" spans="19:27" x14ac:dyDescent="0.2">
      <c r="S175" s="199"/>
      <c r="T175" s="200"/>
      <c r="W175" s="233" t="str">
        <f t="shared" si="9"/>
        <v>1D</v>
      </c>
      <c r="X175" s="234">
        <f>_xll.qlCalendarAdvance(Calendar,X174,W175,"f",FALSE)</f>
        <v>42041</v>
      </c>
      <c r="Y175" s="237">
        <f>_xll.qlCalendarAdvance(Calendar,X175,NDays&amp;"D")</f>
        <v>42041</v>
      </c>
      <c r="Z175" s="238">
        <v>1.6305537512902826E-2</v>
      </c>
      <c r="AA175" s="240">
        <v>1.1321574232416866E-2</v>
      </c>
    </row>
    <row r="176" spans="19:27" x14ac:dyDescent="0.2">
      <c r="S176" s="199"/>
      <c r="T176" s="200"/>
      <c r="W176" s="233" t="str">
        <f t="shared" si="9"/>
        <v>1D</v>
      </c>
      <c r="X176" s="234">
        <f>_xll.qlCalendarAdvance(Calendar,X175,W176,"f",FALSE)</f>
        <v>42044</v>
      </c>
      <c r="Y176" s="237">
        <f>_xll.qlCalendarAdvance(Calendar,X176,NDays&amp;"D")</f>
        <v>42044</v>
      </c>
      <c r="Z176" s="238">
        <v>1.635794483632691E-2</v>
      </c>
      <c r="AA176" s="240">
        <v>1.1401804774779922E-2</v>
      </c>
    </row>
    <row r="177" spans="19:27" x14ac:dyDescent="0.2">
      <c r="S177" s="199"/>
      <c r="T177" s="200"/>
      <c r="W177" s="233" t="str">
        <f t="shared" si="9"/>
        <v>1D</v>
      </c>
      <c r="X177" s="234">
        <f>_xll.qlCalendarAdvance(Calendar,X176,W177,"f",FALSE)</f>
        <v>42045</v>
      </c>
      <c r="Y177" s="237">
        <f>_xll.qlCalendarAdvance(Calendar,X177,NDays&amp;"D")</f>
        <v>42045</v>
      </c>
      <c r="Z177" s="238">
        <v>1.6383882086751678E-2</v>
      </c>
      <c r="AA177" s="240">
        <v>1.144011748387852E-2</v>
      </c>
    </row>
    <row r="178" spans="19:27" x14ac:dyDescent="0.2">
      <c r="S178" s="199"/>
      <c r="T178" s="200"/>
      <c r="W178" s="233" t="str">
        <f t="shared" si="9"/>
        <v>1D</v>
      </c>
      <c r="X178" s="234">
        <f>_xll.qlCalendarAdvance(Calendar,X177,W178,"f",FALSE)</f>
        <v>42046</v>
      </c>
      <c r="Y178" s="237">
        <f>_xll.qlCalendarAdvance(Calendar,X178,NDays&amp;"D")</f>
        <v>42046</v>
      </c>
      <c r="Z178" s="238">
        <v>1.6409763951975798E-2</v>
      </c>
      <c r="AA178" s="240">
        <v>1.1477243309178098E-2</v>
      </c>
    </row>
    <row r="179" spans="19:27" x14ac:dyDescent="0.2">
      <c r="S179" s="199"/>
      <c r="T179" s="200"/>
      <c r="W179" s="233" t="str">
        <f t="shared" si="9"/>
        <v>1D</v>
      </c>
      <c r="X179" s="234">
        <f>_xll.qlCalendarAdvance(Calendar,X178,W179,"f",FALSE)</f>
        <v>42047</v>
      </c>
      <c r="Y179" s="237">
        <f>_xll.qlCalendarAdvance(Calendar,X179,NDays&amp;"D")</f>
        <v>42047</v>
      </c>
      <c r="Z179" s="238">
        <v>1.6435593528201897E-2</v>
      </c>
      <c r="AA179" s="240">
        <v>1.1513182250516563E-2</v>
      </c>
    </row>
    <row r="180" spans="19:27" x14ac:dyDescent="0.2">
      <c r="S180" s="199"/>
      <c r="T180" s="200"/>
      <c r="W180" s="233" t="str">
        <f t="shared" si="9"/>
        <v>1D</v>
      </c>
      <c r="X180" s="234">
        <f>_xll.qlCalendarAdvance(Calendar,X179,W180,"f",FALSE)</f>
        <v>42048</v>
      </c>
      <c r="Y180" s="237">
        <f>_xll.qlCalendarAdvance(Calendar,X180,NDays&amp;"D")</f>
        <v>42048</v>
      </c>
      <c r="Z180" s="238">
        <v>1.6486876162719887E-2</v>
      </c>
      <c r="AA180" s="240">
        <v>1.1581471311487014E-2</v>
      </c>
    </row>
    <row r="181" spans="19:27" x14ac:dyDescent="0.2">
      <c r="S181" s="199"/>
      <c r="T181" s="200"/>
      <c r="W181" s="233" t="str">
        <f t="shared" si="9"/>
        <v>1D</v>
      </c>
      <c r="X181" s="234">
        <f>_xll.qlCalendarAdvance(Calendar,X180,W181,"f",FALSE)</f>
        <v>42051</v>
      </c>
      <c r="Y181" s="237">
        <f>_xll.qlCalendarAdvance(Calendar,X181,NDays&amp;"D")</f>
        <v>42051</v>
      </c>
      <c r="Z181" s="238">
        <v>1.6538450878458066E-2</v>
      </c>
      <c r="AA181" s="240">
        <v>1.1645069168154665E-2</v>
      </c>
    </row>
    <row r="182" spans="19:27" x14ac:dyDescent="0.2">
      <c r="S182" s="199"/>
      <c r="T182" s="200"/>
      <c r="W182" s="233" t="str">
        <f t="shared" si="9"/>
        <v>1D</v>
      </c>
      <c r="X182" s="234">
        <f>_xll.qlCalendarAdvance(Calendar,X181,W182,"f",FALSE)</f>
        <v>42052</v>
      </c>
      <c r="Y182" s="237">
        <f>_xll.qlCalendarAdvance(Calendar,X182,NDays&amp;"D")</f>
        <v>42052</v>
      </c>
      <c r="Z182" s="238">
        <v>1.6564065463996913E-2</v>
      </c>
      <c r="AA182" s="240">
        <v>1.1675073684014325E-2</v>
      </c>
    </row>
    <row r="183" spans="19:27" x14ac:dyDescent="0.2">
      <c r="S183" s="199"/>
      <c r="T183" s="200"/>
      <c r="W183" s="233" t="str">
        <f t="shared" si="9"/>
        <v>1D</v>
      </c>
      <c r="X183" s="234">
        <f>_xll.qlCalendarAdvance(Calendar,X182,W183,"f",FALSE)</f>
        <v>42053</v>
      </c>
      <c r="Y183" s="237">
        <f>_xll.qlCalendarAdvance(Calendar,X183,NDays&amp;"D")</f>
        <v>42053</v>
      </c>
      <c r="Z183" s="238">
        <v>1.6589646344493669E-2</v>
      </c>
      <c r="AA183" s="240">
        <v>1.1703891313886716E-2</v>
      </c>
    </row>
    <row r="184" spans="19:27" x14ac:dyDescent="0.2">
      <c r="S184" s="199"/>
      <c r="T184" s="200"/>
      <c r="W184" s="233" t="str">
        <f t="shared" si="9"/>
        <v>1D</v>
      </c>
      <c r="X184" s="234">
        <f>_xll.qlCalendarAdvance(Calendar,X183,W184,"f",FALSE)</f>
        <v>42054</v>
      </c>
      <c r="Y184" s="237">
        <f>_xll.qlCalendarAdvance(Calendar,X184,NDays&amp;"D")</f>
        <v>42054</v>
      </c>
      <c r="Z184" s="238">
        <v>1.6615196618386729E-2</v>
      </c>
      <c r="AA184" s="240">
        <v>1.1731522057528698E-2</v>
      </c>
    </row>
    <row r="185" spans="19:27" x14ac:dyDescent="0.2">
      <c r="S185" s="199"/>
      <c r="T185" s="200"/>
      <c r="W185" s="233" t="str">
        <f t="shared" si="9"/>
        <v>1D</v>
      </c>
      <c r="X185" s="234">
        <f>_xll.qlCalendarAdvance(Calendar,X184,W185,"f",FALSE)</f>
        <v>42055</v>
      </c>
      <c r="Y185" s="237">
        <f>_xll.qlCalendarAdvance(Calendar,X185,NDays&amp;"D")</f>
        <v>42055</v>
      </c>
      <c r="Z185" s="238">
        <v>1.6665948542872518E-2</v>
      </c>
      <c r="AA185" s="240">
        <v>1.1783207629213107E-2</v>
      </c>
    </row>
    <row r="186" spans="19:27" x14ac:dyDescent="0.2">
      <c r="S186" s="199"/>
      <c r="T186" s="200"/>
      <c r="W186" s="233" t="str">
        <f t="shared" si="9"/>
        <v>1D</v>
      </c>
      <c r="X186" s="234">
        <f>_xll.qlCalendarAdvance(Calendar,X185,W186,"f",FALSE)</f>
        <v>42058</v>
      </c>
      <c r="Y186" s="237">
        <f>_xll.qlCalendarAdvance(Calendar,X186,NDays&amp;"D")</f>
        <v>42058</v>
      </c>
      <c r="Z186" s="238">
        <v>1.6717153627672454E-2</v>
      </c>
      <c r="AA186" s="240">
        <v>1.1830176163795114E-2</v>
      </c>
    </row>
    <row r="187" spans="19:27" x14ac:dyDescent="0.2">
      <c r="S187" s="199"/>
      <c r="T187" s="200"/>
      <c r="W187" s="233" t="str">
        <f t="shared" si="9"/>
        <v>1D</v>
      </c>
      <c r="X187" s="234">
        <f>_xll.qlCalendarAdvance(Calendar,X186,W187,"f",FALSE)</f>
        <v>42059</v>
      </c>
      <c r="Y187" s="237">
        <f>_xll.qlCalendarAdvance(Calendar,X187,NDays&amp;"D")</f>
        <v>42059</v>
      </c>
      <c r="Z187" s="238">
        <v>1.6742597356098843E-2</v>
      </c>
      <c r="AA187" s="240">
        <v>1.1851872472151692E-2</v>
      </c>
    </row>
    <row r="188" spans="19:27" x14ac:dyDescent="0.2">
      <c r="S188" s="199"/>
      <c r="T188" s="200"/>
      <c r="W188" s="233" t="str">
        <f t="shared" si="9"/>
        <v>1D</v>
      </c>
      <c r="X188" s="234">
        <f>_xll.qlCalendarAdvance(Calendar,X187,W188,"f",FALSE)</f>
        <v>42060</v>
      </c>
      <c r="Y188" s="237">
        <f>_xll.qlCalendarAdvance(Calendar,X188,NDays&amp;"D")</f>
        <v>42060</v>
      </c>
      <c r="Z188" s="238">
        <v>1.6768029075129087E-2</v>
      </c>
      <c r="AA188" s="240">
        <v>1.1872381892819028E-2</v>
      </c>
    </row>
    <row r="189" spans="19:27" x14ac:dyDescent="0.2">
      <c r="S189" s="199"/>
      <c r="T189" s="200"/>
      <c r="W189" s="233" t="str">
        <f t="shared" si="9"/>
        <v>1D</v>
      </c>
      <c r="X189" s="234">
        <f>_xll.qlCalendarAdvance(Calendar,X188,W189,"f",FALSE)</f>
        <v>42061</v>
      </c>
      <c r="Y189" s="237">
        <f>_xll.qlCalendarAdvance(Calendar,X189,NDays&amp;"D")</f>
        <v>42061</v>
      </c>
      <c r="Z189" s="238">
        <v>1.6793451885388944E-2</v>
      </c>
      <c r="AA189" s="240">
        <v>1.1891704425472938E-2</v>
      </c>
    </row>
    <row r="190" spans="19:27" x14ac:dyDescent="0.2">
      <c r="S190" s="199"/>
      <c r="T190" s="200"/>
      <c r="W190" s="233" t="str">
        <f t="shared" si="9"/>
        <v>1D</v>
      </c>
      <c r="X190" s="234">
        <f>_xll.qlCalendarAdvance(Calendar,X189,W190,"f",FALSE)</f>
        <v>42062</v>
      </c>
      <c r="Y190" s="237">
        <f>_xll.qlCalendarAdvance(Calendar,X190,NDays&amp;"D")</f>
        <v>42062</v>
      </c>
      <c r="Z190" s="238">
        <v>1.6843811622707091E-2</v>
      </c>
      <c r="AA190" s="240">
        <v>1.1928277690170427E-2</v>
      </c>
    </row>
    <row r="191" spans="19:27" x14ac:dyDescent="0.2">
      <c r="S191" s="199"/>
      <c r="T191" s="200"/>
      <c r="W191" s="233" t="str">
        <f t="shared" si="9"/>
        <v>1D</v>
      </c>
      <c r="X191" s="234">
        <f>_xll.qlCalendarAdvance(Calendar,X190,W191,"f",FALSE)</f>
        <v>42065</v>
      </c>
      <c r="Y191" s="237">
        <f>_xll.qlCalendarAdvance(Calendar,X191,NDays&amp;"D")</f>
        <v>42065</v>
      </c>
      <c r="Z191" s="238">
        <v>1.6907519935894389E-2</v>
      </c>
      <c r="AA191" s="240">
        <v>1.1963270535831905E-2</v>
      </c>
    </row>
    <row r="192" spans="19:27" x14ac:dyDescent="0.2">
      <c r="S192" s="199"/>
      <c r="T192" s="200"/>
      <c r="W192" s="233" t="str">
        <f t="shared" si="9"/>
        <v>1D</v>
      </c>
      <c r="X192" s="234">
        <f>_xll.qlCalendarAdvance(Calendar,X191,W192,"f",FALSE)</f>
        <v>42066</v>
      </c>
      <c r="Y192" s="237">
        <f>_xll.qlCalendarAdvance(Calendar,X192,NDays&amp;"D")</f>
        <v>42066</v>
      </c>
      <c r="Z192" s="238">
        <v>1.6932905887137265E-2</v>
      </c>
      <c r="AA192" s="240">
        <v>1.1980644483535752E-2</v>
      </c>
    </row>
    <row r="193" spans="19:27" x14ac:dyDescent="0.2">
      <c r="S193" s="199"/>
      <c r="T193" s="200"/>
      <c r="W193" s="233" t="str">
        <f t="shared" si="9"/>
        <v>1D</v>
      </c>
      <c r="X193" s="234">
        <f>_xll.qlCalendarAdvance(Calendar,X192,W193,"f",FALSE)</f>
        <v>42067</v>
      </c>
      <c r="Y193" s="237">
        <f>_xll.qlCalendarAdvance(Calendar,X193,NDays&amp;"D")</f>
        <v>42067</v>
      </c>
      <c r="Z193" s="238">
        <v>1.6958290236070588E-2</v>
      </c>
      <c r="AA193" s="240">
        <v>1.1997828006924394E-2</v>
      </c>
    </row>
    <row r="194" spans="19:27" x14ac:dyDescent="0.2">
      <c r="S194" s="199"/>
      <c r="T194" s="200"/>
      <c r="W194" s="233" t="str">
        <f t="shared" si="9"/>
        <v>1D</v>
      </c>
      <c r="X194" s="234">
        <f>_xll.qlCalendarAdvance(Calendar,X193,W194,"f",FALSE)</f>
        <v>42068</v>
      </c>
      <c r="Y194" s="237">
        <f>_xll.qlCalendarAdvance(Calendar,X194,NDays&amp;"D")</f>
        <v>42068</v>
      </c>
      <c r="Z194" s="238">
        <v>1.7008319291480826E-2</v>
      </c>
      <c r="AA194" s="240">
        <v>1.201482110599783E-2</v>
      </c>
    </row>
    <row r="195" spans="19:27" x14ac:dyDescent="0.2">
      <c r="S195" s="199"/>
      <c r="T195" s="200"/>
      <c r="W195" s="233" t="str">
        <f t="shared" si="9"/>
        <v>1D</v>
      </c>
      <c r="X195" s="234">
        <f>_xll.qlCalendarAdvance(Calendar,X194,W195,"f",FALSE)</f>
        <v>42069</v>
      </c>
      <c r="Y195" s="237">
        <f>_xll.qlCalendarAdvance(Calendar,X195,NDays&amp;"D")</f>
        <v>42069</v>
      </c>
      <c r="Z195" s="238">
        <v>1.7021365255872126E-2</v>
      </c>
      <c r="AA195" s="240">
        <v>1.2048570254741636E-2</v>
      </c>
    </row>
    <row r="196" spans="19:27" x14ac:dyDescent="0.2">
      <c r="S196" s="199"/>
      <c r="T196" s="200"/>
      <c r="W196" s="233" t="str">
        <f t="shared" si="9"/>
        <v>1D</v>
      </c>
      <c r="X196" s="234">
        <f>_xll.qlCalendarAdvance(Calendar,X195,W196,"f",FALSE)</f>
        <v>42072</v>
      </c>
      <c r="Y196" s="237">
        <f>_xll.qlCalendarAdvance(Calendar,X196,NDays&amp;"D")</f>
        <v>42072</v>
      </c>
      <c r="Z196" s="238">
        <v>1.7085199315133789E-2</v>
      </c>
      <c r="AA196" s="240">
        <v>1.208088925841011E-2</v>
      </c>
    </row>
    <row r="197" spans="19:27" x14ac:dyDescent="0.2">
      <c r="S197" s="199"/>
      <c r="T197" s="200"/>
      <c r="W197" s="233" t="str">
        <f t="shared" si="9"/>
        <v>1D</v>
      </c>
      <c r="X197" s="234">
        <f>_xll.qlCalendarAdvance(Calendar,X196,W197,"f",FALSE)</f>
        <v>42073</v>
      </c>
      <c r="Y197" s="237">
        <f>_xll.qlCalendarAdvance(Calendar,X197,NDays&amp;"D")</f>
        <v>42073</v>
      </c>
      <c r="Z197" s="238">
        <v>1.7110580872089394E-2</v>
      </c>
      <c r="AA197" s="240">
        <v>1.2096930235421244E-2</v>
      </c>
    </row>
    <row r="198" spans="19:27" x14ac:dyDescent="0.2">
      <c r="S198" s="199"/>
      <c r="T198" s="200"/>
      <c r="W198" s="233" t="str">
        <f t="shared" si="9"/>
        <v>1D</v>
      </c>
      <c r="X198" s="234">
        <f>_xll.qlCalendarAdvance(Calendar,X197,W198,"f",FALSE)</f>
        <v>42074</v>
      </c>
      <c r="Y198" s="237">
        <f>_xll.qlCalendarAdvance(Calendar,X198,NDays&amp;"D")</f>
        <v>42074</v>
      </c>
      <c r="Z198" s="238">
        <v>1.7135963100999047E-2</v>
      </c>
      <c r="AA198" s="240">
        <v>1.2112780788036126E-2</v>
      </c>
    </row>
    <row r="199" spans="19:27" x14ac:dyDescent="0.2">
      <c r="S199" s="199"/>
      <c r="T199" s="200"/>
      <c r="W199" s="233" t="str">
        <f t="shared" si="9"/>
        <v>1D</v>
      </c>
      <c r="X199" s="234">
        <f>_xll.qlCalendarAdvance(Calendar,X198,W199,"f",FALSE)</f>
        <v>42075</v>
      </c>
      <c r="Y199" s="237">
        <f>_xll.qlCalendarAdvance(Calendar,X199,NDays&amp;"D")</f>
        <v>42075</v>
      </c>
      <c r="Z199" s="238">
        <v>1.7185669925952874E-2</v>
      </c>
      <c r="AA199" s="240">
        <v>1.2128440916011618E-2</v>
      </c>
    </row>
    <row r="200" spans="19:27" x14ac:dyDescent="0.2">
      <c r="S200" s="199"/>
      <c r="T200" s="200"/>
      <c r="W200" s="233" t="str">
        <f t="shared" si="9"/>
        <v>1D</v>
      </c>
      <c r="X200" s="234">
        <f>_xll.qlCalendarAdvance(Calendar,X199,W200,"f",FALSE)</f>
        <v>42076</v>
      </c>
      <c r="Y200" s="237">
        <f>_xll.qlCalendarAdvance(Calendar,X200,NDays&amp;"D")</f>
        <v>42076</v>
      </c>
      <c r="Z200" s="238">
        <v>1.7198878346771827E-2</v>
      </c>
      <c r="AA200" s="240">
        <v>1.2159531480994506E-2</v>
      </c>
    </row>
    <row r="201" spans="19:27" x14ac:dyDescent="0.2">
      <c r="S201" s="199"/>
      <c r="T201" s="200"/>
      <c r="W201" s="233" t="str">
        <f t="shared" si="9"/>
        <v>1D</v>
      </c>
      <c r="X201" s="234">
        <f>_xll.qlCalendarAdvance(Calendar,X200,W201,"f",FALSE)</f>
        <v>42079</v>
      </c>
      <c r="Y201" s="237">
        <f>_xll.qlCalendarAdvance(Calendar,X201,NDays&amp;"D")</f>
        <v>42079</v>
      </c>
      <c r="Z201" s="238">
        <v>1.7262895701869008E-2</v>
      </c>
      <c r="AA201" s="240">
        <v>1.2189177182735378E-2</v>
      </c>
    </row>
    <row r="202" spans="19:27" x14ac:dyDescent="0.2">
      <c r="S202" s="199"/>
      <c r="T202" s="200"/>
      <c r="W202" s="233" t="str">
        <f t="shared" si="9"/>
        <v>1D</v>
      </c>
      <c r="X202" s="234">
        <f>_xll.qlCalendarAdvance(Calendar,X201,W202,"f",FALSE)</f>
        <v>42080</v>
      </c>
      <c r="Y202" s="237">
        <f>_xll.qlCalendarAdvance(Calendar,X202,NDays&amp;"D")</f>
        <v>42080</v>
      </c>
      <c r="Z202" s="238">
        <v>1.7288288789164937E-2</v>
      </c>
      <c r="AA202" s="240">
        <v>1.220388518791915E-2</v>
      </c>
    </row>
    <row r="203" spans="19:27" x14ac:dyDescent="0.2">
      <c r="S203" s="199"/>
      <c r="T203" s="200"/>
      <c r="W203" s="233" t="str">
        <f t="shared" si="9"/>
        <v>1D</v>
      </c>
      <c r="X203" s="234">
        <f>_xll.qlCalendarAdvance(Calendar,X202,W203,"f",FALSE)</f>
        <v>42081</v>
      </c>
      <c r="Y203" s="237">
        <f>_xll.qlCalendarAdvance(Calendar,X203,NDays&amp;"D")</f>
        <v>42081</v>
      </c>
      <c r="Z203" s="238">
        <v>1.7313684824272875E-2</v>
      </c>
      <c r="AA203" s="240">
        <v>1.2218402768463532E-2</v>
      </c>
    </row>
    <row r="204" spans="19:27" x14ac:dyDescent="0.2">
      <c r="S204" s="199"/>
      <c r="T204" s="200"/>
      <c r="W204" s="233" t="str">
        <f t="shared" si="9"/>
        <v>1D</v>
      </c>
      <c r="X204" s="234">
        <f>_xll.qlCalendarAdvance(Calendar,X203,W204,"f",FALSE)</f>
        <v>42082</v>
      </c>
      <c r="Y204" s="237">
        <f>_xll.qlCalendarAdvance(Calendar,X204,NDays&amp;"D")</f>
        <v>42082</v>
      </c>
      <c r="Z204" s="238">
        <v>1.7363065310259024E-2</v>
      </c>
      <c r="AA204" s="240">
        <v>1.2232729924287478E-2</v>
      </c>
    </row>
    <row r="205" spans="19:27" x14ac:dyDescent="0.2">
      <c r="S205" s="199"/>
      <c r="T205" s="200"/>
      <c r="W205" s="233" t="str">
        <f t="shared" si="9"/>
        <v>1D</v>
      </c>
      <c r="X205" s="234">
        <f>_xll.qlCalendarAdvance(Calendar,X204,W205,"f",FALSE)</f>
        <v>42083</v>
      </c>
      <c r="Y205" s="237">
        <f>_xll.qlCalendarAdvance(Calendar,X205,NDays&amp;"D")</f>
        <v>42083</v>
      </c>
      <c r="Z205" s="238">
        <v>1.7376462065293263E-2</v>
      </c>
      <c r="AA205" s="240">
        <v>1.2261161343453491E-2</v>
      </c>
    </row>
    <row r="206" spans="19:27" x14ac:dyDescent="0.2">
      <c r="S206" s="199"/>
      <c r="T206" s="200"/>
      <c r="W206" s="233" t="str">
        <f t="shared" si="9"/>
        <v>1D</v>
      </c>
      <c r="X206" s="234">
        <f>_xll.qlCalendarAdvance(Calendar,X205,W206,"f",FALSE)</f>
        <v>42086</v>
      </c>
      <c r="Y206" s="237">
        <f>_xll.qlCalendarAdvance(Calendar,X206,NDays&amp;"D")</f>
        <v>42086</v>
      </c>
      <c r="Z206" s="238">
        <v>1.7440720601975761E-2</v>
      </c>
      <c r="AA206" s="240">
        <v>1.2288134300622033E-2</v>
      </c>
    </row>
    <row r="207" spans="19:27" x14ac:dyDescent="0.2">
      <c r="S207" s="199"/>
      <c r="T207" s="200"/>
      <c r="W207" s="233" t="str">
        <f t="shared" si="9"/>
        <v>1D</v>
      </c>
      <c r="X207" s="234">
        <f>_xll.qlCalendarAdvance(Calendar,X206,W207,"f",FALSE)</f>
        <v>42087</v>
      </c>
      <c r="Y207" s="237">
        <f>_xll.qlCalendarAdvance(Calendar,X207,NDays&amp;"D")</f>
        <v>42087</v>
      </c>
      <c r="Z207" s="238">
        <v>1.7466141155402751E-2</v>
      </c>
      <c r="AA207" s="240">
        <v>1.2301509332843796E-2</v>
      </c>
    </row>
    <row r="208" spans="19:27" x14ac:dyDescent="0.2">
      <c r="S208" s="199"/>
      <c r="T208" s="200"/>
      <c r="W208" s="233" t="str">
        <f t="shared" si="9"/>
        <v>1D</v>
      </c>
      <c r="X208" s="234">
        <f>_xll.qlCalendarAdvance(Calendar,X207,W208,"f",FALSE)</f>
        <v>42088</v>
      </c>
      <c r="Y208" s="237">
        <f>_xll.qlCalendarAdvance(Calendar,X208,NDays&amp;"D")</f>
        <v>42088</v>
      </c>
      <c r="Z208" s="238">
        <v>1.7538830354742709E-2</v>
      </c>
      <c r="AA208" s="240">
        <v>1.231469394018303E-2</v>
      </c>
    </row>
    <row r="209" spans="19:27" x14ac:dyDescent="0.2">
      <c r="S209" s="199"/>
      <c r="T209" s="200"/>
      <c r="W209" s="233" t="str">
        <f t="shared" si="9"/>
        <v>1D</v>
      </c>
      <c r="X209" s="234">
        <f>_xll.qlCalendarAdvance(Calendar,X208,W209,"f",FALSE)</f>
        <v>42089</v>
      </c>
      <c r="Y209" s="237">
        <f>_xll.qlCalendarAdvance(Calendar,X209,NDays&amp;"D")</f>
        <v>42089</v>
      </c>
      <c r="Z209" s="238">
        <v>1.7552395707697278E-2</v>
      </c>
      <c r="AA209" s="240">
        <v>1.2327688122801828E-2</v>
      </c>
    </row>
    <row r="210" spans="19:27" x14ac:dyDescent="0.2">
      <c r="S210" s="199"/>
      <c r="T210" s="200"/>
      <c r="W210" s="233" t="str">
        <f t="shared" si="9"/>
        <v>1D</v>
      </c>
      <c r="X210" s="234">
        <f>_xll.qlCalendarAdvance(Calendar,X209,W210,"f",FALSE)</f>
        <v>42090</v>
      </c>
      <c r="Y210" s="237">
        <f>_xll.qlCalendarAdvance(Calendar,X210,NDays&amp;"D")</f>
        <v>42090</v>
      </c>
      <c r="Z210" s="238">
        <v>1.7565999999999887E-2</v>
      </c>
      <c r="AA210" s="240">
        <v>1.2354824263820138E-2</v>
      </c>
    </row>
    <row r="211" spans="19:27" x14ac:dyDescent="0.2">
      <c r="S211" s="199"/>
      <c r="T211" s="200"/>
      <c r="W211" s="233" t="str">
        <f t="shared" si="9"/>
        <v>1D</v>
      </c>
      <c r="X211" s="234">
        <f>_xll.qlCalendarAdvance(Calendar,X210,W211,"f",FALSE)</f>
        <v>42093</v>
      </c>
      <c r="Y211" s="237">
        <f>_xll.qlCalendarAdvance(Calendar,X211,NDays&amp;"D")</f>
        <v>42093</v>
      </c>
      <c r="Z211" s="238">
        <v>1.7618774266400433E-2</v>
      </c>
      <c r="AA211" s="240">
        <v>1.238336961055353E-2</v>
      </c>
    </row>
    <row r="212" spans="19:27" x14ac:dyDescent="0.2">
      <c r="S212" s="199"/>
      <c r="T212" s="200"/>
      <c r="W212" s="233" t="str">
        <f t="shared" si="9"/>
        <v>1D</v>
      </c>
      <c r="X212" s="234">
        <f>_xll.qlCalendarAdvance(Calendar,X211,W212,"f",FALSE)</f>
        <v>42094</v>
      </c>
      <c r="Y212" s="237">
        <f>_xll.qlCalendarAdvance(Calendar,X212,NDays&amp;"D")</f>
        <v>42094</v>
      </c>
      <c r="Z212" s="238">
        <v>1.7644222967879895E-2</v>
      </c>
      <c r="AA212" s="240">
        <v>1.2399049943366824E-2</v>
      </c>
    </row>
    <row r="213" spans="19:27" x14ac:dyDescent="0.2">
      <c r="S213" s="199"/>
      <c r="T213" s="200"/>
      <c r="W213" s="233" t="str">
        <f t="shared" ref="W213:W276" si="10">W212</f>
        <v>1D</v>
      </c>
      <c r="X213" s="234">
        <f>_xll.qlCalendarAdvance(Calendar,X212,W213,"f",FALSE)</f>
        <v>42095</v>
      </c>
      <c r="Y213" s="237">
        <f>_xll.qlCalendarAdvance(Calendar,X213,NDays&amp;"D")</f>
        <v>42095</v>
      </c>
      <c r="Z213" s="238">
        <v>1.7669669623923061E-2</v>
      </c>
      <c r="AA213" s="240">
        <v>1.2415449420091207E-2</v>
      </c>
    </row>
    <row r="214" spans="19:27" x14ac:dyDescent="0.2">
      <c r="S214" s="199"/>
      <c r="T214" s="200"/>
      <c r="W214" s="233" t="str">
        <f t="shared" si="10"/>
        <v>1D</v>
      </c>
      <c r="X214" s="234">
        <f>_xll.qlCalendarAdvance(Calendar,X213,W214,"f",FALSE)</f>
        <v>42096</v>
      </c>
      <c r="Y214" s="237">
        <f>_xll.qlCalendarAdvance(Calendar,X214,NDays&amp;"D")</f>
        <v>42096</v>
      </c>
      <c r="Z214" s="238">
        <v>1.7718353743686518E-2</v>
      </c>
      <c r="AA214" s="240">
        <v>1.2470533903967462E-2</v>
      </c>
    </row>
    <row r="215" spans="19:27" x14ac:dyDescent="0.2">
      <c r="S215" s="199"/>
      <c r="T215" s="200"/>
      <c r="W215" s="233" t="str">
        <f t="shared" si="10"/>
        <v>1D</v>
      </c>
      <c r="X215" s="234">
        <f>_xll.qlCalendarAdvance(Calendar,X214,W215,"f",FALSE)</f>
        <v>42101</v>
      </c>
      <c r="Y215" s="237">
        <f>_xll.qlCalendarAdvance(Calendar,X215,NDays&amp;"D")</f>
        <v>42101</v>
      </c>
      <c r="Z215" s="238">
        <v>1.7822199047167413E-2</v>
      </c>
      <c r="AA215" s="240">
        <v>1.2528948309864507E-2</v>
      </c>
    </row>
    <row r="216" spans="19:27" x14ac:dyDescent="0.2">
      <c r="S216" s="199"/>
      <c r="T216" s="200"/>
      <c r="W216" s="233" t="str">
        <f t="shared" si="10"/>
        <v>1D</v>
      </c>
      <c r="X216" s="234">
        <f>_xll.qlCalendarAdvance(Calendar,X215,W216,"f",FALSE)</f>
        <v>42102</v>
      </c>
      <c r="Y216" s="237">
        <f>_xll.qlCalendarAdvance(Calendar,X216,NDays&amp;"D")</f>
        <v>42102</v>
      </c>
      <c r="Z216" s="238">
        <v>1.78475776016918E-2</v>
      </c>
      <c r="AA216" s="240">
        <v>1.2550381797370447E-2</v>
      </c>
    </row>
    <row r="217" spans="19:27" x14ac:dyDescent="0.2">
      <c r="S217" s="199"/>
      <c r="T217" s="200"/>
      <c r="W217" s="233" t="str">
        <f t="shared" si="10"/>
        <v>1D</v>
      </c>
      <c r="X217" s="234">
        <f>_xll.qlCalendarAdvance(Calendar,X216,W217,"f",FALSE)</f>
        <v>42103</v>
      </c>
      <c r="Y217" s="237">
        <f>_xll.qlCalendarAdvance(Calendar,X217,NDays&amp;"D")</f>
        <v>42103</v>
      </c>
      <c r="Z217" s="238">
        <v>1.7895811732089643E-2</v>
      </c>
      <c r="AA217" s="240">
        <v>1.2572534429841076E-2</v>
      </c>
    </row>
    <row r="218" spans="19:27" x14ac:dyDescent="0.2">
      <c r="S218" s="199"/>
      <c r="T218" s="200"/>
      <c r="W218" s="233" t="str">
        <f t="shared" si="10"/>
        <v>1D</v>
      </c>
      <c r="X218" s="234">
        <f>_xll.qlCalendarAdvance(Calendar,X217,W218,"f",FALSE)</f>
        <v>42104</v>
      </c>
      <c r="Y218" s="237">
        <f>_xll.qlCalendarAdvance(Calendar,X218,NDays&amp;"D")</f>
        <v>42104</v>
      </c>
      <c r="Z218" s="238">
        <v>1.7909699669900483E-2</v>
      </c>
      <c r="AA218" s="240">
        <v>1.2619673137487982E-2</v>
      </c>
    </row>
    <row r="219" spans="19:27" x14ac:dyDescent="0.2">
      <c r="S219" s="199"/>
      <c r="T219" s="200"/>
      <c r="W219" s="233" t="str">
        <f t="shared" si="10"/>
        <v>1D</v>
      </c>
      <c r="X219" s="234">
        <f>_xll.qlCalendarAdvance(Calendar,X218,W219,"f",FALSE)</f>
        <v>42107</v>
      </c>
      <c r="Y219" s="237">
        <f>_xll.qlCalendarAdvance(Calendar,X219,NDays&amp;"D")</f>
        <v>42107</v>
      </c>
      <c r="Z219" s="238">
        <v>1.7974170714993524E-2</v>
      </c>
      <c r="AA219" s="240">
        <v>1.266833641099141E-2</v>
      </c>
    </row>
    <row r="220" spans="19:27" x14ac:dyDescent="0.2">
      <c r="S220" s="199"/>
      <c r="T220" s="200"/>
      <c r="W220" s="233" t="str">
        <f t="shared" si="10"/>
        <v>1D</v>
      </c>
      <c r="X220" s="234">
        <f>_xll.qlCalendarAdvance(Calendar,X219,W220,"f",FALSE)</f>
        <v>42108</v>
      </c>
      <c r="Y220" s="237">
        <f>_xll.qlCalendarAdvance(Calendar,X220,NDays&amp;"D")</f>
        <v>42108</v>
      </c>
      <c r="Z220" s="238">
        <v>1.7999415949202659E-2</v>
      </c>
      <c r="AA220" s="240">
        <v>1.2694084769825364E-2</v>
      </c>
    </row>
    <row r="221" spans="19:27" x14ac:dyDescent="0.2">
      <c r="S221" s="199"/>
      <c r="T221" s="200"/>
      <c r="W221" s="233" t="str">
        <f t="shared" si="10"/>
        <v>1D</v>
      </c>
      <c r="X221" s="234">
        <f>_xll.qlCalendarAdvance(Calendar,X220,W221,"f",FALSE)</f>
        <v>42109</v>
      </c>
      <c r="Y221" s="237">
        <f>_xll.qlCalendarAdvance(Calendar,X221,NDays&amp;"D")</f>
        <v>42109</v>
      </c>
      <c r="Z221" s="238">
        <v>1.802463223418008E-2</v>
      </c>
      <c r="AA221" s="240">
        <v>1.2720552274434471E-2</v>
      </c>
    </row>
    <row r="222" spans="19:27" x14ac:dyDescent="0.2">
      <c r="S222" s="199"/>
      <c r="T222" s="200"/>
      <c r="W222" s="233" t="str">
        <f t="shared" si="10"/>
        <v>1D</v>
      </c>
      <c r="X222" s="234">
        <f>_xll.qlCalendarAdvance(Calendar,X221,W222,"f",FALSE)</f>
        <v>42110</v>
      </c>
      <c r="Y222" s="237">
        <f>_xll.qlCalendarAdvance(Calendar,X222,NDays&amp;"D")</f>
        <v>42110</v>
      </c>
      <c r="Z222" s="238">
        <v>1.8072335179981188E-2</v>
      </c>
      <c r="AA222" s="240">
        <v>1.274773892481873E-2</v>
      </c>
    </row>
    <row r="223" spans="19:27" x14ac:dyDescent="0.2">
      <c r="S223" s="199"/>
      <c r="T223" s="200"/>
      <c r="W223" s="233" t="str">
        <f t="shared" si="10"/>
        <v>1D</v>
      </c>
      <c r="X223" s="234">
        <f>_xll.qlCalendarAdvance(Calendar,X222,W223,"f",FALSE)</f>
        <v>42111</v>
      </c>
      <c r="Y223" s="237">
        <f>_xll.qlCalendarAdvance(Calendar,X223,NDays&amp;"D")</f>
        <v>42111</v>
      </c>
      <c r="Z223" s="238">
        <v>1.8086211950046227E-2</v>
      </c>
      <c r="AA223" s="240">
        <v>1.2804958577020317E-2</v>
      </c>
    </row>
    <row r="224" spans="19:27" x14ac:dyDescent="0.2">
      <c r="S224" s="199"/>
      <c r="T224" s="200"/>
      <c r="W224" s="233" t="str">
        <f t="shared" si="10"/>
        <v>1D</v>
      </c>
      <c r="X224" s="234">
        <f>_xll.qlCalendarAdvance(Calendar,X223,W224,"f",FALSE)</f>
        <v>42114</v>
      </c>
      <c r="Y224" s="237">
        <f>_xll.qlCalendarAdvance(Calendar,X224,NDays&amp;"D")</f>
        <v>42114</v>
      </c>
      <c r="Z224" s="238">
        <v>1.8150212104591154E-2</v>
      </c>
      <c r="AA224" s="240">
        <v>1.2863676988726924E-2</v>
      </c>
    </row>
    <row r="225" spans="19:27" x14ac:dyDescent="0.2">
      <c r="S225" s="199"/>
      <c r="T225" s="200"/>
      <c r="W225" s="233" t="str">
        <f t="shared" si="10"/>
        <v>1D</v>
      </c>
      <c r="X225" s="234">
        <f>_xll.qlCalendarAdvance(Calendar,X224,W225,"f",FALSE)</f>
        <v>42115</v>
      </c>
      <c r="Y225" s="237">
        <f>_xll.qlCalendarAdvance(Calendar,X225,NDays&amp;"D")</f>
        <v>42115</v>
      </c>
      <c r="Z225" s="238">
        <v>1.8175214301961284E-2</v>
      </c>
      <c r="AA225" s="240">
        <v>1.2894459371066702E-2</v>
      </c>
    </row>
    <row r="226" spans="19:27" x14ac:dyDescent="0.2">
      <c r="S226" s="199"/>
      <c r="T226" s="200"/>
      <c r="W226" s="233" t="str">
        <f t="shared" si="10"/>
        <v>1D</v>
      </c>
      <c r="X226" s="234">
        <f>_xll.qlCalendarAdvance(Calendar,X225,W226,"f",FALSE)</f>
        <v>42116</v>
      </c>
      <c r="Y226" s="237">
        <f>_xll.qlCalendarAdvance(Calendar,X226,NDays&amp;"D")</f>
        <v>42116</v>
      </c>
      <c r="Z226" s="238">
        <v>1.8200174084288489E-2</v>
      </c>
      <c r="AA226" s="240">
        <v>1.292596090031628E-2</v>
      </c>
    </row>
    <row r="227" spans="19:27" x14ac:dyDescent="0.2">
      <c r="S227" s="199"/>
      <c r="T227" s="200"/>
      <c r="W227" s="233" t="str">
        <f t="shared" si="10"/>
        <v>1D</v>
      </c>
      <c r="X227" s="234">
        <f>_xll.qlCalendarAdvance(Calendar,X226,W227,"f",FALSE)</f>
        <v>42117</v>
      </c>
      <c r="Y227" s="237">
        <f>_xll.qlCalendarAdvance(Calendar,X227,NDays&amp;"D")</f>
        <v>42117</v>
      </c>
      <c r="Z227" s="238">
        <v>1.8247268093284728E-2</v>
      </c>
      <c r="AA227" s="240">
        <v>1.2958181576637751E-2</v>
      </c>
    </row>
    <row r="228" spans="19:27" x14ac:dyDescent="0.2">
      <c r="S228" s="199"/>
      <c r="T228" s="200"/>
      <c r="W228" s="233" t="str">
        <f t="shared" si="10"/>
        <v>1D</v>
      </c>
      <c r="X228" s="234">
        <f>_xll.qlCalendarAdvance(Calendar,X227,W228,"f",FALSE)</f>
        <v>42118</v>
      </c>
      <c r="Y228" s="237">
        <f>_xll.qlCalendarAdvance(Calendar,X228,NDays&amp;"D")</f>
        <v>42118</v>
      </c>
      <c r="Z228" s="238">
        <v>1.8261031472449979E-2</v>
      </c>
      <c r="AA228" s="240">
        <v>1.3025484889389965E-2</v>
      </c>
    </row>
    <row r="229" spans="19:27" x14ac:dyDescent="0.2">
      <c r="S229" s="199"/>
      <c r="T229" s="200"/>
      <c r="W229" s="233" t="str">
        <f t="shared" si="10"/>
        <v>1D</v>
      </c>
      <c r="X229" s="234">
        <f>_xll.qlCalendarAdvance(Calendar,X228,W229,"f",FALSE)</f>
        <v>42121</v>
      </c>
      <c r="Y229" s="237">
        <f>_xll.qlCalendarAdvance(Calendar,X229,NDays&amp;"D")</f>
        <v>42121</v>
      </c>
      <c r="Z229" s="238">
        <v>1.8324269408912127E-2</v>
      </c>
      <c r="AA229" s="240">
        <v>1.3094073828785469E-2</v>
      </c>
    </row>
    <row r="230" spans="19:27" x14ac:dyDescent="0.2">
      <c r="S230" s="199"/>
      <c r="T230" s="200"/>
      <c r="W230" s="233" t="str">
        <f t="shared" si="10"/>
        <v>1D</v>
      </c>
      <c r="X230" s="234">
        <f>_xll.qlCalendarAdvance(Calendar,X229,W230,"f",FALSE)</f>
        <v>42122</v>
      </c>
      <c r="Y230" s="237">
        <f>_xll.qlCalendarAdvance(Calendar,X230,NDays&amp;"D")</f>
        <v>42122</v>
      </c>
      <c r="Z230" s="238">
        <v>1.8348934787818273E-2</v>
      </c>
      <c r="AA230" s="240">
        <v>1.3128798675603459E-2</v>
      </c>
    </row>
    <row r="231" spans="19:27" x14ac:dyDescent="0.2">
      <c r="S231" s="199"/>
      <c r="T231" s="200"/>
      <c r="W231" s="233" t="str">
        <f t="shared" si="10"/>
        <v>1D</v>
      </c>
      <c r="X231" s="234">
        <f>_xll.qlCalendarAdvance(Calendar,X230,W231,"f",FALSE)</f>
        <v>42123</v>
      </c>
      <c r="Y231" s="237">
        <f>_xll.qlCalendarAdvance(Calendar,X231,NDays&amp;"D")</f>
        <v>42123</v>
      </c>
      <c r="Z231" s="238">
        <v>1.8373547314163456E-2</v>
      </c>
      <c r="AA231" s="240">
        <v>1.316315110244215E-2</v>
      </c>
    </row>
    <row r="232" spans="19:27" x14ac:dyDescent="0.2">
      <c r="S232" s="199"/>
      <c r="T232" s="200"/>
      <c r="W232" s="233" t="str">
        <f t="shared" si="10"/>
        <v>1D</v>
      </c>
      <c r="X232" s="234">
        <f>_xll.qlCalendarAdvance(Calendar,X231,W232,"f",FALSE)</f>
        <v>42124</v>
      </c>
      <c r="Y232" s="237">
        <f>_xll.qlCalendarAdvance(Calendar,X232,NDays&amp;"D")</f>
        <v>42124</v>
      </c>
      <c r="Z232" s="238">
        <v>1.8387159268289377E-2</v>
      </c>
      <c r="AA232" s="240">
        <v>1.3197131109058402E-2</v>
      </c>
    </row>
    <row r="233" spans="19:27" x14ac:dyDescent="0.2">
      <c r="S233" s="199"/>
      <c r="T233" s="200"/>
      <c r="W233" s="233" t="str">
        <f t="shared" si="10"/>
        <v>1D</v>
      </c>
      <c r="X233" s="234">
        <f>_xll.qlCalendarAdvance(Calendar,X232,W233,"f",FALSE)</f>
        <v>42125</v>
      </c>
      <c r="Y233" s="237">
        <f>_xll.qlCalendarAdvance(Calendar,X233,NDays&amp;"D")</f>
        <v>42125</v>
      </c>
      <c r="Z233" s="238">
        <v>1.8444433952781742E-2</v>
      </c>
      <c r="AA233" s="240">
        <v>1.3280943824678648E-2</v>
      </c>
    </row>
    <row r="234" spans="19:27" x14ac:dyDescent="0.2">
      <c r="S234" s="199"/>
      <c r="T234" s="200"/>
      <c r="W234" s="233" t="str">
        <f t="shared" si="10"/>
        <v>1D</v>
      </c>
      <c r="X234" s="234">
        <f>_xll.qlCalendarAdvance(Calendar,X233,W234,"f",FALSE)</f>
        <v>42129</v>
      </c>
      <c r="Y234" s="237">
        <f>_xll.qlCalendarAdvance(Calendar,X234,NDays&amp;"D")</f>
        <v>42129</v>
      </c>
      <c r="Z234" s="238">
        <v>1.8520174841219407E-2</v>
      </c>
      <c r="AA234" s="240">
        <v>1.3361444837668435E-2</v>
      </c>
    </row>
    <row r="235" spans="19:27" x14ac:dyDescent="0.2">
      <c r="S235" s="199"/>
      <c r="T235" s="200"/>
      <c r="W235" s="233" t="str">
        <f t="shared" si="10"/>
        <v>1D</v>
      </c>
      <c r="X235" s="234">
        <f>_xll.qlCalendarAdvance(Calendar,X234,W235,"f",FALSE)</f>
        <v>42130</v>
      </c>
      <c r="Y235" s="237">
        <f>_xll.qlCalendarAdvance(Calendar,X235,NDays&amp;"D")</f>
        <v>42130</v>
      </c>
      <c r="Z235" s="238">
        <v>1.8544448538430736E-2</v>
      </c>
      <c r="AA235" s="240">
        <v>1.3393190321653314E-2</v>
      </c>
    </row>
    <row r="236" spans="19:27" x14ac:dyDescent="0.2">
      <c r="S236" s="199"/>
      <c r="T236" s="200"/>
      <c r="W236" s="233" t="str">
        <f t="shared" si="10"/>
        <v>1D</v>
      </c>
      <c r="X236" s="234">
        <f>_xll.qlCalendarAdvance(Calendar,X235,W236,"f",FALSE)</f>
        <v>42131</v>
      </c>
      <c r="Y236" s="237">
        <f>_xll.qlCalendarAdvance(Calendar,X236,NDays&amp;"D")</f>
        <v>42131</v>
      </c>
      <c r="Z236" s="238">
        <v>1.859023972853063E-2</v>
      </c>
      <c r="AA236" s="240">
        <v>1.3424563384929478E-2</v>
      </c>
    </row>
    <row r="237" spans="19:27" x14ac:dyDescent="0.2">
      <c r="S237" s="199"/>
      <c r="T237" s="200"/>
      <c r="W237" s="233" t="str">
        <f t="shared" si="10"/>
        <v>1D</v>
      </c>
      <c r="X237" s="234">
        <f>_xll.qlCalendarAdvance(Calendar,X236,W237,"f",FALSE)</f>
        <v>42132</v>
      </c>
      <c r="Y237" s="237">
        <f>_xll.qlCalendarAdvance(Calendar,X237,NDays&amp;"D")</f>
        <v>42132</v>
      </c>
      <c r="Z237" s="238">
        <v>1.8603630906329455E-2</v>
      </c>
      <c r="AA237" s="240">
        <v>1.3486566398565419E-2</v>
      </c>
    </row>
    <row r="238" spans="19:27" x14ac:dyDescent="0.2">
      <c r="S238" s="199"/>
      <c r="T238" s="200"/>
      <c r="W238" s="233" t="str">
        <f t="shared" si="10"/>
        <v>1D</v>
      </c>
      <c r="X238" s="234">
        <f>_xll.qlCalendarAdvance(Calendar,X237,W238,"f",FALSE)</f>
        <v>42135</v>
      </c>
      <c r="Y238" s="237">
        <f>_xll.qlCalendarAdvance(Calendar,X238,NDays&amp;"D")</f>
        <v>42135</v>
      </c>
      <c r="Z238" s="238">
        <v>1.8665179965920441E-2</v>
      </c>
      <c r="AA238" s="240">
        <v>1.3546331428029301E-2</v>
      </c>
    </row>
    <row r="239" spans="19:27" x14ac:dyDescent="0.2">
      <c r="S239" s="199"/>
      <c r="T239" s="200"/>
      <c r="W239" s="233" t="str">
        <f t="shared" si="10"/>
        <v>1D</v>
      </c>
      <c r="X239" s="234">
        <f>_xll.qlCalendarAdvance(Calendar,X238,W239,"f",FALSE)</f>
        <v>42136</v>
      </c>
      <c r="Y239" s="237">
        <f>_xll.qlCalendarAdvance(Calendar,X239,NDays&amp;"D")</f>
        <v>42136</v>
      </c>
      <c r="Z239" s="238">
        <v>1.868920663073614E-2</v>
      </c>
      <c r="AA239" s="240">
        <v>1.3575842385897818E-2</v>
      </c>
    </row>
    <row r="240" spans="19:27" x14ac:dyDescent="0.2">
      <c r="S240" s="199"/>
      <c r="T240" s="200"/>
      <c r="W240" s="233" t="str">
        <f t="shared" si="10"/>
        <v>1D</v>
      </c>
      <c r="X240" s="234">
        <f>_xll.qlCalendarAdvance(Calendar,X239,W240,"f",FALSE)</f>
        <v>42137</v>
      </c>
      <c r="Y240" s="237">
        <f>_xll.qlCalendarAdvance(Calendar,X240,NDays&amp;"D")</f>
        <v>42137</v>
      </c>
      <c r="Z240" s="238">
        <v>1.871319601951784E-2</v>
      </c>
      <c r="AA240" s="240">
        <v>1.3604980922328203E-2</v>
      </c>
    </row>
    <row r="241" spans="19:27" x14ac:dyDescent="0.2">
      <c r="S241" s="199"/>
      <c r="T241" s="200"/>
      <c r="W241" s="233" t="str">
        <f t="shared" si="10"/>
        <v>1D</v>
      </c>
      <c r="X241" s="234">
        <f>_xll.qlCalendarAdvance(Calendar,X240,W241,"f",FALSE)</f>
        <v>42138</v>
      </c>
      <c r="Y241" s="237">
        <f>_xll.qlCalendarAdvance(Calendar,X241,NDays&amp;"D")</f>
        <v>42138</v>
      </c>
      <c r="Z241" s="238">
        <v>1.8758431722006055E-2</v>
      </c>
      <c r="AA241" s="240">
        <v>1.36337470374015E-2</v>
      </c>
    </row>
    <row r="242" spans="19:27" x14ac:dyDescent="0.2">
      <c r="S242" s="199"/>
      <c r="T242" s="200"/>
      <c r="W242" s="233" t="str">
        <f t="shared" si="10"/>
        <v>1D</v>
      </c>
      <c r="X242" s="234">
        <f>_xll.qlCalendarAdvance(Calendar,X241,W242,"f",FALSE)</f>
        <v>42139</v>
      </c>
      <c r="Y242" s="237">
        <f>_xll.qlCalendarAdvance(Calendar,X242,NDays&amp;"D")</f>
        <v>42139</v>
      </c>
      <c r="Z242" s="238">
        <v>1.8771694266434855E-2</v>
      </c>
      <c r="AA242" s="240">
        <v>1.3690551339597958E-2</v>
      </c>
    </row>
    <row r="243" spans="19:27" x14ac:dyDescent="0.2">
      <c r="S243" s="199"/>
      <c r="T243" s="200"/>
      <c r="W243" s="233" t="str">
        <f t="shared" si="10"/>
        <v>1D</v>
      </c>
      <c r="X243" s="234">
        <f>_xll.qlCalendarAdvance(Calendar,X242,W243,"f",FALSE)</f>
        <v>42142</v>
      </c>
      <c r="Y243" s="237">
        <f>_xll.qlCalendarAdvance(Calendar,X243,NDays&amp;"D")</f>
        <v>42142</v>
      </c>
      <c r="Z243" s="238">
        <v>1.8832622797334459E-2</v>
      </c>
      <c r="AA243" s="240">
        <v>1.3745087281449297E-2</v>
      </c>
    </row>
    <row r="244" spans="19:27" x14ac:dyDescent="0.2">
      <c r="S244" s="199"/>
      <c r="T244" s="200"/>
      <c r="W244" s="233" t="str">
        <f t="shared" si="10"/>
        <v>1D</v>
      </c>
      <c r="X244" s="234">
        <f>_xll.qlCalendarAdvance(Calendar,X243,W244,"f",FALSE)</f>
        <v>42143</v>
      </c>
      <c r="Y244" s="237">
        <f>_xll.qlCalendarAdvance(Calendar,X244,NDays&amp;"D")</f>
        <v>42143</v>
      </c>
      <c r="Z244" s="238">
        <v>1.8856411916082196E-2</v>
      </c>
      <c r="AA244" s="240">
        <v>1.377199128803519E-2</v>
      </c>
    </row>
    <row r="245" spans="19:27" x14ac:dyDescent="0.2">
      <c r="S245" s="199"/>
      <c r="T245" s="200"/>
      <c r="W245" s="233" t="str">
        <f t="shared" si="10"/>
        <v>1D</v>
      </c>
      <c r="X245" s="234">
        <f>_xll.qlCalendarAdvance(Calendar,X244,W245,"f",FALSE)</f>
        <v>42144</v>
      </c>
      <c r="Y245" s="237">
        <f>_xll.qlCalendarAdvance(Calendar,X245,NDays&amp;"D")</f>
        <v>42144</v>
      </c>
      <c r="Z245" s="238">
        <v>1.8880171555195925E-2</v>
      </c>
      <c r="AA245" s="240">
        <v>1.3798522872615626E-2</v>
      </c>
    </row>
    <row r="246" spans="19:27" x14ac:dyDescent="0.2">
      <c r="S246" s="199"/>
      <c r="T246" s="200"/>
      <c r="W246" s="233" t="str">
        <f t="shared" si="10"/>
        <v>1D</v>
      </c>
      <c r="X246" s="234">
        <f>_xll.qlCalendarAdvance(Calendar,X245,W246,"f",FALSE)</f>
        <v>42145</v>
      </c>
      <c r="Y246" s="237">
        <f>_xll.qlCalendarAdvance(Calendar,X246,NDays&amp;"D")</f>
        <v>42145</v>
      </c>
      <c r="Z246" s="238">
        <v>1.8924923412555156E-2</v>
      </c>
      <c r="AA246" s="240">
        <v>1.3824682035190605E-2</v>
      </c>
    </row>
    <row r="247" spans="19:27" x14ac:dyDescent="0.2">
      <c r="S247" s="199"/>
      <c r="T247" s="200"/>
      <c r="W247" s="233" t="str">
        <f t="shared" si="10"/>
        <v>1D</v>
      </c>
      <c r="X247" s="234">
        <f>_xll.qlCalendarAdvance(Calendar,X246,W247,"f",FALSE)</f>
        <v>42146</v>
      </c>
      <c r="Y247" s="237">
        <f>_xll.qlCalendarAdvance(Calendar,X247,NDays&amp;"D")</f>
        <v>42146</v>
      </c>
      <c r="Z247" s="238">
        <v>1.893810323143429E-2</v>
      </c>
      <c r="AA247" s="240">
        <v>1.3889010518021438E-2</v>
      </c>
    </row>
    <row r="248" spans="19:27" x14ac:dyDescent="0.2">
      <c r="S248" s="199"/>
      <c r="T248" s="200"/>
      <c r="W248" s="233" t="str">
        <f t="shared" si="10"/>
        <v>1D</v>
      </c>
      <c r="X248" s="234">
        <f>_xll.qlCalendarAdvance(Calendar,X247,W248,"f",FALSE)</f>
        <v>42150</v>
      </c>
      <c r="Y248" s="237">
        <f>_xll.qlCalendarAdvance(Calendar,X248,NDays&amp;"D")</f>
        <v>42150</v>
      </c>
      <c r="Z248" s="238">
        <v>1.9022172720350672E-2</v>
      </c>
      <c r="AA248" s="240">
        <v>1.3949891514822843E-2</v>
      </c>
    </row>
    <row r="249" spans="19:27" x14ac:dyDescent="0.2">
      <c r="S249" s="199"/>
      <c r="T249" s="200"/>
      <c r="W249" s="233" t="str">
        <f t="shared" si="10"/>
        <v>1D</v>
      </c>
      <c r="X249" s="234">
        <f>_xll.qlCalendarAdvance(Calendar,X248,W249,"f",FALSE)</f>
        <v>42151</v>
      </c>
      <c r="Y249" s="237">
        <f>_xll.qlCalendarAdvance(Calendar,X249,NDays&amp;"D")</f>
        <v>42151</v>
      </c>
      <c r="Z249" s="238">
        <v>1.9045757205647613E-2</v>
      </c>
      <c r="AA249" s="240">
        <v>1.3974007750848783E-2</v>
      </c>
    </row>
    <row r="250" spans="19:27" x14ac:dyDescent="0.2">
      <c r="S250" s="199"/>
      <c r="T250" s="200"/>
      <c r="W250" s="233" t="str">
        <f t="shared" si="10"/>
        <v>1D</v>
      </c>
      <c r="X250" s="234">
        <f>_xll.qlCalendarAdvance(Calendar,X249,W250,"f",FALSE)</f>
        <v>42152</v>
      </c>
      <c r="Y250" s="237">
        <f>_xll.qlCalendarAdvance(Calendar,X250,NDays&amp;"D")</f>
        <v>42152</v>
      </c>
      <c r="Z250" s="238">
        <v>1.9100470519832196E-2</v>
      </c>
      <c r="AA250" s="240">
        <v>1.3998709600716586E-2</v>
      </c>
    </row>
    <row r="251" spans="19:27" x14ac:dyDescent="0.2">
      <c r="S251" s="199"/>
      <c r="T251" s="200"/>
      <c r="W251" s="233" t="str">
        <f t="shared" si="10"/>
        <v>1D</v>
      </c>
      <c r="X251" s="234">
        <f>_xll.qlCalendarAdvance(Calendar,X250,W251,"f",FALSE)</f>
        <v>42153</v>
      </c>
      <c r="Y251" s="237">
        <f>_xll.qlCalendarAdvance(Calendar,X251,NDays&amp;"D")</f>
        <v>42153</v>
      </c>
      <c r="Z251" s="238">
        <v>1.9113600943744025E-2</v>
      </c>
      <c r="AA251" s="240">
        <v>1.4051244927445474E-2</v>
      </c>
    </row>
    <row r="252" spans="19:27" x14ac:dyDescent="0.2">
      <c r="S252" s="199"/>
      <c r="T252" s="200"/>
      <c r="W252" s="233" t="str">
        <f t="shared" si="10"/>
        <v>1D</v>
      </c>
      <c r="X252" s="234">
        <f>_xll.qlCalendarAdvance(Calendar,X251,W252,"f",FALSE)</f>
        <v>42156</v>
      </c>
      <c r="Y252" s="237">
        <f>_xll.qlCalendarAdvance(Calendar,X252,NDays&amp;"D")</f>
        <v>42156</v>
      </c>
      <c r="Z252" s="238">
        <v>1.9163326794444442E-2</v>
      </c>
      <c r="AA252" s="240">
        <v>1.4105289214353389E-2</v>
      </c>
    </row>
    <row r="253" spans="19:27" x14ac:dyDescent="0.2">
      <c r="S253" s="199"/>
      <c r="T253" s="200"/>
      <c r="W253" s="233" t="str">
        <f t="shared" si="10"/>
        <v>1D</v>
      </c>
      <c r="X253" s="234">
        <f>_xll.qlCalendarAdvance(Calendar,X252,W253,"f",FALSE)</f>
        <v>42157</v>
      </c>
      <c r="Y253" s="237">
        <f>_xll.qlCalendarAdvance(Calendar,X253,NDays&amp;"D")</f>
        <v>42157</v>
      </c>
      <c r="Z253" s="238">
        <v>1.9186756072988725E-2</v>
      </c>
      <c r="AA253" s="240">
        <v>1.4133877172276543E-2</v>
      </c>
    </row>
    <row r="254" spans="19:27" x14ac:dyDescent="0.2">
      <c r="S254" s="199"/>
      <c r="T254" s="200"/>
      <c r="W254" s="233" t="str">
        <f t="shared" si="10"/>
        <v>1D</v>
      </c>
      <c r="X254" s="234">
        <f>_xll.qlCalendarAdvance(Calendar,X253,W254,"f",FALSE)</f>
        <v>42158</v>
      </c>
      <c r="Y254" s="237">
        <f>_xll.qlCalendarAdvance(Calendar,X254,NDays&amp;"D")</f>
        <v>42158</v>
      </c>
      <c r="Z254" s="238">
        <v>1.921015226918588E-2</v>
      </c>
      <c r="AA254" s="240">
        <v>1.4163242352280836E-2</v>
      </c>
    </row>
    <row r="255" spans="19:27" x14ac:dyDescent="0.2">
      <c r="S255" s="199"/>
      <c r="T255" s="200"/>
      <c r="W255" s="233" t="str">
        <f t="shared" si="10"/>
        <v>1D</v>
      </c>
      <c r="X255" s="234">
        <f>_xll.qlCalendarAdvance(Calendar,X254,W255,"f",FALSE)</f>
        <v>42159</v>
      </c>
      <c r="Y255" s="237">
        <f>_xll.qlCalendarAdvance(Calendar,X255,NDays&amp;"D")</f>
        <v>42159</v>
      </c>
      <c r="Z255" s="238">
        <v>1.9254054663354878E-2</v>
      </c>
      <c r="AA255" s="240">
        <v>1.419338475452836E-2</v>
      </c>
    </row>
    <row r="256" spans="19:27" x14ac:dyDescent="0.2">
      <c r="S256" s="199"/>
      <c r="T256" s="200"/>
      <c r="W256" s="233" t="str">
        <f t="shared" si="10"/>
        <v>1D</v>
      </c>
      <c r="X256" s="234">
        <f>_xll.qlCalendarAdvance(Calendar,X255,W256,"f",FALSE)</f>
        <v>42160</v>
      </c>
      <c r="Y256" s="237">
        <f>_xll.qlCalendarAdvance(Calendar,X256,NDays&amp;"D")</f>
        <v>42160</v>
      </c>
      <c r="Z256" s="238">
        <v>1.9267094734690553E-2</v>
      </c>
      <c r="AA256" s="240">
        <v>1.4256817132034529E-2</v>
      </c>
    </row>
    <row r="257" spans="19:27" x14ac:dyDescent="0.2">
      <c r="S257" s="199"/>
      <c r="T257" s="200"/>
      <c r="W257" s="233" t="str">
        <f t="shared" si="10"/>
        <v>1D</v>
      </c>
      <c r="X257" s="234">
        <f>_xll.qlCalendarAdvance(Calendar,X256,W257,"f",FALSE)</f>
        <v>42163</v>
      </c>
      <c r="Y257" s="237">
        <f>_xll.qlCalendarAdvance(Calendar,X257,NDays&amp;"D")</f>
        <v>42163</v>
      </c>
      <c r="Z257" s="238">
        <v>1.9326563956009297E-2</v>
      </c>
      <c r="AA257" s="240">
        <v>1.432172659089459E-2</v>
      </c>
    </row>
    <row r="258" spans="19:27" x14ac:dyDescent="0.2">
      <c r="S258" s="199"/>
      <c r="T258" s="200"/>
      <c r="W258" s="233" t="str">
        <f t="shared" si="10"/>
        <v>1D</v>
      </c>
      <c r="X258" s="234">
        <f>_xll.qlCalendarAdvance(Calendar,X257,W258,"f",FALSE)</f>
        <v>42164</v>
      </c>
      <c r="Y258" s="237">
        <f>_xll.qlCalendarAdvance(Calendar,X258,NDays&amp;"D")</f>
        <v>42164</v>
      </c>
      <c r="Z258" s="238">
        <v>1.9349717820133946E-2</v>
      </c>
      <c r="AA258" s="240">
        <v>1.4355755107762214E-2</v>
      </c>
    </row>
    <row r="259" spans="19:27" x14ac:dyDescent="0.2">
      <c r="S259" s="199"/>
      <c r="T259" s="200"/>
      <c r="W259" s="233" t="str">
        <f t="shared" si="10"/>
        <v>1D</v>
      </c>
      <c r="X259" s="234">
        <f>_xll.qlCalendarAdvance(Calendar,X258,W259,"f",FALSE)</f>
        <v>42165</v>
      </c>
      <c r="Y259" s="237">
        <f>_xll.qlCalendarAdvance(Calendar,X259,NDays&amp;"D")</f>
        <v>42165</v>
      </c>
      <c r="Z259" s="238">
        <v>1.9372823987510598E-2</v>
      </c>
      <c r="AA259" s="240">
        <v>1.4390560848169809E-2</v>
      </c>
    </row>
    <row r="260" spans="19:27" x14ac:dyDescent="0.2">
      <c r="S260" s="199"/>
      <c r="T260" s="200"/>
      <c r="W260" s="233" t="str">
        <f t="shared" si="10"/>
        <v>1D</v>
      </c>
      <c r="X260" s="234">
        <f>_xll.qlCalendarAdvance(Calendar,X259,W260,"f",FALSE)</f>
        <v>42166</v>
      </c>
      <c r="Y260" s="237">
        <f>_xll.qlCalendarAdvance(Calendar,X260,NDays&amp;"D")</f>
        <v>42166</v>
      </c>
      <c r="Z260" s="238">
        <v>1.941620701775558E-2</v>
      </c>
      <c r="AA260" s="240">
        <v>1.4426143812360515E-2</v>
      </c>
    </row>
    <row r="261" spans="19:27" x14ac:dyDescent="0.2">
      <c r="S261" s="199"/>
      <c r="T261" s="200"/>
      <c r="W261" s="233" t="str">
        <f t="shared" si="10"/>
        <v>1D</v>
      </c>
      <c r="X261" s="234">
        <f>_xll.qlCalendarAdvance(Calendar,X260,W261,"f",FALSE)</f>
        <v>42167</v>
      </c>
      <c r="Y261" s="237">
        <f>_xll.qlCalendarAdvance(Calendar,X261,NDays&amp;"D")</f>
        <v>42167</v>
      </c>
      <c r="Z261" s="238">
        <v>1.9429036013188013E-2</v>
      </c>
      <c r="AA261" s="240">
        <v>1.4500476513643983E-2</v>
      </c>
    </row>
    <row r="262" spans="19:27" x14ac:dyDescent="0.2">
      <c r="S262" s="199"/>
      <c r="T262" s="200"/>
      <c r="W262" s="233" t="str">
        <f t="shared" si="10"/>
        <v>1D</v>
      </c>
      <c r="X262" s="234">
        <f>_xll.qlCalendarAdvance(Calendar,X261,W262,"f",FALSE)</f>
        <v>42170</v>
      </c>
      <c r="Y262" s="237">
        <f>_xll.qlCalendarAdvance(Calendar,X262,NDays&amp;"D")</f>
        <v>42170</v>
      </c>
      <c r="Z262" s="238">
        <v>1.9487566268942304E-2</v>
      </c>
      <c r="AA262" s="240">
        <v>1.4576247911493034E-2</v>
      </c>
    </row>
    <row r="263" spans="19:27" x14ac:dyDescent="0.2">
      <c r="S263" s="199"/>
      <c r="T263" s="200"/>
      <c r="W263" s="233" t="str">
        <f t="shared" si="10"/>
        <v>1D</v>
      </c>
      <c r="X263" s="234">
        <f>_xll.qlCalendarAdvance(Calendar,X262,W263,"f",FALSE)</f>
        <v>42171</v>
      </c>
      <c r="Y263" s="237">
        <f>_xll.qlCalendarAdvance(Calendar,X263,NDays&amp;"D")</f>
        <v>42171</v>
      </c>
      <c r="Z263" s="238">
        <v>1.9510342390767103E-2</v>
      </c>
      <c r="AA263" s="240">
        <v>1.4615716998003236E-2</v>
      </c>
    </row>
    <row r="264" spans="19:27" x14ac:dyDescent="0.2">
      <c r="S264" s="199"/>
      <c r="T264" s="200"/>
      <c r="W264" s="233" t="str">
        <f t="shared" si="10"/>
        <v>1D</v>
      </c>
      <c r="X264" s="234">
        <f>_xll.qlCalendarAdvance(Calendar,X263,W264,"f",FALSE)</f>
        <v>42172</v>
      </c>
      <c r="Y264" s="237">
        <f>_xll.qlCalendarAdvance(Calendar,X264,NDays&amp;"D")</f>
        <v>42172</v>
      </c>
      <c r="Z264" s="238">
        <v>1.9533056192482318E-2</v>
      </c>
      <c r="AA264" s="240">
        <v>1.4655963309755382E-2</v>
      </c>
    </row>
    <row r="265" spans="19:27" x14ac:dyDescent="0.2">
      <c r="S265" s="199"/>
      <c r="T265" s="200"/>
      <c r="W265" s="233" t="str">
        <f t="shared" si="10"/>
        <v>1D</v>
      </c>
      <c r="X265" s="234">
        <f>_xll.qlCalendarAdvance(Calendar,X264,W265,"f",FALSE)</f>
        <v>42173</v>
      </c>
      <c r="Y265" s="237">
        <f>_xll.qlCalendarAdvance(Calendar,X265,NDays&amp;"D")</f>
        <v>42173</v>
      </c>
      <c r="Z265" s="238">
        <v>1.9575838972960422E-2</v>
      </c>
      <c r="AA265" s="240">
        <v>1.469698684699261E-2</v>
      </c>
    </row>
    <row r="266" spans="19:27" x14ac:dyDescent="0.2">
      <c r="S266" s="199"/>
      <c r="T266" s="200"/>
      <c r="W266" s="233" t="str">
        <f t="shared" si="10"/>
        <v>1D</v>
      </c>
      <c r="X266" s="234">
        <f>_xll.qlCalendarAdvance(Calendar,X265,W266,"f",FALSE)</f>
        <v>42174</v>
      </c>
      <c r="Y266" s="237">
        <f>_xll.qlCalendarAdvance(Calendar,X266,NDays&amp;"D")</f>
        <v>42174</v>
      </c>
      <c r="Z266" s="238">
        <v>1.9588344109235014E-2</v>
      </c>
      <c r="AA266" s="240">
        <v>1.4782223301040473E-2</v>
      </c>
    </row>
    <row r="267" spans="19:27" x14ac:dyDescent="0.2">
      <c r="S267" s="199"/>
      <c r="T267" s="200"/>
      <c r="W267" s="233" t="str">
        <f t="shared" si="10"/>
        <v>1D</v>
      </c>
      <c r="X267" s="234">
        <f>_xll.qlCalendarAdvance(Calendar,X266,W267,"f",FALSE)</f>
        <v>42177</v>
      </c>
      <c r="Y267" s="237">
        <f>_xll.qlCalendarAdvance(Calendar,X267,NDays&amp;"D")</f>
        <v>42177</v>
      </c>
      <c r="Z267" s="238">
        <v>1.9645617251692962E-2</v>
      </c>
      <c r="AA267" s="240">
        <v>1.4868853255817216E-2</v>
      </c>
    </row>
    <row r="268" spans="19:27" x14ac:dyDescent="0.2">
      <c r="S268" s="199"/>
      <c r="T268" s="200"/>
      <c r="W268" s="233" t="str">
        <f t="shared" si="10"/>
        <v>1D</v>
      </c>
      <c r="X268" s="234">
        <f>_xll.qlCalendarAdvance(Calendar,X267,W268,"f",FALSE)</f>
        <v>42178</v>
      </c>
      <c r="Y268" s="237">
        <f>_xll.qlCalendarAdvance(Calendar,X268,NDays&amp;"D")</f>
        <v>42178</v>
      </c>
      <c r="Z268" s="238">
        <v>1.9667913241714831E-2</v>
      </c>
      <c r="AA268" s="240">
        <v>1.4913762924370078E-2</v>
      </c>
    </row>
    <row r="269" spans="19:27" x14ac:dyDescent="0.2">
      <c r="S269" s="199"/>
      <c r="T269" s="200"/>
      <c r="W269" s="233" t="str">
        <f t="shared" si="10"/>
        <v>1D</v>
      </c>
      <c r="X269" s="234">
        <f>_xll.qlCalendarAdvance(Calendar,X268,W269,"f",FALSE)</f>
        <v>42179</v>
      </c>
      <c r="Y269" s="237">
        <f>_xll.qlCalendarAdvance(Calendar,X269,NDays&amp;"D")</f>
        <v>42179</v>
      </c>
      <c r="Z269" s="238">
        <v>1.9690132279691908E-2</v>
      </c>
      <c r="AA269" s="240">
        <v>1.4959449820109993E-2</v>
      </c>
    </row>
    <row r="270" spans="19:27" x14ac:dyDescent="0.2">
      <c r="S270" s="199"/>
      <c r="T270" s="200"/>
      <c r="W270" s="233" t="str">
        <f t="shared" si="10"/>
        <v>1D</v>
      </c>
      <c r="X270" s="234">
        <f>_xll.qlCalendarAdvance(Calendar,X269,W270,"f",FALSE)</f>
        <v>42180</v>
      </c>
      <c r="Y270" s="237">
        <f>_xll.qlCalendarAdvance(Calendar,X270,NDays&amp;"D")</f>
        <v>42180</v>
      </c>
      <c r="Z270" s="238">
        <v>1.9732237667836262E-2</v>
      </c>
      <c r="AA270" s="240">
        <v>1.5005913943199056E-2</v>
      </c>
    </row>
    <row r="271" spans="19:27" x14ac:dyDescent="0.2">
      <c r="S271" s="199"/>
      <c r="T271" s="200"/>
      <c r="W271" s="233" t="str">
        <f t="shared" si="10"/>
        <v>1D</v>
      </c>
      <c r="X271" s="234">
        <f>_xll.qlCalendarAdvance(Calendar,X270,W271,"f",FALSE)</f>
        <v>42181</v>
      </c>
      <c r="Y271" s="237">
        <f>_xll.qlCalendarAdvance(Calendar,X271,NDays&amp;"D")</f>
        <v>42181</v>
      </c>
      <c r="Z271" s="238">
        <v>1.9744304204445493E-2</v>
      </c>
      <c r="AA271" s="240">
        <v>1.5102057758840106E-2</v>
      </c>
    </row>
    <row r="272" spans="19:27" x14ac:dyDescent="0.2">
      <c r="S272" s="199"/>
      <c r="T272" s="200"/>
      <c r="W272" s="233" t="str">
        <f t="shared" si="10"/>
        <v>1D</v>
      </c>
      <c r="X272" s="234">
        <f>_xll.qlCalendarAdvance(Calendar,X271,W272,"f",FALSE)</f>
        <v>42184</v>
      </c>
      <c r="Y272" s="237">
        <f>_xll.qlCalendarAdvance(Calendar,X272,NDays&amp;"D")</f>
        <v>42184</v>
      </c>
      <c r="Z272" s="238">
        <v>1.9799999999999936E-2</v>
      </c>
      <c r="AA272" s="240">
        <v>1.5199242924770484E-2</v>
      </c>
    </row>
    <row r="273" spans="19:27" x14ac:dyDescent="0.2">
      <c r="S273" s="199"/>
      <c r="T273" s="200"/>
      <c r="W273" s="233" t="str">
        <f t="shared" si="10"/>
        <v>1D</v>
      </c>
      <c r="X273" s="234">
        <f>_xll.qlCalendarAdvance(Calendar,X272,W273,"f",FALSE)</f>
        <v>42185</v>
      </c>
      <c r="Y273" s="237">
        <f>_xll.qlCalendarAdvance(Calendar,X273,NDays&amp;"D")</f>
        <v>42185</v>
      </c>
      <c r="Z273" s="238">
        <v>1.9821714204074838E-2</v>
      </c>
      <c r="AA273" s="240">
        <v>1.5247794444097629E-2</v>
      </c>
    </row>
    <row r="274" spans="19:27" x14ac:dyDescent="0.2">
      <c r="S274" s="199"/>
      <c r="T274" s="200"/>
      <c r="W274" s="233" t="str">
        <f t="shared" si="10"/>
        <v>1D</v>
      </c>
      <c r="X274" s="234">
        <f>_xll.qlCalendarAdvance(Calendar,X273,W274,"f",FALSE)</f>
        <v>42186</v>
      </c>
      <c r="Y274" s="237">
        <f>_xll.qlCalendarAdvance(Calendar,X274,NDays&amp;"D")</f>
        <v>42186</v>
      </c>
      <c r="Z274" s="238">
        <v>1.9843341579989845E-2</v>
      </c>
      <c r="AA274" s="240">
        <v>1.5295324446862324E-2</v>
      </c>
    </row>
    <row r="275" spans="19:27" x14ac:dyDescent="0.2">
      <c r="S275" s="199"/>
      <c r="T275" s="200"/>
      <c r="W275" s="233" t="str">
        <f t="shared" si="10"/>
        <v>1D</v>
      </c>
      <c r="X275" s="234">
        <f>_xll.qlCalendarAdvance(Calendar,X274,W275,"f",FALSE)</f>
        <v>42187</v>
      </c>
      <c r="Y275" s="237">
        <f>_xll.qlCalendarAdvance(Calendar,X275,NDays&amp;"D")</f>
        <v>42187</v>
      </c>
      <c r="Z275" s="238">
        <v>1.9884707117788111E-2</v>
      </c>
      <c r="AA275" s="240">
        <v>1.5341832932578292E-2</v>
      </c>
    </row>
    <row r="276" spans="19:27" x14ac:dyDescent="0.2">
      <c r="S276" s="199"/>
      <c r="T276" s="200"/>
      <c r="W276" s="233" t="str">
        <f t="shared" si="10"/>
        <v>1D</v>
      </c>
      <c r="X276" s="234">
        <f>_xll.qlCalendarAdvance(Calendar,X275,W276,"f",FALSE)</f>
        <v>42188</v>
      </c>
      <c r="Y276" s="237">
        <f>_xll.qlCalendarAdvance(Calendar,X276,NDays&amp;"D")</f>
        <v>42188</v>
      </c>
      <c r="Z276" s="238">
        <v>1.9896249234078421E-2</v>
      </c>
      <c r="AA276" s="240">
        <v>1.5432097261907087E-2</v>
      </c>
    </row>
    <row r="277" spans="19:27" x14ac:dyDescent="0.2">
      <c r="S277" s="199"/>
      <c r="T277" s="200"/>
      <c r="W277" s="233" t="str">
        <f t="shared" ref="W277:W340" si="11">W276</f>
        <v>1D</v>
      </c>
      <c r="X277" s="234">
        <f>_xll.qlCalendarAdvance(Calendar,X276,W277,"f",FALSE)</f>
        <v>42191</v>
      </c>
      <c r="Y277" s="237">
        <f>_xll.qlCalendarAdvance(Calendar,X277,NDays&amp;"D")</f>
        <v>42191</v>
      </c>
      <c r="Z277" s="238">
        <v>1.9950269573344139E-2</v>
      </c>
      <c r="AA277" s="240">
        <v>1.551765169652608E-2</v>
      </c>
    </row>
    <row r="278" spans="19:27" x14ac:dyDescent="0.2">
      <c r="S278" s="199"/>
      <c r="T278" s="200"/>
      <c r="W278" s="233" t="str">
        <f t="shared" si="11"/>
        <v>1D</v>
      </c>
      <c r="X278" s="234">
        <f>_xll.qlCalendarAdvance(Calendar,X277,W278,"f",FALSE)</f>
        <v>42192</v>
      </c>
      <c r="Y278" s="237">
        <f>_xll.qlCalendarAdvance(Calendar,X278,NDays&amp;"D")</f>
        <v>42192</v>
      </c>
      <c r="Z278" s="238">
        <v>1.9971432105432955E-2</v>
      </c>
      <c r="AA278" s="240">
        <v>1.5559052591163081E-2</v>
      </c>
    </row>
    <row r="279" spans="19:27" x14ac:dyDescent="0.2">
      <c r="S279" s="199"/>
      <c r="T279" s="200"/>
      <c r="W279" s="233" t="str">
        <f t="shared" si="11"/>
        <v>1D</v>
      </c>
      <c r="X279" s="234">
        <f>_xll.qlCalendarAdvance(Calendar,X278,W279,"f",FALSE)</f>
        <v>42193</v>
      </c>
      <c r="Y279" s="237">
        <f>_xll.qlCalendarAdvance(Calendar,X279,NDays&amp;"D")</f>
        <v>42193</v>
      </c>
      <c r="Z279" s="238">
        <v>1.9992526520007194E-2</v>
      </c>
      <c r="AA279" s="240">
        <v>1.5599431966401012E-2</v>
      </c>
    </row>
    <row r="280" spans="19:27" x14ac:dyDescent="0.2">
      <c r="S280" s="199"/>
      <c r="T280" s="200"/>
      <c r="W280" s="233" t="str">
        <f t="shared" si="11"/>
        <v>1D</v>
      </c>
      <c r="X280" s="234">
        <f>_xll.qlCalendarAdvance(Calendar,X279,W280,"f",FALSE)</f>
        <v>42194</v>
      </c>
      <c r="Y280" s="237">
        <f>_xll.qlCalendarAdvance(Calendar,X280,NDays&amp;"D")</f>
        <v>42194</v>
      </c>
      <c r="Z280" s="238">
        <v>2.0033241712982035E-2</v>
      </c>
      <c r="AA280" s="240">
        <v>1.5638789821996735E-2</v>
      </c>
    </row>
    <row r="281" spans="19:27" x14ac:dyDescent="0.2">
      <c r="S281" s="199"/>
      <c r="T281" s="200"/>
      <c r="W281" s="233" t="str">
        <f t="shared" si="11"/>
        <v>1D</v>
      </c>
      <c r="X281" s="234">
        <f>_xll.qlCalendarAdvance(Calendar,X280,W281,"f",FALSE)</f>
        <v>42195</v>
      </c>
      <c r="Y281" s="237">
        <f>_xll.qlCalendarAdvance(Calendar,X281,NDays&amp;"D")</f>
        <v>42195</v>
      </c>
      <c r="Z281" s="238">
        <v>2.0044356875831369E-2</v>
      </c>
      <c r="AA281" s="240">
        <v>1.5714777003245084E-2</v>
      </c>
    </row>
    <row r="282" spans="19:27" x14ac:dyDescent="0.2">
      <c r="S282" s="199"/>
      <c r="T282" s="200"/>
      <c r="W282" s="233" t="str">
        <f t="shared" si="11"/>
        <v>1D</v>
      </c>
      <c r="X282" s="234">
        <f>_xll.qlCalendarAdvance(Calendar,X281,W282,"f",FALSE)</f>
        <v>42198</v>
      </c>
      <c r="Y282" s="237">
        <f>_xll.qlCalendarAdvance(Calendar,X282,NDays&amp;"D")</f>
        <v>42198</v>
      </c>
      <c r="Z282" s="238">
        <v>2.0097070425155336E-2</v>
      </c>
      <c r="AA282" s="240">
        <v>1.5786006041635936E-2</v>
      </c>
    </row>
    <row r="283" spans="19:27" x14ac:dyDescent="0.2">
      <c r="S283" s="199"/>
      <c r="T283" s="200"/>
      <c r="W283" s="233" t="str">
        <f t="shared" si="11"/>
        <v>1D</v>
      </c>
      <c r="X283" s="234">
        <f>_xll.qlCalendarAdvance(Calendar,X282,W283,"f",FALSE)</f>
        <v>42199</v>
      </c>
      <c r="Y283" s="237">
        <f>_xll.qlCalendarAdvance(Calendar,X283,NDays&amp;"D")</f>
        <v>42199</v>
      </c>
      <c r="Z283" s="238">
        <v>2.0117812294885608E-2</v>
      </c>
      <c r="AA283" s="240">
        <v>1.5820256294319934E-2</v>
      </c>
    </row>
    <row r="284" spans="19:27" x14ac:dyDescent="0.2">
      <c r="S284" s="199"/>
      <c r="T284" s="200"/>
      <c r="W284" s="233" t="str">
        <f t="shared" si="11"/>
        <v>1D</v>
      </c>
      <c r="X284" s="234">
        <f>_xll.qlCalendarAdvance(Calendar,X283,W284,"f",FALSE)</f>
        <v>42200</v>
      </c>
      <c r="Y284" s="237">
        <f>_xll.qlCalendarAdvance(Calendar,X284,NDays&amp;"D")</f>
        <v>42200</v>
      </c>
      <c r="Z284" s="238">
        <v>2.0138504769332925E-2</v>
      </c>
      <c r="AA284" s="240">
        <v>1.585348502549766E-2</v>
      </c>
    </row>
    <row r="285" spans="19:27" x14ac:dyDescent="0.2">
      <c r="S285" s="199"/>
      <c r="T285" s="200"/>
      <c r="W285" s="233" t="str">
        <f t="shared" si="11"/>
        <v>1D</v>
      </c>
      <c r="X285" s="234">
        <f>_xll.qlCalendarAdvance(Calendar,X284,W285,"f",FALSE)</f>
        <v>42201</v>
      </c>
      <c r="Y285" s="237">
        <f>_xll.qlCalendarAdvance(Calendar,X285,NDays&amp;"D")</f>
        <v>42201</v>
      </c>
      <c r="Z285" s="238">
        <v>2.0178700712309997E-2</v>
      </c>
      <c r="AA285" s="240">
        <v>1.5885692234844928E-2</v>
      </c>
    </row>
    <row r="286" spans="19:27" x14ac:dyDescent="0.2">
      <c r="S286" s="199"/>
      <c r="T286" s="200"/>
      <c r="W286" s="233" t="str">
        <f t="shared" si="11"/>
        <v>1D</v>
      </c>
      <c r="X286" s="234">
        <f>_xll.qlCalendarAdvance(Calendar,X285,W286,"f",FALSE)</f>
        <v>42202</v>
      </c>
      <c r="Y286" s="237">
        <f>_xll.qlCalendarAdvance(Calendar,X286,NDays&amp;"D")</f>
        <v>42202</v>
      </c>
      <c r="Z286" s="238">
        <v>2.0189519585848057E-2</v>
      </c>
      <c r="AA286" s="240">
        <v>1.5947398293989501E-2</v>
      </c>
    </row>
    <row r="287" spans="19:27" x14ac:dyDescent="0.2">
      <c r="S287" s="199"/>
      <c r="T287" s="200"/>
      <c r="W287" s="233" t="str">
        <f t="shared" si="11"/>
        <v>1D</v>
      </c>
      <c r="X287" s="234">
        <f>_xll.qlCalendarAdvance(Calendar,X286,W287,"f",FALSE)</f>
        <v>42205</v>
      </c>
      <c r="Y287" s="237">
        <f>_xll.qlCalendarAdvance(Calendar,X287,NDays&amp;"D")</f>
        <v>42205</v>
      </c>
      <c r="Z287" s="238">
        <v>2.0241319863258771E-2</v>
      </c>
      <c r="AA287" s="240">
        <v>1.6004305849471878E-2</v>
      </c>
    </row>
    <row r="288" spans="19:27" x14ac:dyDescent="0.2">
      <c r="S288" s="199"/>
      <c r="T288" s="200"/>
      <c r="W288" s="233" t="str">
        <f t="shared" si="11"/>
        <v>1D</v>
      </c>
      <c r="X288" s="234">
        <f>_xll.qlCalendarAdvance(Calendar,X287,W288,"f",FALSE)</f>
        <v>42206</v>
      </c>
      <c r="Y288" s="237">
        <f>_xll.qlCalendarAdvance(Calendar,X288,NDays&amp;"D")</f>
        <v>42206</v>
      </c>
      <c r="Z288" s="238">
        <v>2.026177215967942E-2</v>
      </c>
      <c r="AA288" s="240">
        <v>1.6031405446181868E-2</v>
      </c>
    </row>
    <row r="289" spans="19:27" x14ac:dyDescent="0.2">
      <c r="S289" s="199"/>
      <c r="T289" s="200"/>
      <c r="W289" s="233" t="str">
        <f t="shared" si="11"/>
        <v>1D</v>
      </c>
      <c r="X289" s="234">
        <f>_xll.qlCalendarAdvance(Calendar,X288,W289,"f",FALSE)</f>
        <v>42207</v>
      </c>
      <c r="Y289" s="237">
        <f>_xll.qlCalendarAdvance(Calendar,X289,NDays&amp;"D")</f>
        <v>42207</v>
      </c>
      <c r="Z289" s="238">
        <v>2.0282193794106004E-2</v>
      </c>
      <c r="AA289" s="240">
        <v>1.605748351952152E-2</v>
      </c>
    </row>
    <row r="290" spans="19:27" x14ac:dyDescent="0.2">
      <c r="S290" s="199"/>
      <c r="T290" s="200"/>
      <c r="W290" s="233" t="str">
        <f t="shared" si="11"/>
        <v>1D</v>
      </c>
      <c r="X290" s="234">
        <f>_xll.qlCalendarAdvance(Calendar,X289,W290,"f",FALSE)</f>
        <v>42208</v>
      </c>
      <c r="Y290" s="237">
        <f>_xll.qlCalendarAdvance(Calendar,X290,NDays&amp;"D")</f>
        <v>42208</v>
      </c>
      <c r="Z290" s="238">
        <v>2.0321996777766291E-2</v>
      </c>
      <c r="AA290" s="240">
        <v>1.6082540069571882E-2</v>
      </c>
    </row>
    <row r="291" spans="19:27" x14ac:dyDescent="0.2">
      <c r="S291" s="199"/>
      <c r="T291" s="200"/>
      <c r="W291" s="233" t="str">
        <f t="shared" si="11"/>
        <v>1D</v>
      </c>
      <c r="X291" s="234">
        <f>_xll.qlCalendarAdvance(Calendar,X290,W291,"f",FALSE)</f>
        <v>42209</v>
      </c>
      <c r="Y291" s="237">
        <f>_xll.qlCalendarAdvance(Calendar,X291,NDays&amp;"D")</f>
        <v>42209</v>
      </c>
      <c r="Z291" s="238">
        <v>2.0332652538595654E-2</v>
      </c>
      <c r="AA291" s="240">
        <v>1.6129960847074409E-2</v>
      </c>
    </row>
    <row r="292" spans="19:27" x14ac:dyDescent="0.2">
      <c r="S292" s="199"/>
      <c r="T292" s="200"/>
      <c r="W292" s="233" t="str">
        <f t="shared" si="11"/>
        <v>1D</v>
      </c>
      <c r="X292" s="234">
        <f>_xll.qlCalendarAdvance(Calendar,X291,W292,"f",FALSE)</f>
        <v>42212</v>
      </c>
      <c r="Y292" s="237">
        <f>_xll.qlCalendarAdvance(Calendar,X292,NDays&amp;"D")</f>
        <v>42212</v>
      </c>
      <c r="Z292" s="238">
        <v>2.0383935741142823E-2</v>
      </c>
      <c r="AA292" s="240">
        <v>1.617255103039672E-2</v>
      </c>
    </row>
    <row r="293" spans="19:27" x14ac:dyDescent="0.2">
      <c r="S293" s="199"/>
      <c r="T293" s="200"/>
      <c r="W293" s="233" t="str">
        <f t="shared" si="11"/>
        <v>1D</v>
      </c>
      <c r="X293" s="234">
        <f>_xll.qlCalendarAdvance(Calendar,X292,W293,"f",FALSE)</f>
        <v>42213</v>
      </c>
      <c r="Y293" s="237">
        <f>_xll.qlCalendarAdvance(Calendar,X293,NDays&amp;"D")</f>
        <v>42213</v>
      </c>
      <c r="Z293" s="238">
        <v>2.0404229629519918E-2</v>
      </c>
      <c r="AA293" s="240">
        <v>1.6192724294108451E-2</v>
      </c>
    </row>
    <row r="294" spans="19:27" x14ac:dyDescent="0.2">
      <c r="S294" s="199"/>
      <c r="T294" s="200"/>
      <c r="W294" s="233" t="str">
        <f t="shared" si="11"/>
        <v>1D</v>
      </c>
      <c r="X294" s="234">
        <f>_xll.qlCalendarAdvance(Calendar,X293,W294,"f",FALSE)</f>
        <v>42214</v>
      </c>
      <c r="Y294" s="237">
        <f>_xll.qlCalendarAdvance(Calendar,X294,NDays&amp;"D")</f>
        <v>42214</v>
      </c>
      <c r="Z294" s="238">
        <v>2.0424510974427025E-2</v>
      </c>
      <c r="AA294" s="240">
        <v>1.6212997704521115E-2</v>
      </c>
    </row>
    <row r="295" spans="19:27" x14ac:dyDescent="0.2">
      <c r="S295" s="199"/>
      <c r="T295" s="200"/>
      <c r="W295" s="233" t="str">
        <f t="shared" si="11"/>
        <v>1D</v>
      </c>
      <c r="X295" s="234">
        <f>_xll.qlCalendarAdvance(Calendar,X294,W295,"f",FALSE)</f>
        <v>42215</v>
      </c>
      <c r="Y295" s="237">
        <f>_xll.qlCalendarAdvance(Calendar,X295,NDays&amp;"D")</f>
        <v>42215</v>
      </c>
      <c r="Z295" s="238">
        <v>2.0435141654879585E-2</v>
      </c>
      <c r="AA295" s="240">
        <v>1.6233595595632755E-2</v>
      </c>
    </row>
    <row r="296" spans="19:27" x14ac:dyDescent="0.2">
      <c r="S296" s="199"/>
      <c r="T296" s="200"/>
      <c r="W296" s="233" t="str">
        <f t="shared" si="11"/>
        <v>1D</v>
      </c>
      <c r="X296" s="234">
        <f>_xll.qlCalendarAdvance(Calendar,X295,W296,"f",FALSE)</f>
        <v>42216</v>
      </c>
      <c r="Y296" s="237">
        <f>_xll.qlCalendarAdvance(Calendar,X296,NDays&amp;"D")</f>
        <v>42216</v>
      </c>
      <c r="Z296" s="238">
        <v>2.0445775025632419E-2</v>
      </c>
      <c r="AA296" s="240">
        <v>1.6276598755871063E-2</v>
      </c>
    </row>
    <row r="297" spans="19:27" x14ac:dyDescent="0.2">
      <c r="S297" s="199"/>
      <c r="T297" s="200"/>
      <c r="W297" s="233" t="str">
        <f t="shared" si="11"/>
        <v>1D</v>
      </c>
      <c r="X297" s="234">
        <f>_xll.qlCalendarAdvance(Calendar,X296,W297,"f",FALSE)</f>
        <v>42219</v>
      </c>
      <c r="Y297" s="237">
        <f>_xll.qlCalendarAdvance(Calendar,X297,NDays&amp;"D")</f>
        <v>42219</v>
      </c>
      <c r="Z297" s="238">
        <v>2.0525701326168131E-2</v>
      </c>
      <c r="AA297" s="240">
        <v>1.6319231969662562E-2</v>
      </c>
    </row>
    <row r="298" spans="19:27" x14ac:dyDescent="0.2">
      <c r="S298" s="199"/>
      <c r="T298" s="200"/>
      <c r="W298" s="233" t="str">
        <f t="shared" si="11"/>
        <v>1D</v>
      </c>
      <c r="X298" s="234">
        <f>_xll.qlCalendarAdvance(Calendar,X297,W298,"f",FALSE)</f>
        <v>42220</v>
      </c>
      <c r="Y298" s="237">
        <f>_xll.qlCalendarAdvance(Calendar,X298,NDays&amp;"D")</f>
        <v>42220</v>
      </c>
      <c r="Z298" s="238">
        <v>2.0545888600315216E-2</v>
      </c>
      <c r="AA298" s="240">
        <v>1.6341452265808964E-2</v>
      </c>
    </row>
    <row r="299" spans="19:27" x14ac:dyDescent="0.2">
      <c r="S299" s="199"/>
      <c r="T299" s="200"/>
      <c r="W299" s="233" t="str">
        <f t="shared" si="11"/>
        <v>1D</v>
      </c>
      <c r="X299" s="234">
        <f>_xll.qlCalendarAdvance(Calendar,X298,W299,"f",FALSE)</f>
        <v>42221</v>
      </c>
      <c r="Y299" s="237">
        <f>_xll.qlCalendarAdvance(Calendar,X299,NDays&amp;"D")</f>
        <v>42221</v>
      </c>
      <c r="Z299" s="238">
        <v>2.0566056434787084E-2</v>
      </c>
      <c r="AA299" s="240">
        <v>1.6363997043140621E-2</v>
      </c>
    </row>
    <row r="300" spans="19:27" x14ac:dyDescent="0.2">
      <c r="S300" s="199"/>
      <c r="T300" s="200"/>
      <c r="W300" s="233" t="str">
        <f t="shared" si="11"/>
        <v>1D</v>
      </c>
      <c r="X300" s="234">
        <f>_xll.qlCalendarAdvance(Calendar,X299,W300,"f",FALSE)</f>
        <v>42222</v>
      </c>
      <c r="Y300" s="237">
        <f>_xll.qlCalendarAdvance(Calendar,X300,NDays&amp;"D")</f>
        <v>42222</v>
      </c>
      <c r="Z300" s="238">
        <v>2.060529980709307E-2</v>
      </c>
      <c r="AA300" s="240">
        <v>1.6386866301657532E-2</v>
      </c>
    </row>
    <row r="301" spans="19:27" x14ac:dyDescent="0.2">
      <c r="S301" s="199"/>
      <c r="T301" s="200"/>
      <c r="W301" s="233" t="str">
        <f t="shared" si="11"/>
        <v>1D</v>
      </c>
      <c r="X301" s="234">
        <f>_xll.qlCalendarAdvance(Calendar,X300,W301,"f",FALSE)</f>
        <v>42223</v>
      </c>
      <c r="Y301" s="237">
        <f>_xll.qlCalendarAdvance(Calendar,X301,NDays&amp;"D")</f>
        <v>42223</v>
      </c>
      <c r="Z301" s="238">
        <v>2.061586861609117E-2</v>
      </c>
      <c r="AA301" s="240">
        <v>1.6434426340768232E-2</v>
      </c>
    </row>
    <row r="302" spans="19:27" x14ac:dyDescent="0.2">
      <c r="S302" s="199"/>
      <c r="T302" s="200"/>
      <c r="W302" s="233" t="str">
        <f t="shared" si="11"/>
        <v>1D</v>
      </c>
      <c r="X302" s="234">
        <f>_xll.qlCalendarAdvance(Calendar,X301,W302,"f",FALSE)</f>
        <v>42226</v>
      </c>
      <c r="Y302" s="237">
        <f>_xll.qlCalendarAdvance(Calendar,X302,NDays&amp;"D")</f>
        <v>42226</v>
      </c>
      <c r="Z302" s="238">
        <v>2.0666566389064701E-2</v>
      </c>
      <c r="AA302" s="240">
        <v>1.6481588149441784E-2</v>
      </c>
    </row>
    <row r="303" spans="19:27" x14ac:dyDescent="0.2">
      <c r="S303" s="199"/>
      <c r="T303" s="200"/>
      <c r="W303" s="233" t="str">
        <f t="shared" si="11"/>
        <v>1D</v>
      </c>
      <c r="X303" s="234">
        <f>_xll.qlCalendarAdvance(Calendar,X302,W303,"f",FALSE)</f>
        <v>42227</v>
      </c>
      <c r="Y303" s="237">
        <f>_xll.qlCalendarAdvance(Calendar,X303,NDays&amp;"D")</f>
        <v>42227</v>
      </c>
      <c r="Z303" s="238">
        <v>2.0686595010545979E-2</v>
      </c>
      <c r="AA303" s="240">
        <v>1.6506079815019614E-2</v>
      </c>
    </row>
    <row r="304" spans="19:27" x14ac:dyDescent="0.2">
      <c r="S304" s="199"/>
      <c r="T304" s="200"/>
      <c r="W304" s="233" t="str">
        <f t="shared" si="11"/>
        <v>1D</v>
      </c>
      <c r="X304" s="234">
        <f>_xll.qlCalendarAdvance(Calendar,X303,W304,"f",FALSE)</f>
        <v>42228</v>
      </c>
      <c r="Y304" s="237">
        <f>_xll.qlCalendarAdvance(Calendar,X304,NDays&amp;"D")</f>
        <v>42228</v>
      </c>
      <c r="Z304" s="238">
        <v>2.070659666659614E-2</v>
      </c>
      <c r="AA304" s="240">
        <v>1.6530895962268977E-2</v>
      </c>
    </row>
    <row r="305" spans="19:27" x14ac:dyDescent="0.2">
      <c r="S305" s="199"/>
      <c r="T305" s="200"/>
      <c r="W305" s="233" t="str">
        <f t="shared" si="11"/>
        <v>1D</v>
      </c>
      <c r="X305" s="234">
        <f>_xll.qlCalendarAdvance(Calendar,X304,W305,"f",FALSE)</f>
        <v>42229</v>
      </c>
      <c r="Y305" s="237">
        <f>_xll.qlCalendarAdvance(Calendar,X305,NDays&amp;"D")</f>
        <v>42229</v>
      </c>
      <c r="Z305" s="238">
        <v>2.0745492895989835E-2</v>
      </c>
      <c r="AA305" s="240">
        <v>1.6556036591270917E-2</v>
      </c>
    </row>
    <row r="306" spans="19:27" x14ac:dyDescent="0.2">
      <c r="S306" s="199"/>
      <c r="T306" s="200"/>
      <c r="W306" s="233" t="str">
        <f t="shared" si="11"/>
        <v>1D</v>
      </c>
      <c r="X306" s="234">
        <f>_xll.qlCalendarAdvance(Calendar,X305,W306,"f",FALSE)</f>
        <v>42230</v>
      </c>
      <c r="Y306" s="237">
        <f>_xll.qlCalendarAdvance(Calendar,X306,NDays&amp;"D")</f>
        <v>42230</v>
      </c>
      <c r="Z306" s="238">
        <v>2.07559668382741E-2</v>
      </c>
      <c r="AA306" s="240">
        <v>1.6608155097923204E-2</v>
      </c>
    </row>
    <row r="307" spans="19:27" x14ac:dyDescent="0.2">
      <c r="S307" s="199"/>
      <c r="T307" s="200"/>
      <c r="W307" s="233" t="str">
        <f t="shared" si="11"/>
        <v>1D</v>
      </c>
      <c r="X307" s="234">
        <f>_xll.qlCalendarAdvance(Calendar,X306,W307,"f",FALSE)</f>
        <v>42233</v>
      </c>
      <c r="Y307" s="237">
        <f>_xll.qlCalendarAdvance(Calendar,X307,NDays&amp;"D")</f>
        <v>42233</v>
      </c>
      <c r="Z307" s="238">
        <v>2.0806162822136057E-2</v>
      </c>
      <c r="AA307" s="240">
        <v>1.6659843924966555E-2</v>
      </c>
    </row>
    <row r="308" spans="19:27" x14ac:dyDescent="0.2">
      <c r="S308" s="199"/>
      <c r="T308" s="200"/>
      <c r="W308" s="233" t="str">
        <f t="shared" si="11"/>
        <v>1D</v>
      </c>
      <c r="X308" s="234">
        <f>_xll.qlCalendarAdvance(Calendar,X307,W308,"f",FALSE)</f>
        <v>42234</v>
      </c>
      <c r="Y308" s="237">
        <f>_xll.qlCalendarAdvance(Calendar,X308,NDays&amp;"D")</f>
        <v>42234</v>
      </c>
      <c r="Z308" s="238">
        <v>2.0825980098512553E-2</v>
      </c>
      <c r="AA308" s="240">
        <v>1.6686606963379758E-2</v>
      </c>
    </row>
    <row r="309" spans="19:27" x14ac:dyDescent="0.2">
      <c r="S309" s="199"/>
      <c r="T309" s="200"/>
      <c r="W309" s="233" t="str">
        <f t="shared" si="11"/>
        <v>1D</v>
      </c>
      <c r="X309" s="234">
        <f>_xll.qlCalendarAdvance(Calendar,X308,W309,"f",FALSE)</f>
        <v>42235</v>
      </c>
      <c r="Y309" s="237">
        <f>_xll.qlCalendarAdvance(Calendar,X309,NDays&amp;"D")</f>
        <v>42235</v>
      </c>
      <c r="Z309" s="238">
        <v>2.0845762879670972E-2</v>
      </c>
      <c r="AA309" s="240">
        <v>1.6713694483707631E-2</v>
      </c>
    </row>
    <row r="310" spans="19:27" x14ac:dyDescent="0.2">
      <c r="S310" s="199"/>
      <c r="T310" s="200"/>
      <c r="W310" s="233" t="str">
        <f t="shared" si="11"/>
        <v>1D</v>
      </c>
      <c r="X310" s="234">
        <f>_xll.qlCalendarAdvance(Calendar,X309,W310,"f",FALSE)</f>
        <v>42236</v>
      </c>
      <c r="Y310" s="237">
        <f>_xll.qlCalendarAdvance(Calendar,X310,NDays&amp;"D")</f>
        <v>42236</v>
      </c>
      <c r="Z310" s="238">
        <v>2.0884250526373133E-2</v>
      </c>
      <c r="AA310" s="240">
        <v>1.6741106486355406E-2</v>
      </c>
    </row>
    <row r="311" spans="19:27" x14ac:dyDescent="0.2">
      <c r="S311" s="199"/>
      <c r="T311" s="200"/>
      <c r="W311" s="233" t="str">
        <f t="shared" si="11"/>
        <v>1D</v>
      </c>
      <c r="X311" s="234">
        <f>_xll.qlCalendarAdvance(Calendar,X310,W311,"f",FALSE)</f>
        <v>42237</v>
      </c>
      <c r="Y311" s="237">
        <f>_xll.qlCalendarAdvance(Calendar,X311,NDays&amp;"D")</f>
        <v>42237</v>
      </c>
      <c r="Z311" s="238">
        <v>2.0894581395376755E-2</v>
      </c>
      <c r="AA311" s="240">
        <v>1.6797785095468885E-2</v>
      </c>
    </row>
    <row r="312" spans="19:27" x14ac:dyDescent="0.2">
      <c r="S312" s="199"/>
      <c r="T312" s="200"/>
      <c r="W312" s="233" t="str">
        <f t="shared" si="11"/>
        <v>1D</v>
      </c>
      <c r="X312" s="234">
        <f>_xll.qlCalendarAdvance(Calendar,X311,W312,"f",FALSE)</f>
        <v>42240</v>
      </c>
      <c r="Y312" s="237">
        <f>_xll.qlCalendarAdvance(Calendar,X312,NDays&amp;"D")</f>
        <v>42240</v>
      </c>
      <c r="Z312" s="238">
        <v>2.0944121694176903E-2</v>
      </c>
      <c r="AA312" s="240">
        <v>1.6853999319740298E-2</v>
      </c>
    </row>
    <row r="313" spans="19:27" x14ac:dyDescent="0.2">
      <c r="S313" s="199"/>
      <c r="T313" s="200"/>
      <c r="W313" s="233" t="str">
        <f t="shared" si="11"/>
        <v>1D</v>
      </c>
      <c r="X313" s="234">
        <f>_xll.qlCalendarAdvance(Calendar,X312,W313,"f",FALSE)</f>
        <v>42241</v>
      </c>
      <c r="Y313" s="237">
        <f>_xll.qlCalendarAdvance(Calendar,X313,NDays&amp;"D")</f>
        <v>42241</v>
      </c>
      <c r="Z313" s="238">
        <v>2.0963674905111345E-2</v>
      </c>
      <c r="AA313" s="240">
        <v>1.688303373431177E-2</v>
      </c>
    </row>
    <row r="314" spans="19:27" x14ac:dyDescent="0.2">
      <c r="S314" s="199"/>
      <c r="T314" s="200"/>
      <c r="W314" s="233" t="str">
        <f t="shared" si="11"/>
        <v>1D</v>
      </c>
      <c r="X314" s="234">
        <f>_xll.qlCalendarAdvance(Calendar,X313,W314,"f",FALSE)</f>
        <v>42242</v>
      </c>
      <c r="Y314" s="237">
        <f>_xll.qlCalendarAdvance(Calendar,X314,NDays&amp;"D")</f>
        <v>42242</v>
      </c>
      <c r="Z314" s="238">
        <v>2.0983186087121072E-2</v>
      </c>
      <c r="AA314" s="240">
        <v>1.6912392631365236E-2</v>
      </c>
    </row>
    <row r="315" spans="19:27" x14ac:dyDescent="0.2">
      <c r="S315" s="199"/>
      <c r="T315" s="200"/>
      <c r="W315" s="233" t="str">
        <f t="shared" si="11"/>
        <v>1D</v>
      </c>
      <c r="X315" s="234">
        <f>_xll.qlCalendarAdvance(Calendar,X314,W315,"f",FALSE)</f>
        <v>42243</v>
      </c>
      <c r="Y315" s="237">
        <f>_xll.qlCalendarAdvance(Calendar,X315,NDays&amp;"D")</f>
        <v>42243</v>
      </c>
      <c r="Z315" s="238">
        <v>2.1030468960933732E-2</v>
      </c>
      <c r="AA315" s="240">
        <v>1.6941993214020235E-2</v>
      </c>
    </row>
    <row r="316" spans="19:27" x14ac:dyDescent="0.2">
      <c r="S316" s="199"/>
      <c r="T316" s="200"/>
      <c r="W316" s="233" t="str">
        <f t="shared" si="11"/>
        <v>1D</v>
      </c>
      <c r="X316" s="234">
        <f>_xll.qlCalendarAdvance(Calendar,X315,W316,"f",FALSE)</f>
        <v>42244</v>
      </c>
      <c r="Y316" s="237">
        <f>_xll.qlCalendarAdvance(Calendar,X316,NDays&amp;"D")</f>
        <v>42244</v>
      </c>
      <c r="Z316" s="238">
        <v>2.1049851798899823E-2</v>
      </c>
      <c r="AA316" s="240">
        <v>1.7016530012524955E-2</v>
      </c>
    </row>
    <row r="317" spans="19:27" x14ac:dyDescent="0.2">
      <c r="S317" s="199"/>
      <c r="T317" s="200"/>
      <c r="W317" s="233" t="str">
        <f t="shared" si="11"/>
        <v>1D</v>
      </c>
      <c r="X317" s="234">
        <f>_xll.qlCalendarAdvance(Calendar,X316,W317,"f",FALSE)</f>
        <v>42248</v>
      </c>
      <c r="Y317" s="237">
        <f>_xll.qlCalendarAdvance(Calendar,X317,NDays&amp;"D")</f>
        <v>42248</v>
      </c>
      <c r="Z317" s="238">
        <v>2.1099339153951107E-2</v>
      </c>
      <c r="AA317" s="240">
        <v>1.7087825606182383E-2</v>
      </c>
    </row>
    <row r="318" spans="19:27" x14ac:dyDescent="0.2">
      <c r="S318" s="199"/>
      <c r="T318" s="200"/>
      <c r="W318" s="233" t="str">
        <f t="shared" si="11"/>
        <v>1D</v>
      </c>
      <c r="X318" s="234">
        <f>_xll.qlCalendarAdvance(Calendar,X317,W318,"f",FALSE)</f>
        <v>42249</v>
      </c>
      <c r="Y318" s="237">
        <f>_xll.qlCalendarAdvance(Calendar,X318,NDays&amp;"D")</f>
        <v>42249</v>
      </c>
      <c r="Z318" s="238">
        <v>2.1118547007353314E-2</v>
      </c>
      <c r="AA318" s="240">
        <v>1.7116475182944457E-2</v>
      </c>
    </row>
    <row r="319" spans="19:27" x14ac:dyDescent="0.2">
      <c r="S319" s="199"/>
      <c r="T319" s="200"/>
      <c r="W319" s="233" t="str">
        <f t="shared" si="11"/>
        <v>1D</v>
      </c>
      <c r="X319" s="234">
        <f>_xll.qlCalendarAdvance(Calendar,X318,W319,"f",FALSE)</f>
        <v>42250</v>
      </c>
      <c r="Y319" s="237">
        <f>_xll.qlCalendarAdvance(Calendar,X319,NDays&amp;"D")</f>
        <v>42250</v>
      </c>
      <c r="Z319" s="238">
        <v>2.1156069771696626E-2</v>
      </c>
      <c r="AA319" s="240">
        <v>1.7144952459041685E-2</v>
      </c>
    </row>
    <row r="320" spans="19:27" x14ac:dyDescent="0.2">
      <c r="S320" s="199"/>
      <c r="T320" s="200"/>
      <c r="W320" s="233" t="str">
        <f t="shared" si="11"/>
        <v>1D</v>
      </c>
      <c r="X320" s="234">
        <f>_xll.qlCalendarAdvance(Calendar,X319,W320,"f",FALSE)</f>
        <v>42251</v>
      </c>
      <c r="Y320" s="237">
        <f>_xll.qlCalendarAdvance(Calendar,X320,NDays&amp;"D")</f>
        <v>42251</v>
      </c>
      <c r="Z320" s="238">
        <v>2.116600502707423E-2</v>
      </c>
      <c r="AA320" s="240">
        <v>1.7202143333654073E-2</v>
      </c>
    </row>
    <row r="321" spans="19:27" x14ac:dyDescent="0.2">
      <c r="S321" s="199"/>
      <c r="T321" s="200"/>
      <c r="W321" s="233" t="str">
        <f t="shared" si="11"/>
        <v>1D</v>
      </c>
      <c r="X321" s="234">
        <f>_xll.qlCalendarAdvance(Calendar,X320,W321,"f",FALSE)</f>
        <v>42254</v>
      </c>
      <c r="Y321" s="237">
        <f>_xll.qlCalendarAdvance(Calendar,X321,NDays&amp;"D")</f>
        <v>42254</v>
      </c>
      <c r="Z321" s="238">
        <v>2.1213957564868598E-2</v>
      </c>
      <c r="AA321" s="240">
        <v>1.7257138556052709E-2</v>
      </c>
    </row>
    <row r="322" spans="19:27" x14ac:dyDescent="0.2">
      <c r="S322" s="199"/>
      <c r="T322" s="200"/>
      <c r="W322" s="233" t="str">
        <f t="shared" si="11"/>
        <v>1D</v>
      </c>
      <c r="X322" s="234">
        <f>_xll.qlCalendarAdvance(Calendar,X321,W322,"f",FALSE)</f>
        <v>42255</v>
      </c>
      <c r="Y322" s="237">
        <f>_xll.qlCalendarAdvance(Calendar,X322,NDays&amp;"D")</f>
        <v>42255</v>
      </c>
      <c r="Z322" s="238">
        <v>2.1232916100466386E-2</v>
      </c>
      <c r="AA322" s="240">
        <v>1.7284754328258378E-2</v>
      </c>
    </row>
    <row r="323" spans="19:27" x14ac:dyDescent="0.2">
      <c r="S323" s="199"/>
      <c r="T323" s="200"/>
      <c r="W323" s="233" t="str">
        <f t="shared" si="11"/>
        <v>1D</v>
      </c>
      <c r="X323" s="234">
        <f>_xll.qlCalendarAdvance(Calendar,X322,W323,"f",FALSE)</f>
        <v>42256</v>
      </c>
      <c r="Y323" s="237">
        <f>_xll.qlCalendarAdvance(Calendar,X323,NDays&amp;"D")</f>
        <v>42256</v>
      </c>
      <c r="Z323" s="238">
        <v>2.1251834166226093E-2</v>
      </c>
      <c r="AA323" s="240">
        <v>1.7312197799556062E-2</v>
      </c>
    </row>
    <row r="324" spans="19:27" x14ac:dyDescent="0.2">
      <c r="S324" s="199"/>
      <c r="T324" s="200"/>
      <c r="W324" s="233" t="str">
        <f t="shared" si="11"/>
        <v>1D</v>
      </c>
      <c r="X324" s="234">
        <f>_xll.qlCalendarAdvance(Calendar,X323,W324,"f",FALSE)</f>
        <v>42257</v>
      </c>
      <c r="Y324" s="237">
        <f>_xll.qlCalendarAdvance(Calendar,X324,NDays&amp;"D")</f>
        <v>42257</v>
      </c>
      <c r="Z324" s="238">
        <v>2.1288869663390022E-2</v>
      </c>
      <c r="AA324" s="240">
        <v>1.7339468969945759E-2</v>
      </c>
    </row>
    <row r="325" spans="19:27" x14ac:dyDescent="0.2">
      <c r="S325" s="199"/>
      <c r="T325" s="200"/>
      <c r="W325" s="233" t="str">
        <f t="shared" si="11"/>
        <v>1D</v>
      </c>
      <c r="X325" s="234">
        <f>_xll.qlCalendarAdvance(Calendar,X324,W325,"f",FALSE)</f>
        <v>42258</v>
      </c>
      <c r="Y325" s="237">
        <f>_xll.qlCalendarAdvance(Calendar,X325,NDays&amp;"D")</f>
        <v>42258</v>
      </c>
      <c r="Z325" s="238">
        <v>2.1298619173876581E-2</v>
      </c>
      <c r="AA325" s="240">
        <v>1.7394265840487238E-2</v>
      </c>
    </row>
    <row r="326" spans="19:27" x14ac:dyDescent="0.2">
      <c r="S326" s="199"/>
      <c r="T326" s="200"/>
      <c r="W326" s="233" t="str">
        <f t="shared" si="11"/>
        <v>1D</v>
      </c>
      <c r="X326" s="234">
        <f>_xll.qlCalendarAdvance(Calendar,X325,W326,"f",FALSE)</f>
        <v>42261</v>
      </c>
      <c r="Y326" s="237">
        <f>_xll.qlCalendarAdvance(Calendar,X326,NDays&amp;"D")</f>
        <v>42261</v>
      </c>
      <c r="Z326" s="238">
        <v>2.1345828282345439E-2</v>
      </c>
      <c r="AA326" s="240">
        <v>1.7446830641452138E-2</v>
      </c>
    </row>
    <row r="327" spans="19:27" x14ac:dyDescent="0.2">
      <c r="S327" s="199"/>
      <c r="T327" s="200"/>
      <c r="W327" s="233" t="str">
        <f t="shared" si="11"/>
        <v>1D</v>
      </c>
      <c r="X327" s="234">
        <f>_xll.qlCalendarAdvance(Calendar,X326,W327,"f",FALSE)</f>
        <v>42262</v>
      </c>
      <c r="Y327" s="237">
        <f>_xll.qlCalendarAdvance(Calendar,X327,NDays&amp;"D")</f>
        <v>42262</v>
      </c>
      <c r="Z327" s="238">
        <v>2.1364510030400526E-2</v>
      </c>
      <c r="AA327" s="240">
        <v>1.7473240306653537E-2</v>
      </c>
    </row>
    <row r="328" spans="19:27" x14ac:dyDescent="0.2">
      <c r="S328" s="199"/>
      <c r="T328" s="200"/>
      <c r="W328" s="233" t="str">
        <f t="shared" si="11"/>
        <v>1D</v>
      </c>
      <c r="X328" s="234">
        <f>_xll.qlCalendarAdvance(Calendar,X327,W328,"f",FALSE)</f>
        <v>42263</v>
      </c>
      <c r="Y328" s="237">
        <f>_xll.qlCalendarAdvance(Calendar,X328,NDays&amp;"D")</f>
        <v>42263</v>
      </c>
      <c r="Z328" s="238">
        <v>2.1383153475982863E-2</v>
      </c>
      <c r="AA328" s="240">
        <v>1.7499477670622765E-2</v>
      </c>
    </row>
    <row r="329" spans="19:27" x14ac:dyDescent="0.2">
      <c r="S329" s="199"/>
      <c r="T329" s="200"/>
      <c r="W329" s="233" t="str">
        <f t="shared" si="11"/>
        <v>1D</v>
      </c>
      <c r="X329" s="234">
        <f>_xll.qlCalendarAdvance(Calendar,X328,W329,"f",FALSE)</f>
        <v>42264</v>
      </c>
      <c r="Y329" s="237">
        <f>_xll.qlCalendarAdvance(Calendar,X329,NDays&amp;"D")</f>
        <v>42264</v>
      </c>
      <c r="Z329" s="238">
        <v>2.1419710887526304E-2</v>
      </c>
      <c r="AA329" s="240">
        <v>1.7525542733440869E-2</v>
      </c>
    </row>
    <row r="330" spans="19:27" x14ac:dyDescent="0.2">
      <c r="S330" s="199"/>
      <c r="T330" s="200"/>
      <c r="W330" s="233" t="str">
        <f t="shared" si="11"/>
        <v>1D</v>
      </c>
      <c r="X330" s="234">
        <f>_xll.qlCalendarAdvance(Calendar,X329,W330,"f",FALSE)</f>
        <v>42265</v>
      </c>
      <c r="Y330" s="237">
        <f>_xll.qlCalendarAdvance(Calendar,X330,NDays&amp;"D")</f>
        <v>42265</v>
      </c>
      <c r="Z330" s="238">
        <v>2.1429292768466467E-2</v>
      </c>
      <c r="AA330" s="240">
        <v>1.7577944984932259E-2</v>
      </c>
    </row>
    <row r="331" spans="19:27" x14ac:dyDescent="0.2">
      <c r="S331" s="199"/>
      <c r="T331" s="200"/>
      <c r="W331" s="233" t="str">
        <f t="shared" si="11"/>
        <v>1D</v>
      </c>
      <c r="X331" s="234">
        <f>_xll.qlCalendarAdvance(Calendar,X330,W331,"f",FALSE)</f>
        <v>42268</v>
      </c>
      <c r="Y331" s="237">
        <f>_xll.qlCalendarAdvance(Calendar,X331,NDays&amp;"D")</f>
        <v>42268</v>
      </c>
      <c r="Z331" s="238">
        <v>2.1475807008419005E-2</v>
      </c>
      <c r="AA331" s="240">
        <v>1.7628079971986343E-2</v>
      </c>
    </row>
    <row r="332" spans="19:27" x14ac:dyDescent="0.2">
      <c r="S332" s="199"/>
      <c r="T332" s="200"/>
      <c r="W332" s="233" t="str">
        <f t="shared" si="11"/>
        <v>1D</v>
      </c>
      <c r="X332" s="234">
        <f>_xll.qlCalendarAdvance(Calendar,X331,W332,"f",FALSE)</f>
        <v>42269</v>
      </c>
      <c r="Y332" s="237">
        <f>_xll.qlCalendarAdvance(Calendar,X332,NDays&amp;"D")</f>
        <v>42269</v>
      </c>
      <c r="Z332" s="238">
        <v>2.1494227144509333E-2</v>
      </c>
      <c r="AA332" s="240">
        <v>1.7653283528238362E-2</v>
      </c>
    </row>
    <row r="333" spans="19:27" x14ac:dyDescent="0.2">
      <c r="S333" s="199"/>
      <c r="T333" s="200"/>
      <c r="W333" s="233" t="str">
        <f t="shared" si="11"/>
        <v>1D</v>
      </c>
      <c r="X333" s="234">
        <f>_xll.qlCalendarAdvance(Calendar,X332,W333,"f",FALSE)</f>
        <v>42270</v>
      </c>
      <c r="Y333" s="237">
        <f>_xll.qlCalendarAdvance(Calendar,X333,NDays&amp;"D")</f>
        <v>42270</v>
      </c>
      <c r="Z333" s="238">
        <v>2.1512611146824633E-2</v>
      </c>
      <c r="AA333" s="240">
        <v>1.7678314783096116E-2</v>
      </c>
    </row>
    <row r="334" spans="19:27" x14ac:dyDescent="0.2">
      <c r="S334" s="199"/>
      <c r="T334" s="200"/>
      <c r="W334" s="233" t="str">
        <f t="shared" si="11"/>
        <v>1D</v>
      </c>
      <c r="X334" s="234">
        <f>_xll.qlCalendarAdvance(Calendar,X333,W334,"f",FALSE)</f>
        <v>42271</v>
      </c>
      <c r="Y334" s="237">
        <f>_xll.qlCalendarAdvance(Calendar,X334,NDays&amp;"D")</f>
        <v>42271</v>
      </c>
      <c r="Z334" s="238">
        <v>2.1548699091282261E-2</v>
      </c>
      <c r="AA334" s="240">
        <v>1.7703173736478561E-2</v>
      </c>
    </row>
    <row r="335" spans="19:27" x14ac:dyDescent="0.2">
      <c r="S335" s="199"/>
      <c r="T335" s="200"/>
      <c r="W335" s="233" t="str">
        <f t="shared" si="11"/>
        <v>1D</v>
      </c>
      <c r="X335" s="234">
        <f>_xll.qlCalendarAdvance(Calendar,X334,W335,"f",FALSE)</f>
        <v>42272</v>
      </c>
      <c r="Y335" s="237">
        <f>_xll.qlCalendarAdvance(Calendar,X335,NDays&amp;"D")</f>
        <v>42272</v>
      </c>
      <c r="Z335" s="238">
        <v>2.1558131752820744E-2</v>
      </c>
      <c r="AA335" s="240">
        <v>1.7753180728762311E-2</v>
      </c>
    </row>
    <row r="336" spans="19:27" x14ac:dyDescent="0.2">
      <c r="S336" s="199"/>
      <c r="T336" s="200"/>
      <c r="W336" s="233" t="str">
        <f t="shared" si="11"/>
        <v>1D</v>
      </c>
      <c r="X336" s="234">
        <f>_xll.qlCalendarAdvance(Calendar,X335,W336,"f",FALSE)</f>
        <v>42275</v>
      </c>
      <c r="Y336" s="237">
        <f>_xll.qlCalendarAdvance(Calendar,X336,NDays&amp;"D")</f>
        <v>42275</v>
      </c>
      <c r="Z336" s="238">
        <v>2.1603999999904099E-2</v>
      </c>
      <c r="AA336" s="240">
        <v>1.780088653493106E-2</v>
      </c>
    </row>
    <row r="337" spans="19:27" x14ac:dyDescent="0.2">
      <c r="S337" s="199"/>
      <c r="T337" s="200"/>
      <c r="W337" s="233" t="str">
        <f t="shared" si="11"/>
        <v>1D</v>
      </c>
      <c r="X337" s="234">
        <f>_xll.qlCalendarAdvance(Calendar,X336,W337,"f",FALSE)</f>
        <v>42276</v>
      </c>
      <c r="Y337" s="237">
        <f>_xll.qlCalendarAdvance(Calendar,X337,NDays&amp;"D")</f>
        <v>42276</v>
      </c>
      <c r="Z337" s="238">
        <v>2.1622173733779473E-2</v>
      </c>
      <c r="AA337" s="240">
        <v>1.7824907840232607E-2</v>
      </c>
    </row>
    <row r="338" spans="19:27" x14ac:dyDescent="0.2">
      <c r="S338" s="199"/>
      <c r="T338" s="200"/>
      <c r="W338" s="233" t="str">
        <f t="shared" si="11"/>
        <v>1D</v>
      </c>
      <c r="X338" s="234">
        <f>_xll.qlCalendarAdvance(Calendar,X337,W338,"f",FALSE)</f>
        <v>42277</v>
      </c>
      <c r="Y338" s="237">
        <f>_xll.qlCalendarAdvance(Calendar,X338,NDays&amp;"D")</f>
        <v>42277</v>
      </c>
      <c r="Z338" s="238">
        <v>2.164031358707692E-2</v>
      </c>
      <c r="AA338" s="240">
        <v>1.7848876142158021E-2</v>
      </c>
    </row>
    <row r="339" spans="19:27" x14ac:dyDescent="0.2">
      <c r="S339" s="199"/>
      <c r="T339" s="200"/>
      <c r="W339" s="233" t="str">
        <f t="shared" si="11"/>
        <v>1D</v>
      </c>
      <c r="X339" s="234">
        <f>_xll.qlCalendarAdvance(Calendar,X338,W339,"f",FALSE)</f>
        <v>42278</v>
      </c>
      <c r="Y339" s="237">
        <f>_xll.qlCalendarAdvance(Calendar,X339,NDays&amp;"D")</f>
        <v>42278</v>
      </c>
      <c r="Z339" s="238">
        <v>2.1675942561088533E-2</v>
      </c>
      <c r="AA339" s="240">
        <v>1.7872815300489231E-2</v>
      </c>
    </row>
    <row r="340" spans="19:27" x14ac:dyDescent="0.2">
      <c r="S340" s="199"/>
      <c r="T340" s="200"/>
      <c r="W340" s="233" t="str">
        <f t="shared" si="11"/>
        <v>1D</v>
      </c>
      <c r="X340" s="234">
        <f>_xll.qlCalendarAdvance(Calendar,X339,W340,"f",FALSE)</f>
        <v>42279</v>
      </c>
      <c r="Y340" s="237">
        <f>_xll.qlCalendarAdvance(Calendar,X340,NDays&amp;"D")</f>
        <v>42279</v>
      </c>
      <c r="Z340" s="238">
        <v>2.1685243452651441E-2</v>
      </c>
      <c r="AA340" s="240">
        <v>1.7921476342140179E-2</v>
      </c>
    </row>
    <row r="341" spans="19:27" x14ac:dyDescent="0.2">
      <c r="S341" s="199"/>
      <c r="T341" s="200"/>
      <c r="W341" s="233" t="str">
        <f t="shared" ref="W341:W404" si="12">W340</f>
        <v>1D</v>
      </c>
      <c r="X341" s="234">
        <f>_xll.qlCalendarAdvance(Calendar,X340,W341,"f",FALSE)</f>
        <v>42282</v>
      </c>
      <c r="Y341" s="237">
        <f>_xll.qlCalendarAdvance(Calendar,X341,NDays&amp;"D")</f>
        <v>42282</v>
      </c>
      <c r="Z341" s="238">
        <v>2.1730507754783256E-2</v>
      </c>
      <c r="AA341" s="240">
        <v>1.7968280496575284E-2</v>
      </c>
    </row>
    <row r="342" spans="19:27" x14ac:dyDescent="0.2">
      <c r="S342" s="199"/>
      <c r="T342" s="200"/>
      <c r="W342" s="233" t="str">
        <f t="shared" si="12"/>
        <v>1D</v>
      </c>
      <c r="X342" s="234">
        <f>_xll.qlCalendarAdvance(Calendar,X341,W342,"f",FALSE)</f>
        <v>42283</v>
      </c>
      <c r="Y342" s="237">
        <f>_xll.qlCalendarAdvance(Calendar,X342,NDays&amp;"D")</f>
        <v>42283</v>
      </c>
      <c r="Z342" s="238">
        <v>2.1748445990854938E-2</v>
      </c>
      <c r="AA342" s="240">
        <v>1.7992073936287101E-2</v>
      </c>
    </row>
    <row r="343" spans="19:27" x14ac:dyDescent="0.2">
      <c r="S343" s="199"/>
      <c r="T343" s="200"/>
      <c r="W343" s="233" t="str">
        <f t="shared" si="12"/>
        <v>1D</v>
      </c>
      <c r="X343" s="234">
        <f>_xll.qlCalendarAdvance(Calendar,X342,W343,"f",FALSE)</f>
        <v>42284</v>
      </c>
      <c r="Y343" s="237">
        <f>_xll.qlCalendarAdvance(Calendar,X343,NDays&amp;"D")</f>
        <v>42284</v>
      </c>
      <c r="Z343" s="238">
        <v>2.1766350835235364E-2</v>
      </c>
      <c r="AA343" s="240">
        <v>1.8015838232323667E-2</v>
      </c>
    </row>
    <row r="344" spans="19:27" x14ac:dyDescent="0.2">
      <c r="S344" s="199"/>
      <c r="T344" s="200"/>
      <c r="W344" s="233" t="str">
        <f t="shared" si="12"/>
        <v>1D</v>
      </c>
      <c r="X344" s="234">
        <f>_xll.qlCalendarAdvance(Calendar,X343,W344,"f",FALSE)</f>
        <v>42285</v>
      </c>
      <c r="Y344" s="237">
        <f>_xll.qlCalendarAdvance(Calendar,X344,NDays&amp;"D")</f>
        <v>42285</v>
      </c>
      <c r="Z344" s="238">
        <v>2.1801533968195223E-2</v>
      </c>
      <c r="AA344" s="240">
        <v>1.8039573384684982E-2</v>
      </c>
    </row>
    <row r="345" spans="19:27" x14ac:dyDescent="0.2">
      <c r="S345" s="199"/>
      <c r="T345" s="200"/>
      <c r="W345" s="233" t="str">
        <f t="shared" si="12"/>
        <v>1D</v>
      </c>
      <c r="X345" s="234">
        <f>_xll.qlCalendarAdvance(Calendar,X344,W345,"f",FALSE)</f>
        <v>42286</v>
      </c>
      <c r="Y345" s="237">
        <f>_xll.qlCalendarAdvance(Calendar,X345,NDays&amp;"D")</f>
        <v>42286</v>
      </c>
      <c r="Z345" s="238">
        <v>2.1810706580781554E-2</v>
      </c>
      <c r="AA345" s="240">
        <v>1.8087842825241417E-2</v>
      </c>
    </row>
    <row r="346" spans="19:27" x14ac:dyDescent="0.2">
      <c r="S346" s="199"/>
      <c r="T346" s="200"/>
      <c r="W346" s="233" t="str">
        <f t="shared" si="12"/>
        <v>1D</v>
      </c>
      <c r="X346" s="234">
        <f>_xll.qlCalendarAdvance(Calendar,X345,W346,"f",FALSE)</f>
        <v>42289</v>
      </c>
      <c r="Y346" s="237">
        <f>_xll.qlCalendarAdvance(Calendar,X346,NDays&amp;"D")</f>
        <v>42289</v>
      </c>
      <c r="Z346" s="238">
        <v>2.1855376294542636E-2</v>
      </c>
      <c r="AA346" s="240">
        <v>1.8134222556486224E-2</v>
      </c>
    </row>
    <row r="347" spans="19:27" x14ac:dyDescent="0.2">
      <c r="S347" s="199"/>
      <c r="T347" s="200"/>
      <c r="W347" s="233" t="str">
        <f t="shared" si="12"/>
        <v>1D</v>
      </c>
      <c r="X347" s="234">
        <f>_xll.qlCalendarAdvance(Calendar,X346,W347,"f",FALSE)</f>
        <v>42290</v>
      </c>
      <c r="Y347" s="237">
        <f>_xll.qlCalendarAdvance(Calendar,X347,NDays&amp;"D")</f>
        <v>42290</v>
      </c>
      <c r="Z347" s="238">
        <v>2.1873082056547054E-2</v>
      </c>
      <c r="AA347" s="240">
        <v>1.8157811990147099E-2</v>
      </c>
    </row>
    <row r="348" spans="19:27" x14ac:dyDescent="0.2">
      <c r="S348" s="199"/>
      <c r="T348" s="200"/>
      <c r="W348" s="233" t="str">
        <f t="shared" si="12"/>
        <v>1D</v>
      </c>
      <c r="X348" s="234">
        <f>_xll.qlCalendarAdvance(Calendar,X347,W348,"f",FALSE)</f>
        <v>42291</v>
      </c>
      <c r="Y348" s="237">
        <f>_xll.qlCalendarAdvance(Calendar,X348,NDays&amp;"D")</f>
        <v>42291</v>
      </c>
      <c r="Z348" s="238">
        <v>2.1890754849521882E-2</v>
      </c>
      <c r="AA348" s="240">
        <v>1.8181372279889585E-2</v>
      </c>
    </row>
    <row r="349" spans="19:27" x14ac:dyDescent="0.2">
      <c r="S349" s="199"/>
      <c r="T349" s="200"/>
      <c r="W349" s="233" t="str">
        <f t="shared" si="12"/>
        <v>1D</v>
      </c>
      <c r="X349" s="234">
        <f>_xll.qlCalendarAdvance(Calendar,X348,W349,"f",FALSE)</f>
        <v>42292</v>
      </c>
      <c r="Y349" s="237">
        <f>_xll.qlCalendarAdvance(Calendar,X349,NDays&amp;"D")</f>
        <v>42292</v>
      </c>
      <c r="Z349" s="238">
        <v>2.1925501978793862E-2</v>
      </c>
      <c r="AA349" s="240">
        <v>1.820490342595682E-2</v>
      </c>
    </row>
    <row r="350" spans="19:27" x14ac:dyDescent="0.2">
      <c r="S350" s="199"/>
      <c r="T350" s="200"/>
      <c r="W350" s="233" t="str">
        <f t="shared" si="12"/>
        <v>1D</v>
      </c>
      <c r="X350" s="234">
        <f>_xll.qlCalendarAdvance(Calendar,X349,W350,"f",FALSE)</f>
        <v>42293</v>
      </c>
      <c r="Y350" s="237">
        <f>_xll.qlCalendarAdvance(Calendar,X350,NDays&amp;"D")</f>
        <v>42293</v>
      </c>
      <c r="Z350" s="238">
        <v>2.1934545832280938E-2</v>
      </c>
      <c r="AA350" s="240">
        <v>1.8252781273766509E-2</v>
      </c>
    </row>
    <row r="351" spans="19:27" x14ac:dyDescent="0.2">
      <c r="S351" s="199"/>
      <c r="T351" s="200"/>
      <c r="W351" s="233" t="str">
        <f t="shared" si="12"/>
        <v>1D</v>
      </c>
      <c r="X351" s="234">
        <f>_xll.qlCalendarAdvance(Calendar,X350,W351,"f",FALSE)</f>
        <v>42296</v>
      </c>
      <c r="Y351" s="237">
        <f>_xll.qlCalendarAdvance(Calendar,X351,NDays&amp;"D")</f>
        <v>42296</v>
      </c>
      <c r="Z351" s="238">
        <v>2.1978626393578317E-2</v>
      </c>
      <c r="AA351" s="240">
        <v>1.8298736572500696E-2</v>
      </c>
    </row>
    <row r="352" spans="19:27" x14ac:dyDescent="0.2">
      <c r="S352" s="199"/>
      <c r="T352" s="200"/>
      <c r="W352" s="233" t="str">
        <f t="shared" si="12"/>
        <v>1D</v>
      </c>
      <c r="X352" s="234">
        <f>_xll.qlCalendarAdvance(Calendar,X351,W352,"f",FALSE)</f>
        <v>42297</v>
      </c>
      <c r="Y352" s="237">
        <f>_xll.qlCalendarAdvance(Calendar,X352,NDays&amp;"D")</f>
        <v>42297</v>
      </c>
      <c r="Z352" s="238">
        <v>2.1996102641256336E-2</v>
      </c>
      <c r="AA352" s="240">
        <v>1.8322121999624352E-2</v>
      </c>
    </row>
    <row r="353" spans="19:27" x14ac:dyDescent="0.2">
      <c r="S353" s="199"/>
      <c r="T353" s="200"/>
      <c r="W353" s="233" t="str">
        <f t="shared" si="12"/>
        <v>1D</v>
      </c>
      <c r="X353" s="234">
        <f>_xll.qlCalendarAdvance(Calendar,X352,W353,"f",FALSE)</f>
        <v>42298</v>
      </c>
      <c r="Y353" s="237">
        <f>_xll.qlCalendarAdvance(Calendar,X353,NDays&amp;"D")</f>
        <v>42298</v>
      </c>
      <c r="Z353" s="238">
        <v>2.2013546342934686E-2</v>
      </c>
      <c r="AA353" s="240">
        <v>1.8345478282991712E-2</v>
      </c>
    </row>
    <row r="354" spans="19:27" x14ac:dyDescent="0.2">
      <c r="S354" s="199"/>
      <c r="T354" s="200"/>
      <c r="W354" s="233" t="str">
        <f t="shared" si="12"/>
        <v>1D</v>
      </c>
      <c r="X354" s="234">
        <f>_xll.qlCalendarAdvance(Calendar,X353,W354,"f",FALSE)</f>
        <v>42299</v>
      </c>
      <c r="Y354" s="237">
        <f>_xll.qlCalendarAdvance(Calendar,X354,NDays&amp;"D")</f>
        <v>42299</v>
      </c>
      <c r="Z354" s="238">
        <v>2.2047867195799341E-2</v>
      </c>
      <c r="AA354" s="240">
        <v>1.8368805422521728E-2</v>
      </c>
    </row>
    <row r="355" spans="19:27" x14ac:dyDescent="0.2">
      <c r="S355" s="199"/>
      <c r="T355" s="200"/>
      <c r="W355" s="233" t="str">
        <f t="shared" si="12"/>
        <v>1D</v>
      </c>
      <c r="X355" s="234">
        <f>_xll.qlCalendarAdvance(Calendar,X354,W355,"f",FALSE)</f>
        <v>42300</v>
      </c>
      <c r="Y355" s="237">
        <f>_xll.qlCalendarAdvance(Calendar,X355,NDays&amp;"D")</f>
        <v>42300</v>
      </c>
      <c r="Z355" s="238">
        <v>2.2056781868829381E-2</v>
      </c>
      <c r="AA355" s="240">
        <v>1.841629168188012E-2</v>
      </c>
    </row>
    <row r="356" spans="19:27" x14ac:dyDescent="0.2">
      <c r="S356" s="199"/>
      <c r="T356" s="200"/>
      <c r="W356" s="233" t="str">
        <f t="shared" si="12"/>
        <v>1D</v>
      </c>
      <c r="X356" s="234">
        <f>_xll.qlCalendarAdvance(Calendar,X355,W356,"f",FALSE)</f>
        <v>42303</v>
      </c>
      <c r="Y356" s="237">
        <f>_xll.qlCalendarAdvance(Calendar,X356,NDays&amp;"D")</f>
        <v>42303</v>
      </c>
      <c r="Z356" s="238">
        <v>2.2100278777774866E-2</v>
      </c>
      <c r="AA356" s="240">
        <v>1.8461822542592543E-2</v>
      </c>
    </row>
    <row r="357" spans="19:27" x14ac:dyDescent="0.2">
      <c r="S357" s="199"/>
      <c r="T357" s="200"/>
      <c r="W357" s="233" t="str">
        <f t="shared" si="12"/>
        <v>1D</v>
      </c>
      <c r="X357" s="234">
        <f>_xll.qlCalendarAdvance(Calendar,X356,W357,"f",FALSE)</f>
        <v>42304</v>
      </c>
      <c r="Y357" s="237">
        <f>_xll.qlCalendarAdvance(Calendar,X357,NDays&amp;"D")</f>
        <v>42304</v>
      </c>
      <c r="Z357" s="238">
        <v>2.2117528473424075E-2</v>
      </c>
      <c r="AA357" s="240">
        <v>1.8485003963016888E-2</v>
      </c>
    </row>
    <row r="358" spans="19:27" x14ac:dyDescent="0.2">
      <c r="S358" s="199"/>
      <c r="T358" s="200"/>
      <c r="W358" s="233" t="str">
        <f t="shared" si="12"/>
        <v>1D</v>
      </c>
      <c r="X358" s="234">
        <f>_xll.qlCalendarAdvance(Calendar,X357,W358,"f",FALSE)</f>
        <v>42305</v>
      </c>
      <c r="Y358" s="237">
        <f>_xll.qlCalendarAdvance(Calendar,X358,NDays&amp;"D")</f>
        <v>42305</v>
      </c>
      <c r="Z358" s="238">
        <v>2.2134746046464919E-2</v>
      </c>
      <c r="AA358" s="240">
        <v>1.850815623960389E-2</v>
      </c>
    </row>
    <row r="359" spans="19:27" x14ac:dyDescent="0.2">
      <c r="S359" s="199"/>
      <c r="T359" s="200"/>
      <c r="W359" s="233" t="str">
        <f t="shared" si="12"/>
        <v>1D</v>
      </c>
      <c r="X359" s="234">
        <f>_xll.qlCalendarAdvance(Calendar,X358,W359,"f",FALSE)</f>
        <v>42306</v>
      </c>
      <c r="Y359" s="237">
        <f>_xll.qlCalendarAdvance(Calendar,X359,NDays&amp;"D")</f>
        <v>42306</v>
      </c>
      <c r="Z359" s="238">
        <v>2.2168650240031611E-2</v>
      </c>
      <c r="AA359" s="240">
        <v>1.8531279372353548E-2</v>
      </c>
    </row>
    <row r="360" spans="19:27" x14ac:dyDescent="0.2">
      <c r="S360" s="199"/>
      <c r="T360" s="200"/>
      <c r="W360" s="233" t="str">
        <f t="shared" si="12"/>
        <v>1D</v>
      </c>
      <c r="X360" s="234">
        <f>_xll.qlCalendarAdvance(Calendar,X359,W360,"f",FALSE)</f>
        <v>42307</v>
      </c>
      <c r="Y360" s="237">
        <f>_xll.qlCalendarAdvance(Calendar,X360,NDays&amp;"D")</f>
        <v>42307</v>
      </c>
      <c r="Z360" s="238">
        <v>2.2177435369983671E-2</v>
      </c>
      <c r="AA360" s="240">
        <v>1.8578374043827971E-2</v>
      </c>
    </row>
    <row r="361" spans="19:27" x14ac:dyDescent="0.2">
      <c r="S361" s="199"/>
      <c r="T361" s="200"/>
      <c r="W361" s="233" t="str">
        <f t="shared" si="12"/>
        <v>1D</v>
      </c>
      <c r="X361" s="234">
        <f>_xll.qlCalendarAdvance(Calendar,X360,W361,"f",FALSE)</f>
        <v>42310</v>
      </c>
      <c r="Y361" s="237">
        <f>_xll.qlCalendarAdvance(Calendar,X361,NDays&amp;"D")</f>
        <v>42310</v>
      </c>
      <c r="Z361" s="238">
        <v>2.222035419077174E-2</v>
      </c>
      <c r="AA361" s="240">
        <v>1.8623480464816655E-2</v>
      </c>
    </row>
    <row r="362" spans="19:27" x14ac:dyDescent="0.2">
      <c r="S362" s="199"/>
      <c r="T362" s="200"/>
      <c r="W362" s="233" t="str">
        <f t="shared" si="12"/>
        <v>1D</v>
      </c>
      <c r="X362" s="234">
        <f>_xll.qlCalendarAdvance(Calendar,X361,W362,"f",FALSE)</f>
        <v>42311</v>
      </c>
      <c r="Y362" s="237">
        <f>_xll.qlCalendarAdvance(Calendar,X362,NDays&amp;"D")</f>
        <v>42311</v>
      </c>
      <c r="Z362" s="238">
        <v>2.223738029919994E-2</v>
      </c>
      <c r="AA362" s="240">
        <v>1.864645787829855E-2</v>
      </c>
    </row>
    <row r="363" spans="19:27" x14ac:dyDescent="0.2">
      <c r="S363" s="199"/>
      <c r="T363" s="200"/>
      <c r="W363" s="233" t="str">
        <f t="shared" si="12"/>
        <v>1D</v>
      </c>
      <c r="X363" s="234">
        <f>_xll.qlCalendarAdvance(Calendar,X362,W363,"f",FALSE)</f>
        <v>42312</v>
      </c>
      <c r="Y363" s="237">
        <f>_xll.qlCalendarAdvance(Calendar,X363,NDays&amp;"D")</f>
        <v>42312</v>
      </c>
      <c r="Z363" s="238">
        <v>2.2254374708765609E-2</v>
      </c>
      <c r="AA363" s="240">
        <v>1.8669406147862055E-2</v>
      </c>
    </row>
    <row r="364" spans="19:27" x14ac:dyDescent="0.2">
      <c r="S364" s="199"/>
      <c r="T364" s="200"/>
      <c r="W364" s="233" t="str">
        <f t="shared" si="12"/>
        <v>1D</v>
      </c>
      <c r="X364" s="234">
        <f>_xll.qlCalendarAdvance(Calendar,X363,W364,"f",FALSE)</f>
        <v>42313</v>
      </c>
      <c r="Y364" s="237">
        <f>_xll.qlCalendarAdvance(Calendar,X364,NDays&amp;"D")</f>
        <v>42313</v>
      </c>
      <c r="Z364" s="238">
        <v>2.2287871749886431E-2</v>
      </c>
      <c r="AA364" s="240">
        <v>1.8692325273588217E-2</v>
      </c>
    </row>
    <row r="365" spans="19:27" x14ac:dyDescent="0.2">
      <c r="S365" s="199"/>
      <c r="T365" s="200"/>
      <c r="W365" s="233" t="str">
        <f t="shared" si="12"/>
        <v>1D</v>
      </c>
      <c r="X365" s="234">
        <f>_xll.qlCalendarAdvance(Calendar,X364,W365,"f",FALSE)</f>
        <v>42314</v>
      </c>
      <c r="Y365" s="237">
        <f>_xll.qlCalendarAdvance(Calendar,X365,NDays&amp;"D")</f>
        <v>42314</v>
      </c>
      <c r="Z365" s="238">
        <v>2.2296527032850535E-2</v>
      </c>
      <c r="AA365" s="240">
        <v>1.8739028353882786E-2</v>
      </c>
    </row>
    <row r="366" spans="19:27" x14ac:dyDescent="0.2">
      <c r="S366" s="199"/>
      <c r="T366" s="200"/>
      <c r="W366" s="233" t="str">
        <f t="shared" si="12"/>
        <v>1D</v>
      </c>
      <c r="X366" s="234">
        <f>_xll.qlCalendarAdvance(Calendar,X365,W366,"f",FALSE)</f>
        <v>42317</v>
      </c>
      <c r="Y366" s="237">
        <f>_xll.qlCalendarAdvance(Calendar,X366,NDays&amp;"D")</f>
        <v>42317</v>
      </c>
      <c r="Z366" s="238">
        <v>2.2338873393638211E-2</v>
      </c>
      <c r="AA366" s="240">
        <v>1.8783710337390014E-2</v>
      </c>
    </row>
    <row r="367" spans="19:27" x14ac:dyDescent="0.2">
      <c r="S367" s="199"/>
      <c r="T367" s="200"/>
      <c r="W367" s="233" t="str">
        <f t="shared" si="12"/>
        <v>1D</v>
      </c>
      <c r="X367" s="234">
        <f>_xll.qlCalendarAdvance(Calendar,X366,W367,"f",FALSE)</f>
        <v>42318</v>
      </c>
      <c r="Y367" s="237">
        <f>_xll.qlCalendarAdvance(Calendar,X367,NDays&amp;"D")</f>
        <v>42318</v>
      </c>
      <c r="Z367" s="238">
        <v>2.2355678882116047E-2</v>
      </c>
      <c r="AA367" s="240">
        <v>1.8806483743605273E-2</v>
      </c>
    </row>
    <row r="368" spans="19:27" x14ac:dyDescent="0.2">
      <c r="S368" s="199"/>
      <c r="T368" s="200"/>
      <c r="W368" s="233" t="str">
        <f t="shared" si="12"/>
        <v>1D</v>
      </c>
      <c r="X368" s="234">
        <f>_xll.qlCalendarAdvance(Calendar,X367,W368,"f",FALSE)</f>
        <v>42319</v>
      </c>
      <c r="Y368" s="237">
        <f>_xll.qlCalendarAdvance(Calendar,X368,NDays&amp;"D")</f>
        <v>42319</v>
      </c>
      <c r="Z368" s="238">
        <v>2.2372453095825501E-2</v>
      </c>
      <c r="AA368" s="240">
        <v>1.8829228005902143E-2</v>
      </c>
    </row>
    <row r="369" spans="19:27" x14ac:dyDescent="0.2">
      <c r="S369" s="199"/>
      <c r="T369" s="200"/>
      <c r="W369" s="233" t="str">
        <f t="shared" si="12"/>
        <v>1D</v>
      </c>
      <c r="X369" s="234">
        <f>_xll.qlCalendarAdvance(Calendar,X368,W369,"f",FALSE)</f>
        <v>42320</v>
      </c>
      <c r="Y369" s="237">
        <f>_xll.qlCalendarAdvance(Calendar,X369,NDays&amp;"D")</f>
        <v>42320</v>
      </c>
      <c r="Z369" s="238">
        <v>2.2405552381011856E-2</v>
      </c>
      <c r="AA369" s="240">
        <v>1.8851943124199577E-2</v>
      </c>
    </row>
    <row r="370" spans="19:27" x14ac:dyDescent="0.2">
      <c r="S370" s="199"/>
      <c r="T370" s="200"/>
      <c r="W370" s="233" t="str">
        <f t="shared" si="12"/>
        <v>1D</v>
      </c>
      <c r="X370" s="234">
        <f>_xll.qlCalendarAdvance(Calendar,X369,W370,"f",FALSE)</f>
        <v>42321</v>
      </c>
      <c r="Y370" s="237">
        <f>_xll.qlCalendarAdvance(Calendar,X370,NDays&amp;"D")</f>
        <v>42321</v>
      </c>
      <c r="Z370" s="238">
        <v>2.2414077571760248E-2</v>
      </c>
      <c r="AA370" s="240">
        <v>1.8898254606425361E-2</v>
      </c>
    </row>
    <row r="371" spans="19:27" x14ac:dyDescent="0.2">
      <c r="S371" s="199"/>
      <c r="T371" s="200"/>
      <c r="W371" s="233" t="str">
        <f t="shared" si="12"/>
        <v>1D</v>
      </c>
      <c r="X371" s="234">
        <f>_xll.qlCalendarAdvance(Calendar,X370,W371,"f",FALSE)</f>
        <v>42324</v>
      </c>
      <c r="Y371" s="237">
        <f>_xll.qlCalendarAdvance(Calendar,X371,NDays&amp;"D")</f>
        <v>42324</v>
      </c>
      <c r="Z371" s="238">
        <v>2.2455857164548759E-2</v>
      </c>
      <c r="AA371" s="240">
        <v>1.8942512158367508E-2</v>
      </c>
    </row>
    <row r="372" spans="19:27" x14ac:dyDescent="0.2">
      <c r="S372" s="199"/>
      <c r="T372" s="200"/>
      <c r="W372" s="233" t="str">
        <f t="shared" si="12"/>
        <v>1D</v>
      </c>
      <c r="X372" s="234">
        <f>_xll.qlCalendarAdvance(Calendar,X371,W372,"f",FALSE)</f>
        <v>42325</v>
      </c>
      <c r="Y372" s="237">
        <f>_xll.qlCalendarAdvance(Calendar,X372,NDays&amp;"D")</f>
        <v>42325</v>
      </c>
      <c r="Z372" s="238">
        <v>2.2472445002764529E-2</v>
      </c>
      <c r="AA372" s="240">
        <v>1.8965081557072994E-2</v>
      </c>
    </row>
    <row r="373" spans="19:27" x14ac:dyDescent="0.2">
      <c r="S373" s="199"/>
      <c r="T373" s="200"/>
      <c r="W373" s="233" t="str">
        <f t="shared" si="12"/>
        <v>1D</v>
      </c>
      <c r="X373" s="234">
        <f>_xll.qlCalendarAdvance(Calendar,X372,W373,"f",FALSE)</f>
        <v>42326</v>
      </c>
      <c r="Y373" s="237">
        <f>_xll.qlCalendarAdvance(Calendar,X373,NDays&amp;"D")</f>
        <v>42326</v>
      </c>
      <c r="Z373" s="238">
        <v>2.2489001990647964E-2</v>
      </c>
      <c r="AA373" s="240">
        <v>1.8987621811779043E-2</v>
      </c>
    </row>
    <row r="374" spans="19:27" x14ac:dyDescent="0.2">
      <c r="S374" s="199"/>
      <c r="T374" s="200"/>
      <c r="W374" s="233" t="str">
        <f t="shared" si="12"/>
        <v>1D</v>
      </c>
      <c r="X374" s="234">
        <f>_xll.qlCalendarAdvance(Calendar,X373,W374,"f",FALSE)</f>
        <v>42327</v>
      </c>
      <c r="Y374" s="237">
        <f>_xll.qlCalendarAdvance(Calendar,X374,NDays&amp;"D")</f>
        <v>42327</v>
      </c>
      <c r="Z374" s="238">
        <v>2.2521712805986898E-2</v>
      </c>
      <c r="AA374" s="240">
        <v>1.9010132922485656E-2</v>
      </c>
    </row>
    <row r="375" spans="19:27" x14ac:dyDescent="0.2">
      <c r="S375" s="199"/>
      <c r="T375" s="200"/>
      <c r="W375" s="233" t="str">
        <f t="shared" si="12"/>
        <v>1D</v>
      </c>
      <c r="X375" s="234">
        <f>_xll.qlCalendarAdvance(Calendar,X374,W375,"f",FALSE)</f>
        <v>42328</v>
      </c>
      <c r="Y375" s="237">
        <f>_xll.qlCalendarAdvance(Calendar,X375,NDays&amp;"D")</f>
        <v>42328</v>
      </c>
      <c r="Z375" s="238">
        <v>2.2530107717948201E-2</v>
      </c>
      <c r="AA375" s="240">
        <v>1.905605279583648E-2</v>
      </c>
    </row>
    <row r="376" spans="19:27" x14ac:dyDescent="0.2">
      <c r="S376" s="199"/>
      <c r="T376" s="200"/>
      <c r="W376" s="233" t="str">
        <f t="shared" si="12"/>
        <v>1D</v>
      </c>
      <c r="X376" s="234">
        <f>_xll.qlCalendarAdvance(Calendar,X375,W376,"f",FALSE)</f>
        <v>42331</v>
      </c>
      <c r="Y376" s="237">
        <f>_xll.qlCalendarAdvance(Calendar,X376,NDays&amp;"D")</f>
        <v>42331</v>
      </c>
      <c r="Z376" s="238">
        <v>2.2571326298463732E-2</v>
      </c>
      <c r="AA376" s="240">
        <v>1.9099885925885074E-2</v>
      </c>
    </row>
    <row r="377" spans="19:27" x14ac:dyDescent="0.2">
      <c r="S377" s="199"/>
      <c r="T377" s="200"/>
      <c r="W377" s="233" t="str">
        <f t="shared" si="12"/>
        <v>1D</v>
      </c>
      <c r="X377" s="234">
        <f>_xll.qlCalendarAdvance(Calendar,X376,W377,"f",FALSE)</f>
        <v>42332</v>
      </c>
      <c r="Y377" s="237">
        <f>_xll.qlCalendarAdvance(Calendar,X377,NDays&amp;"D")</f>
        <v>42332</v>
      </c>
      <c r="Z377" s="238">
        <v>2.2587699458477998E-2</v>
      </c>
      <c r="AA377" s="240">
        <v>1.9122251316837646E-2</v>
      </c>
    </row>
    <row r="378" spans="19:27" x14ac:dyDescent="0.2">
      <c r="S378" s="199"/>
      <c r="T378" s="200"/>
      <c r="W378" s="233" t="str">
        <f t="shared" si="12"/>
        <v>1D</v>
      </c>
      <c r="X378" s="234">
        <f>_xll.qlCalendarAdvance(Calendar,X377,W378,"f",FALSE)</f>
        <v>42333</v>
      </c>
      <c r="Y378" s="237">
        <f>_xll.qlCalendarAdvance(Calendar,X378,NDays&amp;"D")</f>
        <v>42333</v>
      </c>
      <c r="Z378" s="238">
        <v>2.2604042192930798E-2</v>
      </c>
      <c r="AA378" s="240">
        <v>1.9144587563709736E-2</v>
      </c>
    </row>
    <row r="379" spans="19:27" x14ac:dyDescent="0.2">
      <c r="S379" s="199"/>
      <c r="T379" s="200"/>
      <c r="W379" s="233" t="str">
        <f t="shared" si="12"/>
        <v>1D</v>
      </c>
      <c r="X379" s="234">
        <f>_xll.qlCalendarAdvance(Calendar,X378,W379,"f",FALSE)</f>
        <v>42334</v>
      </c>
      <c r="Y379" s="237">
        <f>_xll.qlCalendarAdvance(Calendar,X379,NDays&amp;"D")</f>
        <v>42334</v>
      </c>
      <c r="Z379" s="238">
        <v>2.2636373714007261E-2</v>
      </c>
      <c r="AA379" s="240">
        <v>1.916689466658239E-2</v>
      </c>
    </row>
    <row r="380" spans="19:27" x14ac:dyDescent="0.2">
      <c r="S380" s="199"/>
      <c r="T380" s="200"/>
      <c r="W380" s="233" t="str">
        <f t="shared" si="12"/>
        <v>1D</v>
      </c>
      <c r="X380" s="234">
        <f>_xll.qlCalendarAdvance(Calendar,X379,W380,"f",FALSE)</f>
        <v>42335</v>
      </c>
      <c r="Y380" s="237">
        <f>_xll.qlCalendarAdvance(Calendar,X380,NDays&amp;"D")</f>
        <v>42335</v>
      </c>
      <c r="Z380" s="238">
        <v>2.2644638219237762E-2</v>
      </c>
      <c r="AA380" s="240">
        <v>1.9212422916523957E-2</v>
      </c>
    </row>
    <row r="381" spans="19:27" x14ac:dyDescent="0.2">
      <c r="S381" s="199"/>
      <c r="T381" s="200"/>
      <c r="W381" s="233" t="str">
        <f t="shared" si="12"/>
        <v>1D</v>
      </c>
      <c r="X381" s="234">
        <f>_xll.qlCalendarAdvance(Calendar,X380,W381,"f",FALSE)</f>
        <v>42338</v>
      </c>
      <c r="Y381" s="237">
        <f>_xll.qlCalendarAdvance(Calendar,X381,NDays&amp;"D")</f>
        <v>42338</v>
      </c>
      <c r="Z381" s="238">
        <v>2.2685301606815145E-2</v>
      </c>
      <c r="AA381" s="240">
        <v>1.9255831638159693E-2</v>
      </c>
    </row>
    <row r="382" spans="19:27" x14ac:dyDescent="0.2">
      <c r="S382" s="199"/>
      <c r="T382" s="200"/>
      <c r="W382" s="233" t="str">
        <f t="shared" si="12"/>
        <v>1D</v>
      </c>
      <c r="X382" s="234">
        <f>_xll.qlCalendarAdvance(Calendar,X381,W382,"f",FALSE)</f>
        <v>42339</v>
      </c>
      <c r="Y382" s="237">
        <f>_xll.qlCalendarAdvance(Calendar,X382,NDays&amp;"D")</f>
        <v>42339</v>
      </c>
      <c r="Z382" s="238">
        <v>2.2701463063015785E-2</v>
      </c>
      <c r="AA382" s="240">
        <v>1.9277993020954121E-2</v>
      </c>
    </row>
    <row r="383" spans="19:27" x14ac:dyDescent="0.2">
      <c r="S383" s="199"/>
      <c r="T383" s="200"/>
      <c r="W383" s="233" t="str">
        <f t="shared" si="12"/>
        <v>1D</v>
      </c>
      <c r="X383" s="234">
        <f>_xll.qlCalendarAdvance(Calendar,X382,W383,"f",FALSE)</f>
        <v>42340</v>
      </c>
      <c r="Y383" s="237">
        <f>_xll.qlCalendarAdvance(Calendar,X383,NDays&amp;"D")</f>
        <v>42340</v>
      </c>
      <c r="Z383" s="238">
        <v>2.2717594518755546E-2</v>
      </c>
      <c r="AA383" s="240">
        <v>1.9300125259749112E-2</v>
      </c>
    </row>
    <row r="384" spans="19:27" x14ac:dyDescent="0.2">
      <c r="S384" s="199"/>
      <c r="T384" s="200"/>
      <c r="W384" s="233" t="str">
        <f t="shared" si="12"/>
        <v>1D</v>
      </c>
      <c r="X384" s="234">
        <f>_xll.qlCalendarAdvance(Calendar,X383,W384,"f",FALSE)</f>
        <v>42341</v>
      </c>
      <c r="Y384" s="237">
        <f>_xll.qlCalendarAdvance(Calendar,X384,NDays&amp;"D")</f>
        <v>42341</v>
      </c>
      <c r="Z384" s="238">
        <v>2.2749555810571948E-2</v>
      </c>
      <c r="AA384" s="240">
        <v>1.9322228354544668E-2</v>
      </c>
    </row>
    <row r="385" spans="19:27" x14ac:dyDescent="0.2">
      <c r="S385" s="199"/>
      <c r="T385" s="200"/>
      <c r="W385" s="233" t="str">
        <f t="shared" si="12"/>
        <v>1D</v>
      </c>
      <c r="X385" s="234">
        <f>_xll.qlCalendarAdvance(Calendar,X384,W385,"f",FALSE)</f>
        <v>42342</v>
      </c>
      <c r="Y385" s="237">
        <f>_xll.qlCalendarAdvance(Calendar,X385,NDays&amp;"D")</f>
        <v>42342</v>
      </c>
      <c r="Z385" s="238">
        <v>2.2757689839728912E-2</v>
      </c>
      <c r="AA385" s="240">
        <v>1.9367364963030674E-2</v>
      </c>
    </row>
    <row r="386" spans="19:27" x14ac:dyDescent="0.2">
      <c r="S386" s="199"/>
      <c r="T386" s="200"/>
      <c r="W386" s="233" t="str">
        <f t="shared" si="12"/>
        <v>1D</v>
      </c>
      <c r="X386" s="234">
        <f>_xll.qlCalendarAdvance(Calendar,X385,W386,"f",FALSE)</f>
        <v>42345</v>
      </c>
      <c r="Y386" s="237">
        <f>_xll.qlCalendarAdvance(Calendar,X386,NDays&amp;"D")</f>
        <v>42345</v>
      </c>
      <c r="Z386" s="238">
        <v>2.2797803917195329E-2</v>
      </c>
      <c r="AA386" s="240">
        <v>1.9410349293165208E-2</v>
      </c>
    </row>
    <row r="387" spans="19:27" x14ac:dyDescent="0.2">
      <c r="S387" s="199"/>
      <c r="T387" s="200"/>
      <c r="W387" s="233" t="str">
        <f t="shared" si="12"/>
        <v>1D</v>
      </c>
      <c r="X387" s="234">
        <f>_xll.qlCalendarAdvance(Calendar,X386,W387,"f",FALSE)</f>
        <v>42346</v>
      </c>
      <c r="Y387" s="237">
        <f>_xll.qlCalendarAdvance(Calendar,X387,NDays&amp;"D")</f>
        <v>42346</v>
      </c>
      <c r="Z387" s="238">
        <v>2.281375664625435E-2</v>
      </c>
      <c r="AA387" s="240">
        <v>1.9432306667720445E-2</v>
      </c>
    </row>
    <row r="388" spans="19:27" x14ac:dyDescent="0.2">
      <c r="S388" s="199"/>
      <c r="T388" s="200"/>
      <c r="W388" s="233" t="str">
        <f t="shared" si="12"/>
        <v>1D</v>
      </c>
      <c r="X388" s="234">
        <f>_xll.qlCalendarAdvance(Calendar,X387,W388,"f",FALSE)</f>
        <v>42347</v>
      </c>
      <c r="Y388" s="237">
        <f>_xll.qlCalendarAdvance(Calendar,X388,NDays&amp;"D")</f>
        <v>42347</v>
      </c>
      <c r="Z388" s="238">
        <v>2.2829679800274828E-2</v>
      </c>
      <c r="AA388" s="240">
        <v>1.94542348981952E-2</v>
      </c>
    </row>
    <row r="389" spans="19:27" x14ac:dyDescent="0.2">
      <c r="S389" s="199"/>
      <c r="T389" s="200"/>
      <c r="W389" s="233" t="str">
        <f t="shared" si="12"/>
        <v>1D</v>
      </c>
      <c r="X389" s="234">
        <f>_xll.qlCalendarAdvance(Calendar,X388,W389,"f",FALSE)</f>
        <v>42348</v>
      </c>
      <c r="Y389" s="237">
        <f>_xll.qlCalendarAdvance(Calendar,X389,NDays&amp;"D")</f>
        <v>42348</v>
      </c>
      <c r="Z389" s="238">
        <v>2.286127981717646E-2</v>
      </c>
      <c r="AA389" s="240">
        <v>1.9476133984589472E-2</v>
      </c>
    </row>
    <row r="390" spans="19:27" x14ac:dyDescent="0.2">
      <c r="S390" s="199"/>
      <c r="T390" s="200"/>
      <c r="W390" s="233" t="str">
        <f t="shared" si="12"/>
        <v>1D</v>
      </c>
      <c r="X390" s="234">
        <f>_xll.qlCalendarAdvance(Calendar,X389,W390,"f",FALSE)</f>
        <v>42349</v>
      </c>
      <c r="Y390" s="237">
        <f>_xll.qlCalendarAdvance(Calendar,X390,NDays&amp;"D")</f>
        <v>42349</v>
      </c>
      <c r="Z390" s="238">
        <v>2.28692833594904E-2</v>
      </c>
      <c r="AA390" s="240">
        <v>1.9520878929899513E-2</v>
      </c>
    </row>
    <row r="391" spans="19:27" x14ac:dyDescent="0.2">
      <c r="S391" s="199"/>
      <c r="T391" s="200"/>
      <c r="W391" s="233" t="str">
        <f t="shared" si="12"/>
        <v>1D</v>
      </c>
      <c r="X391" s="234">
        <f>_xll.qlCalendarAdvance(Calendar,X390,W391,"f",FALSE)</f>
        <v>42352</v>
      </c>
      <c r="Y391" s="237">
        <f>_xll.qlCalendarAdvance(Calendar,X391,NDays&amp;"D")</f>
        <v>42352</v>
      </c>
      <c r="Z391" s="238">
        <v>2.2908854073050464E-2</v>
      </c>
      <c r="AA391" s="240">
        <v>1.9563438889361739E-2</v>
      </c>
    </row>
    <row r="392" spans="19:27" x14ac:dyDescent="0.2">
      <c r="S392" s="199"/>
      <c r="T392" s="200"/>
      <c r="W392" s="233" t="str">
        <f t="shared" si="12"/>
        <v>1D</v>
      </c>
      <c r="X392" s="234">
        <f>_xll.qlCalendarAdvance(Calendar,X391,W392,"f",FALSE)</f>
        <v>42353</v>
      </c>
      <c r="Y392" s="237">
        <f>_xll.qlCalendarAdvance(Calendar,X392,NDays&amp;"D")</f>
        <v>42353</v>
      </c>
      <c r="Z392" s="238">
        <v>2.2924601053879719E-2</v>
      </c>
      <c r="AA392" s="240">
        <v>1.9585192255353601E-2</v>
      </c>
    </row>
    <row r="393" spans="19:27" x14ac:dyDescent="0.2">
      <c r="S393" s="199"/>
      <c r="T393" s="200"/>
      <c r="W393" s="233" t="str">
        <f t="shared" si="12"/>
        <v>1D</v>
      </c>
      <c r="X393" s="234">
        <f>_xll.qlCalendarAdvance(Calendar,X392,W393,"f",FALSE)</f>
        <v>42354</v>
      </c>
      <c r="Y393" s="237">
        <f>_xll.qlCalendarAdvance(Calendar,X393,NDays&amp;"D")</f>
        <v>42354</v>
      </c>
      <c r="Z393" s="238">
        <v>2.2940318885409424E-2</v>
      </c>
      <c r="AA393" s="240">
        <v>1.9606916477183933E-2</v>
      </c>
    </row>
    <row r="394" spans="19:27" x14ac:dyDescent="0.2">
      <c r="S394" s="199"/>
      <c r="T394" s="200"/>
      <c r="W394" s="233" t="str">
        <f t="shared" si="12"/>
        <v>1D</v>
      </c>
      <c r="X394" s="234">
        <f>_xll.qlCalendarAdvance(Calendar,X393,W394,"f",FALSE)</f>
        <v>42355</v>
      </c>
      <c r="Y394" s="237">
        <f>_xll.qlCalendarAdvance(Calendar,X394,NDays&amp;"D")</f>
        <v>42355</v>
      </c>
      <c r="Z394" s="238">
        <v>2.2971566471009123E-2</v>
      </c>
      <c r="AA394" s="240">
        <v>1.9628611554933784E-2</v>
      </c>
    </row>
    <row r="395" spans="19:27" x14ac:dyDescent="0.2">
      <c r="S395" s="199"/>
      <c r="T395" s="200"/>
      <c r="W395" s="233" t="str">
        <f t="shared" si="12"/>
        <v>1D</v>
      </c>
      <c r="X395" s="234">
        <f>_xll.qlCalendarAdvance(Calendar,X394,W395,"f",FALSE)</f>
        <v>42356</v>
      </c>
      <c r="Y395" s="237">
        <f>_xll.qlCalendarAdvance(Calendar,X395,NDays&amp;"D")</f>
        <v>42356</v>
      </c>
      <c r="Z395" s="238">
        <v>2.2979439574255658E-2</v>
      </c>
      <c r="AA395" s="240">
        <v>1.9672964811673358E-2</v>
      </c>
    </row>
    <row r="396" spans="19:27" x14ac:dyDescent="0.2">
      <c r="S396" s="199"/>
      <c r="T396" s="200"/>
      <c r="W396" s="233" t="str">
        <f t="shared" si="12"/>
        <v>1D</v>
      </c>
      <c r="X396" s="234">
        <f>_xll.qlCalendarAdvance(Calendar,X395,W396,"f",FALSE)</f>
        <v>42359</v>
      </c>
      <c r="Y396" s="237">
        <f>_xll.qlCalendarAdvance(Calendar,X396,NDays&amp;"D")</f>
        <v>42359</v>
      </c>
      <c r="Z396" s="238">
        <v>2.3018472933379421E-2</v>
      </c>
      <c r="AA396" s="240">
        <v>1.9715100424804177E-2</v>
      </c>
    </row>
    <row r="397" spans="19:27" x14ac:dyDescent="0.2">
      <c r="S397" s="199"/>
      <c r="T397" s="200"/>
      <c r="W397" s="233" t="str">
        <f t="shared" si="12"/>
        <v>1D</v>
      </c>
      <c r="X397" s="234">
        <f>_xll.qlCalendarAdvance(Calendar,X396,W397,"f",FALSE)</f>
        <v>42360</v>
      </c>
      <c r="Y397" s="237">
        <f>_xll.qlCalendarAdvance(Calendar,X397,NDays&amp;"D")</f>
        <v>42360</v>
      </c>
      <c r="Z397" s="238">
        <v>2.3034017147087429E-2</v>
      </c>
      <c r="AA397" s="240">
        <v>1.9736649781908477E-2</v>
      </c>
    </row>
    <row r="398" spans="19:27" x14ac:dyDescent="0.2">
      <c r="S398" s="199"/>
      <c r="T398" s="200"/>
      <c r="W398" s="233" t="str">
        <f t="shared" si="12"/>
        <v>1D</v>
      </c>
      <c r="X398" s="234">
        <f>_xll.qlCalendarAdvance(Calendar,X397,W398,"f",FALSE)</f>
        <v>42361</v>
      </c>
      <c r="Y398" s="237">
        <f>_xll.qlCalendarAdvance(Calendar,X398,NDays&amp;"D")</f>
        <v>42361</v>
      </c>
      <c r="Z398" s="238">
        <v>2.3049532637545778E-2</v>
      </c>
      <c r="AA398" s="240">
        <v>1.9758169994932295E-2</v>
      </c>
    </row>
    <row r="399" spans="19:27" x14ac:dyDescent="0.2">
      <c r="S399" s="199"/>
      <c r="T399" s="200"/>
      <c r="W399" s="233" t="str">
        <f t="shared" si="12"/>
        <v>1D</v>
      </c>
      <c r="X399" s="234">
        <f>_xll.qlCalendarAdvance(Calendar,X398,W399,"f",FALSE)</f>
        <v>42362</v>
      </c>
      <c r="Y399" s="237">
        <f>_xll.qlCalendarAdvance(Calendar,X399,NDays&amp;"D")</f>
        <v>42362</v>
      </c>
      <c r="Z399" s="238">
        <v>2.3095829815679311E-2</v>
      </c>
      <c r="AA399" s="240">
        <v>1.9824679795679145E-2</v>
      </c>
    </row>
    <row r="400" spans="19:27" x14ac:dyDescent="0.2">
      <c r="S400" s="199"/>
      <c r="T400" s="200"/>
      <c r="W400" s="233" t="str">
        <f t="shared" si="12"/>
        <v>1D</v>
      </c>
      <c r="X400" s="234">
        <f>_xll.qlCalendarAdvance(Calendar,X399,W400,"f",FALSE)</f>
        <v>42367</v>
      </c>
      <c r="Y400" s="237">
        <f>_xll.qlCalendarAdvance(Calendar,X400,NDays&amp;"D")</f>
        <v>42367</v>
      </c>
      <c r="Z400" s="238">
        <v>2.3142025802284253E-2</v>
      </c>
      <c r="AA400" s="240">
        <v>1.9886671856126359E-2</v>
      </c>
    </row>
    <row r="401" spans="19:27" x14ac:dyDescent="0.2">
      <c r="S401" s="199"/>
      <c r="T401" s="200"/>
      <c r="W401" s="233" t="str">
        <f t="shared" si="12"/>
        <v>1D</v>
      </c>
      <c r="X401" s="234">
        <f>_xll.qlCalendarAdvance(Calendar,X400,W401,"f",FALSE)</f>
        <v>42368</v>
      </c>
      <c r="Y401" s="237">
        <f>_xll.qlCalendarAdvance(Calendar,X401,NDays&amp;"D")</f>
        <v>42368</v>
      </c>
      <c r="Z401" s="238">
        <v>2.3157341955897436E-2</v>
      </c>
      <c r="AA401" s="240">
        <v>1.9907943722516919E-2</v>
      </c>
    </row>
    <row r="402" spans="19:27" x14ac:dyDescent="0.2">
      <c r="S402" s="199"/>
      <c r="T402" s="200"/>
      <c r="W402" s="233" t="str">
        <f t="shared" si="12"/>
        <v>1D</v>
      </c>
      <c r="X402" s="234">
        <f>_xll.qlCalendarAdvance(Calendar,X401,W402,"f",FALSE)</f>
        <v>42369</v>
      </c>
      <c r="Y402" s="237">
        <f>_xll.qlCalendarAdvance(Calendar,X402,NDays&amp;"D")</f>
        <v>42369</v>
      </c>
      <c r="Z402" s="238">
        <v>2.3164980945202585E-2</v>
      </c>
      <c r="AA402" s="240">
        <v>1.9962393429808489E-2</v>
      </c>
    </row>
    <row r="403" spans="19:27" x14ac:dyDescent="0.2">
      <c r="S403" s="199"/>
      <c r="T403" s="200"/>
      <c r="W403" s="233" t="str">
        <f t="shared" si="12"/>
        <v>1D</v>
      </c>
      <c r="X403" s="234">
        <f>_xll.qlCalendarAdvance(Calendar,X402,W403,"f",FALSE)</f>
        <v>42373</v>
      </c>
      <c r="Y403" s="237">
        <f>_xll.qlCalendarAdvance(Calendar,X403,NDays&amp;"D")</f>
        <v>42373</v>
      </c>
      <c r="Z403" s="238">
        <v>2.3233504741846728E-2</v>
      </c>
      <c r="AA403" s="240">
        <v>2.0013200828860045E-2</v>
      </c>
    </row>
    <row r="404" spans="19:27" x14ac:dyDescent="0.2">
      <c r="S404" s="199"/>
      <c r="T404" s="200"/>
      <c r="W404" s="233" t="str">
        <f t="shared" si="12"/>
        <v>1D</v>
      </c>
      <c r="X404" s="234">
        <f>_xll.qlCalendarAdvance(Calendar,X403,W404,"f",FALSE)</f>
        <v>42374</v>
      </c>
      <c r="Y404" s="237">
        <f>_xll.qlCalendarAdvance(Calendar,X404,NDays&amp;"D")</f>
        <v>42374</v>
      </c>
      <c r="Z404" s="238">
        <v>2.3248654997062402E-2</v>
      </c>
      <c r="AA404" s="240">
        <v>2.0034031804941899E-2</v>
      </c>
    </row>
    <row r="405" spans="19:27" x14ac:dyDescent="0.2">
      <c r="S405" s="199"/>
      <c r="T405" s="200"/>
      <c r="W405" s="233" t="str">
        <f t="shared" ref="W405:W468" si="13">W404</f>
        <v>1D</v>
      </c>
      <c r="X405" s="234">
        <f>_xll.qlCalendarAdvance(Calendar,X404,W405,"f",FALSE)</f>
        <v>42375</v>
      </c>
      <c r="Y405" s="237">
        <f>_xll.qlCalendarAdvance(Calendar,X405,NDays&amp;"D")</f>
        <v>42375</v>
      </c>
      <c r="Z405" s="238">
        <v>2.3263778249831835E-2</v>
      </c>
      <c r="AA405" s="240">
        <v>2.0054789299197573E-2</v>
      </c>
    </row>
    <row r="406" spans="19:27" x14ac:dyDescent="0.2">
      <c r="S406" s="199"/>
      <c r="T406" s="200"/>
      <c r="W406" s="233" t="str">
        <f t="shared" si="13"/>
        <v>1D</v>
      </c>
      <c r="X406" s="234">
        <f>_xll.qlCalendarAdvance(Calendar,X405,W406,"f",FALSE)</f>
        <v>42376</v>
      </c>
      <c r="Y406" s="237">
        <f>_xll.qlCalendarAdvance(Calendar,X406,NDays&amp;"D")</f>
        <v>42376</v>
      </c>
      <c r="Z406" s="238">
        <v>2.32940248984769E-2</v>
      </c>
      <c r="AA406" s="240">
        <v>2.0075473311708114E-2</v>
      </c>
    </row>
    <row r="407" spans="19:27" x14ac:dyDescent="0.2">
      <c r="S407" s="199"/>
      <c r="T407" s="200"/>
      <c r="W407" s="233" t="str">
        <f t="shared" si="13"/>
        <v>1D</v>
      </c>
      <c r="X407" s="234">
        <f>_xll.qlCalendarAdvance(Calendar,X406,W407,"f",FALSE)</f>
        <v>42377</v>
      </c>
      <c r="Y407" s="237">
        <f>_xll.qlCalendarAdvance(Calendar,X407,NDays&amp;"D")</f>
        <v>42377</v>
      </c>
      <c r="Z407" s="238">
        <v>2.3301513180367512E-2</v>
      </c>
      <c r="AA407" s="240">
        <v>2.0117705122721933E-2</v>
      </c>
    </row>
    <row r="408" spans="19:27" x14ac:dyDescent="0.2">
      <c r="S408" s="199"/>
      <c r="T408" s="200"/>
      <c r="W408" s="233" t="str">
        <f t="shared" si="13"/>
        <v>1D</v>
      </c>
      <c r="X408" s="234">
        <f>_xll.qlCalendarAdvance(Calendar,X407,W408,"f",FALSE)</f>
        <v>42380</v>
      </c>
      <c r="Y408" s="237">
        <f>_xll.qlCalendarAdvance(Calendar,X408,NDays&amp;"D")</f>
        <v>42380</v>
      </c>
      <c r="Z408" s="238">
        <v>2.3338995951548661E-2</v>
      </c>
      <c r="AA408" s="240">
        <v>2.0157474543731624E-2</v>
      </c>
    </row>
    <row r="409" spans="19:27" x14ac:dyDescent="0.2">
      <c r="S409" s="199"/>
      <c r="T409" s="200"/>
      <c r="W409" s="233" t="str">
        <f t="shared" si="13"/>
        <v>1D</v>
      </c>
      <c r="X409" s="234">
        <f>_xll.qlCalendarAdvance(Calendar,X408,W409,"f",FALSE)</f>
        <v>42381</v>
      </c>
      <c r="Y409" s="237">
        <f>_xll.qlCalendarAdvance(Calendar,X409,NDays&amp;"D")</f>
        <v>42381</v>
      </c>
      <c r="Z409" s="238">
        <v>2.3353961074561561E-2</v>
      </c>
      <c r="AA409" s="240">
        <v>2.0177791147192314E-2</v>
      </c>
    </row>
    <row r="410" spans="19:27" x14ac:dyDescent="0.2">
      <c r="S410" s="199"/>
      <c r="T410" s="200"/>
      <c r="W410" s="233" t="str">
        <f t="shared" si="13"/>
        <v>1D</v>
      </c>
      <c r="X410" s="234">
        <f>_xll.qlCalendarAdvance(Calendar,X409,W410,"f",FALSE)</f>
        <v>42382</v>
      </c>
      <c r="Y410" s="237">
        <f>_xll.qlCalendarAdvance(Calendar,X410,NDays&amp;"D")</f>
        <v>42382</v>
      </c>
      <c r="Z410" s="238">
        <v>2.336890049022277E-2</v>
      </c>
      <c r="AA410" s="240">
        <v>2.0198034268745779E-2</v>
      </c>
    </row>
    <row r="411" spans="19:27" x14ac:dyDescent="0.2">
      <c r="S411" s="199"/>
      <c r="T411" s="200"/>
      <c r="W411" s="233" t="str">
        <f t="shared" si="13"/>
        <v>1D</v>
      </c>
      <c r="X411" s="234">
        <f>_xll.qlCalendarAdvance(Calendar,X410,W411,"f",FALSE)</f>
        <v>42383</v>
      </c>
      <c r="Y411" s="237">
        <f>_xll.qlCalendarAdvance(Calendar,X411,NDays&amp;"D")</f>
        <v>42383</v>
      </c>
      <c r="Z411" s="238">
        <v>2.3398839020032067E-2</v>
      </c>
      <c r="AA411" s="240">
        <v>2.0218203908392018E-2</v>
      </c>
    </row>
    <row r="412" spans="19:27" x14ac:dyDescent="0.2">
      <c r="S412" s="199"/>
      <c r="T412" s="200"/>
      <c r="W412" s="233" t="str">
        <f t="shared" si="13"/>
        <v>1D</v>
      </c>
      <c r="X412" s="234">
        <f>_xll.qlCalendarAdvance(Calendar,X411,W412,"f",FALSE)</f>
        <v>42384</v>
      </c>
      <c r="Y412" s="237">
        <f>_xll.qlCalendarAdvance(Calendar,X412,NDays&amp;"D")</f>
        <v>42384</v>
      </c>
      <c r="Z412" s="238">
        <v>2.3406209076038853E-2</v>
      </c>
      <c r="AA412" s="240">
        <v>2.025942264854123E-2</v>
      </c>
    </row>
    <row r="413" spans="19:27" x14ac:dyDescent="0.2">
      <c r="S413" s="199"/>
      <c r="T413" s="200"/>
      <c r="W413" s="233" t="str">
        <f t="shared" si="13"/>
        <v>1D</v>
      </c>
      <c r="X413" s="234">
        <f>_xll.qlCalendarAdvance(Calendar,X412,W413,"f",FALSE)</f>
        <v>42387</v>
      </c>
      <c r="Y413" s="237">
        <f>_xll.qlCalendarAdvance(Calendar,X413,NDays&amp;"D")</f>
        <v>42387</v>
      </c>
      <c r="Z413" s="238">
        <v>2.3443218435997591E-2</v>
      </c>
      <c r="AA413" s="240">
        <v>2.0298147648390996E-2</v>
      </c>
    </row>
    <row r="414" spans="19:27" x14ac:dyDescent="0.2">
      <c r="S414" s="199"/>
      <c r="T414" s="200"/>
      <c r="W414" s="233" t="str">
        <f t="shared" si="13"/>
        <v>1D</v>
      </c>
      <c r="X414" s="234">
        <f>_xll.qlCalendarAdvance(Calendar,X413,W414,"f",FALSE)</f>
        <v>42388</v>
      </c>
      <c r="Y414" s="237">
        <f>_xll.qlCalendarAdvance(Calendar,X414,NDays&amp;"D")</f>
        <v>42388</v>
      </c>
      <c r="Z414" s="238">
        <v>2.3458007494371245E-2</v>
      </c>
      <c r="AA414" s="240">
        <v>2.0317949878582153E-2</v>
      </c>
    </row>
    <row r="415" spans="19:27" x14ac:dyDescent="0.2">
      <c r="S415" s="199"/>
      <c r="T415" s="200"/>
      <c r="W415" s="233" t="str">
        <f t="shared" si="13"/>
        <v>1D</v>
      </c>
      <c r="X415" s="234">
        <f>_xll.qlCalendarAdvance(Calendar,X414,W415,"f",FALSE)</f>
        <v>42389</v>
      </c>
      <c r="Y415" s="237">
        <f>_xll.qlCalendarAdvance(Calendar,X415,NDays&amp;"D")</f>
        <v>42389</v>
      </c>
      <c r="Z415" s="238">
        <v>2.3472772141118845E-2</v>
      </c>
      <c r="AA415" s="240">
        <v>2.0337678626866085E-2</v>
      </c>
    </row>
    <row r="416" spans="19:27" x14ac:dyDescent="0.2">
      <c r="S416" s="199"/>
      <c r="T416" s="200"/>
      <c r="W416" s="233" t="str">
        <f t="shared" si="13"/>
        <v>1D</v>
      </c>
      <c r="X416" s="234">
        <f>_xll.qlCalendarAdvance(Calendar,X415,W416,"f",FALSE)</f>
        <v>42390</v>
      </c>
      <c r="Y416" s="237">
        <f>_xll.qlCalendarAdvance(Calendar,X416,NDays&amp;"D")</f>
        <v>42390</v>
      </c>
      <c r="Z416" s="238">
        <v>2.3502416405024359E-2</v>
      </c>
      <c r="AA416" s="240">
        <v>2.0357333893161744E-2</v>
      </c>
    </row>
    <row r="417" spans="19:27" x14ac:dyDescent="0.2">
      <c r="S417" s="199"/>
      <c r="T417" s="200"/>
      <c r="W417" s="233" t="str">
        <f t="shared" si="13"/>
        <v>1D</v>
      </c>
      <c r="X417" s="234">
        <f>_xll.qlCalendarAdvance(Calendar,X416,W417,"f",FALSE)</f>
        <v>42391</v>
      </c>
      <c r="Y417" s="237">
        <f>_xll.qlCalendarAdvance(Calendar,X417,NDays&amp;"D")</f>
        <v>42391</v>
      </c>
      <c r="Z417" s="238">
        <v>2.3509674894876618E-2</v>
      </c>
      <c r="AA417" s="240">
        <v>2.0397539268761648E-2</v>
      </c>
    </row>
    <row r="418" spans="19:27" x14ac:dyDescent="0.2">
      <c r="S418" s="199"/>
      <c r="T418" s="200"/>
      <c r="W418" s="233" t="str">
        <f t="shared" si="13"/>
        <v>1D</v>
      </c>
      <c r="X418" s="234">
        <f>_xll.qlCalendarAdvance(Calendar,X417,W418,"f",FALSE)</f>
        <v>42394</v>
      </c>
      <c r="Y418" s="237">
        <f>_xll.qlCalendarAdvance(Calendar,X418,NDays&amp;"D")</f>
        <v>42394</v>
      </c>
      <c r="Z418" s="238">
        <v>2.3546235681289808E-2</v>
      </c>
      <c r="AA418" s="240">
        <v>2.0435220138704802E-2</v>
      </c>
    </row>
    <row r="419" spans="19:27" x14ac:dyDescent="0.2">
      <c r="S419" s="199"/>
      <c r="T419" s="200"/>
      <c r="W419" s="233" t="str">
        <f t="shared" si="13"/>
        <v>1D</v>
      </c>
      <c r="X419" s="234">
        <f>_xll.qlCalendarAdvance(Calendar,X418,W419,"f",FALSE)</f>
        <v>42395</v>
      </c>
      <c r="Y419" s="237">
        <f>_xll.qlCalendarAdvance(Calendar,X419,NDays&amp;"D")</f>
        <v>42395</v>
      </c>
      <c r="Z419" s="238">
        <v>2.3560857746950284E-2</v>
      </c>
      <c r="AA419" s="240">
        <v>2.0454507995059101E-2</v>
      </c>
    </row>
    <row r="420" spans="19:27" x14ac:dyDescent="0.2">
      <c r="S420" s="199"/>
      <c r="T420" s="200"/>
      <c r="W420" s="233" t="str">
        <f t="shared" si="13"/>
        <v>1D</v>
      </c>
      <c r="X420" s="234">
        <f>_xll.qlCalendarAdvance(Calendar,X419,W420,"f",FALSE)</f>
        <v>42396</v>
      </c>
      <c r="Y420" s="237">
        <f>_xll.qlCalendarAdvance(Calendar,X420,NDays&amp;"D")</f>
        <v>42396</v>
      </c>
      <c r="Z420" s="238">
        <v>2.3575456697323732E-2</v>
      </c>
      <c r="AA420" s="240">
        <v>2.0473722369506175E-2</v>
      </c>
    </row>
    <row r="421" spans="19:27" x14ac:dyDescent="0.2">
      <c r="S421" s="199"/>
      <c r="T421" s="200"/>
      <c r="W421" s="233" t="str">
        <f t="shared" si="13"/>
        <v>1D</v>
      </c>
      <c r="X421" s="234">
        <f>_xll.qlCalendarAdvance(Calendar,X420,W421,"f",FALSE)</f>
        <v>42397</v>
      </c>
      <c r="Y421" s="237">
        <f>_xll.qlCalendarAdvance(Calendar,X421,NDays&amp;"D")</f>
        <v>42397</v>
      </c>
      <c r="Z421" s="238">
        <v>2.3604820214241578E-2</v>
      </c>
      <c r="AA421" s="240">
        <v>2.0492863261802885E-2</v>
      </c>
    </row>
    <row r="422" spans="19:27" x14ac:dyDescent="0.2">
      <c r="S422" s="199"/>
      <c r="T422" s="200"/>
      <c r="W422" s="233" t="str">
        <f t="shared" si="13"/>
        <v>1D</v>
      </c>
      <c r="X422" s="234">
        <f>_xll.qlCalendarAdvance(Calendar,X421,W422,"f",FALSE)</f>
        <v>42398</v>
      </c>
      <c r="Y422" s="237">
        <f>_xll.qlCalendarAdvance(Calendar,X422,NDays&amp;"D")</f>
        <v>42398</v>
      </c>
      <c r="Z422" s="238">
        <v>2.3619357211958084E-2</v>
      </c>
      <c r="AA422" s="240">
        <v>2.0532054971118173E-2</v>
      </c>
    </row>
    <row r="423" spans="19:27" x14ac:dyDescent="0.2">
      <c r="S423" s="199"/>
      <c r="T423" s="200"/>
      <c r="W423" s="233" t="str">
        <f t="shared" si="13"/>
        <v>1D</v>
      </c>
      <c r="X423" s="234">
        <f>_xll.qlCalendarAdvance(Calendar,X422,W423,"f",FALSE)</f>
        <v>42401</v>
      </c>
      <c r="Y423" s="237">
        <f>_xll.qlCalendarAdvance(Calendar,X423,NDays&amp;"D")</f>
        <v>42401</v>
      </c>
      <c r="Z423" s="238">
        <v>2.3648111203730397E-2</v>
      </c>
      <c r="AA423" s="240">
        <v>2.0568692010620726E-2</v>
      </c>
    </row>
    <row r="424" spans="19:27" x14ac:dyDescent="0.2">
      <c r="S424" s="199"/>
      <c r="T424" s="200"/>
      <c r="W424" s="233" t="str">
        <f t="shared" si="13"/>
        <v>1D</v>
      </c>
      <c r="X424" s="234">
        <f>_xll.qlCalendarAdvance(Calendar,X423,W424,"f",FALSE)</f>
        <v>42402</v>
      </c>
      <c r="Y424" s="237">
        <f>_xll.qlCalendarAdvance(Calendar,X424,NDays&amp;"D")</f>
        <v>42402</v>
      </c>
      <c r="Z424" s="238">
        <v>2.3662575352858692E-2</v>
      </c>
      <c r="AA424" s="240">
        <v>2.0587465492651891E-2</v>
      </c>
    </row>
    <row r="425" spans="19:27" x14ac:dyDescent="0.2">
      <c r="S425" s="199"/>
      <c r="T425" s="200"/>
      <c r="W425" s="233" t="str">
        <f t="shared" si="13"/>
        <v>1D</v>
      </c>
      <c r="X425" s="234">
        <f>_xll.qlCalendarAdvance(Calendar,X424,W425,"f",FALSE)</f>
        <v>42403</v>
      </c>
      <c r="Y425" s="237">
        <f>_xll.qlCalendarAdvance(Calendar,X425,NDays&amp;"D")</f>
        <v>42403</v>
      </c>
      <c r="Z425" s="238">
        <v>2.3677017683638196E-2</v>
      </c>
      <c r="AA425" s="240">
        <v>2.0606165492532691E-2</v>
      </c>
    </row>
    <row r="426" spans="19:27" x14ac:dyDescent="0.2">
      <c r="S426" s="199"/>
      <c r="T426" s="200"/>
      <c r="W426" s="233" t="str">
        <f t="shared" si="13"/>
        <v>1D</v>
      </c>
      <c r="X426" s="234">
        <f>_xll.qlCalendarAdvance(Calendar,X425,W426,"f",FALSE)</f>
        <v>42404</v>
      </c>
      <c r="Y426" s="237">
        <f>_xll.qlCalendarAdvance(Calendar,X426,NDays&amp;"D")</f>
        <v>42404</v>
      </c>
      <c r="Z426" s="238">
        <v>2.3706113638322979E-2</v>
      </c>
      <c r="AA426" s="240">
        <v>2.0624792010344173E-2</v>
      </c>
    </row>
    <row r="427" spans="19:27" x14ac:dyDescent="0.2">
      <c r="S427" s="199"/>
      <c r="T427" s="200"/>
      <c r="W427" s="233" t="str">
        <f t="shared" si="13"/>
        <v>1D</v>
      </c>
      <c r="X427" s="234">
        <f>_xll.qlCalendarAdvance(Calendar,X426,W427,"f",FALSE)</f>
        <v>42405</v>
      </c>
      <c r="Y427" s="237">
        <f>_xll.qlCalendarAdvance(Calendar,X427,NDays&amp;"D")</f>
        <v>42405</v>
      </c>
      <c r="Z427" s="238">
        <v>2.3713169667068833E-2</v>
      </c>
      <c r="AA427" s="240">
        <v>2.0662969743669993E-2</v>
      </c>
    </row>
    <row r="428" spans="19:27" x14ac:dyDescent="0.2">
      <c r="S428" s="199"/>
      <c r="T428" s="200"/>
      <c r="W428" s="233" t="str">
        <f t="shared" si="13"/>
        <v>1D</v>
      </c>
      <c r="X428" s="234">
        <f>_xll.qlCalendarAdvance(Calendar,X427,W428,"f",FALSE)</f>
        <v>42408</v>
      </c>
      <c r="Y428" s="237">
        <f>_xll.qlCalendarAdvance(Calendar,X428,NDays&amp;"D")</f>
        <v>42408</v>
      </c>
      <c r="Z428" s="238">
        <v>2.3748908549101576E-2</v>
      </c>
      <c r="AA428" s="240">
        <v>2.0698563260167502E-2</v>
      </c>
    </row>
    <row r="429" spans="19:27" x14ac:dyDescent="0.2">
      <c r="S429" s="199"/>
      <c r="T429" s="200"/>
      <c r="W429" s="233" t="str">
        <f t="shared" si="13"/>
        <v>1D</v>
      </c>
      <c r="X429" s="234">
        <f>_xll.qlCalendarAdvance(Calendar,X428,W429,"f",FALSE)</f>
        <v>42409</v>
      </c>
      <c r="Y429" s="237">
        <f>_xll.qlCalendarAdvance(Calendar,X429,NDays&amp;"D")</f>
        <v>42409</v>
      </c>
      <c r="Z429" s="238">
        <v>2.376322386203154E-2</v>
      </c>
      <c r="AA429" s="240">
        <v>2.0716822367308207E-2</v>
      </c>
    </row>
    <row r="430" spans="19:27" x14ac:dyDescent="0.2">
      <c r="S430" s="199"/>
      <c r="T430" s="200"/>
      <c r="W430" s="233" t="str">
        <f t="shared" si="13"/>
        <v>1D</v>
      </c>
      <c r="X430" s="234">
        <f>_xll.qlCalendarAdvance(Calendar,X429,W430,"f",FALSE)</f>
        <v>42410</v>
      </c>
      <c r="Y430" s="237">
        <f>_xll.qlCalendarAdvance(Calendar,X430,NDays&amp;"D")</f>
        <v>42410</v>
      </c>
      <c r="Z430" s="238">
        <v>2.3777518654137093E-2</v>
      </c>
      <c r="AA430" s="240">
        <v>2.0735007992217502E-2</v>
      </c>
    </row>
    <row r="431" spans="19:27" x14ac:dyDescent="0.2">
      <c r="S431" s="199"/>
      <c r="T431" s="200"/>
      <c r="W431" s="233" t="str">
        <f t="shared" si="13"/>
        <v>1D</v>
      </c>
      <c r="X431" s="234">
        <f>_xll.qlCalendarAdvance(Calendar,X430,W431,"f",FALSE)</f>
        <v>42411</v>
      </c>
      <c r="Y431" s="237">
        <f>_xll.qlCalendarAdvance(Calendar,X431,NDays&amp;"D")</f>
        <v>42411</v>
      </c>
      <c r="Z431" s="238">
        <v>2.3806359897046825E-2</v>
      </c>
      <c r="AA431" s="240">
        <v>2.0753120134895386E-2</v>
      </c>
    </row>
    <row r="432" spans="19:27" x14ac:dyDescent="0.2">
      <c r="S432" s="199"/>
      <c r="T432" s="200"/>
      <c r="W432" s="233" t="str">
        <f t="shared" si="13"/>
        <v>1D</v>
      </c>
      <c r="X432" s="234">
        <f>_xll.qlCalendarAdvance(Calendar,X431,W432,"f",FALSE)</f>
        <v>42412</v>
      </c>
      <c r="Y432" s="237">
        <f>_xll.qlCalendarAdvance(Calendar,X432,NDays&amp;"D")</f>
        <v>42412</v>
      </c>
      <c r="Z432" s="238">
        <v>2.3813325376638623E-2</v>
      </c>
      <c r="AA432" s="240">
        <v>2.0790283574827487E-2</v>
      </c>
    </row>
    <row r="433" spans="19:27" x14ac:dyDescent="0.2">
      <c r="S433" s="199"/>
      <c r="T433" s="200"/>
      <c r="W433" s="233" t="str">
        <f t="shared" si="13"/>
        <v>1D</v>
      </c>
      <c r="X433" s="234">
        <f>_xll.qlCalendarAdvance(Calendar,X432,W433,"f",FALSE)</f>
        <v>42415</v>
      </c>
      <c r="Y433" s="237">
        <f>_xll.qlCalendarAdvance(Calendar,X433,NDays&amp;"D")</f>
        <v>42415</v>
      </c>
      <c r="Z433" s="238">
        <v>2.3848691291969405E-2</v>
      </c>
      <c r="AA433" s="240">
        <v>2.0824833883535954E-2</v>
      </c>
    </row>
    <row r="434" spans="19:27" x14ac:dyDescent="0.2">
      <c r="S434" s="199"/>
      <c r="T434" s="200"/>
      <c r="W434" s="233" t="str">
        <f t="shared" si="13"/>
        <v>1D</v>
      </c>
      <c r="X434" s="234">
        <f>_xll.qlCalendarAdvance(Calendar,X433,W434,"f",FALSE)</f>
        <v>42416</v>
      </c>
      <c r="Y434" s="237">
        <f>_xll.qlCalendarAdvance(Calendar,X434,NDays&amp;"D")</f>
        <v>42416</v>
      </c>
      <c r="Z434" s="238">
        <v>2.3862866853093176E-2</v>
      </c>
      <c r="AA434" s="240">
        <v>2.0842578615218876E-2</v>
      </c>
    </row>
    <row r="435" spans="19:27" x14ac:dyDescent="0.2">
      <c r="S435" s="199"/>
      <c r="T435" s="200"/>
      <c r="W435" s="233" t="str">
        <f t="shared" si="13"/>
        <v>1D</v>
      </c>
      <c r="X435" s="234">
        <f>_xll.qlCalendarAdvance(Calendar,X434,W435,"f",FALSE)</f>
        <v>42417</v>
      </c>
      <c r="Y435" s="237">
        <f>_xll.qlCalendarAdvance(Calendar,X435,NDays&amp;"D")</f>
        <v>42417</v>
      </c>
      <c r="Z435" s="238">
        <v>2.3877023191488673E-2</v>
      </c>
      <c r="AA435" s="240">
        <v>2.0860249864508296E-2</v>
      </c>
    </row>
    <row r="436" spans="19:27" x14ac:dyDescent="0.2">
      <c r="S436" s="199"/>
      <c r="T436" s="200"/>
      <c r="W436" s="233" t="str">
        <f t="shared" si="13"/>
        <v>1D</v>
      </c>
      <c r="X436" s="234">
        <f>_xll.qlCalendarAdvance(Calendar,X435,W436,"f",FALSE)</f>
        <v>42418</v>
      </c>
      <c r="Y436" s="237">
        <f>_xll.qlCalendarAdvance(Calendar,X436,NDays&amp;"D")</f>
        <v>42418</v>
      </c>
      <c r="Z436" s="238">
        <v>2.3905622238656894E-2</v>
      </c>
      <c r="AA436" s="240">
        <v>2.0877847631566304E-2</v>
      </c>
    </row>
    <row r="437" spans="19:27" x14ac:dyDescent="0.2">
      <c r="S437" s="199"/>
      <c r="T437" s="200"/>
      <c r="W437" s="233" t="str">
        <f t="shared" si="13"/>
        <v>1D</v>
      </c>
      <c r="X437" s="234">
        <f>_xll.qlCalendarAdvance(Calendar,X436,W437,"f",FALSE)</f>
        <v>42419</v>
      </c>
      <c r="Y437" s="237">
        <f>_xll.qlCalendarAdvance(Calendar,X437,NDays&amp;"D")</f>
        <v>42419</v>
      </c>
      <c r="Z437" s="238">
        <v>2.39125045204297E-2</v>
      </c>
      <c r="AA437" s="240">
        <v>2.0913996453244175E-2</v>
      </c>
    </row>
    <row r="438" spans="19:27" x14ac:dyDescent="0.2">
      <c r="S438" s="199"/>
      <c r="T438" s="200"/>
      <c r="W438" s="233" t="str">
        <f t="shared" si="13"/>
        <v>1D</v>
      </c>
      <c r="X438" s="234">
        <f>_xll.qlCalendarAdvance(Calendar,X437,W438,"f",FALSE)</f>
        <v>42422</v>
      </c>
      <c r="Y438" s="237">
        <f>_xll.qlCalendarAdvance(Calendar,X438,NDays&amp;"D")</f>
        <v>42422</v>
      </c>
      <c r="Z438" s="238">
        <v>2.3947523035030532E-2</v>
      </c>
      <c r="AA438" s="240">
        <v>2.0947503877078999E-2</v>
      </c>
    </row>
    <row r="439" spans="19:27" x14ac:dyDescent="0.2">
      <c r="S439" s="199"/>
      <c r="T439" s="200"/>
      <c r="W439" s="233" t="str">
        <f t="shared" si="13"/>
        <v>1D</v>
      </c>
      <c r="X439" s="234">
        <f>_xll.qlCalendarAdvance(Calendar,X438,W439,"f",FALSE)</f>
        <v>42423</v>
      </c>
      <c r="Y439" s="237">
        <f>_xll.qlCalendarAdvance(Calendar,X439,NDays&amp;"D")</f>
        <v>42423</v>
      </c>
      <c r="Z439" s="238">
        <v>2.3961567932707976E-2</v>
      </c>
      <c r="AA439" s="240">
        <v>2.0964734232574722E-2</v>
      </c>
    </row>
    <row r="440" spans="19:27" x14ac:dyDescent="0.2">
      <c r="S440" s="199"/>
      <c r="T440" s="200"/>
      <c r="W440" s="233" t="str">
        <f t="shared" si="13"/>
        <v>1D</v>
      </c>
      <c r="X440" s="234">
        <f>_xll.qlCalendarAdvance(Calendar,X439,W440,"f",FALSE)</f>
        <v>42424</v>
      </c>
      <c r="Y440" s="237">
        <f>_xll.qlCalendarAdvance(Calendar,X440,NDays&amp;"D")</f>
        <v>42424</v>
      </c>
      <c r="Z440" s="238">
        <v>2.3975594906313076E-2</v>
      </c>
      <c r="AA440" s="240">
        <v>2.0981891105920081E-2</v>
      </c>
    </row>
    <row r="441" spans="19:27" x14ac:dyDescent="0.2">
      <c r="S441" s="199"/>
      <c r="T441" s="200"/>
      <c r="W441" s="233" t="str">
        <f t="shared" si="13"/>
        <v>1D</v>
      </c>
      <c r="X441" s="234">
        <f>_xll.qlCalendarAdvance(Calendar,X440,W441,"f",FALSE)</f>
        <v>42425</v>
      </c>
      <c r="Y441" s="237">
        <f>_xll.qlCalendarAdvance(Calendar,X441,NDays&amp;"D")</f>
        <v>42425</v>
      </c>
      <c r="Z441" s="238">
        <v>2.4003963939228004E-2</v>
      </c>
      <c r="AA441" s="240">
        <v>2.099897449679089E-2</v>
      </c>
    </row>
    <row r="442" spans="19:27" x14ac:dyDescent="0.2">
      <c r="S442" s="199"/>
      <c r="T442" s="200"/>
      <c r="W442" s="233" t="str">
        <f t="shared" si="13"/>
        <v>1D</v>
      </c>
      <c r="X442" s="234">
        <f>_xll.qlCalendarAdvance(Calendar,X441,W442,"f",FALSE)</f>
        <v>42426</v>
      </c>
      <c r="Y442" s="237">
        <f>_xll.qlCalendarAdvance(Calendar,X442,NDays&amp;"D")</f>
        <v>42426</v>
      </c>
      <c r="Z442" s="238">
        <v>2.4010770547227393E-2</v>
      </c>
      <c r="AA442" s="240">
        <v>2.1034108367978813E-2</v>
      </c>
    </row>
    <row r="443" spans="19:27" x14ac:dyDescent="0.2">
      <c r="S443" s="199"/>
      <c r="T443" s="200"/>
      <c r="W443" s="233" t="str">
        <f t="shared" si="13"/>
        <v>1D</v>
      </c>
      <c r="X443" s="234">
        <f>_xll.qlCalendarAdvance(Calendar,X442,W443,"f",FALSE)</f>
        <v>42429</v>
      </c>
      <c r="Y443" s="237">
        <f>_xll.qlCalendarAdvance(Calendar,X443,NDays&amp;"D")</f>
        <v>42429</v>
      </c>
      <c r="Z443" s="238">
        <v>2.4038310127046048E-2</v>
      </c>
      <c r="AA443" s="240">
        <v>2.1066573236987463E-2</v>
      </c>
    </row>
    <row r="444" spans="19:27" x14ac:dyDescent="0.2">
      <c r="S444" s="199"/>
      <c r="T444" s="200"/>
      <c r="W444" s="233" t="str">
        <f t="shared" si="13"/>
        <v>1D</v>
      </c>
      <c r="X444" s="234">
        <f>_xll.qlCalendarAdvance(Calendar,X443,W444,"f",FALSE)</f>
        <v>42430</v>
      </c>
      <c r="Y444" s="237">
        <f>_xll.qlCalendarAdvance(Calendar,X444,NDays&amp;"D")</f>
        <v>42430</v>
      </c>
      <c r="Z444" s="238">
        <v>2.4052240547909332E-2</v>
      </c>
      <c r="AA444" s="240">
        <v>2.1083289215971801E-2</v>
      </c>
    </row>
    <row r="445" spans="19:27" x14ac:dyDescent="0.2">
      <c r="S445" s="199"/>
      <c r="T445" s="200"/>
      <c r="W445" s="233" t="str">
        <f t="shared" si="13"/>
        <v>1D</v>
      </c>
      <c r="X445" s="234">
        <f>_xll.qlCalendarAdvance(Calendar,X444,W445,"f",FALSE)</f>
        <v>42431</v>
      </c>
      <c r="Y445" s="237">
        <f>_xll.qlCalendarAdvance(Calendar,X445,NDays&amp;"D")</f>
        <v>42431</v>
      </c>
      <c r="Z445" s="238">
        <v>2.4066154318061805E-2</v>
      </c>
      <c r="AA445" s="240">
        <v>2.1099931712643683E-2</v>
      </c>
    </row>
    <row r="446" spans="19:27" x14ac:dyDescent="0.2">
      <c r="S446" s="199"/>
      <c r="T446" s="200"/>
      <c r="W446" s="233" t="str">
        <f t="shared" si="13"/>
        <v>1D</v>
      </c>
      <c r="X446" s="234">
        <f>_xll.qlCalendarAdvance(Calendar,X445,W446,"f",FALSE)</f>
        <v>42432</v>
      </c>
      <c r="Y446" s="237">
        <f>_xll.qlCalendarAdvance(Calendar,X446,NDays&amp;"D")</f>
        <v>42432</v>
      </c>
      <c r="Z446" s="238">
        <v>2.4080051623645238E-2</v>
      </c>
      <c r="AA446" s="240">
        <v>2.1116500726922061E-2</v>
      </c>
    </row>
    <row r="447" spans="19:27" x14ac:dyDescent="0.2">
      <c r="S447" s="199"/>
      <c r="T447" s="200"/>
      <c r="W447" s="233" t="str">
        <f t="shared" si="13"/>
        <v>1D</v>
      </c>
      <c r="X447" s="234">
        <f>_xll.qlCalendarAdvance(Calendar,X446,W447,"f",FALSE)</f>
        <v>42433</v>
      </c>
      <c r="Y447" s="237">
        <f>_xll.qlCalendarAdvance(Calendar,X447,NDays&amp;"D")</f>
        <v>42433</v>
      </c>
      <c r="Z447" s="238">
        <v>2.4108186932988062E-2</v>
      </c>
      <c r="AA447" s="240">
        <v>2.1150619308306272E-2</v>
      </c>
    </row>
    <row r="448" spans="19:27" x14ac:dyDescent="0.2">
      <c r="S448" s="199"/>
      <c r="T448" s="200"/>
      <c r="W448" s="233" t="str">
        <f t="shared" si="13"/>
        <v>1D</v>
      </c>
      <c r="X448" s="234">
        <f>_xll.qlCalendarAdvance(Calendar,X447,W448,"f",FALSE)</f>
        <v>42436</v>
      </c>
      <c r="Y448" s="237">
        <f>_xll.qlCalendarAdvance(Calendar,X448,NDays&amp;"D")</f>
        <v>42436</v>
      </c>
      <c r="Z448" s="238">
        <v>2.4135479923518721E-2</v>
      </c>
      <c r="AA448" s="240">
        <v>2.1182041959695308E-2</v>
      </c>
    </row>
    <row r="449" spans="19:27" x14ac:dyDescent="0.2">
      <c r="S449" s="199"/>
      <c r="T449" s="200"/>
      <c r="W449" s="233" t="str">
        <f t="shared" si="13"/>
        <v>1D</v>
      </c>
      <c r="X449" s="234">
        <f>_xll.qlCalendarAdvance(Calendar,X448,W449,"f",FALSE)</f>
        <v>42437</v>
      </c>
      <c r="Y449" s="237">
        <f>_xll.qlCalendarAdvance(Calendar,X449,NDays&amp;"D")</f>
        <v>42437</v>
      </c>
      <c r="Z449" s="238">
        <v>2.4149297698774275E-2</v>
      </c>
      <c r="AA449" s="240">
        <v>2.1198243561844077E-2</v>
      </c>
    </row>
    <row r="450" spans="19:27" x14ac:dyDescent="0.2">
      <c r="S450" s="199"/>
      <c r="T450" s="200"/>
      <c r="W450" s="233" t="str">
        <f t="shared" si="13"/>
        <v>1D</v>
      </c>
      <c r="X450" s="234">
        <f>_xll.qlCalendarAdvance(Calendar,X449,W450,"f",FALSE)</f>
        <v>42438</v>
      </c>
      <c r="Y450" s="237">
        <f>_xll.qlCalendarAdvance(Calendar,X450,NDays&amp;"D")</f>
        <v>42438</v>
      </c>
      <c r="Z450" s="238">
        <v>2.4163100126543435E-2</v>
      </c>
      <c r="AA450" s="240">
        <v>2.1214371681356203E-2</v>
      </c>
    </row>
    <row r="451" spans="19:27" x14ac:dyDescent="0.2">
      <c r="S451" s="199"/>
      <c r="T451" s="200"/>
      <c r="W451" s="233" t="str">
        <f t="shared" si="13"/>
        <v>1D</v>
      </c>
      <c r="X451" s="234">
        <f>_xll.qlCalendarAdvance(Calendar,X450,W451,"f",FALSE)</f>
        <v>42439</v>
      </c>
      <c r="Y451" s="237">
        <f>_xll.qlCalendarAdvance(Calendar,X451,NDays&amp;"D")</f>
        <v>42439</v>
      </c>
      <c r="Z451" s="238">
        <v>2.4176887393044355E-2</v>
      </c>
      <c r="AA451" s="240">
        <v>2.1230426318474827E-2</v>
      </c>
    </row>
    <row r="452" spans="19:27" x14ac:dyDescent="0.2">
      <c r="S452" s="199"/>
      <c r="T452" s="200"/>
      <c r="W452" s="233" t="str">
        <f t="shared" si="13"/>
        <v>1D</v>
      </c>
      <c r="X452" s="234">
        <f>_xll.qlCalendarAdvance(Calendar,X451,W452,"f",FALSE)</f>
        <v>42440</v>
      </c>
      <c r="Y452" s="237">
        <f>_xll.qlCalendarAdvance(Calendar,X452,NDays&amp;"D")</f>
        <v>42440</v>
      </c>
      <c r="Z452" s="238">
        <v>2.4204817180286591E-2</v>
      </c>
      <c r="AA452" s="240">
        <v>2.1263529263960693E-2</v>
      </c>
    </row>
    <row r="453" spans="19:27" x14ac:dyDescent="0.2">
      <c r="S453" s="199"/>
      <c r="T453" s="200"/>
      <c r="W453" s="233" t="str">
        <f t="shared" si="13"/>
        <v>1D</v>
      </c>
      <c r="X453" s="234">
        <f>_xll.qlCalendarAdvance(Calendar,X452,W453,"f",FALSE)</f>
        <v>42443</v>
      </c>
      <c r="Y453" s="237">
        <f>_xll.qlCalendarAdvance(Calendar,X453,NDays&amp;"D")</f>
        <v>42443</v>
      </c>
      <c r="Z453" s="238">
        <v>2.423188857110814E-2</v>
      </c>
      <c r="AA453" s="240">
        <v>2.1293910041960684E-2</v>
      </c>
    </row>
    <row r="454" spans="19:27" x14ac:dyDescent="0.2">
      <c r="S454" s="199"/>
      <c r="T454" s="200"/>
      <c r="W454" s="233" t="str">
        <f t="shared" si="13"/>
        <v>1D</v>
      </c>
      <c r="X454" s="234">
        <f>_xll.qlCalendarAdvance(Calendar,X453,W454,"f",FALSE)</f>
        <v>42444</v>
      </c>
      <c r="Y454" s="237">
        <f>_xll.qlCalendarAdvance(Calendar,X454,NDays&amp;"D")</f>
        <v>42444</v>
      </c>
      <c r="Z454" s="238">
        <v>2.4245602824917611E-2</v>
      </c>
      <c r="AA454" s="240">
        <v>2.1309597266544467E-2</v>
      </c>
    </row>
    <row r="455" spans="19:27" x14ac:dyDescent="0.2">
      <c r="S455" s="199"/>
      <c r="T455" s="200"/>
      <c r="W455" s="233" t="str">
        <f t="shared" si="13"/>
        <v>1D</v>
      </c>
      <c r="X455" s="234">
        <f>_xll.qlCalendarAdvance(Calendar,X454,W455,"f",FALSE)</f>
        <v>42445</v>
      </c>
      <c r="Y455" s="237">
        <f>_xll.qlCalendarAdvance(Calendar,X455,NDays&amp;"D")</f>
        <v>42445</v>
      </c>
      <c r="Z455" s="238">
        <v>2.4259303034992907E-2</v>
      </c>
      <c r="AA455" s="240">
        <v>2.1325211008653699E-2</v>
      </c>
    </row>
    <row r="456" spans="19:27" x14ac:dyDescent="0.2">
      <c r="S456" s="199"/>
      <c r="T456" s="200"/>
      <c r="W456" s="233" t="str">
        <f t="shared" si="13"/>
        <v>1D</v>
      </c>
      <c r="X456" s="234">
        <f>_xll.qlCalendarAdvance(Calendar,X455,W456,"f",FALSE)</f>
        <v>42446</v>
      </c>
      <c r="Y456" s="237">
        <f>_xll.qlCalendarAdvance(Calendar,X456,NDays&amp;"D")</f>
        <v>42446</v>
      </c>
      <c r="Z456" s="238">
        <v>2.4272989387627453E-2</v>
      </c>
      <c r="AA456" s="240">
        <v>2.134075126812629E-2</v>
      </c>
    </row>
    <row r="457" spans="19:27" x14ac:dyDescent="0.2">
      <c r="S457" s="199"/>
      <c r="T457" s="200"/>
      <c r="W457" s="233" t="str">
        <f t="shared" si="13"/>
        <v>1D</v>
      </c>
      <c r="X457" s="234">
        <f>_xll.qlCalendarAdvance(Calendar,X456,W457,"f",FALSE)</f>
        <v>42447</v>
      </c>
      <c r="Y457" s="237">
        <f>_xll.qlCalendarAdvance(Calendar,X457,NDays&amp;"D")</f>
        <v>42447</v>
      </c>
      <c r="Z457" s="238">
        <v>2.4300724817807127E-2</v>
      </c>
      <c r="AA457" s="240">
        <v>2.1372838224865319E-2</v>
      </c>
    </row>
    <row r="458" spans="19:27" x14ac:dyDescent="0.2">
      <c r="S458" s="199"/>
      <c r="T458" s="200"/>
      <c r="W458" s="233" t="str">
        <f t="shared" si="13"/>
        <v>1D</v>
      </c>
      <c r="X458" s="234">
        <f>_xll.qlCalendarAdvance(Calendar,X457,W458,"f",FALSE)</f>
        <v>42450</v>
      </c>
      <c r="Y458" s="237">
        <f>_xll.qlCalendarAdvance(Calendar,X458,NDays&amp;"D")</f>
        <v>42450</v>
      </c>
      <c r="Z458" s="238">
        <v>2.4327599949981016E-2</v>
      </c>
      <c r="AA458" s="240">
        <v>2.1402177480460693E-2</v>
      </c>
    </row>
    <row r="459" spans="19:27" x14ac:dyDescent="0.2">
      <c r="S459" s="199"/>
      <c r="T459" s="200"/>
      <c r="W459" s="233" t="str">
        <f t="shared" si="13"/>
        <v>1D</v>
      </c>
      <c r="X459" s="234">
        <f>_xll.qlCalendarAdvance(Calendar,X458,W459,"f",FALSE)</f>
        <v>42451</v>
      </c>
      <c r="Y459" s="237">
        <f>_xll.qlCalendarAdvance(Calendar,X459,NDays&amp;"D")</f>
        <v>42451</v>
      </c>
      <c r="Z459" s="238">
        <v>2.4341219810171788E-2</v>
      </c>
      <c r="AA459" s="240">
        <v>2.1417350327074258E-2</v>
      </c>
    </row>
    <row r="460" spans="19:27" x14ac:dyDescent="0.2">
      <c r="S460" s="199"/>
      <c r="T460" s="200"/>
      <c r="W460" s="233" t="str">
        <f t="shared" si="13"/>
        <v>1D</v>
      </c>
      <c r="X460" s="234">
        <f>_xll.qlCalendarAdvance(Calendar,X459,W460,"f",FALSE)</f>
        <v>42452</v>
      </c>
      <c r="Y460" s="237">
        <f>_xll.qlCalendarAdvance(Calendar,X460,NDays&amp;"D")</f>
        <v>42452</v>
      </c>
      <c r="Z460" s="238">
        <v>2.435482693089952E-2</v>
      </c>
      <c r="AA460" s="240">
        <v>2.1432449691132227E-2</v>
      </c>
    </row>
    <row r="461" spans="19:27" x14ac:dyDescent="0.2">
      <c r="S461" s="199"/>
      <c r="T461" s="200"/>
      <c r="W461" s="233" t="str">
        <f t="shared" si="13"/>
        <v>1D</v>
      </c>
      <c r="X461" s="234">
        <f>_xll.qlCalendarAdvance(Calendar,X460,W461,"f",FALSE)</f>
        <v>42453</v>
      </c>
      <c r="Y461" s="237">
        <f>_xll.qlCalendarAdvance(Calendar,X461,NDays&amp;"D")</f>
        <v>42453</v>
      </c>
      <c r="Z461" s="238">
        <v>2.436842149853069E-2</v>
      </c>
      <c r="AA461" s="240">
        <v>2.1479761068377456E-2</v>
      </c>
    </row>
    <row r="462" spans="19:27" x14ac:dyDescent="0.2">
      <c r="S462" s="199"/>
      <c r="T462" s="200"/>
      <c r="W462" s="233" t="str">
        <f t="shared" si="13"/>
        <v>1D</v>
      </c>
      <c r="X462" s="234">
        <f>_xll.qlCalendarAdvance(Calendar,X461,W462,"f",FALSE)</f>
        <v>42458</v>
      </c>
      <c r="Y462" s="237">
        <f>_xll.qlCalendarAdvance(Calendar,X462,NDays&amp;"D")</f>
        <v>42458</v>
      </c>
      <c r="Z462" s="238">
        <v>2.4436212563779147E-2</v>
      </c>
      <c r="AA462" s="240">
        <v>2.1521519746618978E-2</v>
      </c>
    </row>
    <row r="463" spans="19:27" x14ac:dyDescent="0.2">
      <c r="S463" s="199"/>
      <c r="T463" s="200"/>
      <c r="W463" s="233" t="str">
        <f t="shared" si="13"/>
        <v>1D</v>
      </c>
      <c r="X463" s="234">
        <f>_xll.qlCalendarAdvance(Calendar,X462,W463,"f",FALSE)</f>
        <v>42459</v>
      </c>
      <c r="Y463" s="237">
        <f>_xll.qlCalendarAdvance(Calendar,X463,NDays&amp;"D")</f>
        <v>42459</v>
      </c>
      <c r="Z463" s="238">
        <v>2.4449735679371365E-2</v>
      </c>
      <c r="AA463" s="240">
        <v>2.1536206771189947E-2</v>
      </c>
    </row>
    <row r="464" spans="19:27" x14ac:dyDescent="0.2">
      <c r="S464" s="199"/>
      <c r="T464" s="200"/>
      <c r="W464" s="233" t="str">
        <f t="shared" si="13"/>
        <v>1D</v>
      </c>
      <c r="X464" s="234">
        <f>_xll.qlCalendarAdvance(Calendar,X463,W464,"f",FALSE)</f>
        <v>42460</v>
      </c>
      <c r="Y464" s="237">
        <f>_xll.qlCalendarAdvance(Calendar,X464,NDays&amp;"D")</f>
        <v>42460</v>
      </c>
      <c r="Z464" s="238">
        <v>2.4463247260338106E-2</v>
      </c>
      <c r="AA464" s="240">
        <v>2.1550922352012725E-2</v>
      </c>
    </row>
    <row r="465" spans="19:27" x14ac:dyDescent="0.2">
      <c r="S465" s="199"/>
      <c r="T465" s="200"/>
      <c r="W465" s="233" t="str">
        <f t="shared" si="13"/>
        <v>1D</v>
      </c>
      <c r="X465" s="234">
        <f>_xll.qlCalendarAdvance(Calendar,X464,W465,"f",FALSE)</f>
        <v>42461</v>
      </c>
      <c r="Y465" s="237">
        <f>_xll.qlCalendarAdvance(Calendar,X465,NDays&amp;"D")</f>
        <v>42461</v>
      </c>
      <c r="Z465" s="238">
        <v>2.4490625224111578E-2</v>
      </c>
      <c r="AA465" s="240">
        <v>2.1581724659985872E-2</v>
      </c>
    </row>
    <row r="466" spans="19:27" x14ac:dyDescent="0.2">
      <c r="S466" s="199"/>
      <c r="T466" s="200"/>
      <c r="W466" s="233" t="str">
        <f t="shared" si="13"/>
        <v>1D</v>
      </c>
      <c r="X466" s="234">
        <f>_xll.qlCalendarAdvance(Calendar,X465,W466,"f",FALSE)</f>
        <v>42464</v>
      </c>
      <c r="Y466" s="237">
        <f>_xll.qlCalendarAdvance(Calendar,X466,NDays&amp;"D")</f>
        <v>42464</v>
      </c>
      <c r="Z466" s="238">
        <v>2.4517176238932903E-2</v>
      </c>
      <c r="AA466" s="240">
        <v>2.1610070238551327E-2</v>
      </c>
    </row>
    <row r="467" spans="19:27" x14ac:dyDescent="0.2">
      <c r="S467" s="199"/>
      <c r="T467" s="200"/>
      <c r="W467" s="233" t="str">
        <f t="shared" si="13"/>
        <v>1D</v>
      </c>
      <c r="X467" s="234">
        <f>_xll.qlCalendarAdvance(Calendar,X466,W467,"f",FALSE)</f>
        <v>42465</v>
      </c>
      <c r="Y467" s="237">
        <f>_xll.qlCalendarAdvance(Calendar,X467,NDays&amp;"D")</f>
        <v>42465</v>
      </c>
      <c r="Z467" s="238">
        <v>2.4530628647466912E-2</v>
      </c>
      <c r="AA467" s="240">
        <v>2.1624928600957327E-2</v>
      </c>
    </row>
    <row r="468" spans="19:27" x14ac:dyDescent="0.2">
      <c r="S468" s="199"/>
      <c r="T468" s="200"/>
      <c r="W468" s="233" t="str">
        <f t="shared" si="13"/>
        <v>1D</v>
      </c>
      <c r="X468" s="234">
        <f>_xll.qlCalendarAdvance(Calendar,X467,W468,"f",FALSE)</f>
        <v>42466</v>
      </c>
      <c r="Y468" s="237">
        <f>_xll.qlCalendarAdvance(Calendar,X468,NDays&amp;"D")</f>
        <v>42466</v>
      </c>
      <c r="Z468" s="238">
        <v>2.4544068921619644E-2</v>
      </c>
      <c r="AA468" s="240">
        <v>2.1639815519777228E-2</v>
      </c>
    </row>
    <row r="469" spans="19:27" x14ac:dyDescent="0.2">
      <c r="S469" s="199"/>
      <c r="T469" s="200"/>
      <c r="W469" s="233" t="str">
        <f t="shared" ref="W469:W532" si="14">W468</f>
        <v>1D</v>
      </c>
      <c r="X469" s="234">
        <f>_xll.qlCalendarAdvance(Calendar,X468,W469,"f",FALSE)</f>
        <v>42467</v>
      </c>
      <c r="Y469" s="237">
        <f>_xll.qlCalendarAdvance(Calendar,X469,NDays&amp;"D")</f>
        <v>42467</v>
      </c>
      <c r="Z469" s="238">
        <v>2.4557496961414627E-2</v>
      </c>
      <c r="AA469" s="240">
        <v>2.1654730994848936E-2</v>
      </c>
    </row>
    <row r="470" spans="19:27" x14ac:dyDescent="0.2">
      <c r="S470" s="199"/>
      <c r="T470" s="200"/>
      <c r="W470" s="233" t="str">
        <f t="shared" si="14"/>
        <v>1D</v>
      </c>
      <c r="X470" s="234">
        <f>_xll.qlCalendarAdvance(Calendar,X469,W470,"f",FALSE)</f>
        <v>42468</v>
      </c>
      <c r="Y470" s="237">
        <f>_xll.qlCalendarAdvance(Calendar,X470,NDays&amp;"D")</f>
        <v>42468</v>
      </c>
      <c r="Z470" s="238">
        <v>2.4584700258648982E-2</v>
      </c>
      <c r="AA470" s="240">
        <v>2.1685945444042863E-2</v>
      </c>
    </row>
    <row r="471" spans="19:27" x14ac:dyDescent="0.2">
      <c r="S471" s="199"/>
      <c r="T471" s="200"/>
      <c r="W471" s="233" t="str">
        <f t="shared" si="14"/>
        <v>1D</v>
      </c>
      <c r="X471" s="234">
        <f>_xll.qlCalendarAdvance(Calendar,X470,W471,"f",FALSE)</f>
        <v>42471</v>
      </c>
      <c r="Y471" s="237">
        <f>_xll.qlCalendarAdvance(Calendar,X471,NDays&amp;"D")</f>
        <v>42471</v>
      </c>
      <c r="Z471" s="238">
        <v>2.4611084777331316E-2</v>
      </c>
      <c r="AA471" s="240">
        <v>2.1714678458626402E-2</v>
      </c>
    </row>
    <row r="472" spans="19:27" x14ac:dyDescent="0.2">
      <c r="S472" s="199"/>
      <c r="T472" s="200"/>
      <c r="W472" s="233" t="str">
        <f t="shared" si="14"/>
        <v>1D</v>
      </c>
      <c r="X472" s="234">
        <f>_xll.qlCalendarAdvance(Calendar,X471,W472,"f",FALSE)</f>
        <v>42472</v>
      </c>
      <c r="Y472" s="237">
        <f>_xll.qlCalendarAdvance(Calendar,X472,NDays&amp;"D")</f>
        <v>42472</v>
      </c>
      <c r="Z472" s="238">
        <v>2.4624450145530163E-2</v>
      </c>
      <c r="AA472" s="240">
        <v>2.1729736715443426E-2</v>
      </c>
    </row>
    <row r="473" spans="19:27" x14ac:dyDescent="0.2">
      <c r="S473" s="199"/>
      <c r="T473" s="200"/>
      <c r="W473" s="233" t="str">
        <f t="shared" si="14"/>
        <v>1D</v>
      </c>
      <c r="X473" s="234">
        <f>_xll.qlCalendarAdvance(Calendar,X472,W473,"f",FALSE)</f>
        <v>42473</v>
      </c>
      <c r="Y473" s="237">
        <f>_xll.qlCalendarAdvance(Calendar,X473,NDays&amp;"D")</f>
        <v>42473</v>
      </c>
      <c r="Z473" s="238">
        <v>2.4637802679414733E-2</v>
      </c>
      <c r="AA473" s="240">
        <v>2.1744823528593304E-2</v>
      </c>
    </row>
    <row r="474" spans="19:27" x14ac:dyDescent="0.2">
      <c r="S474" s="199"/>
      <c r="T474" s="200"/>
      <c r="W474" s="233" t="str">
        <f t="shared" si="14"/>
        <v>1D</v>
      </c>
      <c r="X474" s="234">
        <f>_xll.qlCalendarAdvance(Calendar,X473,W474,"f",FALSE)</f>
        <v>42474</v>
      </c>
      <c r="Y474" s="237">
        <f>_xll.qlCalendarAdvance(Calendar,X474,NDays&amp;"D")</f>
        <v>42474</v>
      </c>
      <c r="Z474" s="238">
        <v>2.4678552961327423E-2</v>
      </c>
      <c r="AA474" s="240">
        <v>2.1759938898076037E-2</v>
      </c>
    </row>
    <row r="475" spans="19:27" x14ac:dyDescent="0.2">
      <c r="S475" s="199"/>
      <c r="T475" s="200"/>
      <c r="W475" s="233" t="str">
        <f t="shared" si="14"/>
        <v>1D</v>
      </c>
      <c r="X475" s="234">
        <f>_xll.qlCalendarAdvance(Calendar,X474,W475,"f",FALSE)</f>
        <v>42475</v>
      </c>
      <c r="Y475" s="237">
        <f>_xll.qlCalendarAdvance(Calendar,X475,NDays&amp;"D")</f>
        <v>42475</v>
      </c>
      <c r="Z475" s="238">
        <v>2.468501234941883E-2</v>
      </c>
      <c r="AA475" s="240">
        <v>2.1791565715501376E-2</v>
      </c>
    </row>
    <row r="476" spans="19:27" x14ac:dyDescent="0.2">
      <c r="S476" s="199"/>
      <c r="T476" s="200"/>
      <c r="W476" s="233" t="str">
        <f t="shared" si="14"/>
        <v>1D</v>
      </c>
      <c r="X476" s="234">
        <f>_xll.qlCalendarAdvance(Calendar,X475,W476,"f",FALSE)</f>
        <v>42478</v>
      </c>
      <c r="Y476" s="237">
        <f>_xll.qlCalendarAdvance(Calendar,X476,NDays&amp;"D")</f>
        <v>42478</v>
      </c>
      <c r="Z476" s="238">
        <v>2.4704369333633514E-2</v>
      </c>
      <c r="AA476" s="240">
        <v>2.1820685939821782E-2</v>
      </c>
    </row>
    <row r="477" spans="19:27" x14ac:dyDescent="0.2">
      <c r="S477" s="199"/>
      <c r="T477" s="200"/>
      <c r="W477" s="233" t="str">
        <f t="shared" si="14"/>
        <v>1D</v>
      </c>
      <c r="X477" s="234">
        <f>_xll.qlCalendarAdvance(Calendar,X476,W477,"f",FALSE)</f>
        <v>42479</v>
      </c>
      <c r="Y477" s="237">
        <f>_xll.qlCalendarAdvance(Calendar,X477,NDays&amp;"D")</f>
        <v>42479</v>
      </c>
      <c r="Z477" s="238">
        <v>2.4717642761272751E-2</v>
      </c>
      <c r="AA477" s="240">
        <v>2.1835944091211923E-2</v>
      </c>
    </row>
    <row r="478" spans="19:27" x14ac:dyDescent="0.2">
      <c r="S478" s="199"/>
      <c r="T478" s="200"/>
      <c r="W478" s="233" t="str">
        <f t="shared" si="14"/>
        <v>1D</v>
      </c>
      <c r="X478" s="234">
        <f>_xll.qlCalendarAdvance(Calendar,X477,W478,"f",FALSE)</f>
        <v>42480</v>
      </c>
      <c r="Y478" s="237">
        <f>_xll.qlCalendarAdvance(Calendar,X478,NDays&amp;"D")</f>
        <v>42480</v>
      </c>
      <c r="Z478" s="238">
        <v>2.4730902654434228E-2</v>
      </c>
      <c r="AA478" s="240">
        <v>2.1851230798934917E-2</v>
      </c>
    </row>
    <row r="479" spans="19:27" x14ac:dyDescent="0.2">
      <c r="S479" s="199"/>
      <c r="T479" s="200"/>
      <c r="W479" s="233" t="str">
        <f t="shared" si="14"/>
        <v>1D</v>
      </c>
      <c r="X479" s="234">
        <f>_xll.qlCalendarAdvance(Calendar,X478,W479,"f",FALSE)</f>
        <v>42481</v>
      </c>
      <c r="Y479" s="237">
        <f>_xll.qlCalendarAdvance(Calendar,X479,NDays&amp;"D")</f>
        <v>42481</v>
      </c>
      <c r="Z479" s="238">
        <v>2.4744148913075747E-2</v>
      </c>
      <c r="AA479" s="240">
        <v>2.1866546063071812E-2</v>
      </c>
    </row>
    <row r="480" spans="19:27" x14ac:dyDescent="0.2">
      <c r="S480" s="199"/>
      <c r="T480" s="200"/>
      <c r="W480" s="233" t="str">
        <f t="shared" si="14"/>
        <v>1D</v>
      </c>
      <c r="X480" s="234">
        <f>_xll.qlCalendarAdvance(Calendar,X479,W480,"f",FALSE)</f>
        <v>42482</v>
      </c>
      <c r="Y480" s="237">
        <f>_xll.qlCalendarAdvance(Calendar,X480,NDays&amp;"D")</f>
        <v>42482</v>
      </c>
      <c r="Z480" s="238">
        <v>2.4770992624255448E-2</v>
      </c>
      <c r="AA480" s="240">
        <v>2.1898585477954462E-2</v>
      </c>
    </row>
    <row r="481" spans="19:27" x14ac:dyDescent="0.2">
      <c r="S481" s="199"/>
      <c r="T481" s="200"/>
      <c r="W481" s="233" t="str">
        <f t="shared" si="14"/>
        <v>1D</v>
      </c>
      <c r="X481" s="234">
        <f>_xll.qlCalendarAdvance(Calendar,X480,W481,"f",FALSE)</f>
        <v>42485</v>
      </c>
      <c r="Y481" s="237">
        <f>_xll.qlCalendarAdvance(Calendar,X481,NDays&amp;"D")</f>
        <v>42485</v>
      </c>
      <c r="Z481" s="238">
        <v>2.479699560144577E-2</v>
      </c>
      <c r="AA481" s="240">
        <v>2.1928092683434208E-2</v>
      </c>
    </row>
    <row r="482" spans="19:27" x14ac:dyDescent="0.2">
      <c r="S482" s="199"/>
      <c r="T482" s="200"/>
      <c r="W482" s="233" t="str">
        <f t="shared" si="14"/>
        <v>1D</v>
      </c>
      <c r="X482" s="234">
        <f>_xll.qlCalendarAdvance(Calendar,X481,W482,"f",FALSE)</f>
        <v>42486</v>
      </c>
      <c r="Y482" s="237">
        <f>_xll.qlCalendarAdvance(Calendar,X482,NDays&amp;"D")</f>
        <v>42486</v>
      </c>
      <c r="Z482" s="238">
        <v>2.481017218669912E-2</v>
      </c>
      <c r="AA482" s="240">
        <v>2.1943550729559558E-2</v>
      </c>
    </row>
    <row r="483" spans="19:27" x14ac:dyDescent="0.2">
      <c r="S483" s="199"/>
      <c r="T483" s="200"/>
      <c r="W483" s="233" t="str">
        <f t="shared" si="14"/>
        <v>1D</v>
      </c>
      <c r="X483" s="234">
        <f>_xll.qlCalendarAdvance(Calendar,X482,W483,"f",FALSE)</f>
        <v>42487</v>
      </c>
      <c r="Y483" s="237">
        <f>_xll.qlCalendarAdvance(Calendar,X483,NDays&amp;"D")</f>
        <v>42487</v>
      </c>
      <c r="Z483" s="238">
        <v>2.4823334537084962E-2</v>
      </c>
      <c r="AA483" s="240">
        <v>2.1959037332017761E-2</v>
      </c>
    </row>
    <row r="484" spans="19:27" x14ac:dyDescent="0.2">
      <c r="S484" s="199"/>
      <c r="T484" s="200"/>
      <c r="W484" s="233" t="str">
        <f t="shared" si="14"/>
        <v>1D</v>
      </c>
      <c r="X484" s="234">
        <f>_xll.qlCalendarAdvance(Calendar,X483,W484,"f",FALSE)</f>
        <v>42488</v>
      </c>
      <c r="Y484" s="237">
        <f>_xll.qlCalendarAdvance(Calendar,X484,NDays&amp;"D")</f>
        <v>42488</v>
      </c>
      <c r="Z484" s="238">
        <v>2.4836482552529571E-2</v>
      </c>
      <c r="AA484" s="240">
        <v>2.1974552490889865E-2</v>
      </c>
    </row>
    <row r="485" spans="19:27" x14ac:dyDescent="0.2">
      <c r="S485" s="199"/>
      <c r="T485" s="200"/>
      <c r="W485" s="233" t="str">
        <f t="shared" si="14"/>
        <v>1D</v>
      </c>
      <c r="X485" s="234">
        <f>_xll.qlCalendarAdvance(Calendar,X484,W485,"f",FALSE)</f>
        <v>42489</v>
      </c>
      <c r="Y485" s="237">
        <f>_xll.qlCalendarAdvance(Calendar,X485,NDays&amp;"D")</f>
        <v>42489</v>
      </c>
      <c r="Z485" s="238">
        <v>2.4842849352556078E-2</v>
      </c>
      <c r="AA485" s="240">
        <v>2.2015474729778772E-2</v>
      </c>
    </row>
    <row r="486" spans="19:27" x14ac:dyDescent="0.2">
      <c r="S486" s="199"/>
      <c r="T486" s="200"/>
      <c r="W486" s="233" t="str">
        <f t="shared" si="14"/>
        <v>1D</v>
      </c>
      <c r="X486" s="234">
        <f>_xll.qlCalendarAdvance(Calendar,X485,W486,"f",FALSE)</f>
        <v>42493</v>
      </c>
      <c r="Y486" s="237">
        <f>_xll.qlCalendarAdvance(Calendar,X486,NDays&amp;"D")</f>
        <v>42493</v>
      </c>
      <c r="Z486" s="238">
        <v>2.4902004102730135E-2</v>
      </c>
      <c r="AA486" s="240">
        <v>2.2052556631620979E-2</v>
      </c>
    </row>
    <row r="487" spans="19:27" x14ac:dyDescent="0.2">
      <c r="S487" s="199"/>
      <c r="T487" s="200"/>
      <c r="W487" s="233" t="str">
        <f t="shared" si="14"/>
        <v>1D</v>
      </c>
      <c r="X487" s="234">
        <f>_xll.qlCalendarAdvance(Calendar,X486,W487,"f",FALSE)</f>
        <v>42494</v>
      </c>
      <c r="Y487" s="237">
        <f>_xll.qlCalendarAdvance(Calendar,X487,NDays&amp;"D")</f>
        <v>42494</v>
      </c>
      <c r="Z487" s="238">
        <v>2.4915064006723275E-2</v>
      </c>
      <c r="AA487" s="240">
        <v>2.206824312905753E-2</v>
      </c>
    </row>
    <row r="488" spans="19:27" x14ac:dyDescent="0.2">
      <c r="S488" s="199"/>
      <c r="T488" s="200"/>
      <c r="W488" s="233" t="str">
        <f t="shared" si="14"/>
        <v>1D</v>
      </c>
      <c r="X488" s="234">
        <f>_xll.qlCalendarAdvance(Calendar,X487,W488,"f",FALSE)</f>
        <v>42495</v>
      </c>
      <c r="Y488" s="237">
        <f>_xll.qlCalendarAdvance(Calendar,X488,NDays&amp;"D")</f>
        <v>42495</v>
      </c>
      <c r="Z488" s="238">
        <v>2.4928108875132304E-2</v>
      </c>
      <c r="AA488" s="240">
        <v>2.2083958182907981E-2</v>
      </c>
    </row>
    <row r="489" spans="19:27" x14ac:dyDescent="0.2">
      <c r="S489" s="199"/>
      <c r="T489" s="200"/>
      <c r="W489" s="233" t="str">
        <f t="shared" si="14"/>
        <v>1D</v>
      </c>
      <c r="X489" s="234">
        <f>_xll.qlCalendarAdvance(Calendar,X488,W489,"f",FALSE)</f>
        <v>42496</v>
      </c>
      <c r="Y489" s="237">
        <f>_xll.qlCalendarAdvance(Calendar,X489,NDays&amp;"D")</f>
        <v>42496</v>
      </c>
      <c r="Z489" s="238">
        <v>2.4954580523796038E-2</v>
      </c>
      <c r="AA489" s="240">
        <v>2.2116823490783886E-2</v>
      </c>
    </row>
    <row r="490" spans="19:27" x14ac:dyDescent="0.2">
      <c r="S490" s="199"/>
      <c r="T490" s="200"/>
      <c r="W490" s="233" t="str">
        <f t="shared" si="14"/>
        <v>1D</v>
      </c>
      <c r="X490" s="234">
        <f>_xll.qlCalendarAdvance(Calendar,X489,W490,"f",FALSE)</f>
        <v>42499</v>
      </c>
      <c r="Y490" s="237">
        <f>_xll.qlCalendarAdvance(Calendar,X490,NDays&amp;"D")</f>
        <v>42499</v>
      </c>
      <c r="Z490" s="238">
        <v>2.4980135990672059E-2</v>
      </c>
      <c r="AA490" s="240">
        <v>2.2147103962691927E-2</v>
      </c>
    </row>
    <row r="491" spans="19:27" x14ac:dyDescent="0.2">
      <c r="S491" s="199"/>
      <c r="T491" s="200"/>
      <c r="W491" s="233" t="str">
        <f t="shared" si="14"/>
        <v>1D</v>
      </c>
      <c r="X491" s="234">
        <f>_xll.qlCalendarAdvance(Calendar,X490,W491,"f",FALSE)</f>
        <v>42500</v>
      </c>
      <c r="Y491" s="237">
        <f>_xll.qlCalendarAdvance(Calendar,X491,NDays&amp;"D")</f>
        <v>42500</v>
      </c>
      <c r="Z491" s="238">
        <v>2.4993104179430237E-2</v>
      </c>
      <c r="AA491" s="240">
        <v>2.2162961798773972E-2</v>
      </c>
    </row>
    <row r="492" spans="19:27" x14ac:dyDescent="0.2">
      <c r="S492" s="199"/>
      <c r="T492" s="200"/>
      <c r="W492" s="233" t="str">
        <f t="shared" si="14"/>
        <v>1D</v>
      </c>
      <c r="X492" s="234">
        <f>_xll.qlCalendarAdvance(Calendar,X491,W492,"f",FALSE)</f>
        <v>42501</v>
      </c>
      <c r="Y492" s="237">
        <f>_xll.qlCalendarAdvance(Calendar,X492,NDays&amp;"D")</f>
        <v>42501</v>
      </c>
      <c r="Z492" s="238">
        <v>2.5006056731881499E-2</v>
      </c>
      <c r="AA492" s="240">
        <v>2.2178848191269918E-2</v>
      </c>
    </row>
    <row r="493" spans="19:27" x14ac:dyDescent="0.2">
      <c r="S493" s="199"/>
      <c r="T493" s="200"/>
      <c r="W493" s="233" t="str">
        <f t="shared" si="14"/>
        <v>1D</v>
      </c>
      <c r="X493" s="234">
        <f>_xll.qlCalendarAdvance(Calendar,X492,W493,"f",FALSE)</f>
        <v>42502</v>
      </c>
      <c r="Y493" s="237">
        <f>_xll.qlCalendarAdvance(Calendar,X493,NDays&amp;"D")</f>
        <v>42502</v>
      </c>
      <c r="Z493" s="238">
        <v>2.5018993547890389E-2</v>
      </c>
      <c r="AA493" s="240">
        <v>2.2194763140260809E-2</v>
      </c>
    </row>
    <row r="494" spans="19:27" x14ac:dyDescent="0.2">
      <c r="S494" s="199"/>
      <c r="T494" s="200"/>
      <c r="W494" s="233" t="str">
        <f t="shared" si="14"/>
        <v>1D</v>
      </c>
      <c r="X494" s="234">
        <f>_xll.qlCalendarAdvance(Calendar,X493,W494,"f",FALSE)</f>
        <v>42503</v>
      </c>
      <c r="Y494" s="237">
        <f>_xll.qlCalendarAdvance(Calendar,X494,NDays&amp;"D")</f>
        <v>42503</v>
      </c>
      <c r="Z494" s="238">
        <v>2.5045274934602887E-2</v>
      </c>
      <c r="AA494" s="240">
        <v>2.2228041748697528E-2</v>
      </c>
    </row>
    <row r="495" spans="19:27" x14ac:dyDescent="0.2">
      <c r="S495" s="199"/>
      <c r="T495" s="200"/>
      <c r="W495" s="233" t="str">
        <f t="shared" si="14"/>
        <v>1D</v>
      </c>
      <c r="X495" s="234">
        <f>_xll.qlCalendarAdvance(Calendar,X494,W495,"f",FALSE)</f>
        <v>42506</v>
      </c>
      <c r="Y495" s="237">
        <f>_xll.qlCalendarAdvance(Calendar,X495,NDays&amp;"D")</f>
        <v>42506</v>
      </c>
      <c r="Z495" s="238">
        <v>2.5070581444635698E-2</v>
      </c>
      <c r="AA495" s="240">
        <v>2.2258708500849655E-2</v>
      </c>
    </row>
    <row r="496" spans="19:27" x14ac:dyDescent="0.2">
      <c r="S496" s="199"/>
      <c r="T496" s="200"/>
      <c r="W496" s="233" t="str">
        <f t="shared" si="14"/>
        <v>1D</v>
      </c>
      <c r="X496" s="234">
        <f>_xll.qlCalendarAdvance(Calendar,X495,W496,"f",FALSE)</f>
        <v>42507</v>
      </c>
      <c r="Y496" s="237">
        <f>_xll.qlCalendarAdvance(Calendar,X496,NDays&amp;"D")</f>
        <v>42507</v>
      </c>
      <c r="Z496" s="238">
        <v>2.5083438076246356E-2</v>
      </c>
      <c r="AA496" s="240">
        <v>2.2274766232234233E-2</v>
      </c>
    </row>
    <row r="497" spans="19:27" x14ac:dyDescent="0.2">
      <c r="S497" s="199"/>
      <c r="T497" s="200"/>
      <c r="W497" s="233" t="str">
        <f t="shared" si="14"/>
        <v>1D</v>
      </c>
      <c r="X497" s="234">
        <f>_xll.qlCalendarAdvance(Calendar,X496,W497,"f",FALSE)</f>
        <v>42508</v>
      </c>
      <c r="Y497" s="237">
        <f>_xll.qlCalendarAdvance(Calendar,X497,NDays&amp;"D")</f>
        <v>42508</v>
      </c>
      <c r="Z497" s="238">
        <v>2.5096278370510205E-2</v>
      </c>
      <c r="AA497" s="240">
        <v>2.2290852520032711E-2</v>
      </c>
    </row>
    <row r="498" spans="19:27" x14ac:dyDescent="0.2">
      <c r="S498" s="199"/>
      <c r="T498" s="200"/>
      <c r="W498" s="233" t="str">
        <f t="shared" si="14"/>
        <v>1D</v>
      </c>
      <c r="X498" s="234">
        <f>_xll.qlCalendarAdvance(Calendar,X497,W498,"f",FALSE)</f>
        <v>42509</v>
      </c>
      <c r="Y498" s="237">
        <f>_xll.qlCalendarAdvance(Calendar,X498,NDays&amp;"D")</f>
        <v>42509</v>
      </c>
      <c r="Z498" s="238">
        <v>2.5109102227262259E-2</v>
      </c>
      <c r="AA498" s="240">
        <v>2.2306967364326136E-2</v>
      </c>
    </row>
    <row r="499" spans="19:27" x14ac:dyDescent="0.2">
      <c r="S499" s="199"/>
      <c r="T499" s="200"/>
      <c r="W499" s="233" t="str">
        <f t="shared" si="14"/>
        <v>1D</v>
      </c>
      <c r="X499" s="234">
        <f>_xll.qlCalendarAdvance(Calendar,X498,W499,"f",FALSE)</f>
        <v>42510</v>
      </c>
      <c r="Y499" s="237">
        <f>_xll.qlCalendarAdvance(Calendar,X499,NDays&amp;"D")</f>
        <v>42510</v>
      </c>
      <c r="Z499" s="238">
        <v>2.5135190770574301E-2</v>
      </c>
      <c r="AA499" s="240">
        <v>2.2340659512653332E-2</v>
      </c>
    </row>
    <row r="500" spans="19:27" x14ac:dyDescent="0.2">
      <c r="S500" s="199"/>
      <c r="T500" s="200"/>
      <c r="W500" s="233" t="str">
        <f t="shared" si="14"/>
        <v>1D</v>
      </c>
      <c r="X500" s="234">
        <f>_xll.qlCalendarAdvance(Calendar,X499,W500,"f",FALSE)</f>
        <v>42513</v>
      </c>
      <c r="Y500" s="237">
        <f>_xll.qlCalendarAdvance(Calendar,X500,NDays&amp;"D")</f>
        <v>42513</v>
      </c>
      <c r="Z500" s="238">
        <v>2.5160231275694001E-2</v>
      </c>
      <c r="AA500" s="240">
        <v>2.2371712306449298E-2</v>
      </c>
    </row>
    <row r="501" spans="19:27" x14ac:dyDescent="0.2">
      <c r="S501" s="199"/>
      <c r="T501" s="200"/>
      <c r="W501" s="233" t="str">
        <f t="shared" si="14"/>
        <v>1D</v>
      </c>
      <c r="X501" s="234">
        <f>_xll.qlCalendarAdvance(Calendar,X500,W501,"f",FALSE)</f>
        <v>42514</v>
      </c>
      <c r="Y501" s="237">
        <f>_xll.qlCalendarAdvance(Calendar,X501,NDays&amp;"D")</f>
        <v>42514</v>
      </c>
      <c r="Z501" s="238">
        <v>2.5172971442257719E-2</v>
      </c>
      <c r="AA501" s="240">
        <v>2.2387969933298502E-2</v>
      </c>
    </row>
    <row r="502" spans="19:27" x14ac:dyDescent="0.2">
      <c r="S502" s="199"/>
      <c r="T502" s="200"/>
      <c r="W502" s="233" t="str">
        <f t="shared" si="14"/>
        <v>1D</v>
      </c>
      <c r="X502" s="234">
        <f>_xll.qlCalendarAdvance(Calendar,X501,W502,"f",FALSE)</f>
        <v>42515</v>
      </c>
      <c r="Y502" s="237">
        <f>_xll.qlCalendarAdvance(Calendar,X502,NDays&amp;"D")</f>
        <v>42515</v>
      </c>
      <c r="Z502" s="238">
        <v>2.51856945702289E-2</v>
      </c>
      <c r="AA502" s="240">
        <v>2.2404256116480559E-2</v>
      </c>
    </row>
    <row r="503" spans="19:27" x14ac:dyDescent="0.2">
      <c r="S503" s="199"/>
      <c r="T503" s="200"/>
      <c r="W503" s="233" t="str">
        <f t="shared" si="14"/>
        <v>1D</v>
      </c>
      <c r="X503" s="234">
        <f>_xll.qlCalendarAdvance(Calendar,X502,W503,"f",FALSE)</f>
        <v>42516</v>
      </c>
      <c r="Y503" s="237">
        <f>_xll.qlCalendarAdvance(Calendar,X503,NDays&amp;"D")</f>
        <v>42516</v>
      </c>
      <c r="Z503" s="238">
        <v>2.5198400559413026E-2</v>
      </c>
      <c r="AA503" s="240">
        <v>2.2420570856319655E-2</v>
      </c>
    </row>
    <row r="504" spans="19:27" x14ac:dyDescent="0.2">
      <c r="S504" s="199"/>
      <c r="T504" s="200"/>
      <c r="W504" s="233" t="str">
        <f t="shared" si="14"/>
        <v>1D</v>
      </c>
      <c r="X504" s="234">
        <f>_xll.qlCalendarAdvance(Calendar,X503,W504,"f",FALSE)</f>
        <v>42517</v>
      </c>
      <c r="Y504" s="237">
        <f>_xll.qlCalendarAdvance(Calendar,X504,NDays&amp;"D")</f>
        <v>42517</v>
      </c>
      <c r="Z504" s="238">
        <v>2.5230892849339669E-2</v>
      </c>
      <c r="AA504" s="240">
        <v>2.2463573938814319E-2</v>
      </c>
    </row>
    <row r="505" spans="19:27" x14ac:dyDescent="0.2">
      <c r="S505" s="199"/>
      <c r="T505" s="200"/>
      <c r="W505" s="233" t="str">
        <f t="shared" si="14"/>
        <v>1D</v>
      </c>
      <c r="X505" s="234">
        <f>_xll.qlCalendarAdvance(Calendar,X504,W505,"f",FALSE)</f>
        <v>42521</v>
      </c>
      <c r="Y505" s="237">
        <f>_xll.qlCalendarAdvance(Calendar,X505,NDays&amp;"D")</f>
        <v>42521</v>
      </c>
      <c r="Z505" s="238">
        <v>2.5261669916438301E-2</v>
      </c>
      <c r="AA505" s="240">
        <v>2.2502572903182472E-2</v>
      </c>
    </row>
    <row r="506" spans="19:27" x14ac:dyDescent="0.2">
      <c r="S506" s="199"/>
      <c r="T506" s="200"/>
      <c r="W506" s="233" t="str">
        <f t="shared" si="14"/>
        <v>1D</v>
      </c>
      <c r="X506" s="234">
        <f>_xll.qlCalendarAdvance(Calendar,X505,W506,"f",FALSE)</f>
        <v>42522</v>
      </c>
      <c r="Y506" s="237">
        <f>_xll.qlCalendarAdvance(Calendar,X506,NDays&amp;"D")</f>
        <v>42522</v>
      </c>
      <c r="Z506" s="238">
        <v>2.5274270968589585E-2</v>
      </c>
      <c r="AA506" s="240">
        <v>2.2519058982153339E-2</v>
      </c>
    </row>
    <row r="507" spans="19:27" x14ac:dyDescent="0.2">
      <c r="S507" s="199"/>
      <c r="T507" s="200"/>
      <c r="W507" s="233" t="str">
        <f t="shared" si="14"/>
        <v>1D</v>
      </c>
      <c r="X507" s="234">
        <f>_xll.qlCalendarAdvance(Calendar,X506,W507,"f",FALSE)</f>
        <v>42523</v>
      </c>
      <c r="Y507" s="237">
        <f>_xll.qlCalendarAdvance(Calendar,X507,NDays&amp;"D")</f>
        <v>42523</v>
      </c>
      <c r="Z507" s="238">
        <v>2.5286854180478713E-2</v>
      </c>
      <c r="AA507" s="240">
        <v>2.2535573617619153E-2</v>
      </c>
    </row>
    <row r="508" spans="19:27" x14ac:dyDescent="0.2">
      <c r="S508" s="199"/>
      <c r="T508" s="200"/>
      <c r="W508" s="233" t="str">
        <f t="shared" si="14"/>
        <v>1D</v>
      </c>
      <c r="X508" s="234">
        <f>_xll.qlCalendarAdvance(Calendar,X507,W508,"f",FALSE)</f>
        <v>42524</v>
      </c>
      <c r="Y508" s="237">
        <f>_xll.qlCalendarAdvance(Calendar,X508,NDays&amp;"D")</f>
        <v>42524</v>
      </c>
      <c r="Z508" s="238">
        <v>2.5312550009959928E-2</v>
      </c>
      <c r="AA508" s="240">
        <v>2.2570093574468451E-2</v>
      </c>
    </row>
    <row r="509" spans="19:27" x14ac:dyDescent="0.2">
      <c r="S509" s="199"/>
      <c r="T509" s="200"/>
      <c r="W509" s="233" t="str">
        <f t="shared" si="14"/>
        <v>1D</v>
      </c>
      <c r="X509" s="234">
        <f>_xll.qlCalendarAdvance(Calendar,X508,W509,"f",FALSE)</f>
        <v>42527</v>
      </c>
      <c r="Y509" s="237">
        <f>_xll.qlCalendarAdvance(Calendar,X509,NDays&amp;"D")</f>
        <v>42527</v>
      </c>
      <c r="Z509" s="238">
        <v>2.5337006620827163E-2</v>
      </c>
      <c r="AA509" s="240">
        <v>2.2601917725080245E-2</v>
      </c>
    </row>
    <row r="510" spans="19:27" x14ac:dyDescent="0.2">
      <c r="S510" s="199"/>
      <c r="T510" s="200"/>
      <c r="W510" s="233" t="str">
        <f t="shared" si="14"/>
        <v>1D</v>
      </c>
      <c r="X510" s="234">
        <f>_xll.qlCalendarAdvance(Calendar,X509,W510,"f",FALSE)</f>
        <v>42528</v>
      </c>
      <c r="Y510" s="237">
        <f>_xll.qlCalendarAdvance(Calendar,X510,NDays&amp;"D")</f>
        <v>42528</v>
      </c>
      <c r="Z510" s="238">
        <v>2.534949912792972E-2</v>
      </c>
      <c r="AA510" s="240">
        <v>2.261857514326393E-2</v>
      </c>
    </row>
    <row r="511" spans="19:27" x14ac:dyDescent="0.2">
      <c r="S511" s="199"/>
      <c r="T511" s="200"/>
      <c r="W511" s="233" t="str">
        <f t="shared" si="14"/>
        <v>1D</v>
      </c>
      <c r="X511" s="234">
        <f>_xll.qlCalendarAdvance(Calendar,X510,W511,"f",FALSE)</f>
        <v>42529</v>
      </c>
      <c r="Y511" s="237">
        <f>_xll.qlCalendarAdvance(Calendar,X511,NDays&amp;"D")</f>
        <v>42529</v>
      </c>
      <c r="Z511" s="238">
        <v>2.5361973193351872E-2</v>
      </c>
      <c r="AA511" s="240">
        <v>2.2635261118104655E-2</v>
      </c>
    </row>
    <row r="512" spans="19:27" x14ac:dyDescent="0.2">
      <c r="S512" s="199"/>
      <c r="T512" s="200"/>
      <c r="W512" s="233" t="str">
        <f t="shared" si="14"/>
        <v>1D</v>
      </c>
      <c r="X512" s="234">
        <f>_xll.qlCalendarAdvance(Calendar,X511,W512,"f",FALSE)</f>
        <v>42530</v>
      </c>
      <c r="Y512" s="237">
        <f>_xll.qlCalendarAdvance(Calendar,X512,NDays&amp;"D")</f>
        <v>42530</v>
      </c>
      <c r="Z512" s="238">
        <v>2.5374428716843367E-2</v>
      </c>
      <c r="AA512" s="240">
        <v>2.2651975649440326E-2</v>
      </c>
    </row>
    <row r="513" spans="19:27" x14ac:dyDescent="0.2">
      <c r="S513" s="199"/>
      <c r="T513" s="200"/>
      <c r="W513" s="233" t="str">
        <f t="shared" si="14"/>
        <v>1D</v>
      </c>
      <c r="X513" s="234">
        <f>_xll.qlCalendarAdvance(Calendar,X512,W513,"f",FALSE)</f>
        <v>42531</v>
      </c>
      <c r="Y513" s="237">
        <f>_xll.qlCalendarAdvance(Calendar,X513,NDays&amp;"D")</f>
        <v>42531</v>
      </c>
      <c r="Z513" s="238">
        <v>2.5399925034673407E-2</v>
      </c>
      <c r="AA513" s="240">
        <v>2.268690988021627E-2</v>
      </c>
    </row>
    <row r="514" spans="19:27" x14ac:dyDescent="0.2">
      <c r="S514" s="199"/>
      <c r="T514" s="200"/>
      <c r="W514" s="233" t="str">
        <f t="shared" si="14"/>
        <v>1D</v>
      </c>
      <c r="X514" s="234">
        <f>_xll.qlCalendarAdvance(Calendar,X513,W514,"f",FALSE)</f>
        <v>42534</v>
      </c>
      <c r="Y514" s="237">
        <f>_xll.qlCalendarAdvance(Calendar,X514,NDays&amp;"D")</f>
        <v>42534</v>
      </c>
      <c r="Z514" s="238">
        <v>2.5424063386370488E-2</v>
      </c>
      <c r="AA514" s="240">
        <v>2.271911934070503E-2</v>
      </c>
    </row>
    <row r="515" spans="19:27" x14ac:dyDescent="0.2">
      <c r="S515" s="199"/>
      <c r="T515" s="200"/>
      <c r="W515" s="233" t="str">
        <f t="shared" si="14"/>
        <v>1D</v>
      </c>
      <c r="X515" s="234">
        <f>_xll.qlCalendarAdvance(Calendar,X514,W515,"f",FALSE)</f>
        <v>42535</v>
      </c>
      <c r="Y515" s="237">
        <f>_xll.qlCalendarAdvance(Calendar,X515,NDays&amp;"D")</f>
        <v>42535</v>
      </c>
      <c r="Z515" s="238">
        <v>2.5436424696325455E-2</v>
      </c>
      <c r="AA515" s="240">
        <v>2.2735976655001711E-2</v>
      </c>
    </row>
    <row r="516" spans="19:27" x14ac:dyDescent="0.2">
      <c r="S516" s="199"/>
      <c r="T516" s="200"/>
      <c r="W516" s="233" t="str">
        <f t="shared" si="14"/>
        <v>1D</v>
      </c>
      <c r="X516" s="234">
        <f>_xll.qlCalendarAdvance(Calendar,X515,W516,"f",FALSE)</f>
        <v>42536</v>
      </c>
      <c r="Y516" s="237">
        <f>_xll.qlCalendarAdvance(Calendar,X516,NDays&amp;"D")</f>
        <v>42536</v>
      </c>
      <c r="Z516" s="238">
        <v>2.5448766862769645E-2</v>
      </c>
      <c r="AA516" s="240">
        <v>2.2752862525793338E-2</v>
      </c>
    </row>
    <row r="517" spans="19:27" x14ac:dyDescent="0.2">
      <c r="S517" s="199"/>
      <c r="T517" s="200"/>
      <c r="W517" s="233" t="str">
        <f t="shared" si="14"/>
        <v>1D</v>
      </c>
      <c r="X517" s="234">
        <f>_xll.qlCalendarAdvance(Calendar,X516,W517,"f",FALSE)</f>
        <v>42537</v>
      </c>
      <c r="Y517" s="237">
        <f>_xll.qlCalendarAdvance(Calendar,X517,NDays&amp;"D")</f>
        <v>42537</v>
      </c>
      <c r="Z517" s="238">
        <v>2.5461089785426827E-2</v>
      </c>
      <c r="AA517" s="240">
        <v>2.2769776953323051E-2</v>
      </c>
    </row>
    <row r="518" spans="19:27" x14ac:dyDescent="0.2">
      <c r="S518" s="199"/>
      <c r="T518" s="200"/>
      <c r="W518" s="233" t="str">
        <f t="shared" si="14"/>
        <v>1D</v>
      </c>
      <c r="X518" s="234">
        <f>_xll.qlCalendarAdvance(Calendar,X517,W518,"f",FALSE)</f>
        <v>42538</v>
      </c>
      <c r="Y518" s="237">
        <f>_xll.qlCalendarAdvance(Calendar,X518,NDays&amp;"D")</f>
        <v>42538</v>
      </c>
      <c r="Z518" s="238">
        <v>2.5486384727715319E-2</v>
      </c>
      <c r="AA518" s="240">
        <v>2.2805125707837291E-2</v>
      </c>
    </row>
    <row r="519" spans="19:27" x14ac:dyDescent="0.2">
      <c r="S519" s="199"/>
      <c r="T519" s="200"/>
      <c r="W519" s="233" t="str">
        <f t="shared" si="14"/>
        <v>1D</v>
      </c>
      <c r="X519" s="234">
        <f>_xll.qlCalendarAdvance(Calendar,X518,W519,"f",FALSE)</f>
        <v>42541</v>
      </c>
      <c r="Y519" s="237">
        <f>_xll.qlCalendarAdvance(Calendar,X519,NDays&amp;"D")</f>
        <v>42541</v>
      </c>
      <c r="Z519" s="238">
        <v>2.551018703252339E-2</v>
      </c>
      <c r="AA519" s="240">
        <v>2.2837720229120784E-2</v>
      </c>
    </row>
    <row r="520" spans="19:27" x14ac:dyDescent="0.2">
      <c r="S520" s="199"/>
      <c r="T520" s="200"/>
      <c r="W520" s="233" t="str">
        <f t="shared" si="14"/>
        <v>1D</v>
      </c>
      <c r="X520" s="234">
        <f>_xll.qlCalendarAdvance(Calendar,X519,W520,"f",FALSE)</f>
        <v>42542</v>
      </c>
      <c r="Y520" s="237">
        <f>_xll.qlCalendarAdvance(Calendar,X520,NDays&amp;"D")</f>
        <v>42542</v>
      </c>
      <c r="Z520" s="238">
        <v>2.5522412231967717E-2</v>
      </c>
      <c r="AA520" s="240">
        <v>2.285477743953046E-2</v>
      </c>
    </row>
    <row r="521" spans="19:27" x14ac:dyDescent="0.2">
      <c r="S521" s="199"/>
      <c r="T521" s="200"/>
      <c r="W521" s="233" t="str">
        <f t="shared" si="14"/>
        <v>1D</v>
      </c>
      <c r="X521" s="234">
        <f>_xll.qlCalendarAdvance(Calendar,X520,W521,"f",FALSE)</f>
        <v>42543</v>
      </c>
      <c r="Y521" s="237">
        <f>_xll.qlCalendarAdvance(Calendar,X521,NDays&amp;"D")</f>
        <v>42543</v>
      </c>
      <c r="Z521" s="238">
        <v>2.5534617585888375E-2</v>
      </c>
      <c r="AA521" s="240">
        <v>2.2871863206678222E-2</v>
      </c>
    </row>
    <row r="522" spans="19:27" x14ac:dyDescent="0.2">
      <c r="S522" s="199"/>
      <c r="T522" s="200"/>
      <c r="W522" s="233" t="str">
        <f t="shared" si="14"/>
        <v>1D</v>
      </c>
      <c r="X522" s="234">
        <f>_xll.qlCalendarAdvance(Calendar,X521,W522,"f",FALSE)</f>
        <v>42544</v>
      </c>
      <c r="Y522" s="237">
        <f>_xll.qlCalendarAdvance(Calendar,X522,NDays&amp;"D")</f>
        <v>42544</v>
      </c>
      <c r="Z522" s="238">
        <v>2.5546802993983597E-2</v>
      </c>
      <c r="AA522" s="240">
        <v>2.2888977530401977E-2</v>
      </c>
    </row>
    <row r="523" spans="19:27" x14ac:dyDescent="0.2">
      <c r="S523" s="199"/>
      <c r="T523" s="200"/>
      <c r="W523" s="233" t="str">
        <f t="shared" si="14"/>
        <v>1D</v>
      </c>
      <c r="X523" s="234">
        <f>_xll.qlCalendarAdvance(Calendar,X522,W523,"f",FALSE)</f>
        <v>42545</v>
      </c>
      <c r="Y523" s="237">
        <f>_xll.qlCalendarAdvance(Calendar,X523,NDays&amp;"D")</f>
        <v>42545</v>
      </c>
      <c r="Z523" s="238">
        <v>2.557189487635356E-2</v>
      </c>
      <c r="AA523" s="240">
        <v>2.2924741061491897E-2</v>
      </c>
    </row>
    <row r="524" spans="19:27" x14ac:dyDescent="0.2">
      <c r="S524" s="199"/>
      <c r="T524" s="200"/>
      <c r="W524" s="233" t="str">
        <f t="shared" si="14"/>
        <v>1D</v>
      </c>
      <c r="X524" s="234">
        <f>_xll.qlCalendarAdvance(Calendar,X523,W524,"f",FALSE)</f>
        <v>42548</v>
      </c>
      <c r="Y524" s="237">
        <f>_xll.qlCalendarAdvance(Calendar,X524,NDays&amp;"D")</f>
        <v>42548</v>
      </c>
      <c r="Z524" s="238">
        <v>2.5595343161942896E-2</v>
      </c>
      <c r="AA524" s="240">
        <v>2.2957720391543202E-2</v>
      </c>
    </row>
    <row r="525" spans="19:27" x14ac:dyDescent="0.2">
      <c r="S525" s="199"/>
      <c r="T525" s="200"/>
      <c r="W525" s="233" t="str">
        <f t="shared" si="14"/>
        <v>1D</v>
      </c>
      <c r="X525" s="234">
        <f>_xll.qlCalendarAdvance(Calendar,X524,W525,"f",FALSE)</f>
        <v>42549</v>
      </c>
      <c r="Y525" s="237">
        <f>_xll.qlCalendarAdvance(Calendar,X525,NDays&amp;"D")</f>
        <v>42549</v>
      </c>
      <c r="Z525" s="238">
        <v>2.5607427336254984E-2</v>
      </c>
      <c r="AA525" s="240">
        <v>2.2974977498390059E-2</v>
      </c>
    </row>
    <row r="526" spans="19:27" x14ac:dyDescent="0.2">
      <c r="S526" s="199"/>
      <c r="T526" s="200"/>
      <c r="W526" s="233" t="str">
        <f t="shared" si="14"/>
        <v>1D</v>
      </c>
      <c r="X526" s="234">
        <f>_xll.qlCalendarAdvance(Calendar,X525,W526,"f",FALSE)</f>
        <v>42550</v>
      </c>
      <c r="Y526" s="237">
        <f>_xll.qlCalendarAdvance(Calendar,X526,NDays&amp;"D")</f>
        <v>42550</v>
      </c>
      <c r="Z526" s="238">
        <v>2.5619490962854874E-2</v>
      </c>
      <c r="AA526" s="240">
        <v>2.2992248309352536E-2</v>
      </c>
    </row>
    <row r="527" spans="19:27" x14ac:dyDescent="0.2">
      <c r="S527" s="199"/>
      <c r="T527" s="200"/>
      <c r="W527" s="233" t="str">
        <f t="shared" si="14"/>
        <v>1D</v>
      </c>
      <c r="X527" s="234">
        <f>_xll.qlCalendarAdvance(Calendar,X526,W527,"f",FALSE)</f>
        <v>42551</v>
      </c>
      <c r="Y527" s="237">
        <f>_xll.qlCalendarAdvance(Calendar,X527,NDays&amp;"D")</f>
        <v>42551</v>
      </c>
      <c r="Z527" s="238">
        <v>2.5631533983147881E-2</v>
      </c>
      <c r="AA527" s="240">
        <v>2.300947341377868E-2</v>
      </c>
    </row>
    <row r="528" spans="19:27" x14ac:dyDescent="0.2">
      <c r="S528" s="199"/>
      <c r="T528" s="200"/>
      <c r="W528" s="233" t="str">
        <f t="shared" si="14"/>
        <v>1D</v>
      </c>
      <c r="X528" s="234">
        <f>_xll.qlCalendarAdvance(Calendar,X527,W528,"f",FALSE)</f>
        <v>42552</v>
      </c>
      <c r="Y528" s="237">
        <f>_xll.qlCalendarAdvance(Calendar,X528,NDays&amp;"D")</f>
        <v>42552</v>
      </c>
      <c r="Z528" s="238">
        <v>2.5656421591145662E-2</v>
      </c>
      <c r="AA528" s="240">
        <v>2.3045176619960566E-2</v>
      </c>
    </row>
    <row r="529" spans="19:27" x14ac:dyDescent="0.2">
      <c r="S529" s="199"/>
      <c r="T529" s="200"/>
      <c r="W529" s="233" t="str">
        <f t="shared" si="14"/>
        <v>1D</v>
      </c>
      <c r="X529" s="234">
        <f>_xll.qlCalendarAdvance(Calendar,X528,W529,"f",FALSE)</f>
        <v>42555</v>
      </c>
      <c r="Y529" s="237">
        <f>_xll.qlCalendarAdvance(Calendar,X529,NDays&amp;"D")</f>
        <v>42555</v>
      </c>
      <c r="Z529" s="238">
        <v>2.5679502585418845E-2</v>
      </c>
      <c r="AA529" s="240">
        <v>2.307776824094887E-2</v>
      </c>
    </row>
    <row r="530" spans="19:27" x14ac:dyDescent="0.2">
      <c r="S530" s="199"/>
      <c r="T530" s="200"/>
      <c r="W530" s="233" t="str">
        <f t="shared" si="14"/>
        <v>1D</v>
      </c>
      <c r="X530" s="234">
        <f>_xll.qlCalendarAdvance(Calendar,X529,W530,"f",FALSE)</f>
        <v>42556</v>
      </c>
      <c r="Y530" s="237">
        <f>_xll.qlCalendarAdvance(Calendar,X530,NDays&amp;"D")</f>
        <v>42556</v>
      </c>
      <c r="Z530" s="238">
        <v>2.5691444616702697E-2</v>
      </c>
      <c r="AA530" s="240">
        <v>2.3094690549986252E-2</v>
      </c>
    </row>
    <row r="531" spans="19:27" x14ac:dyDescent="0.2">
      <c r="S531" s="199"/>
      <c r="T531" s="200"/>
      <c r="W531" s="233" t="str">
        <f t="shared" si="14"/>
        <v>1D</v>
      </c>
      <c r="X531" s="234">
        <f>_xll.qlCalendarAdvance(Calendar,X530,W531,"f",FALSE)</f>
        <v>42557</v>
      </c>
      <c r="Y531" s="237">
        <f>_xll.qlCalendarAdvance(Calendar,X531,NDays&amp;"D")</f>
        <v>42557</v>
      </c>
      <c r="Z531" s="238">
        <v>2.5703366900478697E-2</v>
      </c>
      <c r="AA531" s="240">
        <v>2.3111552299945881E-2</v>
      </c>
    </row>
    <row r="532" spans="19:27" x14ac:dyDescent="0.2">
      <c r="S532" s="199"/>
      <c r="T532" s="200"/>
      <c r="W532" s="233" t="str">
        <f t="shared" si="14"/>
        <v>1D</v>
      </c>
      <c r="X532" s="234">
        <f>_xll.qlCalendarAdvance(Calendar,X531,W532,"f",FALSE)</f>
        <v>42558</v>
      </c>
      <c r="Y532" s="237">
        <f>_xll.qlCalendarAdvance(Calendar,X532,NDays&amp;"D")</f>
        <v>42558</v>
      </c>
      <c r="Z532" s="238">
        <v>2.5715269586863654E-2</v>
      </c>
      <c r="AA532" s="240">
        <v>2.3128353490827758E-2</v>
      </c>
    </row>
    <row r="533" spans="19:27" x14ac:dyDescent="0.2">
      <c r="S533" s="199"/>
      <c r="T533" s="200"/>
      <c r="W533" s="233" t="str">
        <f t="shared" ref="W533:W596" si="15">W532</f>
        <v>1D</v>
      </c>
      <c r="X533" s="234">
        <f>_xll.qlCalendarAdvance(Calendar,X532,W533,"f",FALSE)</f>
        <v>42559</v>
      </c>
      <c r="Y533" s="237">
        <f>_xll.qlCalendarAdvance(Calendar,X533,NDays&amp;"D")</f>
        <v>42559</v>
      </c>
      <c r="Z533" s="238">
        <v>2.5739959910333638E-2</v>
      </c>
      <c r="AA533" s="240">
        <v>2.3163223811721499E-2</v>
      </c>
    </row>
    <row r="534" spans="19:27" x14ac:dyDescent="0.2">
      <c r="S534" s="199"/>
      <c r="T534" s="200"/>
      <c r="W534" s="233" t="str">
        <f t="shared" si="15"/>
        <v>1D</v>
      </c>
      <c r="X534" s="234">
        <f>_xll.qlCalendarAdvance(Calendar,X533,W534,"f",FALSE)</f>
        <v>42562</v>
      </c>
      <c r="Y534" s="237">
        <f>_xll.qlCalendarAdvance(Calendar,X534,NDays&amp;"D")</f>
        <v>42562</v>
      </c>
      <c r="Z534" s="238">
        <v>2.5762687361119641E-2</v>
      </c>
      <c r="AA534" s="240">
        <v>2.3194952662767276E-2</v>
      </c>
    </row>
    <row r="535" spans="19:27" x14ac:dyDescent="0.2">
      <c r="S535" s="199"/>
      <c r="T535" s="200"/>
      <c r="W535" s="233" t="str">
        <f t="shared" si="15"/>
        <v>1D</v>
      </c>
      <c r="X535" s="234">
        <f>_xll.qlCalendarAdvance(Calendar,X534,W535,"f",FALSE)</f>
        <v>42563</v>
      </c>
      <c r="Y535" s="237">
        <f>_xll.qlCalendarAdvance(Calendar,X535,NDays&amp;"D")</f>
        <v>42563</v>
      </c>
      <c r="Z535" s="238">
        <v>2.5774494312589491E-2</v>
      </c>
      <c r="AA535" s="240">
        <v>2.3211451057936205E-2</v>
      </c>
    </row>
    <row r="536" spans="19:27" x14ac:dyDescent="0.2">
      <c r="S536" s="199"/>
      <c r="T536" s="200"/>
      <c r="W536" s="233" t="str">
        <f t="shared" si="15"/>
        <v>1D</v>
      </c>
      <c r="X536" s="234">
        <f>_xll.qlCalendarAdvance(Calendar,X535,W536,"f",FALSE)</f>
        <v>42564</v>
      </c>
      <c r="Y536" s="237">
        <f>_xll.qlCalendarAdvance(Calendar,X536,NDays&amp;"D")</f>
        <v>42564</v>
      </c>
      <c r="Z536" s="238">
        <v>2.5786282567540342E-2</v>
      </c>
      <c r="AA536" s="240">
        <v>2.3227888893865289E-2</v>
      </c>
    </row>
    <row r="537" spans="19:27" x14ac:dyDescent="0.2">
      <c r="S537" s="199"/>
      <c r="T537" s="200"/>
      <c r="W537" s="233" t="s">
        <v>164</v>
      </c>
      <c r="X537" s="234">
        <f>_xll.qlCalendarAdvance(Calendar,X536,W537,"f",FALSE)</f>
        <v>42571</v>
      </c>
      <c r="Y537" s="237">
        <f>_xll.qlCalendarAdvance(Calendar,X537,NDays&amp;"D")</f>
        <v>42571</v>
      </c>
      <c r="Z537" s="238">
        <v>2.5868289465228456E-2</v>
      </c>
      <c r="AA537" s="240">
        <v>2.3341258088355188E-2</v>
      </c>
    </row>
    <row r="538" spans="19:27" x14ac:dyDescent="0.2">
      <c r="S538" s="199"/>
      <c r="T538" s="200"/>
      <c r="W538" s="233" t="str">
        <f t="shared" si="15"/>
        <v>1w</v>
      </c>
      <c r="X538" s="234">
        <f>_xll.qlCalendarAdvance(Calendar,X537,W538,"f",FALSE)</f>
        <v>42578</v>
      </c>
      <c r="Y538" s="237">
        <f>_xll.qlCalendarAdvance(Calendar,X538,NDays&amp;"D")</f>
        <v>42578</v>
      </c>
      <c r="Z538" s="238">
        <v>2.5949439113783113E-2</v>
      </c>
      <c r="AA538" s="240">
        <v>2.3451659880416864E-2</v>
      </c>
    </row>
    <row r="539" spans="19:27" x14ac:dyDescent="0.2">
      <c r="S539" s="199"/>
      <c r="T539" s="200"/>
      <c r="W539" s="233" t="str">
        <f t="shared" si="15"/>
        <v>1w</v>
      </c>
      <c r="X539" s="234">
        <f>_xll.qlCalendarAdvance(Calendar,X538,W539,"f",FALSE)</f>
        <v>42585</v>
      </c>
      <c r="Y539" s="237">
        <f>_xll.qlCalendarAdvance(Calendar,X539,NDays&amp;"D")</f>
        <v>42585</v>
      </c>
      <c r="Z539" s="238">
        <v>2.6029783052052835E-2</v>
      </c>
      <c r="AA539" s="240">
        <v>2.3559094267537883E-2</v>
      </c>
    </row>
    <row r="540" spans="19:27" x14ac:dyDescent="0.2">
      <c r="S540" s="199"/>
      <c r="T540" s="200"/>
      <c r="W540" s="233" t="str">
        <f t="shared" si="15"/>
        <v>1w</v>
      </c>
      <c r="X540" s="234">
        <f>_xll.qlCalendarAdvance(Calendar,X539,W540,"f",FALSE)</f>
        <v>42592</v>
      </c>
      <c r="Y540" s="237">
        <f>_xll.qlCalendarAdvance(Calendar,X540,NDays&amp;"D")</f>
        <v>42592</v>
      </c>
      <c r="Z540" s="238">
        <v>2.6109372837074929E-2</v>
      </c>
      <c r="AA540" s="240">
        <v>2.3663561247124765E-2</v>
      </c>
    </row>
    <row r="541" spans="19:27" x14ac:dyDescent="0.2">
      <c r="S541" s="199"/>
      <c r="T541" s="200"/>
      <c r="W541" s="233" t="str">
        <f t="shared" si="15"/>
        <v>1w</v>
      </c>
      <c r="X541" s="234">
        <f>_xll.qlCalendarAdvance(Calendar,X540,W541,"f",FALSE)</f>
        <v>42599</v>
      </c>
      <c r="Y541" s="237">
        <f>_xll.qlCalendarAdvance(Calendar,X541,NDays&amp;"D")</f>
        <v>42599</v>
      </c>
      <c r="Z541" s="238">
        <v>2.6188260043683576E-2</v>
      </c>
      <c r="AA541" s="240">
        <v>2.3765060816502981E-2</v>
      </c>
    </row>
    <row r="542" spans="19:27" x14ac:dyDescent="0.2">
      <c r="S542" s="199"/>
      <c r="T542" s="200"/>
      <c r="W542" s="233" t="str">
        <f t="shared" si="15"/>
        <v>1w</v>
      </c>
      <c r="X542" s="234">
        <f>_xll.qlCalendarAdvance(Calendar,X541,W542,"f",FALSE)</f>
        <v>42606</v>
      </c>
      <c r="Y542" s="237">
        <f>_xll.qlCalendarAdvance(Calendar,X542,NDays&amp;"D")</f>
        <v>42606</v>
      </c>
      <c r="Z542" s="238">
        <v>2.6266496264142569E-2</v>
      </c>
      <c r="AA542" s="240">
        <v>2.386359297332219E-2</v>
      </c>
    </row>
    <row r="543" spans="19:27" x14ac:dyDescent="0.2">
      <c r="S543" s="199"/>
      <c r="T543" s="200"/>
      <c r="W543" s="233" t="str">
        <f t="shared" si="15"/>
        <v>1w</v>
      </c>
      <c r="X543" s="234">
        <f>_xll.qlCalendarAdvance(Calendar,X542,W543,"f",FALSE)</f>
        <v>42613</v>
      </c>
      <c r="Y543" s="237">
        <f>_xll.qlCalendarAdvance(Calendar,X543,NDays&amp;"D")</f>
        <v>42613</v>
      </c>
      <c r="Z543" s="238">
        <v>2.6344133107804701E-2</v>
      </c>
      <c r="AA543" s="240">
        <v>2.3959157715069956E-2</v>
      </c>
    </row>
    <row r="544" spans="19:27" x14ac:dyDescent="0.2">
      <c r="S544" s="199"/>
      <c r="T544" s="200"/>
      <c r="W544" s="233" t="str">
        <f t="shared" si="15"/>
        <v>1w</v>
      </c>
      <c r="X544" s="234">
        <f>_xll.qlCalendarAdvance(Calendar,X543,W544,"f",FALSE)</f>
        <v>42620</v>
      </c>
      <c r="Y544" s="237">
        <f>_xll.qlCalendarAdvance(Calendar,X544,NDays&amp;"D")</f>
        <v>42620</v>
      </c>
      <c r="Z544" s="238">
        <v>2.6421222200797345E-2</v>
      </c>
      <c r="AA544" s="240">
        <v>2.4051755039476985E-2</v>
      </c>
    </row>
    <row r="545" spans="19:27" x14ac:dyDescent="0.2">
      <c r="S545" s="199"/>
      <c r="T545" s="200"/>
      <c r="W545" s="233" t="str">
        <f t="shared" si="15"/>
        <v>1w</v>
      </c>
      <c r="X545" s="234">
        <f>_xll.qlCalendarAdvance(Calendar,X544,W545,"f",FALSE)</f>
        <v>42627</v>
      </c>
      <c r="Y545" s="237">
        <f>_xll.qlCalendarAdvance(Calendar,X545,NDays&amp;"D")</f>
        <v>42627</v>
      </c>
      <c r="Z545" s="238">
        <v>2.6497815185733353E-2</v>
      </c>
      <c r="AA545" s="240">
        <v>2.414138494427398E-2</v>
      </c>
    </row>
    <row r="546" spans="19:27" x14ac:dyDescent="0.2">
      <c r="S546" s="199"/>
      <c r="T546" s="200"/>
      <c r="W546" s="233" t="str">
        <f t="shared" si="15"/>
        <v>1w</v>
      </c>
      <c r="X546" s="234">
        <f>_xll.qlCalendarAdvance(Calendar,X545,W546,"f",FALSE)</f>
        <v>42634</v>
      </c>
      <c r="Y546" s="237">
        <f>_xll.qlCalendarAdvance(Calendar,X546,NDays&amp;"D")</f>
        <v>42634</v>
      </c>
      <c r="Z546" s="238">
        <v>2.6573963721447269E-2</v>
      </c>
      <c r="AA546" s="240">
        <v>2.4228047427272692E-2</v>
      </c>
    </row>
    <row r="547" spans="19:27" x14ac:dyDescent="0.2">
      <c r="S547" s="199"/>
      <c r="T547" s="200"/>
      <c r="W547" s="233" t="str">
        <f t="shared" si="15"/>
        <v>1w</v>
      </c>
      <c r="X547" s="234">
        <f>_xll.qlCalendarAdvance(Calendar,X546,W547,"f",FALSE)</f>
        <v>42641</v>
      </c>
      <c r="Y547" s="237">
        <f>_xll.qlCalendarAdvance(Calendar,X547,NDays&amp;"D")</f>
        <v>42641</v>
      </c>
      <c r="Z547" s="238">
        <v>2.6649719482759959E-2</v>
      </c>
      <c r="AA547" s="240">
        <v>2.4311751431038697E-2</v>
      </c>
    </row>
    <row r="548" spans="19:27" x14ac:dyDescent="0.2">
      <c r="S548" s="199"/>
      <c r="T548" s="200"/>
      <c r="W548" s="233" t="str">
        <f t="shared" si="15"/>
        <v>1w</v>
      </c>
      <c r="X548" s="234">
        <f>_xll.qlCalendarAdvance(Calendar,X547,W548,"f",FALSE)</f>
        <v>42648</v>
      </c>
      <c r="Y548" s="237">
        <f>_xll.qlCalendarAdvance(Calendar,X548,NDays&amp;"D")</f>
        <v>42648</v>
      </c>
      <c r="Z548" s="238">
        <v>2.6725125530536298E-2</v>
      </c>
      <c r="AA548" s="240">
        <v>2.4393981791109853E-2</v>
      </c>
    </row>
    <row r="549" spans="19:27" x14ac:dyDescent="0.2">
      <c r="S549" s="199"/>
      <c r="T549" s="200"/>
      <c r="W549" s="233" t="str">
        <f t="shared" si="15"/>
        <v>1w</v>
      </c>
      <c r="X549" s="234">
        <f>_xll.qlCalendarAdvance(Calendar,X548,W549,"f",FALSE)</f>
        <v>42655</v>
      </c>
      <c r="Y549" s="237">
        <f>_xll.qlCalendarAdvance(Calendar,X549,NDays&amp;"D")</f>
        <v>42655</v>
      </c>
      <c r="Z549" s="238">
        <v>2.6800190417260339E-2</v>
      </c>
      <c r="AA549" s="240">
        <v>2.4475874496733274E-2</v>
      </c>
    </row>
    <row r="550" spans="19:27" x14ac:dyDescent="0.2">
      <c r="S550" s="199"/>
      <c r="T550" s="200"/>
      <c r="W550" s="233" t="str">
        <f t="shared" si="15"/>
        <v>1w</v>
      </c>
      <c r="X550" s="234">
        <f>_xll.qlCalendarAdvance(Calendar,X549,W550,"f",FALSE)</f>
        <v>42662</v>
      </c>
      <c r="Y550" s="237">
        <f>_xll.qlCalendarAdvance(Calendar,X550,NDays&amp;"D")</f>
        <v>42662</v>
      </c>
      <c r="Z550" s="238">
        <v>2.6874914067296363E-2</v>
      </c>
      <c r="AA550" s="240">
        <v>2.4557429547584775E-2</v>
      </c>
    </row>
    <row r="551" spans="19:27" x14ac:dyDescent="0.2">
      <c r="S551" s="199"/>
      <c r="T551" s="200"/>
      <c r="W551" s="233" t="str">
        <f t="shared" si="15"/>
        <v>1w</v>
      </c>
      <c r="X551" s="234">
        <f>_xll.qlCalendarAdvance(Calendar,X550,W551,"f",FALSE)</f>
        <v>42669</v>
      </c>
      <c r="Y551" s="237">
        <f>_xll.qlCalendarAdvance(Calendar,X551,NDays&amp;"D")</f>
        <v>42669</v>
      </c>
      <c r="Z551" s="238">
        <v>2.6949296405348155E-2</v>
      </c>
      <c r="AA551" s="240">
        <v>2.4638646943583309E-2</v>
      </c>
    </row>
    <row r="552" spans="19:27" x14ac:dyDescent="0.2">
      <c r="S552" s="199"/>
      <c r="T552" s="200"/>
      <c r="W552" s="233" t="str">
        <f t="shared" si="15"/>
        <v>1w</v>
      </c>
      <c r="X552" s="234">
        <f>_xll.qlCalendarAdvance(Calendar,X551,W552,"f",FALSE)</f>
        <v>42676</v>
      </c>
      <c r="Y552" s="237">
        <f>_xll.qlCalendarAdvance(Calendar,X552,NDays&amp;"D")</f>
        <v>42676</v>
      </c>
      <c r="Z552" s="238">
        <v>2.7023337356460786E-2</v>
      </c>
      <c r="AA552" s="240">
        <v>2.4719526684323645E-2</v>
      </c>
    </row>
    <row r="553" spans="19:27" x14ac:dyDescent="0.2">
      <c r="S553" s="199"/>
      <c r="T553" s="200"/>
      <c r="W553" s="233" t="str">
        <f t="shared" si="15"/>
        <v>1w</v>
      </c>
      <c r="X553" s="234">
        <f>_xll.qlCalendarAdvance(Calendar,X552,W553,"f",FALSE)</f>
        <v>42683</v>
      </c>
      <c r="Y553" s="237">
        <f>_xll.qlCalendarAdvance(Calendar,X553,NDays&amp;"D")</f>
        <v>42683</v>
      </c>
      <c r="Z553" s="238">
        <v>2.7097036846019051E-2</v>
      </c>
      <c r="AA553" s="240">
        <v>2.4800068769643691E-2</v>
      </c>
    </row>
    <row r="554" spans="19:27" x14ac:dyDescent="0.2">
      <c r="S554" s="199"/>
      <c r="T554" s="200"/>
      <c r="W554" s="233" t="str">
        <f t="shared" si="15"/>
        <v>1w</v>
      </c>
      <c r="X554" s="234">
        <f>_xll.qlCalendarAdvance(Calendar,X553,W554,"f",FALSE)</f>
        <v>42690</v>
      </c>
      <c r="Y554" s="237">
        <f>_xll.qlCalendarAdvance(Calendar,X554,NDays&amp;"D")</f>
        <v>42690</v>
      </c>
      <c r="Z554" s="238">
        <v>2.7170394799748365E-2</v>
      </c>
      <c r="AA554" s="240">
        <v>2.4880273199381353E-2</v>
      </c>
    </row>
    <row r="555" spans="19:27" x14ac:dyDescent="0.2">
      <c r="S555" s="199"/>
      <c r="T555" s="200"/>
      <c r="W555" s="233" t="str">
        <f t="shared" si="15"/>
        <v>1w</v>
      </c>
      <c r="X555" s="234">
        <f>_xll.qlCalendarAdvance(Calendar,X554,W555,"f",FALSE)</f>
        <v>42697</v>
      </c>
      <c r="Y555" s="237">
        <f>_xll.qlCalendarAdvance(Calendar,X555,NDays&amp;"D")</f>
        <v>42697</v>
      </c>
      <c r="Z555" s="238">
        <v>2.7243411143715202E-2</v>
      </c>
      <c r="AA555" s="240">
        <v>2.496013997337454E-2</v>
      </c>
    </row>
    <row r="556" spans="19:27" x14ac:dyDescent="0.2">
      <c r="S556" s="199"/>
      <c r="T556" s="200"/>
      <c r="W556" s="233" t="str">
        <f t="shared" si="15"/>
        <v>1w</v>
      </c>
      <c r="X556" s="234">
        <f>_xll.qlCalendarAdvance(Calendar,X555,W556,"f",FALSE)</f>
        <v>42704</v>
      </c>
      <c r="Y556" s="237">
        <f>_xll.qlCalendarAdvance(Calendar,X556,NDays&amp;"D")</f>
        <v>42704</v>
      </c>
      <c r="Z556" s="238">
        <v>2.7316085804326207E-2</v>
      </c>
      <c r="AA556" s="240">
        <v>2.5039669091136973E-2</v>
      </c>
    </row>
    <row r="557" spans="19:27" x14ac:dyDescent="0.2">
      <c r="S557" s="199"/>
      <c r="T557" s="200"/>
      <c r="W557" s="233" t="str">
        <f t="shared" si="15"/>
        <v>1w</v>
      </c>
      <c r="X557" s="234">
        <f>_xll.qlCalendarAdvance(Calendar,X556,W557,"f",FALSE)</f>
        <v>42711</v>
      </c>
      <c r="Y557" s="237">
        <f>_xll.qlCalendarAdvance(Calendar,X557,NDays&amp;"D")</f>
        <v>42711</v>
      </c>
      <c r="Z557" s="238">
        <v>2.7388418708329532E-2</v>
      </c>
      <c r="AA557" s="240">
        <v>2.51188605527497E-2</v>
      </c>
    </row>
    <row r="558" spans="19:27" x14ac:dyDescent="0.2">
      <c r="S558" s="199"/>
      <c r="T558" s="200"/>
      <c r="W558" s="233" t="str">
        <f t="shared" si="15"/>
        <v>1w</v>
      </c>
      <c r="X558" s="234">
        <f>_xll.qlCalendarAdvance(Calendar,X557,W558,"f",FALSE)</f>
        <v>42718</v>
      </c>
      <c r="Y558" s="237">
        <f>_xll.qlCalendarAdvance(Calendar,X558,NDays&amp;"D")</f>
        <v>42718</v>
      </c>
      <c r="Z558" s="238">
        <v>2.7460409782813944E-2</v>
      </c>
      <c r="AA558" s="240">
        <v>2.5197714357807488E-2</v>
      </c>
    </row>
    <row r="559" spans="19:27" x14ac:dyDescent="0.2">
      <c r="S559" s="199"/>
      <c r="T559" s="200"/>
      <c r="W559" s="233" t="str">
        <f t="shared" si="15"/>
        <v>1w</v>
      </c>
      <c r="X559" s="234">
        <f>_xll.qlCalendarAdvance(Calendar,X558,W559,"f",FALSE)</f>
        <v>42725</v>
      </c>
      <c r="Y559" s="237">
        <f>_xll.qlCalendarAdvance(Calendar,X559,NDays&amp;"D")</f>
        <v>42725</v>
      </c>
      <c r="Z559" s="238">
        <v>2.7532058955209493E-2</v>
      </c>
      <c r="AA559" s="240">
        <v>2.5276230506148245E-2</v>
      </c>
    </row>
    <row r="560" spans="19:27" x14ac:dyDescent="0.2">
      <c r="S560" s="199"/>
      <c r="T560" s="200"/>
      <c r="W560" s="233" t="str">
        <f t="shared" si="15"/>
        <v>1w</v>
      </c>
      <c r="X560" s="234">
        <f>_xll.qlCalendarAdvance(Calendar,X559,W560,"f",FALSE)</f>
        <v>42732</v>
      </c>
      <c r="Y560" s="237">
        <f>_xll.qlCalendarAdvance(Calendar,X560,NDays&amp;"D")</f>
        <v>42732</v>
      </c>
      <c r="Z560" s="238">
        <v>2.760336615328729E-2</v>
      </c>
      <c r="AA560" s="240">
        <v>2.5354408997528832E-2</v>
      </c>
    </row>
    <row r="561" spans="19:27" x14ac:dyDescent="0.2">
      <c r="S561" s="199"/>
      <c r="T561" s="200"/>
      <c r="W561" s="233" t="str">
        <f t="shared" si="15"/>
        <v>1w</v>
      </c>
      <c r="X561" s="234">
        <f>_xll.qlCalendarAdvance(Calendar,X560,W561,"f",FALSE)</f>
        <v>42739</v>
      </c>
      <c r="Y561" s="237">
        <f>_xll.qlCalendarAdvance(Calendar,X561,NDays&amp;"D")</f>
        <v>42739</v>
      </c>
      <c r="Z561" s="238">
        <v>2.7674331305160171E-2</v>
      </c>
      <c r="AA561" s="240">
        <v>2.5432249831787157E-2</v>
      </c>
    </row>
    <row r="562" spans="19:27" x14ac:dyDescent="0.2">
      <c r="S562" s="199"/>
      <c r="T562" s="200"/>
      <c r="W562" s="233" t="str">
        <f t="shared" si="15"/>
        <v>1w</v>
      </c>
      <c r="X562" s="234">
        <f>_xll.qlCalendarAdvance(Calendar,X561,W562,"f",FALSE)</f>
        <v>42746</v>
      </c>
      <c r="Y562" s="237">
        <f>_xll.qlCalendarAdvance(Calendar,X562,NDays&amp;"D")</f>
        <v>42746</v>
      </c>
      <c r="Z562" s="238">
        <v>2.7744954339282257E-2</v>
      </c>
      <c r="AA562" s="240">
        <v>2.5509753008680081E-2</v>
      </c>
    </row>
    <row r="563" spans="19:27" x14ac:dyDescent="0.2">
      <c r="S563" s="199"/>
      <c r="T563" s="200"/>
      <c r="W563" s="233" t="str">
        <f t="shared" si="15"/>
        <v>1w</v>
      </c>
      <c r="X563" s="234">
        <f>_xll.qlCalendarAdvance(Calendar,X562,W563,"f",FALSE)</f>
        <v>42753</v>
      </c>
      <c r="Y563" s="237">
        <f>_xll.qlCalendarAdvance(Calendar,X563,NDays&amp;"D")</f>
        <v>42753</v>
      </c>
      <c r="Z563" s="238">
        <v>2.7815235184449616E-2</v>
      </c>
      <c r="AA563" s="240">
        <v>2.5586918527964464E-2</v>
      </c>
    </row>
    <row r="564" spans="19:27" x14ac:dyDescent="0.2">
      <c r="S564" s="199"/>
      <c r="T564" s="200"/>
      <c r="W564" s="233" t="str">
        <f t="shared" si="15"/>
        <v>1w</v>
      </c>
      <c r="X564" s="234">
        <f>_xll.qlCalendarAdvance(Calendar,X563,W564,"f",FALSE)</f>
        <v>42760</v>
      </c>
      <c r="Y564" s="237">
        <f>_xll.qlCalendarAdvance(Calendar,X564,NDays&amp;"D")</f>
        <v>42760</v>
      </c>
      <c r="Z564" s="238">
        <v>2.7885173769799598E-2</v>
      </c>
      <c r="AA564" s="240">
        <v>2.5663746389478215E-2</v>
      </c>
    </row>
    <row r="565" spans="19:27" x14ac:dyDescent="0.2">
      <c r="S565" s="199"/>
      <c r="T565" s="200"/>
      <c r="W565" s="233" t="str">
        <f t="shared" si="15"/>
        <v>1w</v>
      </c>
      <c r="X565" s="234">
        <f>_xll.qlCalendarAdvance(Calendar,X564,W565,"f",FALSE)</f>
        <v>42767</v>
      </c>
      <c r="Y565" s="237">
        <f>_xll.qlCalendarAdvance(Calendar,X565,NDays&amp;"D")</f>
        <v>42767</v>
      </c>
      <c r="Z565" s="238">
        <v>2.7954770024811726E-2</v>
      </c>
      <c r="AA565" s="240">
        <v>2.5740236592897148E-2</v>
      </c>
    </row>
    <row r="566" spans="19:27" x14ac:dyDescent="0.2">
      <c r="S566" s="199"/>
      <c r="T566" s="200"/>
      <c r="W566" s="233" t="str">
        <f t="shared" si="15"/>
        <v>1w</v>
      </c>
      <c r="X566" s="234">
        <f>_xll.qlCalendarAdvance(Calendar,X565,W566,"f",FALSE)</f>
        <v>42774</v>
      </c>
      <c r="Y566" s="237">
        <f>_xll.qlCalendarAdvance(Calendar,X566,NDays&amp;"D")</f>
        <v>42774</v>
      </c>
      <c r="Z566" s="238">
        <v>2.8024023879307469E-2</v>
      </c>
      <c r="AA566" s="240">
        <v>2.5816389138140217E-2</v>
      </c>
    </row>
    <row r="567" spans="19:27" x14ac:dyDescent="0.2">
      <c r="S567" s="199"/>
      <c r="T567" s="200"/>
      <c r="W567" s="233" t="str">
        <f t="shared" si="15"/>
        <v>1w</v>
      </c>
      <c r="X567" s="234">
        <f>_xll.qlCalendarAdvance(Calendar,X566,W567,"f",FALSE)</f>
        <v>42781</v>
      </c>
      <c r="Y567" s="237">
        <f>_xll.qlCalendarAdvance(Calendar,X567,NDays&amp;"D")</f>
        <v>42781</v>
      </c>
      <c r="Z567" s="238">
        <v>2.8092935263450469E-2</v>
      </c>
      <c r="AA567" s="240">
        <v>2.5892204024964283E-2</v>
      </c>
    </row>
    <row r="568" spans="19:27" x14ac:dyDescent="0.2">
      <c r="S568" s="199"/>
      <c r="T568" s="200"/>
      <c r="W568" s="233" t="str">
        <f t="shared" si="15"/>
        <v>1w</v>
      </c>
      <c r="X568" s="234">
        <f>_xll.qlCalendarAdvance(Calendar,X567,W568,"f",FALSE)</f>
        <v>42788</v>
      </c>
      <c r="Y568" s="237">
        <f>_xll.qlCalendarAdvance(Calendar,X568,NDays&amp;"D")</f>
        <v>42788</v>
      </c>
      <c r="Z568" s="238">
        <v>2.8161504107746316E-2</v>
      </c>
      <c r="AA568" s="240">
        <v>2.5967681253126207E-2</v>
      </c>
    </row>
    <row r="569" spans="19:27" x14ac:dyDescent="0.2">
      <c r="S569" s="199"/>
      <c r="T569" s="200"/>
      <c r="W569" s="233" t="str">
        <f t="shared" si="15"/>
        <v>1w</v>
      </c>
      <c r="X569" s="234">
        <f>_xll.qlCalendarAdvance(Calendar,X568,W569,"f",FALSE)</f>
        <v>42795</v>
      </c>
      <c r="Y569" s="237">
        <f>_xll.qlCalendarAdvance(Calendar,X569,NDays&amp;"D")</f>
        <v>42795</v>
      </c>
      <c r="Z569" s="238">
        <v>2.8229730343042991E-2</v>
      </c>
      <c r="AA569" s="240">
        <v>2.6042820822463897E-2</v>
      </c>
    </row>
    <row r="570" spans="19:27" x14ac:dyDescent="0.2">
      <c r="S570" s="199"/>
      <c r="T570" s="200"/>
      <c r="W570" s="233" t="str">
        <f t="shared" si="15"/>
        <v>1w</v>
      </c>
      <c r="X570" s="234">
        <f>_xll.qlCalendarAdvance(Calendar,X569,W570,"f",FALSE)</f>
        <v>42802</v>
      </c>
      <c r="Y570" s="237">
        <f>_xll.qlCalendarAdvance(Calendar,X570,NDays&amp;"D")</f>
        <v>42802</v>
      </c>
      <c r="Z570" s="238">
        <v>2.8297613900531537E-2</v>
      </c>
      <c r="AA570" s="240">
        <v>2.6117622732653167E-2</v>
      </c>
    </row>
    <row r="571" spans="19:27" x14ac:dyDescent="0.2">
      <c r="S571" s="199"/>
      <c r="T571" s="200"/>
      <c r="W571" s="233" t="str">
        <f t="shared" si="15"/>
        <v>1w</v>
      </c>
      <c r="X571" s="234">
        <f>_xll.qlCalendarAdvance(Calendar,X570,W571,"f",FALSE)</f>
        <v>42809</v>
      </c>
      <c r="Y571" s="237">
        <f>_xll.qlCalendarAdvance(Calendar,X571,NDays&amp;"D")</f>
        <v>42809</v>
      </c>
      <c r="Z571" s="238">
        <v>2.83651547117445E-2</v>
      </c>
      <c r="AA571" s="240">
        <v>2.6192086983612972E-2</v>
      </c>
    </row>
    <row r="572" spans="19:27" x14ac:dyDescent="0.2">
      <c r="S572" s="199"/>
      <c r="T572" s="200"/>
      <c r="W572" s="233" t="str">
        <f t="shared" si="15"/>
        <v>1w</v>
      </c>
      <c r="X572" s="234">
        <f>_xll.qlCalendarAdvance(Calendar,X571,W572,"f",FALSE)</f>
        <v>42816</v>
      </c>
      <c r="Y572" s="237">
        <f>_xll.qlCalendarAdvance(Calendar,X572,NDays&amp;"D")</f>
        <v>42816</v>
      </c>
      <c r="Z572" s="238">
        <v>2.8432352708558373E-2</v>
      </c>
      <c r="AA572" s="240">
        <v>2.6266213575100172E-2</v>
      </c>
    </row>
    <row r="573" spans="19:27" x14ac:dyDescent="0.2">
      <c r="S573" s="199"/>
      <c r="T573" s="200"/>
      <c r="W573" s="233" t="str">
        <f t="shared" si="15"/>
        <v>1w</v>
      </c>
      <c r="X573" s="234">
        <f>_xll.qlCalendarAdvance(Calendar,X572,W573,"f",FALSE)</f>
        <v>42823</v>
      </c>
      <c r="Y573" s="237">
        <f>_xll.qlCalendarAdvance(Calendar,X573,NDays&amp;"D")</f>
        <v>42823</v>
      </c>
      <c r="Z573" s="238">
        <v>2.8499207823191153E-2</v>
      </c>
      <c r="AA573" s="240">
        <v>2.6340002506871629E-2</v>
      </c>
    </row>
    <row r="574" spans="19:27" x14ac:dyDescent="0.2">
      <c r="S574" s="199"/>
      <c r="T574" s="200"/>
      <c r="W574" s="233" t="str">
        <f t="shared" si="15"/>
        <v>1w</v>
      </c>
      <c r="X574" s="234">
        <f>_xll.qlCalendarAdvance(Calendar,X573,W574,"f",FALSE)</f>
        <v>42830</v>
      </c>
      <c r="Y574" s="237">
        <f>_xll.qlCalendarAdvance(Calendar,X574,NDays&amp;"D")</f>
        <v>42830</v>
      </c>
      <c r="Z574" s="238">
        <v>2.8565719988205007E-2</v>
      </c>
      <c r="AA574" s="240">
        <v>2.641345377876525E-2</v>
      </c>
    </row>
    <row r="575" spans="19:27" x14ac:dyDescent="0.2">
      <c r="S575" s="199"/>
      <c r="T575" s="200"/>
      <c r="W575" s="233" t="str">
        <f t="shared" si="15"/>
        <v>1w</v>
      </c>
      <c r="X575" s="234">
        <f>_xll.qlCalendarAdvance(Calendar,X574,W575,"f",FALSE)</f>
        <v>42837</v>
      </c>
      <c r="Y575" s="237">
        <f>_xll.qlCalendarAdvance(Calendar,X575,NDays&amp;"D")</f>
        <v>42837</v>
      </c>
      <c r="Z575" s="238">
        <v>2.8631889136504052E-2</v>
      </c>
      <c r="AA575" s="240">
        <v>2.6486567390618942E-2</v>
      </c>
    </row>
    <row r="576" spans="19:27" x14ac:dyDescent="0.2">
      <c r="S576" s="199"/>
      <c r="T576" s="200"/>
      <c r="W576" s="233" t="str">
        <f t="shared" si="15"/>
        <v>1w</v>
      </c>
      <c r="X576" s="234">
        <f>_xll.qlCalendarAdvance(Calendar,X575,W576,"f",FALSE)</f>
        <v>42844</v>
      </c>
      <c r="Y576" s="237">
        <f>_xll.qlCalendarAdvance(Calendar,X576,NDays&amp;"D")</f>
        <v>42844</v>
      </c>
      <c r="Z576" s="238">
        <v>2.8697715201336127E-2</v>
      </c>
      <c r="AA576" s="240">
        <v>2.6559343342108521E-2</v>
      </c>
    </row>
    <row r="577" spans="19:27" x14ac:dyDescent="0.2">
      <c r="S577" s="199"/>
      <c r="T577" s="200"/>
      <c r="W577" s="233" t="str">
        <f t="shared" si="15"/>
        <v>1w</v>
      </c>
      <c r="X577" s="234">
        <f>_xll.qlCalendarAdvance(Calendar,X576,W577,"f",FALSE)</f>
        <v>42851</v>
      </c>
      <c r="Y577" s="237">
        <f>_xll.qlCalendarAdvance(Calendar,X577,NDays&amp;"D")</f>
        <v>42851</v>
      </c>
      <c r="Z577" s="238">
        <v>2.8763198116292577E-2</v>
      </c>
      <c r="AA577" s="240">
        <v>2.6631781633071894E-2</v>
      </c>
    </row>
    <row r="578" spans="19:27" x14ac:dyDescent="0.2">
      <c r="S578" s="199"/>
      <c r="T578" s="200"/>
      <c r="W578" s="233" t="str">
        <f t="shared" si="15"/>
        <v>1w</v>
      </c>
      <c r="X578" s="234">
        <f>_xll.qlCalendarAdvance(Calendar,X577,W578,"f",FALSE)</f>
        <v>42858</v>
      </c>
      <c r="Y578" s="237">
        <f>_xll.qlCalendarAdvance(Calendar,X578,NDays&amp;"D")</f>
        <v>42858</v>
      </c>
      <c r="Z578" s="238">
        <v>2.8828337815307137E-2</v>
      </c>
      <c r="AA578" s="240">
        <v>2.6703882263428014E-2</v>
      </c>
    </row>
    <row r="579" spans="19:27" x14ac:dyDescent="0.2">
      <c r="S579" s="199"/>
      <c r="T579" s="200"/>
      <c r="W579" s="233" t="str">
        <f t="shared" si="15"/>
        <v>1w</v>
      </c>
      <c r="X579" s="234">
        <f>_xll.qlCalendarAdvance(Calendar,X578,W579,"f",FALSE)</f>
        <v>42865</v>
      </c>
      <c r="Y579" s="237">
        <f>_xll.qlCalendarAdvance(Calendar,X579,NDays&amp;"D")</f>
        <v>42865</v>
      </c>
      <c r="Z579" s="238">
        <v>2.8893134232657935E-2</v>
      </c>
      <c r="AA579" s="240">
        <v>2.677564523277165E-2</v>
      </c>
    </row>
    <row r="580" spans="19:27" x14ac:dyDescent="0.2">
      <c r="S580" s="199"/>
      <c r="T580" s="200"/>
      <c r="W580" s="233" t="str">
        <f t="shared" si="15"/>
        <v>1w</v>
      </c>
      <c r="X580" s="234">
        <f>_xll.qlCalendarAdvance(Calendar,X579,W580,"f",FALSE)</f>
        <v>42872</v>
      </c>
      <c r="Y580" s="237">
        <f>_xll.qlCalendarAdvance(Calendar,X580,NDays&amp;"D")</f>
        <v>42872</v>
      </c>
      <c r="Z580" s="238">
        <v>2.8957587302966381E-2</v>
      </c>
      <c r="AA580" s="240">
        <v>2.6847070541102802E-2</v>
      </c>
    </row>
    <row r="581" spans="19:27" x14ac:dyDescent="0.2">
      <c r="S581" s="199"/>
      <c r="T581" s="200"/>
      <c r="W581" s="233" t="str">
        <f t="shared" si="15"/>
        <v>1w</v>
      </c>
      <c r="X581" s="234">
        <f>_xll.qlCalendarAdvance(Calendar,X580,W581,"f",FALSE)</f>
        <v>42879</v>
      </c>
      <c r="Y581" s="237">
        <f>_xll.qlCalendarAdvance(Calendar,X581,NDays&amp;"D")</f>
        <v>42879</v>
      </c>
      <c r="Z581" s="238">
        <v>2.9021696961197607E-2</v>
      </c>
      <c r="AA581" s="240">
        <v>2.6918158188178332E-2</v>
      </c>
    </row>
    <row r="582" spans="19:27" x14ac:dyDescent="0.2">
      <c r="S582" s="199"/>
      <c r="T582" s="200"/>
      <c r="W582" s="233" t="str">
        <f t="shared" si="15"/>
        <v>1w</v>
      </c>
      <c r="X582" s="234">
        <f>_xll.qlCalendarAdvance(Calendar,X581,W582,"f",FALSE)</f>
        <v>42886</v>
      </c>
      <c r="Y582" s="237">
        <f>_xll.qlCalendarAdvance(Calendar,X582,NDays&amp;"D")</f>
        <v>42886</v>
      </c>
      <c r="Z582" s="238">
        <v>2.9085463142660473E-2</v>
      </c>
      <c r="AA582" s="240">
        <v>2.6988908173674053E-2</v>
      </c>
    </row>
    <row r="583" spans="19:27" x14ac:dyDescent="0.2">
      <c r="S583" s="199"/>
      <c r="T583" s="200"/>
      <c r="W583" s="233" t="str">
        <f t="shared" si="15"/>
        <v>1w</v>
      </c>
      <c r="X583" s="234">
        <f>_xll.qlCalendarAdvance(Calendar,X582,W583,"f",FALSE)</f>
        <v>42893</v>
      </c>
      <c r="Y583" s="237">
        <f>_xll.qlCalendarAdvance(Calendar,X583,NDays&amp;"D")</f>
        <v>42893</v>
      </c>
      <c r="Z583" s="238">
        <v>2.9148885783007783E-2</v>
      </c>
      <c r="AA583" s="240">
        <v>2.7059320497427874E-2</v>
      </c>
    </row>
    <row r="584" spans="19:27" x14ac:dyDescent="0.2">
      <c r="S584" s="199"/>
      <c r="T584" s="200"/>
      <c r="W584" s="233" t="str">
        <f t="shared" si="15"/>
        <v>1w</v>
      </c>
      <c r="X584" s="234">
        <f>_xll.qlCalendarAdvance(Calendar,X583,W584,"f",FALSE)</f>
        <v>42900</v>
      </c>
      <c r="Y584" s="237">
        <f>_xll.qlCalendarAdvance(Calendar,X584,NDays&amp;"D")</f>
        <v>42900</v>
      </c>
      <c r="Z584" s="238">
        <v>2.9211964818236513E-2</v>
      </c>
      <c r="AA584" s="240">
        <v>2.7129395159439795E-2</v>
      </c>
    </row>
    <row r="585" spans="19:27" x14ac:dyDescent="0.2">
      <c r="S585" s="199"/>
      <c r="T585" s="200"/>
      <c r="W585" s="233" t="str">
        <f t="shared" si="15"/>
        <v>1w</v>
      </c>
      <c r="X585" s="234">
        <f>_xll.qlCalendarAdvance(Calendar,X584,W585,"f",FALSE)</f>
        <v>42907</v>
      </c>
      <c r="Y585" s="237">
        <f>_xll.qlCalendarAdvance(Calendar,X585,NDays&amp;"D")</f>
        <v>42907</v>
      </c>
      <c r="Z585" s="238">
        <v>2.9274700184687585E-2</v>
      </c>
      <c r="AA585" s="240">
        <v>2.7199132159223538E-2</v>
      </c>
    </row>
    <row r="586" spans="19:27" x14ac:dyDescent="0.2">
      <c r="S586" s="199"/>
      <c r="T586" s="200"/>
      <c r="W586" s="233" t="str">
        <f t="shared" si="15"/>
        <v>1w</v>
      </c>
      <c r="X586" s="234">
        <f>_xll.qlCalendarAdvance(Calendar,X585,W586,"f",FALSE)</f>
        <v>42914</v>
      </c>
      <c r="Y586" s="237">
        <f>_xll.qlCalendarAdvance(Calendar,X586,NDays&amp;"D")</f>
        <v>42914</v>
      </c>
      <c r="Z586" s="238">
        <v>2.9337091819046091E-2</v>
      </c>
      <c r="AA586" s="240">
        <v>2.7268531496860149E-2</v>
      </c>
    </row>
    <row r="587" spans="19:27" x14ac:dyDescent="0.2">
      <c r="S587" s="199"/>
      <c r="T587" s="200"/>
      <c r="W587" s="233" t="str">
        <f t="shared" si="15"/>
        <v>1w</v>
      </c>
      <c r="X587" s="234">
        <f>_xll.qlCalendarAdvance(Calendar,X586,W587,"f",FALSE)</f>
        <v>42921</v>
      </c>
      <c r="Y587" s="237">
        <f>_xll.qlCalendarAdvance(Calendar,X587,NDays&amp;"D")</f>
        <v>42921</v>
      </c>
      <c r="Z587" s="238">
        <v>2.9399139658341955E-2</v>
      </c>
      <c r="AA587" s="240">
        <v>2.7337593171944397E-2</v>
      </c>
    </row>
    <row r="588" spans="19:27" x14ac:dyDescent="0.2">
      <c r="S588" s="199"/>
      <c r="T588" s="200"/>
      <c r="W588" s="233" t="str">
        <f t="shared" si="15"/>
        <v>1w</v>
      </c>
      <c r="X588" s="234">
        <f>_xll.qlCalendarAdvance(Calendar,X587,W588,"f",FALSE)</f>
        <v>42928</v>
      </c>
      <c r="Y588" s="237">
        <f>_xll.qlCalendarAdvance(Calendar,X588,NDays&amp;"D")</f>
        <v>42928</v>
      </c>
      <c r="Z588" s="238">
        <v>2.946084363994883E-2</v>
      </c>
      <c r="AA588" s="240">
        <v>2.7406317184395235E-2</v>
      </c>
    </row>
    <row r="589" spans="19:27" x14ac:dyDescent="0.2">
      <c r="S589" s="199"/>
      <c r="T589" s="200"/>
      <c r="W589" s="233" t="str">
        <f t="shared" si="15"/>
        <v>1w</v>
      </c>
      <c r="X589" s="234">
        <f>_xll.qlCalendarAdvance(Calendar,X588,W589,"f",FALSE)</f>
        <v>42935</v>
      </c>
      <c r="Y589" s="237">
        <f>_xll.qlCalendarAdvance(Calendar,X589,NDays&amp;"D")</f>
        <v>42935</v>
      </c>
      <c r="Z589" s="238">
        <v>2.9522203701585648E-2</v>
      </c>
      <c r="AA589" s="240">
        <v>2.7474703533969524E-2</v>
      </c>
    </row>
    <row r="590" spans="19:27" x14ac:dyDescent="0.2">
      <c r="S590" s="199"/>
      <c r="T590" s="200"/>
      <c r="W590" s="233" t="str">
        <f t="shared" si="15"/>
        <v>1w</v>
      </c>
      <c r="X590" s="234">
        <f>_xll.qlCalendarAdvance(Calendar,X589,W590,"f",FALSE)</f>
        <v>42942</v>
      </c>
      <c r="Y590" s="237">
        <f>_xll.qlCalendarAdvance(Calendar,X590,NDays&amp;"D")</f>
        <v>42942</v>
      </c>
      <c r="Z590" s="238">
        <v>2.9583219781315284E-2</v>
      </c>
      <c r="AA590" s="240">
        <v>2.754275222058622E-2</v>
      </c>
    </row>
    <row r="591" spans="19:27" x14ac:dyDescent="0.2">
      <c r="S591" s="199"/>
      <c r="T591" s="200"/>
      <c r="W591" s="233" t="str">
        <f t="shared" si="15"/>
        <v>1w</v>
      </c>
      <c r="X591" s="234">
        <f>_xll.qlCalendarAdvance(Calendar,X590,W591,"f",FALSE)</f>
        <v>42949</v>
      </c>
      <c r="Y591" s="237">
        <f>_xll.qlCalendarAdvance(Calendar,X591,NDays&amp;"D")</f>
        <v>42949</v>
      </c>
      <c r="Z591" s="238">
        <v>2.964389181754612E-2</v>
      </c>
      <c r="AA591" s="240">
        <v>2.7610463243921135E-2</v>
      </c>
    </row>
    <row r="592" spans="19:27" x14ac:dyDescent="0.2">
      <c r="S592" s="199"/>
      <c r="T592" s="200"/>
      <c r="W592" s="233" t="str">
        <f t="shared" si="15"/>
        <v>1w</v>
      </c>
      <c r="X592" s="234">
        <f>_xll.qlCalendarAdvance(Calendar,X591,W592,"f",FALSE)</f>
        <v>42956</v>
      </c>
      <c r="Y592" s="237">
        <f>_xll.qlCalendarAdvance(Calendar,X592,NDays&amp;"D")</f>
        <v>42956</v>
      </c>
      <c r="Z592" s="238">
        <v>2.970421974903048E-2</v>
      </c>
      <c r="AA592" s="240">
        <v>2.7677836603812178E-2</v>
      </c>
    </row>
    <row r="593" spans="19:27" x14ac:dyDescent="0.2">
      <c r="S593" s="199"/>
      <c r="T593" s="200"/>
      <c r="W593" s="233" t="str">
        <f t="shared" si="15"/>
        <v>1w</v>
      </c>
      <c r="X593" s="234">
        <f>_xll.qlCalendarAdvance(Calendar,X592,W593,"f",FALSE)</f>
        <v>42963</v>
      </c>
      <c r="Y593" s="237">
        <f>_xll.qlCalendarAdvance(Calendar,X593,NDays&amp;"D")</f>
        <v>42963</v>
      </c>
      <c r="Z593" s="238">
        <v>2.976420351486686E-2</v>
      </c>
      <c r="AA593" s="240">
        <v>2.7744872300097256E-2</v>
      </c>
    </row>
    <row r="594" spans="19:27" x14ac:dyDescent="0.2">
      <c r="S594" s="199"/>
      <c r="T594" s="200"/>
      <c r="W594" s="233" t="str">
        <f t="shared" si="15"/>
        <v>1w</v>
      </c>
      <c r="X594" s="234">
        <f>_xll.qlCalendarAdvance(Calendar,X593,W594,"f",FALSE)</f>
        <v>42970</v>
      </c>
      <c r="Y594" s="237">
        <f>_xll.qlCalendarAdvance(Calendar,X594,NDays&amp;"D")</f>
        <v>42970</v>
      </c>
      <c r="Z594" s="238">
        <v>2.9823843054497923E-2</v>
      </c>
      <c r="AA594" s="240">
        <v>2.7811570332614277E-2</v>
      </c>
    </row>
    <row r="595" spans="19:27" x14ac:dyDescent="0.2">
      <c r="S595" s="199"/>
      <c r="T595" s="200"/>
      <c r="W595" s="233" t="str">
        <f t="shared" si="15"/>
        <v>1w</v>
      </c>
      <c r="X595" s="234">
        <f>_xll.qlCalendarAdvance(Calendar,X594,W595,"f",FALSE)</f>
        <v>42977</v>
      </c>
      <c r="Y595" s="237">
        <f>_xll.qlCalendarAdvance(Calendar,X595,NDays&amp;"D")</f>
        <v>42977</v>
      </c>
      <c r="Z595" s="238">
        <v>2.988313830771161E-2</v>
      </c>
      <c r="AA595" s="240">
        <v>2.7877930701201148E-2</v>
      </c>
    </row>
    <row r="596" spans="19:27" x14ac:dyDescent="0.2">
      <c r="S596" s="199"/>
      <c r="T596" s="200"/>
      <c r="W596" s="233" t="str">
        <f t="shared" si="15"/>
        <v>1w</v>
      </c>
      <c r="X596" s="234">
        <f>_xll.qlCalendarAdvance(Calendar,X595,W596,"f",FALSE)</f>
        <v>42984</v>
      </c>
      <c r="Y596" s="237">
        <f>_xll.qlCalendarAdvance(Calendar,X596,NDays&amp;"D")</f>
        <v>42984</v>
      </c>
      <c r="Z596" s="238">
        <v>2.9942089214641587E-2</v>
      </c>
      <c r="AA596" s="240">
        <v>2.794395340561473E-2</v>
      </c>
    </row>
    <row r="597" spans="19:27" x14ac:dyDescent="0.2">
      <c r="S597" s="199"/>
      <c r="T597" s="200"/>
      <c r="W597" s="233" t="str">
        <f t="shared" ref="W597:W660" si="16">W596</f>
        <v>1w</v>
      </c>
      <c r="X597" s="234">
        <f>_xll.qlCalendarAdvance(Calendar,X596,W597,"f",FALSE)</f>
        <v>42991</v>
      </c>
      <c r="Y597" s="237">
        <f>_xll.qlCalendarAdvance(Calendar,X597,NDays&amp;"D")</f>
        <v>42991</v>
      </c>
      <c r="Z597" s="238">
        <v>3.0000695715766579E-2</v>
      </c>
      <c r="AA597" s="240">
        <v>2.8009638445611884E-2</v>
      </c>
    </row>
    <row r="598" spans="19:27" x14ac:dyDescent="0.2">
      <c r="S598" s="199"/>
      <c r="T598" s="200"/>
      <c r="W598" s="233" t="str">
        <f t="shared" si="16"/>
        <v>1w</v>
      </c>
      <c r="X598" s="234">
        <f>_xll.qlCalendarAdvance(Calendar,X597,W598,"f",FALSE)</f>
        <v>42998</v>
      </c>
      <c r="Y598" s="237">
        <f>_xll.qlCalendarAdvance(Calendar,X598,NDays&amp;"D")</f>
        <v>42998</v>
      </c>
      <c r="Z598" s="238">
        <v>3.0058957751910587E-2</v>
      </c>
      <c r="AA598" s="240">
        <v>2.8074985821111564E-2</v>
      </c>
    </row>
    <row r="599" spans="19:27" x14ac:dyDescent="0.2">
      <c r="S599" s="199"/>
      <c r="T599" s="200"/>
      <c r="W599" s="233" t="str">
        <f t="shared" si="16"/>
        <v>1w</v>
      </c>
      <c r="X599" s="234">
        <f>_xll.qlCalendarAdvance(Calendar,X598,W599,"f",FALSE)</f>
        <v>43005</v>
      </c>
      <c r="Y599" s="237">
        <f>_xll.qlCalendarAdvance(Calendar,X599,NDays&amp;"D")</f>
        <v>43005</v>
      </c>
      <c r="Z599" s="238">
        <v>3.0116875264243559E-2</v>
      </c>
      <c r="AA599" s="240">
        <v>2.8139995531951678E-2</v>
      </c>
    </row>
    <row r="600" spans="19:27" x14ac:dyDescent="0.2">
      <c r="S600" s="199"/>
      <c r="T600" s="200"/>
      <c r="W600" s="233" t="str">
        <f t="shared" si="16"/>
        <v>1w</v>
      </c>
      <c r="X600" s="234">
        <f>_xll.qlCalendarAdvance(Calendar,X599,W600,"f",FALSE)</f>
        <v>43012</v>
      </c>
      <c r="Y600" s="237">
        <f>_xll.qlCalendarAdvance(Calendar,X600,NDays&amp;"D")</f>
        <v>43012</v>
      </c>
      <c r="Z600" s="238">
        <v>3.0174448194281167E-2</v>
      </c>
      <c r="AA600" s="240">
        <v>2.8204667577889087E-2</v>
      </c>
    </row>
    <row r="601" spans="19:27" x14ac:dyDescent="0.2">
      <c r="S601" s="199"/>
      <c r="T601" s="200"/>
      <c r="W601" s="233" t="str">
        <f t="shared" si="16"/>
        <v>1w</v>
      </c>
      <c r="X601" s="234">
        <f>_xll.qlCalendarAdvance(Calendar,X600,W601,"f",FALSE)</f>
        <v>43019</v>
      </c>
      <c r="Y601" s="237">
        <f>_xll.qlCalendarAdvance(Calendar,X601,NDays&amp;"D")</f>
        <v>43019</v>
      </c>
      <c r="Z601" s="238">
        <v>3.0231676483884362E-2</v>
      </c>
      <c r="AA601" s="240">
        <v>2.8269001958761697E-2</v>
      </c>
    </row>
    <row r="602" spans="19:27" x14ac:dyDescent="0.2">
      <c r="S602" s="199"/>
      <c r="T602" s="200"/>
      <c r="W602" s="233" t="str">
        <f t="shared" si="16"/>
        <v>1w</v>
      </c>
      <c r="X602" s="234">
        <f>_xll.qlCalendarAdvance(Calendar,X601,W602,"f",FALSE)</f>
        <v>43026</v>
      </c>
      <c r="Y602" s="237">
        <f>_xll.qlCalendarAdvance(Calendar,X602,NDays&amp;"D")</f>
        <v>43026</v>
      </c>
      <c r="Z602" s="238">
        <v>3.0288560075260262E-2</v>
      </c>
      <c r="AA602" s="240">
        <v>2.8332998674326371E-2</v>
      </c>
    </row>
    <row r="603" spans="19:27" x14ac:dyDescent="0.2">
      <c r="S603" s="199"/>
      <c r="T603" s="200"/>
      <c r="W603" s="233" t="str">
        <f t="shared" si="16"/>
        <v>1w</v>
      </c>
      <c r="X603" s="234">
        <f>_xll.qlCalendarAdvance(Calendar,X602,W603,"f",FALSE)</f>
        <v>43033</v>
      </c>
      <c r="Y603" s="237">
        <f>_xll.qlCalendarAdvance(Calendar,X603,NDays&amp;"D")</f>
        <v>43033</v>
      </c>
      <c r="Z603" s="238">
        <v>3.0345098910962598E-2</v>
      </c>
      <c r="AA603" s="240">
        <v>2.8396657724583108E-2</v>
      </c>
    </row>
    <row r="604" spans="19:27" x14ac:dyDescent="0.2">
      <c r="S604" s="199"/>
      <c r="T604" s="200"/>
      <c r="W604" s="233" t="str">
        <f t="shared" si="16"/>
        <v>1w</v>
      </c>
      <c r="X604" s="234">
        <f>_xll.qlCalendarAdvance(Calendar,X603,W604,"f",FALSE)</f>
        <v>43040</v>
      </c>
      <c r="Y604" s="237">
        <f>_xll.qlCalendarAdvance(Calendar,X604,NDays&amp;"D")</f>
        <v>43040</v>
      </c>
      <c r="Z604" s="238">
        <v>3.0401292933889934E-2</v>
      </c>
      <c r="AA604" s="240">
        <v>2.8459979109126676E-2</v>
      </c>
    </row>
    <row r="605" spans="19:27" x14ac:dyDescent="0.2">
      <c r="S605" s="199"/>
      <c r="T605" s="200"/>
      <c r="W605" s="233" t="str">
        <f t="shared" si="16"/>
        <v>1w</v>
      </c>
      <c r="X605" s="234">
        <f>_xll.qlCalendarAdvance(Calendar,X604,W605,"f",FALSE)</f>
        <v>43047</v>
      </c>
      <c r="Y605" s="237">
        <f>_xll.qlCalendarAdvance(Calendar,X605,NDays&amp;"D")</f>
        <v>43047</v>
      </c>
      <c r="Z605" s="238">
        <v>3.0457142087288114E-2</v>
      </c>
      <c r="AA605" s="240">
        <v>2.8522962827957077E-2</v>
      </c>
    </row>
    <row r="606" spans="19:27" x14ac:dyDescent="0.2">
      <c r="S606" s="199"/>
      <c r="T606" s="200"/>
      <c r="W606" s="233" t="str">
        <f t="shared" si="16"/>
        <v>1w</v>
      </c>
      <c r="X606" s="234">
        <f>_xll.qlCalendarAdvance(Calendar,X605,W606,"f",FALSE)</f>
        <v>43054</v>
      </c>
      <c r="Y606" s="237">
        <f>_xll.qlCalendarAdvance(Calendar,X606,NDays&amp;"D")</f>
        <v>43054</v>
      </c>
      <c r="Z606" s="238">
        <v>3.0512646314748038E-2</v>
      </c>
      <c r="AA606" s="240">
        <v>2.858560888083117E-2</v>
      </c>
    </row>
    <row r="607" spans="19:27" x14ac:dyDescent="0.2">
      <c r="S607" s="199"/>
      <c r="T607" s="200"/>
      <c r="W607" s="233" t="str">
        <f t="shared" si="16"/>
        <v>1w</v>
      </c>
      <c r="X607" s="234">
        <f>_xll.qlCalendarAdvance(Calendar,X606,W607,"f",FALSE)</f>
        <v>43061</v>
      </c>
      <c r="Y607" s="237">
        <f>_xll.qlCalendarAdvance(Calendar,X607,NDays&amp;"D")</f>
        <v>43061</v>
      </c>
      <c r="Z607" s="238">
        <v>3.0567805560208328E-2</v>
      </c>
      <c r="AA607" s="240">
        <v>2.8647917267586864E-2</v>
      </c>
    </row>
    <row r="608" spans="19:27" x14ac:dyDescent="0.2">
      <c r="S608" s="199"/>
      <c r="T608" s="200"/>
      <c r="W608" s="233" t="str">
        <f t="shared" si="16"/>
        <v>1w</v>
      </c>
      <c r="X608" s="234">
        <f>_xll.qlCalendarAdvance(Calendar,X607,W608,"f",FALSE)</f>
        <v>43068</v>
      </c>
      <c r="Y608" s="237">
        <f>_xll.qlCalendarAdvance(Calendar,X608,NDays&amp;"D")</f>
        <v>43068</v>
      </c>
      <c r="Z608" s="238">
        <v>3.0622619767953108E-2</v>
      </c>
      <c r="AA608" s="240">
        <v>2.8709887988062066E-2</v>
      </c>
    </row>
    <row r="609" spans="19:27" x14ac:dyDescent="0.2">
      <c r="S609" s="199"/>
      <c r="T609" s="200"/>
      <c r="W609" s="233" t="str">
        <f t="shared" si="16"/>
        <v>1w</v>
      </c>
      <c r="X609" s="234">
        <f>_xll.qlCalendarAdvance(Calendar,X608,W609,"f",FALSE)</f>
        <v>43075</v>
      </c>
      <c r="Y609" s="237">
        <f>_xll.qlCalendarAdvance(Calendar,X609,NDays&amp;"D")</f>
        <v>43075</v>
      </c>
      <c r="Z609" s="238">
        <v>3.0677088882613557E-2</v>
      </c>
      <c r="AA609" s="240">
        <v>2.8771521042013637E-2</v>
      </c>
    </row>
    <row r="610" spans="19:27" x14ac:dyDescent="0.2">
      <c r="S610" s="199"/>
      <c r="T610" s="200"/>
      <c r="W610" s="233" t="str">
        <f t="shared" si="16"/>
        <v>1w</v>
      </c>
      <c r="X610" s="234">
        <f>_xll.qlCalendarAdvance(Calendar,X609,W610,"f",FALSE)</f>
        <v>43082</v>
      </c>
      <c r="Y610" s="237">
        <f>_xll.qlCalendarAdvance(Calendar,X610,NDays&amp;"D")</f>
        <v>43082</v>
      </c>
      <c r="Z610" s="238">
        <v>3.07312128491668E-2</v>
      </c>
      <c r="AA610" s="240">
        <v>2.883281642936053E-2</v>
      </c>
    </row>
    <row r="611" spans="19:27" x14ac:dyDescent="0.2">
      <c r="S611" s="199"/>
      <c r="T611" s="200"/>
      <c r="W611" s="233" t="str">
        <f t="shared" si="16"/>
        <v>1w</v>
      </c>
      <c r="X611" s="234">
        <f>_xll.qlCalendarAdvance(Calendar,X610,W611,"f",FALSE)</f>
        <v>43089</v>
      </c>
      <c r="Y611" s="237">
        <f>_xll.qlCalendarAdvance(Calendar,X611,NDays&amp;"D")</f>
        <v>43089</v>
      </c>
      <c r="Z611" s="238">
        <v>3.0784991612937684E-2</v>
      </c>
      <c r="AA611" s="240">
        <v>2.8893774149940654E-2</v>
      </c>
    </row>
    <row r="612" spans="19:27" x14ac:dyDescent="0.2">
      <c r="S612" s="199"/>
      <c r="T612" s="200"/>
      <c r="W612" s="233" t="str">
        <f t="shared" si="16"/>
        <v>1w</v>
      </c>
      <c r="X612" s="234">
        <f>_xll.qlCalendarAdvance(Calendar,X611,W612,"f",FALSE)</f>
        <v>43096</v>
      </c>
      <c r="Y612" s="237">
        <f>_xll.qlCalendarAdvance(Calendar,X612,NDays&amp;"D")</f>
        <v>43096</v>
      </c>
      <c r="Z612" s="238">
        <v>3.0838425119597002E-2</v>
      </c>
      <c r="AA612" s="240">
        <v>2.8954394203429823E-2</v>
      </c>
    </row>
    <row r="613" spans="19:27" x14ac:dyDescent="0.2">
      <c r="S613" s="199"/>
      <c r="T613" s="200"/>
      <c r="W613" s="233" t="str">
        <f t="shared" si="16"/>
        <v>1w</v>
      </c>
      <c r="X613" s="234">
        <f>_xll.qlCalendarAdvance(Calendar,X612,W613,"f",FALSE)</f>
        <v>43103</v>
      </c>
      <c r="Y613" s="237">
        <f>_xll.qlCalendarAdvance(Calendar,X613,NDays&amp;"D")</f>
        <v>43103</v>
      </c>
      <c r="Z613" s="238">
        <v>3.0891513315163266E-2</v>
      </c>
      <c r="AA613" s="240">
        <v>2.9014676589909083E-2</v>
      </c>
    </row>
    <row r="614" spans="19:27" x14ac:dyDescent="0.2">
      <c r="S614" s="199"/>
      <c r="T614" s="200"/>
      <c r="W614" s="233" t="str">
        <f t="shared" si="16"/>
        <v>1w</v>
      </c>
      <c r="X614" s="234">
        <f>_xll.qlCalendarAdvance(Calendar,X613,W614,"f",FALSE)</f>
        <v>43110</v>
      </c>
      <c r="Y614" s="237">
        <f>_xll.qlCalendarAdvance(Calendar,X614,NDays&amp;"D")</f>
        <v>43110</v>
      </c>
      <c r="Z614" s="238">
        <v>3.0944256146000937E-2</v>
      </c>
      <c r="AA614" s="240">
        <v>2.9074621308973203E-2</v>
      </c>
    </row>
    <row r="615" spans="19:27" x14ac:dyDescent="0.2">
      <c r="S615" s="199"/>
      <c r="T615" s="200"/>
      <c r="W615" s="233" t="str">
        <f t="shared" si="16"/>
        <v>1w</v>
      </c>
      <c r="X615" s="234">
        <f>_xll.qlCalendarAdvance(Calendar,X614,W615,"f",FALSE)</f>
        <v>43117</v>
      </c>
      <c r="Y615" s="237">
        <f>_xll.qlCalendarAdvance(Calendar,X615,NDays&amp;"D")</f>
        <v>43117</v>
      </c>
      <c r="Z615" s="238">
        <v>3.099665355882264E-2</v>
      </c>
      <c r="AA615" s="240">
        <v>2.9134228360541137E-2</v>
      </c>
    </row>
    <row r="616" spans="19:27" x14ac:dyDescent="0.2">
      <c r="S616" s="199"/>
      <c r="T616" s="200"/>
      <c r="W616" s="233" t="str">
        <f t="shared" si="16"/>
        <v>1w</v>
      </c>
      <c r="X616" s="234">
        <f>_xll.qlCalendarAdvance(Calendar,X615,W616,"f",FALSE)</f>
        <v>43124</v>
      </c>
      <c r="Y616" s="237">
        <f>_xll.qlCalendarAdvance(Calendar,X616,NDays&amp;"D")</f>
        <v>43124</v>
      </c>
      <c r="Z616" s="238">
        <v>3.1048705500687168E-2</v>
      </c>
      <c r="AA616" s="240">
        <v>2.9193497744531838E-2</v>
      </c>
    </row>
    <row r="617" spans="19:27" x14ac:dyDescent="0.2">
      <c r="S617" s="199"/>
      <c r="T617" s="200"/>
      <c r="W617" s="233" t="str">
        <f t="shared" si="16"/>
        <v>1w</v>
      </c>
      <c r="X617" s="234">
        <f>_xll.qlCalendarAdvance(Calendar,X616,W617,"f",FALSE)</f>
        <v>43131</v>
      </c>
      <c r="Y617" s="237">
        <f>_xll.qlCalendarAdvance(Calendar,X617,NDays&amp;"D")</f>
        <v>43131</v>
      </c>
      <c r="Z617" s="238">
        <v>3.1100411919001703E-2</v>
      </c>
      <c r="AA617" s="240">
        <v>2.9252429460702167E-2</v>
      </c>
    </row>
    <row r="618" spans="19:27" x14ac:dyDescent="0.2">
      <c r="S618" s="199"/>
      <c r="T618" s="200"/>
      <c r="W618" s="233" t="str">
        <f t="shared" si="16"/>
        <v>1w</v>
      </c>
      <c r="X618" s="234">
        <f>_xll.qlCalendarAdvance(Calendar,X617,W618,"f",FALSE)</f>
        <v>43138</v>
      </c>
      <c r="Y618" s="237">
        <f>_xll.qlCalendarAdvance(Calendar,X618,NDays&amp;"D")</f>
        <v>43138</v>
      </c>
      <c r="Z618" s="238">
        <v>3.1151772761520036E-2</v>
      </c>
      <c r="AA618" s="240">
        <v>2.9311023508890033E-2</v>
      </c>
    </row>
    <row r="619" spans="19:27" x14ac:dyDescent="0.2">
      <c r="S619" s="199"/>
      <c r="T619" s="200"/>
      <c r="W619" s="233" t="str">
        <f t="shared" si="16"/>
        <v>1w</v>
      </c>
      <c r="X619" s="234">
        <f>_xll.qlCalendarAdvance(Calendar,X618,W619,"f",FALSE)</f>
        <v>43145</v>
      </c>
      <c r="Y619" s="237">
        <f>_xll.qlCalendarAdvance(Calendar,X619,NDays&amp;"D")</f>
        <v>43145</v>
      </c>
      <c r="Z619" s="238">
        <v>3.120278797634346E-2</v>
      </c>
      <c r="AA619" s="240">
        <v>2.9369279889014388E-2</v>
      </c>
    </row>
    <row r="620" spans="19:27" x14ac:dyDescent="0.2">
      <c r="S620" s="199"/>
      <c r="T620" s="200"/>
      <c r="W620" s="233" t="str">
        <f t="shared" si="16"/>
        <v>1w</v>
      </c>
      <c r="X620" s="234">
        <f>_xll.qlCalendarAdvance(Calendar,X619,W620,"f",FALSE)</f>
        <v>43152</v>
      </c>
      <c r="Y620" s="237">
        <f>_xll.qlCalendarAdvance(Calendar,X620,NDays&amp;"D")</f>
        <v>43152</v>
      </c>
      <c r="Z620" s="238">
        <v>3.1253457511920768E-2</v>
      </c>
      <c r="AA620" s="240">
        <v>2.9427198600751048E-2</v>
      </c>
    </row>
    <row r="621" spans="19:27" x14ac:dyDescent="0.2">
      <c r="S621" s="199"/>
      <c r="T621" s="200"/>
      <c r="W621" s="233" t="str">
        <f t="shared" si="16"/>
        <v>1w</v>
      </c>
      <c r="X621" s="234">
        <f>_xll.qlCalendarAdvance(Calendar,X620,W621,"f",FALSE)</f>
        <v>43159</v>
      </c>
      <c r="Y621" s="237">
        <f>_xll.qlCalendarAdvance(Calendar,X621,NDays&amp;"D")</f>
        <v>43159</v>
      </c>
      <c r="Z621" s="238">
        <v>3.130378131704914E-2</v>
      </c>
      <c r="AA621" s="240">
        <v>2.9484779644018966E-2</v>
      </c>
    </row>
    <row r="622" spans="19:27" x14ac:dyDescent="0.2">
      <c r="S622" s="199"/>
      <c r="T622" s="200"/>
      <c r="W622" s="233" t="str">
        <f t="shared" si="16"/>
        <v>1w</v>
      </c>
      <c r="X622" s="234">
        <f>_xll.qlCalendarAdvance(Calendar,X621,W622,"f",FALSE)</f>
        <v>43166</v>
      </c>
      <c r="Y622" s="237">
        <f>_xll.qlCalendarAdvance(Calendar,X622,NDays&amp;"D")</f>
        <v>43166</v>
      </c>
      <c r="Z622" s="238">
        <v>3.1353759340872367E-2</v>
      </c>
      <c r="AA622" s="240">
        <v>2.9542023018737096E-2</v>
      </c>
    </row>
    <row r="623" spans="19:27" x14ac:dyDescent="0.2">
      <c r="S623" s="199"/>
      <c r="T623" s="200"/>
      <c r="W623" s="233" t="str">
        <f t="shared" si="16"/>
        <v>1w</v>
      </c>
      <c r="X623" s="234">
        <f>_xll.qlCalendarAdvance(Calendar,X622,W623,"f",FALSE)</f>
        <v>43173</v>
      </c>
      <c r="Y623" s="237">
        <f>_xll.qlCalendarAdvance(Calendar,X623,NDays&amp;"D")</f>
        <v>43173</v>
      </c>
      <c r="Z623" s="238">
        <v>3.1403391532882408E-2</v>
      </c>
      <c r="AA623" s="240">
        <v>2.9598928724581253E-2</v>
      </c>
    </row>
    <row r="624" spans="19:27" x14ac:dyDescent="0.2">
      <c r="S624" s="199"/>
      <c r="T624" s="200"/>
      <c r="W624" s="233" t="str">
        <f t="shared" si="16"/>
        <v>1w</v>
      </c>
      <c r="X624" s="234">
        <f>_xll.qlCalendarAdvance(Calendar,X623,W624,"f",FALSE)</f>
        <v>43180</v>
      </c>
      <c r="Y624" s="237">
        <f>_xll.qlCalendarAdvance(Calendar,X624,NDays&amp;"D")</f>
        <v>43180</v>
      </c>
      <c r="Z624" s="238">
        <v>3.1452677842919607E-2</v>
      </c>
      <c r="AA624" s="240">
        <v>2.9655496761551436E-2</v>
      </c>
    </row>
    <row r="625" spans="19:27" x14ac:dyDescent="0.2">
      <c r="S625" s="199"/>
      <c r="T625" s="200"/>
      <c r="W625" s="233" t="str">
        <f t="shared" si="16"/>
        <v>1w</v>
      </c>
      <c r="X625" s="234">
        <f>_xll.qlCalendarAdvance(Calendar,X624,W625,"f",FALSE)</f>
        <v>43187</v>
      </c>
      <c r="Y625" s="237">
        <f>_xll.qlCalendarAdvance(Calendar,X625,NDays&amp;"D")</f>
        <v>43187</v>
      </c>
      <c r="Z625" s="238">
        <v>3.1501618221171812E-2</v>
      </c>
      <c r="AA625" s="240">
        <v>2.9711727129485554E-2</v>
      </c>
    </row>
    <row r="626" spans="19:27" x14ac:dyDescent="0.2">
      <c r="S626" s="199"/>
      <c r="T626" s="200"/>
      <c r="W626" s="233" t="str">
        <f t="shared" si="16"/>
        <v>1w</v>
      </c>
      <c r="X626" s="234">
        <f>_xll.qlCalendarAdvance(Calendar,X625,W626,"f",FALSE)</f>
        <v>43194</v>
      </c>
      <c r="Y626" s="237">
        <f>_xll.qlCalendarAdvance(Calendar,X626,NDays&amp;"D")</f>
        <v>43194</v>
      </c>
      <c r="Z626" s="238">
        <v>3.1550212618175033E-2</v>
      </c>
      <c r="AA626" s="240">
        <v>2.9767619828140468E-2</v>
      </c>
    </row>
    <row r="627" spans="19:27" x14ac:dyDescent="0.2">
      <c r="S627" s="199"/>
      <c r="T627" s="200"/>
      <c r="W627" s="233" t="str">
        <f t="shared" si="16"/>
        <v>1w</v>
      </c>
      <c r="X627" s="234">
        <f>_xll.qlCalendarAdvance(Calendar,X626,W627,"f",FALSE)</f>
        <v>43201</v>
      </c>
      <c r="Y627" s="237">
        <f>_xll.qlCalendarAdvance(Calendar,X627,NDays&amp;"D")</f>
        <v>43201</v>
      </c>
      <c r="Z627" s="238">
        <v>3.1598460984813004E-2</v>
      </c>
      <c r="AA627" s="240">
        <v>2.9823174857273038E-2</v>
      </c>
    </row>
    <row r="628" spans="19:27" x14ac:dyDescent="0.2">
      <c r="S628" s="199"/>
      <c r="T628" s="200"/>
      <c r="W628" s="233" t="str">
        <f t="shared" si="16"/>
        <v>1w</v>
      </c>
      <c r="X628" s="234">
        <f>_xll.qlCalendarAdvance(Calendar,X627,W628,"f",FALSE)</f>
        <v>43208</v>
      </c>
      <c r="Y628" s="237">
        <f>_xll.qlCalendarAdvance(Calendar,X628,NDays&amp;"D")</f>
        <v>43208</v>
      </c>
      <c r="Z628" s="238">
        <v>3.1646363272318512E-2</v>
      </c>
      <c r="AA628" s="240">
        <v>2.9878392216964311E-2</v>
      </c>
    </row>
    <row r="629" spans="19:27" x14ac:dyDescent="0.2">
      <c r="S629" s="199"/>
      <c r="T629" s="200"/>
      <c r="W629" s="233" t="str">
        <f t="shared" si="16"/>
        <v>1w</v>
      </c>
      <c r="X629" s="234">
        <f>_xll.qlCalendarAdvance(Calendar,X628,W629,"f",FALSE)</f>
        <v>43215</v>
      </c>
      <c r="Y629" s="237">
        <f>_xll.qlCalendarAdvance(Calendar,X629,NDays&amp;"D")</f>
        <v>43215</v>
      </c>
      <c r="Z629" s="238">
        <v>3.1693919432271844E-2</v>
      </c>
      <c r="AA629" s="240">
        <v>2.9933271906971148E-2</v>
      </c>
    </row>
    <row r="630" spans="19:27" x14ac:dyDescent="0.2">
      <c r="S630" s="199"/>
      <c r="T630" s="200"/>
      <c r="W630" s="233" t="str">
        <f t="shared" si="16"/>
        <v>1w</v>
      </c>
      <c r="X630" s="234">
        <f>_xll.qlCalendarAdvance(Calendar,X629,W630,"f",FALSE)</f>
        <v>43222</v>
      </c>
      <c r="Y630" s="237">
        <f>_xll.qlCalendarAdvance(Calendar,X630,NDays&amp;"D")</f>
        <v>43222</v>
      </c>
      <c r="Z630" s="238">
        <v>3.1741129416602121E-2</v>
      </c>
      <c r="AA630" s="240">
        <v>2.9987813927050411E-2</v>
      </c>
    </row>
    <row r="631" spans="19:27" x14ac:dyDescent="0.2">
      <c r="S631" s="199"/>
      <c r="T631" s="200"/>
      <c r="W631" s="233" t="str">
        <f t="shared" si="16"/>
        <v>1w</v>
      </c>
      <c r="X631" s="234">
        <f>_xll.qlCalendarAdvance(Calendar,X630,W631,"f",FALSE)</f>
        <v>43229</v>
      </c>
      <c r="Y631" s="237">
        <f>_xll.qlCalendarAdvance(Calendar,X631,NDays&amp;"D")</f>
        <v>43229</v>
      </c>
      <c r="Z631" s="238">
        <v>3.1787993177586849E-2</v>
      </c>
      <c r="AA631" s="240">
        <v>3.0042018277121052E-2</v>
      </c>
    </row>
    <row r="632" spans="19:27" x14ac:dyDescent="0.2">
      <c r="S632" s="199"/>
      <c r="T632" s="200"/>
      <c r="W632" s="233" t="str">
        <f t="shared" si="16"/>
        <v>1w</v>
      </c>
      <c r="X632" s="234">
        <f>_xll.qlCalendarAdvance(Calendar,X631,W632,"f",FALSE)</f>
        <v>43236</v>
      </c>
      <c r="Y632" s="237">
        <f>_xll.qlCalendarAdvance(Calendar,X632,NDays&amp;"D")</f>
        <v>43236</v>
      </c>
      <c r="Z632" s="238">
        <v>3.1834510667851923E-2</v>
      </c>
      <c r="AA632" s="240">
        <v>3.009588495702098E-2</v>
      </c>
    </row>
    <row r="633" spans="19:27" x14ac:dyDescent="0.2">
      <c r="S633" s="199"/>
      <c r="T633" s="200"/>
      <c r="W633" s="233" t="str">
        <f t="shared" si="16"/>
        <v>1w</v>
      </c>
      <c r="X633" s="234">
        <f>_xll.qlCalendarAdvance(Calendar,X632,W633,"f",FALSE)</f>
        <v>43243</v>
      </c>
      <c r="Y633" s="237">
        <f>_xll.qlCalendarAdvance(Calendar,X633,NDays&amp;"D")</f>
        <v>43243</v>
      </c>
      <c r="Z633" s="238">
        <v>3.1880681840371849E-2</v>
      </c>
      <c r="AA633" s="240">
        <v>3.0149413966588101E-2</v>
      </c>
    </row>
    <row r="634" spans="19:27" x14ac:dyDescent="0.2">
      <c r="S634" s="199"/>
      <c r="T634" s="200"/>
      <c r="W634" s="233" t="str">
        <f t="shared" si="16"/>
        <v>1w</v>
      </c>
      <c r="X634" s="234">
        <f>_xll.qlCalendarAdvance(Calendar,X633,W634,"f",FALSE)</f>
        <v>43250</v>
      </c>
      <c r="Y634" s="237">
        <f>_xll.qlCalendarAdvance(Calendar,X634,NDays&amp;"D")</f>
        <v>43250</v>
      </c>
      <c r="Z634" s="238">
        <v>3.1926506648470188E-2</v>
      </c>
      <c r="AA634" s="240">
        <v>3.020260530574137E-2</v>
      </c>
    </row>
    <row r="635" spans="19:27" x14ac:dyDescent="0.2">
      <c r="S635" s="199"/>
      <c r="T635" s="200"/>
      <c r="W635" s="233" t="str">
        <f t="shared" si="16"/>
        <v>1w</v>
      </c>
      <c r="X635" s="234">
        <f>_xll.qlCalendarAdvance(Calendar,X634,W635,"f",FALSE)</f>
        <v>43257</v>
      </c>
      <c r="Y635" s="237">
        <f>_xll.qlCalendarAdvance(Calendar,X635,NDays&amp;"D")</f>
        <v>43257</v>
      </c>
      <c r="Z635" s="238">
        <v>3.1971985045818885E-2</v>
      </c>
      <c r="AA635" s="240">
        <v>3.0255458974237648E-2</v>
      </c>
    </row>
    <row r="636" spans="19:27" x14ac:dyDescent="0.2">
      <c r="S636" s="199"/>
      <c r="T636" s="200"/>
      <c r="W636" s="233" t="str">
        <f t="shared" si="16"/>
        <v>1w</v>
      </c>
      <c r="X636" s="234">
        <f>_xll.qlCalendarAdvance(Calendar,X635,W636,"f",FALSE)</f>
        <v>43264</v>
      </c>
      <c r="Y636" s="237">
        <f>_xll.qlCalendarAdvance(Calendar,X636,NDays&amp;"D")</f>
        <v>43264</v>
      </c>
      <c r="Z636" s="238">
        <v>3.2017116986439165E-2</v>
      </c>
      <c r="AA636" s="240">
        <v>3.0307974972076934E-2</v>
      </c>
    </row>
    <row r="637" spans="19:27" x14ac:dyDescent="0.2">
      <c r="S637" s="199"/>
      <c r="T637" s="200"/>
      <c r="W637" s="233" t="str">
        <f t="shared" si="16"/>
        <v>1w</v>
      </c>
      <c r="X637" s="234">
        <f>_xll.qlCalendarAdvance(Calendar,X636,W637,"f",FALSE)</f>
        <v>43271</v>
      </c>
      <c r="Y637" s="237">
        <f>_xll.qlCalendarAdvance(Calendar,X637,NDays&amp;"D")</f>
        <v>43271</v>
      </c>
      <c r="Z637" s="238">
        <v>3.2061902424700417E-2</v>
      </c>
      <c r="AA637" s="240">
        <v>3.0360153298935044E-2</v>
      </c>
    </row>
    <row r="638" spans="19:27" x14ac:dyDescent="0.2">
      <c r="S638" s="199"/>
      <c r="T638" s="200"/>
      <c r="W638" s="233" t="str">
        <f t="shared" si="16"/>
        <v>1w</v>
      </c>
      <c r="X638" s="234">
        <f>_xll.qlCalendarAdvance(Calendar,X637,W638,"f",FALSE)</f>
        <v>43278</v>
      </c>
      <c r="Y638" s="237">
        <f>_xll.qlCalendarAdvance(Calendar,X638,NDays&amp;"D")</f>
        <v>43278</v>
      </c>
      <c r="Z638" s="238">
        <v>3.2106341315321751E-2</v>
      </c>
      <c r="AA638" s="240">
        <v>3.0411993954649885E-2</v>
      </c>
    </row>
    <row r="639" spans="19:27" x14ac:dyDescent="0.2">
      <c r="S639" s="199"/>
      <c r="T639" s="200"/>
      <c r="W639" s="233" t="str">
        <f t="shared" si="16"/>
        <v>1w</v>
      </c>
      <c r="X639" s="234">
        <f>_xll.qlCalendarAdvance(Calendar,X638,W639,"f",FALSE)</f>
        <v>43285</v>
      </c>
      <c r="Y639" s="237">
        <f>_xll.qlCalendarAdvance(Calendar,X639,NDays&amp;"D")</f>
        <v>43285</v>
      </c>
      <c r="Z639" s="238">
        <v>3.215043361337111E-2</v>
      </c>
      <c r="AA639" s="240">
        <v>3.0463496939302503E-2</v>
      </c>
    </row>
    <row r="640" spans="19:27" x14ac:dyDescent="0.2">
      <c r="S640" s="199"/>
      <c r="T640" s="200"/>
      <c r="W640" s="233" t="str">
        <f t="shared" si="16"/>
        <v>1w</v>
      </c>
      <c r="X640" s="234">
        <f>_xll.qlCalendarAdvance(Calendar,X639,W640,"f",FALSE)</f>
        <v>43292</v>
      </c>
      <c r="Y640" s="237">
        <f>_xll.qlCalendarAdvance(Calendar,X640,NDays&amp;"D")</f>
        <v>43292</v>
      </c>
      <c r="Z640" s="238">
        <v>3.2194179274265711E-2</v>
      </c>
      <c r="AA640" s="240">
        <v>3.051466225264976E-2</v>
      </c>
    </row>
    <row r="641" spans="19:27" x14ac:dyDescent="0.2">
      <c r="S641" s="199"/>
      <c r="T641" s="200"/>
      <c r="W641" s="233" t="str">
        <f t="shared" si="16"/>
        <v>1w</v>
      </c>
      <c r="X641" s="234">
        <f>_xll.qlCalendarAdvance(Calendar,X640,W641,"f",FALSE)</f>
        <v>43299</v>
      </c>
      <c r="Y641" s="237">
        <f>_xll.qlCalendarAdvance(Calendar,X641,NDays&amp;"D")</f>
        <v>43299</v>
      </c>
      <c r="Z641" s="238">
        <v>3.2237578253771826E-2</v>
      </c>
      <c r="AA641" s="240">
        <v>3.0565489894448516E-2</v>
      </c>
    </row>
    <row r="642" spans="19:27" x14ac:dyDescent="0.2">
      <c r="S642" s="199"/>
      <c r="T642" s="200"/>
      <c r="W642" s="233" t="str">
        <f t="shared" si="16"/>
        <v>1w</v>
      </c>
      <c r="X642" s="234">
        <f>_xll.qlCalendarAdvance(Calendar,X641,W642,"f",FALSE)</f>
        <v>43306</v>
      </c>
      <c r="Y642" s="237">
        <f>_xll.qlCalendarAdvance(Calendar,X642,NDays&amp;"D")</f>
        <v>43306</v>
      </c>
      <c r="Z642" s="238">
        <v>3.2280630508005448E-2</v>
      </c>
      <c r="AA642" s="240">
        <v>3.0615979864698772E-2</v>
      </c>
    </row>
    <row r="643" spans="19:27" x14ac:dyDescent="0.2">
      <c r="S643" s="199"/>
      <c r="T643" s="200"/>
      <c r="W643" s="233" t="str">
        <f t="shared" si="16"/>
        <v>1w</v>
      </c>
      <c r="X643" s="234">
        <f>_xll.qlCalendarAdvance(Calendar,X642,W643,"f",FALSE)</f>
        <v>43313</v>
      </c>
      <c r="Y643" s="237">
        <f>_xll.qlCalendarAdvance(Calendar,X643,NDays&amp;"D")</f>
        <v>43313</v>
      </c>
      <c r="Z643" s="238">
        <v>3.2323335993431179E-2</v>
      </c>
      <c r="AA643" s="240">
        <v>3.0666132163076343E-2</v>
      </c>
    </row>
    <row r="644" spans="19:27" x14ac:dyDescent="0.2">
      <c r="S644" s="199"/>
      <c r="T644" s="200"/>
      <c r="W644" s="233" t="str">
        <f t="shared" si="16"/>
        <v>1w</v>
      </c>
      <c r="X644" s="234">
        <f>_xll.qlCalendarAdvance(Calendar,X643,W644,"f",FALSE)</f>
        <v>43320</v>
      </c>
      <c r="Y644" s="237">
        <f>_xll.qlCalendarAdvance(Calendar,X644,NDays&amp;"D")</f>
        <v>43320</v>
      </c>
      <c r="Z644" s="238">
        <v>3.2365694666863787E-2</v>
      </c>
      <c r="AA644" s="240">
        <v>3.0715946789662274E-2</v>
      </c>
    </row>
    <row r="645" spans="19:27" x14ac:dyDescent="0.2">
      <c r="S645" s="199"/>
      <c r="T645" s="200"/>
      <c r="W645" s="233" t="str">
        <f t="shared" si="16"/>
        <v>1w</v>
      </c>
      <c r="X645" s="234">
        <f>_xll.qlCalendarAdvance(Calendar,X644,W645,"f",FALSE)</f>
        <v>43327</v>
      </c>
      <c r="Y645" s="237">
        <f>_xll.qlCalendarAdvance(Calendar,X645,NDays&amp;"D")</f>
        <v>43327</v>
      </c>
      <c r="Z645" s="238">
        <v>3.2407706485467092E-2</v>
      </c>
      <c r="AA645" s="240">
        <v>3.0765423744132381E-2</v>
      </c>
    </row>
    <row r="646" spans="19:27" x14ac:dyDescent="0.2">
      <c r="S646" s="199"/>
      <c r="T646" s="200"/>
      <c r="W646" s="233" t="str">
        <f t="shared" si="16"/>
        <v>1w</v>
      </c>
      <c r="X646" s="234">
        <f>_xll.qlCalendarAdvance(Calendar,X645,W646,"f",FALSE)</f>
        <v>43334</v>
      </c>
      <c r="Y646" s="237">
        <f>_xll.qlCalendarAdvance(Calendar,X646,NDays&amp;"D")</f>
        <v>43334</v>
      </c>
      <c r="Z646" s="238">
        <v>3.2449371406755079E-2</v>
      </c>
      <c r="AA646" s="240">
        <v>3.0814563026486663E-2</v>
      </c>
    </row>
    <row r="647" spans="19:27" x14ac:dyDescent="0.2">
      <c r="S647" s="199"/>
      <c r="T647" s="200"/>
      <c r="W647" s="233" t="str">
        <f t="shared" si="16"/>
        <v>1w</v>
      </c>
      <c r="X647" s="234">
        <f>_xll.qlCalendarAdvance(Calendar,X646,W647,"f",FALSE)</f>
        <v>43341</v>
      </c>
      <c r="Y647" s="237">
        <f>_xll.qlCalendarAdvance(Calendar,X647,NDays&amp;"D")</f>
        <v>43341</v>
      </c>
      <c r="Z647" s="238">
        <v>3.249068938859101E-2</v>
      </c>
      <c r="AA647" s="240">
        <v>3.0863364636481982E-2</v>
      </c>
    </row>
    <row r="648" spans="19:27" x14ac:dyDescent="0.2">
      <c r="S648" s="199"/>
      <c r="T648" s="200"/>
      <c r="W648" s="233" t="str">
        <f t="shared" si="16"/>
        <v>1w</v>
      </c>
      <c r="X648" s="234">
        <f>_xll.qlCalendarAdvance(Calendar,X647,W648,"f",FALSE)</f>
        <v>43348</v>
      </c>
      <c r="Y648" s="237">
        <f>_xll.qlCalendarAdvance(Calendar,X648,NDays&amp;"D")</f>
        <v>43348</v>
      </c>
      <c r="Z648" s="238">
        <v>3.2531660389187866E-2</v>
      </c>
      <c r="AA648" s="240">
        <v>3.0911828574037292E-2</v>
      </c>
    </row>
    <row r="649" spans="19:27" x14ac:dyDescent="0.2">
      <c r="S649" s="199"/>
      <c r="T649" s="200"/>
      <c r="W649" s="233" t="str">
        <f t="shared" si="16"/>
        <v>1w</v>
      </c>
      <c r="X649" s="234">
        <f>_xll.qlCalendarAdvance(Calendar,X648,W649,"f",FALSE)</f>
        <v>43355</v>
      </c>
      <c r="Y649" s="237">
        <f>_xll.qlCalendarAdvance(Calendar,X649,NDays&amp;"D")</f>
        <v>43355</v>
      </c>
      <c r="Z649" s="238">
        <v>3.2572284367108795E-2</v>
      </c>
      <c r="AA649" s="240">
        <v>3.0959954839071546E-2</v>
      </c>
    </row>
    <row r="650" spans="19:27" x14ac:dyDescent="0.2">
      <c r="S650" s="199"/>
      <c r="T650" s="200"/>
      <c r="W650" s="233" t="str">
        <f t="shared" si="16"/>
        <v>1w</v>
      </c>
      <c r="X650" s="234">
        <f>_xll.qlCalendarAdvance(Calendar,X649,W650,"f",FALSE)</f>
        <v>43362</v>
      </c>
      <c r="Y650" s="237">
        <f>_xll.qlCalendarAdvance(Calendar,X650,NDays&amp;"D")</f>
        <v>43362</v>
      </c>
      <c r="Z650" s="238">
        <v>3.2612561281265995E-2</v>
      </c>
      <c r="AA650" s="240">
        <v>3.1007743431341606E-2</v>
      </c>
    </row>
    <row r="651" spans="19:27" x14ac:dyDescent="0.2">
      <c r="S651" s="199"/>
      <c r="T651" s="200"/>
      <c r="W651" s="233" t="str">
        <f t="shared" si="16"/>
        <v>1w</v>
      </c>
      <c r="X651" s="234">
        <f>_xll.qlCalendarAdvance(Calendar,X650,W651,"f",FALSE)</f>
        <v>43369</v>
      </c>
      <c r="Y651" s="237">
        <f>_xll.qlCalendarAdvance(Calendar,X651,NDays&amp;"D")</f>
        <v>43369</v>
      </c>
      <c r="Z651" s="238">
        <v>3.265249109092272E-2</v>
      </c>
      <c r="AA651" s="240">
        <v>3.1055194350766424E-2</v>
      </c>
    </row>
    <row r="652" spans="19:27" x14ac:dyDescent="0.2">
      <c r="S652" s="199"/>
      <c r="T652" s="200"/>
      <c r="W652" s="233" t="str">
        <f t="shared" si="16"/>
        <v>1w</v>
      </c>
      <c r="X652" s="234">
        <f>_xll.qlCalendarAdvance(Calendar,X651,W652,"f",FALSE)</f>
        <v>43376</v>
      </c>
      <c r="Y652" s="237">
        <f>_xll.qlCalendarAdvance(Calendar,X652,NDays&amp;"D")</f>
        <v>43376</v>
      </c>
      <c r="Z652" s="238">
        <v>3.269207375569172E-2</v>
      </c>
      <c r="AA652" s="240">
        <v>3.1102307597264955E-2</v>
      </c>
    </row>
    <row r="653" spans="19:27" x14ac:dyDescent="0.2">
      <c r="S653" s="199"/>
      <c r="T653" s="200"/>
      <c r="W653" s="233" t="str">
        <f t="shared" si="16"/>
        <v>1w</v>
      </c>
      <c r="X653" s="234">
        <f>_xll.qlCalendarAdvance(Calendar,X652,W653,"f",FALSE)</f>
        <v>43383</v>
      </c>
      <c r="Y653" s="237">
        <f>_xll.qlCalendarAdvance(Calendar,X653,NDays&amp;"D")</f>
        <v>43383</v>
      </c>
      <c r="Z653" s="238">
        <v>3.2731309235535688E-2</v>
      </c>
      <c r="AA653" s="240">
        <v>3.1149083170675107E-2</v>
      </c>
    </row>
    <row r="654" spans="19:27" x14ac:dyDescent="0.2">
      <c r="S654" s="199"/>
      <c r="T654" s="200"/>
      <c r="W654" s="233" t="str">
        <f t="shared" si="16"/>
        <v>1w</v>
      </c>
      <c r="X654" s="234">
        <f>_xll.qlCalendarAdvance(Calendar,X653,W654,"f",FALSE)</f>
        <v>43390</v>
      </c>
      <c r="Y654" s="237">
        <f>_xll.qlCalendarAdvance(Calendar,X654,NDays&amp;"D")</f>
        <v>43390</v>
      </c>
      <c r="Z654" s="238">
        <v>3.2770197490767705E-2</v>
      </c>
      <c r="AA654" s="240">
        <v>3.119552107075374E-2</v>
      </c>
    </row>
    <row r="655" spans="19:27" x14ac:dyDescent="0.2">
      <c r="S655" s="199"/>
      <c r="T655" s="200"/>
      <c r="W655" s="233" t="str">
        <f t="shared" si="16"/>
        <v>1w</v>
      </c>
      <c r="X655" s="234">
        <f>_xll.qlCalendarAdvance(Calendar,X654,W655,"f",FALSE)</f>
        <v>43397</v>
      </c>
      <c r="Y655" s="237">
        <f>_xll.qlCalendarAdvance(Calendar,X655,NDays&amp;"D")</f>
        <v>43397</v>
      </c>
      <c r="Z655" s="238">
        <v>3.2808738482051014E-2</v>
      </c>
      <c r="AA655" s="240">
        <v>3.1241621297500854E-2</v>
      </c>
    </row>
    <row r="656" spans="19:27" x14ac:dyDescent="0.2">
      <c r="S656" s="199"/>
      <c r="T656" s="200"/>
      <c r="W656" s="233" t="str">
        <f t="shared" si="16"/>
        <v>1w</v>
      </c>
      <c r="X656" s="234">
        <f>_xll.qlCalendarAdvance(Calendar,X655,W656,"f",FALSE)</f>
        <v>43404</v>
      </c>
      <c r="Y656" s="237">
        <f>_xll.qlCalendarAdvance(Calendar,X656,NDays&amp;"D")</f>
        <v>43404</v>
      </c>
      <c r="Z656" s="238">
        <v>3.2846932170399024E-2</v>
      </c>
      <c r="AA656" s="240">
        <v>3.1287383850754358E-2</v>
      </c>
    </row>
    <row r="657" spans="19:27" x14ac:dyDescent="0.2">
      <c r="S657" s="199"/>
      <c r="T657" s="200"/>
      <c r="W657" s="233" t="str">
        <f t="shared" si="16"/>
        <v>1w</v>
      </c>
      <c r="X657" s="234">
        <f>_xll.qlCalendarAdvance(Calendar,X656,W657,"f",FALSE)</f>
        <v>43411</v>
      </c>
      <c r="Y657" s="237">
        <f>_xll.qlCalendarAdvance(Calendar,X657,NDays&amp;"D")</f>
        <v>43411</v>
      </c>
      <c r="Z657" s="238">
        <v>3.288477851717575E-2</v>
      </c>
      <c r="AA657" s="240">
        <v>3.1332808730433204E-2</v>
      </c>
    </row>
    <row r="658" spans="19:27" x14ac:dyDescent="0.2">
      <c r="S658" s="199"/>
      <c r="T658" s="200"/>
      <c r="W658" s="233" t="str">
        <f t="shared" si="16"/>
        <v>1w</v>
      </c>
      <c r="X658" s="234">
        <f>_xll.qlCalendarAdvance(Calendar,X657,W658,"f",FALSE)</f>
        <v>43418</v>
      </c>
      <c r="Y658" s="237">
        <f>_xll.qlCalendarAdvance(Calendar,X658,NDays&amp;"D")</f>
        <v>43418</v>
      </c>
      <c r="Z658" s="238">
        <v>3.2922277484095597E-2</v>
      </c>
      <c r="AA658" s="240">
        <v>3.1377895936294253E-2</v>
      </c>
    </row>
    <row r="659" spans="19:27" x14ac:dyDescent="0.2">
      <c r="S659" s="199"/>
      <c r="T659" s="200"/>
      <c r="W659" s="233" t="str">
        <f t="shared" si="16"/>
        <v>1w</v>
      </c>
      <c r="X659" s="234">
        <f>_xll.qlCalendarAdvance(Calendar,X658,W659,"f",FALSE)</f>
        <v>43425</v>
      </c>
      <c r="Y659" s="237">
        <f>_xll.qlCalendarAdvance(Calendar,X659,NDays&amp;"D")</f>
        <v>43425</v>
      </c>
      <c r="Z659" s="238">
        <v>3.2959429033223131E-2</v>
      </c>
      <c r="AA659" s="240">
        <v>3.1422645468337507E-2</v>
      </c>
    </row>
    <row r="660" spans="19:27" x14ac:dyDescent="0.2">
      <c r="S660" s="199"/>
      <c r="T660" s="200"/>
      <c r="W660" s="233" t="str">
        <f t="shared" si="16"/>
        <v>1w</v>
      </c>
      <c r="X660" s="234">
        <f>_xll.qlCalendarAdvance(Calendar,X659,W660,"f",FALSE)</f>
        <v>43432</v>
      </c>
      <c r="Y660" s="237">
        <f>_xll.qlCalendarAdvance(Calendar,X660,NDays&amp;"D")</f>
        <v>43432</v>
      </c>
      <c r="Z660" s="238">
        <v>3.2996233126974195E-2</v>
      </c>
      <c r="AA660" s="240">
        <v>3.1467057326400871E-2</v>
      </c>
    </row>
    <row r="661" spans="19:27" x14ac:dyDescent="0.2">
      <c r="S661" s="199"/>
      <c r="T661" s="200"/>
      <c r="W661" s="233" t="str">
        <f t="shared" ref="W661:W724" si="17">W660</f>
        <v>1w</v>
      </c>
      <c r="X661" s="234">
        <f>_xll.qlCalendarAdvance(Calendar,X660,W661,"f",FALSE)</f>
        <v>43439</v>
      </c>
      <c r="Y661" s="237">
        <f>_xll.qlCalendarAdvance(Calendar,X661,NDays&amp;"D")</f>
        <v>43439</v>
      </c>
      <c r="Z661" s="238">
        <v>3.3032689728114129E-2</v>
      </c>
      <c r="AA661" s="240">
        <v>3.1511131510241208E-2</v>
      </c>
    </row>
    <row r="662" spans="19:27" x14ac:dyDescent="0.2">
      <c r="S662" s="199"/>
      <c r="T662" s="200"/>
      <c r="W662" s="233" t="str">
        <f t="shared" si="17"/>
        <v>1w</v>
      </c>
      <c r="X662" s="234">
        <f>_xll.qlCalendarAdvance(Calendar,X661,W662,"f",FALSE)</f>
        <v>43446</v>
      </c>
      <c r="Y662" s="237">
        <f>_xll.qlCalendarAdvance(Calendar,X662,NDays&amp;"D")</f>
        <v>43446</v>
      </c>
      <c r="Z662" s="238">
        <v>3.3068798799759991E-2</v>
      </c>
      <c r="AA662" s="240">
        <v>3.1554868019939564E-2</v>
      </c>
    </row>
    <row r="663" spans="19:27" x14ac:dyDescent="0.2">
      <c r="S663" s="199"/>
      <c r="T663" s="200"/>
      <c r="W663" s="233" t="str">
        <f t="shared" si="17"/>
        <v>1w</v>
      </c>
      <c r="X663" s="234">
        <f>_xll.qlCalendarAdvance(Calendar,X662,W663,"f",FALSE)</f>
        <v>43453</v>
      </c>
      <c r="Y663" s="237">
        <f>_xll.qlCalendarAdvance(Calendar,X663,NDays&amp;"D")</f>
        <v>43453</v>
      </c>
      <c r="Z663" s="238">
        <v>3.3104560305379005E-2</v>
      </c>
      <c r="AA663" s="240">
        <v>3.1598266855252799E-2</v>
      </c>
    </row>
    <row r="664" spans="19:27" x14ac:dyDescent="0.2">
      <c r="S664" s="199"/>
      <c r="T664" s="200"/>
      <c r="W664" s="233" t="str">
        <f t="shared" si="17"/>
        <v>1w</v>
      </c>
      <c r="X664" s="234">
        <f>_xll.qlCalendarAdvance(Calendar,X663,W664,"f",FALSE)</f>
        <v>43461</v>
      </c>
      <c r="Y664" s="237">
        <f>_xll.qlCalendarAdvance(Calendar,X664,NDays&amp;"D")</f>
        <v>43461</v>
      </c>
      <c r="Z664" s="238">
        <v>3.3145004960064117E-2</v>
      </c>
      <c r="AA664" s="240">
        <v>3.1647452045219238E-2</v>
      </c>
    </row>
    <row r="665" spans="19:27" x14ac:dyDescent="0.2">
      <c r="S665" s="199"/>
      <c r="T665" s="200"/>
      <c r="W665" s="233" t="str">
        <f t="shared" si="17"/>
        <v>1w</v>
      </c>
      <c r="X665" s="234">
        <f>_xll.qlCalendarAdvance(Calendar,X664,W665,"f",FALSE)</f>
        <v>43468</v>
      </c>
      <c r="Y665" s="237">
        <f>_xll.qlCalendarAdvance(Calendar,X665,NDays&amp;"D")</f>
        <v>43468</v>
      </c>
      <c r="Z665" s="238">
        <v>3.318002155995381E-2</v>
      </c>
      <c r="AA665" s="240">
        <v>3.1690127292124393E-2</v>
      </c>
    </row>
    <row r="666" spans="19:27" x14ac:dyDescent="0.2">
      <c r="S666" s="199"/>
      <c r="T666" s="200"/>
      <c r="W666" s="233" t="str">
        <f t="shared" si="17"/>
        <v>1w</v>
      </c>
      <c r="X666" s="234">
        <f>_xll.qlCalendarAdvance(Calendar,X665,W666,"f",FALSE)</f>
        <v>43475</v>
      </c>
      <c r="Y666" s="237">
        <f>_xll.qlCalendarAdvance(Calendar,X666,NDays&amp;"D")</f>
        <v>43475</v>
      </c>
      <c r="Z666" s="238">
        <v>3.3214690481283782E-2</v>
      </c>
      <c r="AA666" s="240">
        <v>3.1732464864401289E-2</v>
      </c>
    </row>
    <row r="667" spans="19:27" x14ac:dyDescent="0.2">
      <c r="S667" s="199"/>
      <c r="T667" s="200"/>
      <c r="W667" s="233" t="str">
        <f t="shared" si="17"/>
        <v>1w</v>
      </c>
      <c r="X667" s="234">
        <f>_xll.qlCalendarAdvance(Calendar,X666,W667,"f",FALSE)</f>
        <v>43482</v>
      </c>
      <c r="Y667" s="237">
        <f>_xll.qlCalendarAdvance(Calendar,X667,NDays&amp;"D")</f>
        <v>43482</v>
      </c>
      <c r="Z667" s="238">
        <v>3.3249011688975427E-2</v>
      </c>
      <c r="AA667" s="240">
        <v>3.1774464761806787E-2</v>
      </c>
    </row>
    <row r="668" spans="19:27" x14ac:dyDescent="0.2">
      <c r="S668" s="199"/>
      <c r="T668" s="200"/>
      <c r="W668" s="233" t="str">
        <f t="shared" si="17"/>
        <v>1w</v>
      </c>
      <c r="X668" s="234">
        <f>_xll.qlCalendarAdvance(Calendar,X667,W668,"f",FALSE)</f>
        <v>43489</v>
      </c>
      <c r="Y668" s="237">
        <f>_xll.qlCalendarAdvance(Calendar,X668,NDays&amp;"D")</f>
        <v>43489</v>
      </c>
      <c r="Z668" s="238">
        <v>3.328298514830097E-2</v>
      </c>
      <c r="AA668" s="240">
        <v>3.1816126984178794E-2</v>
      </c>
    </row>
    <row r="669" spans="19:27" x14ac:dyDescent="0.2">
      <c r="S669" s="199"/>
      <c r="T669" s="200"/>
      <c r="W669" s="233" t="str">
        <f t="shared" si="17"/>
        <v>1w</v>
      </c>
      <c r="X669" s="234">
        <f>_xll.qlCalendarAdvance(Calendar,X668,W669,"f",FALSE)</f>
        <v>43496</v>
      </c>
      <c r="Y669" s="237">
        <f>_xll.qlCalendarAdvance(Calendar,X669,NDays&amp;"D")</f>
        <v>43496</v>
      </c>
      <c r="Z669" s="238">
        <v>3.3316610824883908E-2</v>
      </c>
      <c r="AA669" s="240">
        <v>3.1857451531517311E-2</v>
      </c>
    </row>
    <row r="670" spans="19:27" x14ac:dyDescent="0.2">
      <c r="S670" s="199"/>
      <c r="T670" s="200"/>
      <c r="W670" s="233" t="str">
        <f t="shared" si="17"/>
        <v>1w</v>
      </c>
      <c r="X670" s="234">
        <f>_xll.qlCalendarAdvance(Calendar,X669,W670,"f",FALSE)</f>
        <v>43503</v>
      </c>
      <c r="Y670" s="237">
        <f>_xll.qlCalendarAdvance(Calendar,X670,NDays&amp;"D")</f>
        <v>43503</v>
      </c>
      <c r="Z670" s="238">
        <v>3.3349888684698126E-2</v>
      </c>
      <c r="AA670" s="240">
        <v>3.1898438403660245E-2</v>
      </c>
    </row>
    <row r="671" spans="19:27" x14ac:dyDescent="0.2">
      <c r="S671" s="199"/>
      <c r="T671" s="200"/>
      <c r="W671" s="233" t="str">
        <f t="shared" si="17"/>
        <v>1w</v>
      </c>
      <c r="X671" s="234">
        <f>_xll.qlCalendarAdvance(Calendar,X670,W671,"f",FALSE)</f>
        <v>43510</v>
      </c>
      <c r="Y671" s="237">
        <f>_xll.qlCalendarAdvance(Calendar,X671,NDays&amp;"D")</f>
        <v>43510</v>
      </c>
      <c r="Z671" s="238">
        <v>3.3382818694069671E-2</v>
      </c>
      <c r="AA671" s="240">
        <v>3.1939087600445504E-2</v>
      </c>
    </row>
    <row r="672" spans="19:27" x14ac:dyDescent="0.2">
      <c r="S672" s="199"/>
      <c r="T672" s="200"/>
      <c r="W672" s="233" t="str">
        <f t="shared" si="17"/>
        <v>1w</v>
      </c>
      <c r="X672" s="234">
        <f>_xll.qlCalendarAdvance(Calendar,X671,W672,"f",FALSE)</f>
        <v>43517</v>
      </c>
      <c r="Y672" s="237">
        <f>_xll.qlCalendarAdvance(Calendar,X672,NDays&amp;"D")</f>
        <v>43517</v>
      </c>
      <c r="Z672" s="238">
        <v>3.3415400819675423E-2</v>
      </c>
      <c r="AA672" s="240">
        <v>3.197939912179204E-2</v>
      </c>
    </row>
    <row r="673" spans="19:27" x14ac:dyDescent="0.2">
      <c r="S673" s="199"/>
      <c r="T673" s="200"/>
      <c r="W673" s="233" t="str">
        <f t="shared" si="17"/>
        <v>1w</v>
      </c>
      <c r="X673" s="234">
        <f>_xll.qlCalendarAdvance(Calendar,X672,W673,"f",FALSE)</f>
        <v>43524</v>
      </c>
      <c r="Y673" s="237">
        <f>_xll.qlCalendarAdvance(Calendar,X673,NDays&amp;"D")</f>
        <v>43524</v>
      </c>
      <c r="Z673" s="238">
        <v>3.3447635028543754E-2</v>
      </c>
      <c r="AA673" s="240">
        <v>3.2019372967618809E-2</v>
      </c>
    </row>
    <row r="674" spans="19:27" x14ac:dyDescent="0.2">
      <c r="S674" s="199"/>
      <c r="T674" s="200"/>
      <c r="W674" s="233" t="str">
        <f t="shared" si="17"/>
        <v>1w</v>
      </c>
      <c r="X674" s="234">
        <f>_xll.qlCalendarAdvance(Calendar,X673,W674,"f",FALSE)</f>
        <v>43531</v>
      </c>
      <c r="Y674" s="237">
        <f>_xll.qlCalendarAdvance(Calendar,X674,NDays&amp;"D")</f>
        <v>43531</v>
      </c>
      <c r="Z674" s="238">
        <v>3.3490214132042895E-2</v>
      </c>
      <c r="AA674" s="240">
        <v>3.2059009137844763E-2</v>
      </c>
    </row>
    <row r="675" spans="19:27" x14ac:dyDescent="0.2">
      <c r="S675" s="199"/>
      <c r="T675" s="200"/>
      <c r="W675" s="233" t="str">
        <f t="shared" si="17"/>
        <v>1w</v>
      </c>
      <c r="X675" s="234">
        <f>_xll.qlCalendarAdvance(Calendar,X674,W675,"f",FALSE)</f>
        <v>43538</v>
      </c>
      <c r="Y675" s="237">
        <f>_xll.qlCalendarAdvance(Calendar,X675,NDays&amp;"D")</f>
        <v>43538</v>
      </c>
      <c r="Z675" s="238">
        <v>3.3521686341247303E-2</v>
      </c>
      <c r="AA675" s="240">
        <v>3.209830763230781E-2</v>
      </c>
    </row>
    <row r="676" spans="19:27" x14ac:dyDescent="0.2">
      <c r="S676" s="199"/>
      <c r="T676" s="200"/>
      <c r="W676" s="233" t="str">
        <f t="shared" si="17"/>
        <v>1w</v>
      </c>
      <c r="X676" s="234">
        <f>_xll.qlCalendarAdvance(Calendar,X675,W676,"f",FALSE)</f>
        <v>43545</v>
      </c>
      <c r="Y676" s="237">
        <f>_xll.qlCalendarAdvance(Calendar,X676,NDays&amp;"D")</f>
        <v>43545</v>
      </c>
      <c r="Z676" s="238">
        <v>3.3552810443807604E-2</v>
      </c>
      <c r="AA676" s="240">
        <v>3.2137268450764811E-2</v>
      </c>
    </row>
    <row r="677" spans="19:27" x14ac:dyDescent="0.2">
      <c r="S677" s="199"/>
      <c r="T677" s="200"/>
      <c r="W677" s="233" t="str">
        <f t="shared" si="17"/>
        <v>1w</v>
      </c>
      <c r="X677" s="234">
        <f>_xll.qlCalendarAdvance(Calendar,X676,W677,"f",FALSE)</f>
        <v>43552</v>
      </c>
      <c r="Y677" s="237">
        <f>_xll.qlCalendarAdvance(Calendar,X677,NDays&amp;"D")</f>
        <v>43552</v>
      </c>
      <c r="Z677" s="238">
        <v>3.3583586407965549E-2</v>
      </c>
      <c r="AA677" s="240">
        <v>3.2175891593377859E-2</v>
      </c>
    </row>
    <row r="678" spans="19:27" x14ac:dyDescent="0.2">
      <c r="S678" s="199"/>
      <c r="T678" s="200"/>
      <c r="W678" s="233" t="str">
        <f t="shared" si="17"/>
        <v>1w</v>
      </c>
      <c r="X678" s="234">
        <f>_xll.qlCalendarAdvance(Calendar,X677,W678,"f",FALSE)</f>
        <v>43559</v>
      </c>
      <c r="Y678" s="237">
        <f>_xll.qlCalendarAdvance(Calendar,X678,NDays&amp;"D")</f>
        <v>43559</v>
      </c>
      <c r="Z678" s="238">
        <v>3.3614014202318125E-2</v>
      </c>
      <c r="AA678" s="240">
        <v>3.2214177059822768E-2</v>
      </c>
    </row>
    <row r="679" spans="19:27" x14ac:dyDescent="0.2">
      <c r="S679" s="199"/>
      <c r="T679" s="200"/>
      <c r="W679" s="233" t="str">
        <f t="shared" si="17"/>
        <v>1w</v>
      </c>
      <c r="X679" s="234">
        <f>_xll.qlCalendarAdvance(Calendar,X678,W679,"f",FALSE)</f>
        <v>43566</v>
      </c>
      <c r="Y679" s="237">
        <f>_xll.qlCalendarAdvance(Calendar,X679,NDays&amp;"D")</f>
        <v>43566</v>
      </c>
      <c r="Z679" s="238">
        <v>3.3647543791081848E-2</v>
      </c>
      <c r="AA679" s="240">
        <v>3.2252124850099539E-2</v>
      </c>
    </row>
    <row r="680" spans="19:27" x14ac:dyDescent="0.2">
      <c r="S680" s="199"/>
      <c r="T680" s="200"/>
      <c r="W680" s="233" t="str">
        <f t="shared" si="17"/>
        <v>1w</v>
      </c>
      <c r="X680" s="234">
        <f>_xll.qlCalendarAdvance(Calendar,X679,W680,"f",FALSE)</f>
        <v>43573</v>
      </c>
      <c r="Y680" s="237">
        <f>_xll.qlCalendarAdvance(Calendar,X680,NDays&amp;"D")</f>
        <v>43573</v>
      </c>
      <c r="Z680" s="238">
        <v>3.3673825157769358E-2</v>
      </c>
      <c r="AA680" s="240">
        <v>3.2306129106547399E-2</v>
      </c>
    </row>
    <row r="681" spans="19:27" x14ac:dyDescent="0.2">
      <c r="S681" s="199"/>
      <c r="T681" s="200"/>
      <c r="W681" s="233" t="str">
        <f t="shared" si="17"/>
        <v>1w</v>
      </c>
      <c r="X681" s="234">
        <f>_xll.qlCalendarAdvance(Calendar,X680,W681,"f",FALSE)</f>
        <v>43580</v>
      </c>
      <c r="Y681" s="237">
        <f>_xll.qlCalendarAdvance(Calendar,X681,NDays&amp;"D")</f>
        <v>43580</v>
      </c>
      <c r="Z681" s="238">
        <v>3.3703208257835307E-2</v>
      </c>
      <c r="AA681" s="240">
        <v>3.2327007401662389E-2</v>
      </c>
    </row>
    <row r="682" spans="19:27" x14ac:dyDescent="0.2">
      <c r="S682" s="199"/>
      <c r="T682" s="200"/>
      <c r="W682" s="233" t="str">
        <f t="shared" si="17"/>
        <v>1w</v>
      </c>
      <c r="X682" s="234">
        <f>_xll.qlCalendarAdvance(Calendar,X681,W682,"f",FALSE)</f>
        <v>43587</v>
      </c>
      <c r="Y682" s="237">
        <f>_xll.qlCalendarAdvance(Calendar,X682,NDays&amp;"D")</f>
        <v>43587</v>
      </c>
      <c r="Z682" s="238">
        <v>3.3735626406294003E-2</v>
      </c>
      <c r="AA682" s="240">
        <v>3.2363942162786374E-2</v>
      </c>
    </row>
    <row r="683" spans="19:27" x14ac:dyDescent="0.2">
      <c r="S683" s="199"/>
      <c r="T683" s="200"/>
      <c r="W683" s="233" t="str">
        <f t="shared" si="17"/>
        <v>1w</v>
      </c>
      <c r="X683" s="234">
        <f>_xll.qlCalendarAdvance(Calendar,X682,W683,"f",FALSE)</f>
        <v>43594</v>
      </c>
      <c r="Y683" s="237">
        <f>_xll.qlCalendarAdvance(Calendar,X683,NDays&amp;"D")</f>
        <v>43594</v>
      </c>
      <c r="Z683" s="238">
        <v>3.3760929552726589E-2</v>
      </c>
      <c r="AA683" s="240">
        <v>3.2400539247255944E-2</v>
      </c>
    </row>
    <row r="684" spans="19:27" x14ac:dyDescent="0.2">
      <c r="S684" s="199"/>
      <c r="T684" s="200"/>
      <c r="W684" s="233" t="str">
        <f t="shared" si="17"/>
        <v>1w</v>
      </c>
      <c r="X684" s="234">
        <f>_xll.qlCalendarAdvance(Calendar,X683,W684,"f",FALSE)</f>
        <v>43601</v>
      </c>
      <c r="Y684" s="237">
        <f>_xll.qlCalendarAdvance(Calendar,X684,NDays&amp;"D")</f>
        <v>43601</v>
      </c>
      <c r="Z684" s="238">
        <v>3.3789267688648449E-2</v>
      </c>
      <c r="AA684" s="240">
        <v>3.2436798654990051E-2</v>
      </c>
    </row>
    <row r="685" spans="19:27" x14ac:dyDescent="0.2">
      <c r="S685" s="199"/>
      <c r="T685" s="200"/>
      <c r="W685" s="233" t="str">
        <f t="shared" si="17"/>
        <v>1w</v>
      </c>
      <c r="X685" s="234">
        <f>_xll.qlCalendarAdvance(Calendar,X684,W685,"f",FALSE)</f>
        <v>43608</v>
      </c>
      <c r="Y685" s="237">
        <f>_xll.qlCalendarAdvance(Calendar,X685,NDays&amp;"D")</f>
        <v>43608</v>
      </c>
      <c r="Z685" s="238">
        <v>3.3820573846789034E-2</v>
      </c>
      <c r="AA685" s="240">
        <v>3.247272038590765E-2</v>
      </c>
    </row>
    <row r="686" spans="19:27" x14ac:dyDescent="0.2">
      <c r="S686" s="199"/>
      <c r="T686" s="200"/>
      <c r="W686" s="233" t="str">
        <f t="shared" si="17"/>
        <v>1w</v>
      </c>
      <c r="X686" s="234">
        <f>_xll.qlCalendarAdvance(Calendar,X685,W686,"f",FALSE)</f>
        <v>43615</v>
      </c>
      <c r="Y686" s="237">
        <f>_xll.qlCalendarAdvance(Calendar,X686,NDays&amp;"D")</f>
        <v>43615</v>
      </c>
      <c r="Z686" s="238">
        <v>3.383500495836711E-2</v>
      </c>
      <c r="AA686" s="240">
        <v>3.250830444000874E-2</v>
      </c>
    </row>
    <row r="687" spans="19:27" x14ac:dyDescent="0.2">
      <c r="S687" s="199"/>
      <c r="T687" s="200"/>
      <c r="W687" s="233" t="str">
        <f t="shared" si="17"/>
        <v>1w</v>
      </c>
      <c r="X687" s="234">
        <f>_xll.qlCalendarAdvance(Calendar,X686,W687,"f",FALSE)</f>
        <v>43622</v>
      </c>
      <c r="Y687" s="237">
        <f>_xll.qlCalendarAdvance(Calendar,X687,NDays&amp;"D")</f>
        <v>43622</v>
      </c>
      <c r="Z687" s="238">
        <v>3.3872191704350164E-2</v>
      </c>
      <c r="AA687" s="240">
        <v>3.2543550816969136E-2</v>
      </c>
    </row>
    <row r="688" spans="19:27" x14ac:dyDescent="0.2">
      <c r="S688" s="199"/>
      <c r="T688" s="200"/>
      <c r="W688" s="233" t="str">
        <f t="shared" si="17"/>
        <v>1w</v>
      </c>
      <c r="X688" s="234">
        <f>_xll.qlCalendarAdvance(Calendar,X687,W688,"f",FALSE)</f>
        <v>43629</v>
      </c>
      <c r="Y688" s="237">
        <f>_xll.qlCalendarAdvance(Calendar,X688,NDays&amp;"D")</f>
        <v>43629</v>
      </c>
      <c r="Z688" s="238">
        <v>3.38991361515317E-2</v>
      </c>
      <c r="AA688" s="240">
        <v>3.2578459516950931E-2</v>
      </c>
    </row>
    <row r="689" spans="19:27" x14ac:dyDescent="0.2">
      <c r="S689" s="199"/>
      <c r="T689" s="200"/>
      <c r="W689" s="233" t="str">
        <f t="shared" si="17"/>
        <v>1w</v>
      </c>
      <c r="X689" s="234">
        <f>_xll.qlCalendarAdvance(Calendar,X688,W689,"f",FALSE)</f>
        <v>43636</v>
      </c>
      <c r="Y689" s="237">
        <f>_xll.qlCalendarAdvance(Calendar,X689,NDays&amp;"D")</f>
        <v>43636</v>
      </c>
      <c r="Z689" s="238">
        <v>3.3925732106892495E-2</v>
      </c>
      <c r="AA689" s="240">
        <v>3.2613030539629939E-2</v>
      </c>
    </row>
    <row r="690" spans="19:27" x14ac:dyDescent="0.2">
      <c r="S690" s="199"/>
      <c r="T690" s="200"/>
      <c r="W690" s="233" t="str">
        <f t="shared" si="17"/>
        <v>1w</v>
      </c>
      <c r="X690" s="234">
        <f>_xll.qlCalendarAdvance(Calendar,X689,W690,"f",FALSE)</f>
        <v>43643</v>
      </c>
      <c r="Y690" s="237">
        <f>_xll.qlCalendarAdvance(Calendar,X690,NDays&amp;"D")</f>
        <v>43643</v>
      </c>
      <c r="Z690" s="238">
        <v>3.3951979543288435E-2</v>
      </c>
      <c r="AA690" s="240">
        <v>3.2647263885006161E-2</v>
      </c>
    </row>
    <row r="691" spans="19:27" x14ac:dyDescent="0.2">
      <c r="S691" s="199"/>
      <c r="T691" s="200"/>
      <c r="W691" s="233" t="str">
        <f t="shared" si="17"/>
        <v>1w</v>
      </c>
      <c r="X691" s="234">
        <f>_xll.qlCalendarAdvance(Calendar,X690,W691,"f",FALSE)</f>
        <v>43650</v>
      </c>
      <c r="Y691" s="237">
        <f>_xll.qlCalendarAdvance(Calendar,X691,NDays&amp;"D")</f>
        <v>43650</v>
      </c>
      <c r="Z691" s="238">
        <v>3.3977880059724762E-2</v>
      </c>
      <c r="AA691" s="240">
        <v>3.2681159553079597E-2</v>
      </c>
    </row>
    <row r="692" spans="19:27" x14ac:dyDescent="0.2">
      <c r="S692" s="199"/>
      <c r="T692" s="200"/>
      <c r="W692" s="233" t="str">
        <f t="shared" si="17"/>
        <v>1w</v>
      </c>
      <c r="X692" s="234">
        <f>_xll.qlCalendarAdvance(Calendar,X691,W692,"f",FALSE)</f>
        <v>43657</v>
      </c>
      <c r="Y692" s="237">
        <f>_xll.qlCalendarAdvance(Calendar,X692,NDays&amp;"D")</f>
        <v>43657</v>
      </c>
      <c r="Z692" s="238">
        <v>3.4003441759059748E-2</v>
      </c>
      <c r="AA692" s="240">
        <v>3.2714717543607108E-2</v>
      </c>
    </row>
    <row r="693" spans="19:27" x14ac:dyDescent="0.2">
      <c r="S693" s="199"/>
      <c r="T693" s="200"/>
      <c r="W693" s="233" t="str">
        <f t="shared" si="17"/>
        <v>1w</v>
      </c>
      <c r="X693" s="234">
        <f>_xll.qlCalendarAdvance(Calendar,X692,W693,"f",FALSE)</f>
        <v>43664</v>
      </c>
      <c r="Y693" s="237">
        <f>_xll.qlCalendarAdvance(Calendar,X693,NDays&amp;"D")</f>
        <v>43664</v>
      </c>
      <c r="Z693" s="238">
        <v>3.4028674371176675E-2</v>
      </c>
      <c r="AA693" s="240">
        <v>3.2747937856588694E-2</v>
      </c>
    </row>
    <row r="694" spans="19:27" x14ac:dyDescent="0.2">
      <c r="S694" s="199"/>
      <c r="T694" s="200"/>
      <c r="W694" s="233" t="str">
        <f t="shared" si="17"/>
        <v>1w</v>
      </c>
      <c r="X694" s="234">
        <f>_xll.qlCalendarAdvance(Calendar,X693,W694,"f",FALSE)</f>
        <v>43671</v>
      </c>
      <c r="Y694" s="237">
        <f>_xll.qlCalendarAdvance(Calendar,X694,NDays&amp;"D")</f>
        <v>43671</v>
      </c>
      <c r="Z694" s="238">
        <v>3.4053587627242796E-2</v>
      </c>
      <c r="AA694" s="240">
        <v>3.2780820491862261E-2</v>
      </c>
    </row>
    <row r="695" spans="19:27" x14ac:dyDescent="0.2">
      <c r="S695" s="199"/>
      <c r="T695" s="200"/>
      <c r="W695" s="233" t="str">
        <f t="shared" si="17"/>
        <v>1w</v>
      </c>
      <c r="X695" s="234">
        <f>_xll.qlCalendarAdvance(Calendar,X694,W695,"f",FALSE)</f>
        <v>43678</v>
      </c>
      <c r="Y695" s="237">
        <f>_xll.qlCalendarAdvance(Calendar,X695,NDays&amp;"D")</f>
        <v>43678</v>
      </c>
      <c r="Z695" s="238">
        <v>3.4078191259676295E-2</v>
      </c>
      <c r="AA695" s="240">
        <v>3.2813365449346765E-2</v>
      </c>
    </row>
    <row r="696" spans="19:27" x14ac:dyDescent="0.2">
      <c r="S696" s="199"/>
      <c r="T696" s="200"/>
      <c r="W696" s="233" t="str">
        <f t="shared" si="17"/>
        <v>1w</v>
      </c>
      <c r="X696" s="234">
        <f>_xll.qlCalendarAdvance(Calendar,X695,W696,"f",FALSE)</f>
        <v>43685</v>
      </c>
      <c r="Y696" s="237">
        <f>_xll.qlCalendarAdvance(Calendar,X696,NDays&amp;"D")</f>
        <v>43685</v>
      </c>
      <c r="Z696" s="238">
        <v>3.4102495002118767E-2</v>
      </c>
      <c r="AA696" s="240">
        <v>3.2845572729042205E-2</v>
      </c>
    </row>
    <row r="697" spans="19:27" x14ac:dyDescent="0.2">
      <c r="S697" s="199"/>
      <c r="T697" s="200"/>
      <c r="W697" s="233" t="str">
        <f t="shared" si="17"/>
        <v>1w</v>
      </c>
      <c r="X697" s="234">
        <f>_xll.qlCalendarAdvance(Calendar,X696,W697,"f",FALSE)</f>
        <v>43692</v>
      </c>
      <c r="Y697" s="237">
        <f>_xll.qlCalendarAdvance(Calendar,X697,NDays&amp;"D")</f>
        <v>43692</v>
      </c>
      <c r="Z697" s="238">
        <v>3.4126508589403255E-2</v>
      </c>
      <c r="AA697" s="240">
        <v>3.2877442330705442E-2</v>
      </c>
    </row>
    <row r="698" spans="19:27" x14ac:dyDescent="0.2">
      <c r="S698" s="199"/>
      <c r="T698" s="200"/>
      <c r="W698" s="233" t="str">
        <f t="shared" si="17"/>
        <v>1w</v>
      </c>
      <c r="X698" s="234">
        <f>_xll.qlCalendarAdvance(Calendar,X697,W698,"f",FALSE)</f>
        <v>43699</v>
      </c>
      <c r="Y698" s="237">
        <f>_xll.qlCalendarAdvance(Calendar,X698,NDays&amp;"D")</f>
        <v>43699</v>
      </c>
      <c r="Z698" s="238">
        <v>3.4150241757529398E-2</v>
      </c>
      <c r="AA698" s="240">
        <v>3.2908974254417522E-2</v>
      </c>
    </row>
    <row r="699" spans="19:27" x14ac:dyDescent="0.2">
      <c r="S699" s="199"/>
      <c r="T699" s="200"/>
      <c r="W699" s="233" t="str">
        <f t="shared" si="17"/>
        <v>1w</v>
      </c>
      <c r="X699" s="234">
        <f>_xll.qlCalendarAdvance(Calendar,X698,W699,"f",FALSE)</f>
        <v>43706</v>
      </c>
      <c r="Y699" s="237">
        <f>_xll.qlCalendarAdvance(Calendar,X699,NDays&amp;"D")</f>
        <v>43706</v>
      </c>
      <c r="Z699" s="238">
        <v>3.4164538166552516E-2</v>
      </c>
      <c r="AA699" s="240">
        <v>3.2940168500016354E-2</v>
      </c>
    </row>
    <row r="700" spans="19:27" x14ac:dyDescent="0.2">
      <c r="S700" s="199"/>
      <c r="T700" s="200"/>
      <c r="W700" s="233" t="str">
        <f t="shared" si="17"/>
        <v>1w</v>
      </c>
      <c r="X700" s="234">
        <f>_xll.qlCalendarAdvance(Calendar,X699,W700,"f",FALSE)</f>
        <v>43713</v>
      </c>
      <c r="Y700" s="237">
        <f>_xll.qlCalendarAdvance(Calendar,X700,NDays&amp;"D")</f>
        <v>43713</v>
      </c>
      <c r="Z700" s="238">
        <v>3.4196905785968311E-2</v>
      </c>
      <c r="AA700" s="240">
        <v>3.2971025067258797E-2</v>
      </c>
    </row>
    <row r="701" spans="19:27" x14ac:dyDescent="0.2">
      <c r="S701" s="199"/>
      <c r="T701" s="200"/>
      <c r="W701" s="233" t="str">
        <f t="shared" si="17"/>
        <v>1w</v>
      </c>
      <c r="X701" s="234">
        <f>_xll.qlCalendarAdvance(Calendar,X700,W701,"f",FALSE)</f>
        <v>43720</v>
      </c>
      <c r="Y701" s="237">
        <f>_xll.qlCalendarAdvance(Calendar,X701,NDays&amp;"D")</f>
        <v>43720</v>
      </c>
      <c r="Z701" s="238">
        <v>3.4219856123865716E-2</v>
      </c>
      <c r="AA701" s="240">
        <v>3.3001543956387991E-2</v>
      </c>
    </row>
    <row r="702" spans="19:27" x14ac:dyDescent="0.2">
      <c r="S702" s="199"/>
      <c r="T702" s="200"/>
      <c r="W702" s="233" t="str">
        <f t="shared" si="17"/>
        <v>1w</v>
      </c>
      <c r="X702" s="234">
        <f>_xll.qlCalendarAdvance(Calendar,X701,W702,"f",FALSE)</f>
        <v>43727</v>
      </c>
      <c r="Y702" s="237">
        <f>_xll.qlCalendarAdvance(Calendar,X702,NDays&amp;"D")</f>
        <v>43727</v>
      </c>
      <c r="Z702" s="238">
        <v>3.4242564997725607E-2</v>
      </c>
      <c r="AA702" s="240">
        <v>3.3031725167079751E-2</v>
      </c>
    </row>
    <row r="703" spans="19:27" x14ac:dyDescent="0.2">
      <c r="S703" s="199"/>
      <c r="T703" s="200"/>
      <c r="W703" s="233" t="str">
        <f t="shared" si="17"/>
        <v>1w</v>
      </c>
      <c r="X703" s="234">
        <f>_xll.qlCalendarAdvance(Calendar,X702,W703,"f",FALSE)</f>
        <v>43734</v>
      </c>
      <c r="Y703" s="237">
        <f>_xll.qlCalendarAdvance(Calendar,X703,NDays&amp;"D")</f>
        <v>43734</v>
      </c>
      <c r="Z703" s="238">
        <v>3.426504214898498E-2</v>
      </c>
      <c r="AA703" s="240">
        <v>3.306156869925303E-2</v>
      </c>
    </row>
    <row r="704" spans="19:27" x14ac:dyDescent="0.2">
      <c r="S704" s="199"/>
      <c r="T704" s="200"/>
      <c r="W704" s="233" t="str">
        <f t="shared" si="17"/>
        <v>1w</v>
      </c>
      <c r="X704" s="234">
        <f>_xll.qlCalendarAdvance(Calendar,X703,W704,"f",FALSE)</f>
        <v>43741</v>
      </c>
      <c r="Y704" s="237">
        <f>_xll.qlCalendarAdvance(Calendar,X704,NDays&amp;"D")</f>
        <v>43741</v>
      </c>
      <c r="Z704" s="238">
        <v>3.428729732009745E-2</v>
      </c>
      <c r="AA704" s="240">
        <v>3.3091074552907829E-2</v>
      </c>
    </row>
    <row r="705" spans="19:27" x14ac:dyDescent="0.2">
      <c r="S705" s="199"/>
      <c r="T705" s="200"/>
      <c r="W705" s="233" t="str">
        <f t="shared" si="17"/>
        <v>1w</v>
      </c>
      <c r="X705" s="234">
        <f>_xll.qlCalendarAdvance(Calendar,X704,W705,"f",FALSE)</f>
        <v>43748</v>
      </c>
      <c r="Y705" s="237">
        <f>_xll.qlCalendarAdvance(Calendar,X705,NDays&amp;"D")</f>
        <v>43748</v>
      </c>
      <c r="Z705" s="238">
        <v>3.430934025451142E-2</v>
      </c>
      <c r="AA705" s="240">
        <v>3.3120242727963101E-2</v>
      </c>
    </row>
    <row r="706" spans="19:27" x14ac:dyDescent="0.2">
      <c r="S706" s="199"/>
      <c r="T706" s="200"/>
      <c r="W706" s="233" t="str">
        <f t="shared" si="17"/>
        <v>1w</v>
      </c>
      <c r="X706" s="234">
        <f>_xll.qlCalendarAdvance(Calendar,X705,W706,"f",FALSE)</f>
        <v>43755</v>
      </c>
      <c r="Y706" s="237">
        <f>_xll.qlCalendarAdvance(Calendar,X706,NDays&amp;"D")</f>
        <v>43755</v>
      </c>
      <c r="Z706" s="238">
        <v>3.4331180696649394E-2</v>
      </c>
      <c r="AA706" s="240">
        <v>3.3149073224256753E-2</v>
      </c>
    </row>
    <row r="707" spans="19:27" x14ac:dyDescent="0.2">
      <c r="S707" s="199"/>
      <c r="T707" s="200"/>
      <c r="W707" s="233" t="str">
        <f t="shared" si="17"/>
        <v>1w</v>
      </c>
      <c r="X707" s="234">
        <f>_xll.qlCalendarAdvance(Calendar,X706,W707,"f",FALSE)</f>
        <v>43762</v>
      </c>
      <c r="Y707" s="237">
        <f>_xll.qlCalendarAdvance(Calendar,X707,NDays&amp;"D")</f>
        <v>43762</v>
      </c>
      <c r="Z707" s="238">
        <v>3.435282839188903E-2</v>
      </c>
      <c r="AA707" s="240">
        <v>3.3177566041869833E-2</v>
      </c>
    </row>
    <row r="708" spans="19:27" x14ac:dyDescent="0.2">
      <c r="S708" s="199"/>
      <c r="T708" s="200"/>
      <c r="W708" s="233" t="str">
        <f t="shared" si="17"/>
        <v>1w</v>
      </c>
      <c r="X708" s="234">
        <f>_xll.qlCalendarAdvance(Calendar,X707,W708,"f",FALSE)</f>
        <v>43769</v>
      </c>
      <c r="Y708" s="237">
        <f>_xll.qlCalendarAdvance(Calendar,X708,NDays&amp;"D")</f>
        <v>43769</v>
      </c>
      <c r="Z708" s="238">
        <v>3.436530832229745E-2</v>
      </c>
      <c r="AA708" s="240">
        <v>3.32057211805592E-2</v>
      </c>
    </row>
    <row r="709" spans="19:27" x14ac:dyDescent="0.2">
      <c r="S709" s="199"/>
      <c r="T709" s="200"/>
      <c r="W709" s="233" t="str">
        <f t="shared" si="17"/>
        <v>1w</v>
      </c>
      <c r="X709" s="234">
        <f>_xll.qlCalendarAdvance(Calendar,X708,W709,"f",FALSE)</f>
        <v>43776</v>
      </c>
      <c r="Y709" s="237">
        <f>_xll.qlCalendarAdvance(Calendar,X709,NDays&amp;"D")</f>
        <v>43776</v>
      </c>
      <c r="Z709" s="238">
        <v>3.4395584527843436E-2</v>
      </c>
      <c r="AA709" s="240">
        <v>3.3233538640243809E-2</v>
      </c>
    </row>
    <row r="710" spans="19:27" x14ac:dyDescent="0.2">
      <c r="S710" s="199"/>
      <c r="T710" s="200"/>
      <c r="W710" s="233" t="str">
        <f t="shared" si="17"/>
        <v>1w</v>
      </c>
      <c r="X710" s="234">
        <f>_xll.qlCalendarAdvance(Calendar,X709,W710,"f",FALSE)</f>
        <v>43783</v>
      </c>
      <c r="Y710" s="237">
        <f>_xll.qlCalendarAdvance(Calendar,X710,NDays&amp;"D")</f>
        <v>43783</v>
      </c>
      <c r="Z710" s="238">
        <v>3.4416712463920834E-2</v>
      </c>
      <c r="AA710" s="240">
        <v>3.326101842092366E-2</v>
      </c>
    </row>
    <row r="711" spans="19:27" x14ac:dyDescent="0.2">
      <c r="S711" s="199"/>
      <c r="T711" s="200"/>
      <c r="W711" s="233" t="str">
        <f t="shared" si="17"/>
        <v>1w</v>
      </c>
      <c r="X711" s="234">
        <f>_xll.qlCalendarAdvance(Calendar,X710,W711,"f",FALSE)</f>
        <v>43790</v>
      </c>
      <c r="Y711" s="237">
        <f>_xll.qlCalendarAdvance(Calendar,X711,NDays&amp;"D")</f>
        <v>43790</v>
      </c>
      <c r="Z711" s="238">
        <v>3.4437686643792986E-2</v>
      </c>
      <c r="AA711" s="240">
        <v>3.3288160522598753E-2</v>
      </c>
    </row>
    <row r="712" spans="19:27" x14ac:dyDescent="0.2">
      <c r="S712" s="199"/>
      <c r="T712" s="200"/>
      <c r="W712" s="233" t="str">
        <f t="shared" si="17"/>
        <v>1w</v>
      </c>
      <c r="X712" s="234">
        <f>_xll.qlCalendarAdvance(Calendar,X711,W712,"f",FALSE)</f>
        <v>43797</v>
      </c>
      <c r="Y712" s="237">
        <f>_xll.qlCalendarAdvance(Calendar,X712,NDays&amp;"D")</f>
        <v>43797</v>
      </c>
      <c r="Z712" s="238">
        <v>3.4458516817346414E-2</v>
      </c>
      <c r="AA712" s="240">
        <v>3.3314964945025949E-2</v>
      </c>
    </row>
    <row r="713" spans="19:27" x14ac:dyDescent="0.2">
      <c r="S713" s="199"/>
      <c r="T713" s="200"/>
      <c r="W713" s="233" t="str">
        <f t="shared" si="17"/>
        <v>1w</v>
      </c>
      <c r="X713" s="234">
        <f>_xll.qlCalendarAdvance(Calendar,X712,W713,"f",FALSE)</f>
        <v>43804</v>
      </c>
      <c r="Y713" s="237">
        <f>_xll.qlCalendarAdvance(Calendar,X713,NDays&amp;"D")</f>
        <v>43804</v>
      </c>
      <c r="Z713" s="238">
        <v>3.4479212735323922E-2</v>
      </c>
      <c r="AA713" s="240">
        <v>3.3341431688286294E-2</v>
      </c>
    </row>
    <row r="714" spans="19:27" x14ac:dyDescent="0.2">
      <c r="S714" s="199"/>
      <c r="T714" s="200"/>
      <c r="W714" s="233" t="str">
        <f t="shared" si="17"/>
        <v>1w</v>
      </c>
      <c r="X714" s="234">
        <f>_xll.qlCalendarAdvance(Calendar,X713,W714,"f",FALSE)</f>
        <v>43811</v>
      </c>
      <c r="Y714" s="237">
        <f>_xll.qlCalendarAdvance(Calendar,X714,NDays&amp;"D")</f>
        <v>43811</v>
      </c>
      <c r="Z714" s="238">
        <v>3.4499784149310903E-2</v>
      </c>
      <c r="AA714" s="240">
        <v>3.3367560752136649E-2</v>
      </c>
    </row>
    <row r="715" spans="19:27" x14ac:dyDescent="0.2">
      <c r="S715" s="199"/>
      <c r="T715" s="200"/>
      <c r="W715" s="233" t="str">
        <f t="shared" si="17"/>
        <v>1w</v>
      </c>
      <c r="X715" s="234">
        <f>_xll.qlCalendarAdvance(Calendar,X714,W715,"f",FALSE)</f>
        <v>43818</v>
      </c>
      <c r="Y715" s="237">
        <f>_xll.qlCalendarAdvance(Calendar,X715,NDays&amp;"D")</f>
        <v>43818</v>
      </c>
      <c r="Z715" s="238">
        <v>3.452024081172262E-2</v>
      </c>
      <c r="AA715" s="240">
        <v>3.3393352136658061E-2</v>
      </c>
    </row>
    <row r="716" spans="19:27" x14ac:dyDescent="0.2">
      <c r="S716" s="199"/>
      <c r="T716" s="200"/>
      <c r="W716" s="233" t="str">
        <f t="shared" si="17"/>
        <v>1w</v>
      </c>
      <c r="X716" s="234">
        <f>_xll.qlCalendarAdvance(Calendar,X715,W716,"f",FALSE)</f>
        <v>43826</v>
      </c>
      <c r="Y716" s="237">
        <f>_xll.qlCalendarAdvance(Calendar,X716,NDays&amp;"D")</f>
        <v>43826</v>
      </c>
      <c r="Z716" s="238">
        <v>3.4543491853820496E-2</v>
      </c>
      <c r="AA716" s="240">
        <v>3.3429075193829691E-2</v>
      </c>
    </row>
    <row r="717" spans="19:27" x14ac:dyDescent="0.2">
      <c r="S717" s="199"/>
      <c r="T717" s="200"/>
      <c r="W717" s="233" t="str">
        <f t="shared" si="17"/>
        <v>1w</v>
      </c>
      <c r="X717" s="234">
        <f>_xll.qlCalendarAdvance(Calendar,X716,W717,"f",FALSE)</f>
        <v>43833</v>
      </c>
      <c r="Y717" s="237">
        <f>_xll.qlCalendarAdvance(Calendar,X717,NDays&amp;"D")</f>
        <v>43833</v>
      </c>
      <c r="Z717" s="238">
        <v>3.4560725591527855E-2</v>
      </c>
      <c r="AA717" s="240">
        <v>3.3454099323827854E-2</v>
      </c>
    </row>
    <row r="718" spans="19:27" x14ac:dyDescent="0.2">
      <c r="S718" s="199"/>
      <c r="T718" s="200"/>
      <c r="W718" s="233" t="str">
        <f t="shared" si="17"/>
        <v>1w</v>
      </c>
      <c r="X718" s="234">
        <f>_xll.qlCalendarAdvance(Calendar,X717,W718,"f",FALSE)</f>
        <v>43840</v>
      </c>
      <c r="Y718" s="237">
        <f>_xll.qlCalendarAdvance(Calendar,X718,NDays&amp;"D")</f>
        <v>43840</v>
      </c>
      <c r="Z718" s="238">
        <v>3.4580879773353654E-2</v>
      </c>
      <c r="AA718" s="240">
        <v>3.3478785715684488E-2</v>
      </c>
    </row>
    <row r="719" spans="19:27" x14ac:dyDescent="0.2">
      <c r="S719" s="199"/>
      <c r="T719" s="200"/>
      <c r="W719" s="233" t="str">
        <f t="shared" si="17"/>
        <v>1w</v>
      </c>
      <c r="X719" s="234">
        <f>_xll.qlCalendarAdvance(Calendar,X718,W719,"f",FALSE)</f>
        <v>43847</v>
      </c>
      <c r="Y719" s="237">
        <f>_xll.qlCalendarAdvance(Calendar,X719,NDays&amp;"D")</f>
        <v>43847</v>
      </c>
      <c r="Z719" s="238">
        <v>3.4600958971258727E-2</v>
      </c>
      <c r="AA719" s="240">
        <v>3.3503134369237506E-2</v>
      </c>
    </row>
    <row r="720" spans="19:27" x14ac:dyDescent="0.2">
      <c r="S720" s="199"/>
      <c r="T720" s="200"/>
      <c r="W720" s="233" t="str">
        <f t="shared" si="17"/>
        <v>1w</v>
      </c>
      <c r="X720" s="234">
        <f>_xll.qlCalendarAdvance(Calendar,X719,W720,"f",FALSE)</f>
        <v>43854</v>
      </c>
      <c r="Y720" s="237">
        <f>_xll.qlCalendarAdvance(Calendar,X720,NDays&amp;"D")</f>
        <v>43854</v>
      </c>
      <c r="Z720" s="238">
        <v>3.4620972967415224E-2</v>
      </c>
      <c r="AA720" s="240">
        <v>3.3527145284189729E-2</v>
      </c>
    </row>
    <row r="721" spans="19:27" x14ac:dyDescent="0.2">
      <c r="S721" s="199"/>
      <c r="T721" s="200"/>
      <c r="W721" s="233" t="str">
        <f t="shared" si="17"/>
        <v>1w</v>
      </c>
      <c r="X721" s="234">
        <f>_xll.qlCalendarAdvance(Calendar,X720,W721,"f",FALSE)</f>
        <v>43861</v>
      </c>
      <c r="Y721" s="237">
        <f>_xll.qlCalendarAdvance(Calendar,X721,NDays&amp;"D")</f>
        <v>43861</v>
      </c>
      <c r="Z721" s="238">
        <v>3.4631834102587203E-2</v>
      </c>
      <c r="AA721" s="240">
        <v>3.3550818460433104E-2</v>
      </c>
    </row>
    <row r="722" spans="19:27" x14ac:dyDescent="0.2">
      <c r="S722" s="199"/>
      <c r="T722" s="200"/>
      <c r="W722" s="233" t="str">
        <f t="shared" si="17"/>
        <v>1w</v>
      </c>
      <c r="X722" s="234">
        <f>_xll.qlCalendarAdvance(Calendar,X721,W722,"f",FALSE)</f>
        <v>43868</v>
      </c>
      <c r="Y722" s="237">
        <f>_xll.qlCalendarAdvance(Calendar,X722,NDays&amp;"D")</f>
        <v>43868</v>
      </c>
      <c r="Z722" s="238">
        <v>3.4660844487036747E-2</v>
      </c>
      <c r="AA722" s="240">
        <v>3.3574153897751501E-2</v>
      </c>
    </row>
    <row r="723" spans="19:27" x14ac:dyDescent="0.2">
      <c r="S723" s="199"/>
      <c r="T723" s="200"/>
      <c r="W723" s="233" t="str">
        <f t="shared" si="17"/>
        <v>1w</v>
      </c>
      <c r="X723" s="234">
        <f>_xll.qlCalendarAdvance(Calendar,X722,W723,"f",FALSE)</f>
        <v>43875</v>
      </c>
      <c r="Y723" s="237">
        <f>_xll.qlCalendarAdvance(Calendar,X723,NDays&amp;"D")</f>
        <v>43875</v>
      </c>
      <c r="Z723" s="238">
        <v>3.4680721578698295E-2</v>
      </c>
      <c r="AA723" s="240">
        <v>3.3597151595874772E-2</v>
      </c>
    </row>
    <row r="724" spans="19:27" x14ac:dyDescent="0.2">
      <c r="S724" s="199"/>
      <c r="T724" s="200"/>
      <c r="W724" s="233" t="str">
        <f t="shared" si="17"/>
        <v>1w</v>
      </c>
      <c r="X724" s="234">
        <f>_xll.qlCalendarAdvance(Calendar,X723,W724,"f",FALSE)</f>
        <v>43882</v>
      </c>
      <c r="Y724" s="237">
        <f>_xll.qlCalendarAdvance(Calendar,X724,NDays&amp;"D")</f>
        <v>43882</v>
      </c>
      <c r="Z724" s="238">
        <v>3.4700572604994151E-2</v>
      </c>
      <c r="AA724" s="240">
        <v>3.3619811554694845E-2</v>
      </c>
    </row>
    <row r="725" spans="19:27" x14ac:dyDescent="0.2">
      <c r="S725" s="199"/>
      <c r="T725" s="200"/>
      <c r="W725" s="233" t="str">
        <f t="shared" ref="W725:W788" si="18">W724</f>
        <v>1w</v>
      </c>
      <c r="X725" s="234">
        <f>_xll.qlCalendarAdvance(Calendar,X724,W725,"f",FALSE)</f>
        <v>43889</v>
      </c>
      <c r="Y725" s="237">
        <f>_xll.qlCalendarAdvance(Calendar,X725,NDays&amp;"D")</f>
        <v>43889</v>
      </c>
      <c r="Z725" s="238">
        <v>3.4711208136032942E-2</v>
      </c>
      <c r="AA725" s="240">
        <v>3.3642133773995608E-2</v>
      </c>
    </row>
    <row r="726" spans="19:27" x14ac:dyDescent="0.2">
      <c r="S726" s="199"/>
      <c r="T726" s="200"/>
      <c r="W726" s="233" t="str">
        <f t="shared" si="18"/>
        <v>1w</v>
      </c>
      <c r="X726" s="234">
        <f>_xll.qlCalendarAdvance(Calendar,X725,W726,"f",FALSE)</f>
        <v>43896</v>
      </c>
      <c r="Y726" s="237">
        <f>_xll.qlCalendarAdvance(Calendar,X726,NDays&amp;"D")</f>
        <v>43896</v>
      </c>
      <c r="Z726" s="238">
        <v>3.4740235606239074E-2</v>
      </c>
      <c r="AA726" s="240">
        <v>3.3664118253614969E-2</v>
      </c>
    </row>
    <row r="727" spans="19:27" x14ac:dyDescent="0.2">
      <c r="S727" s="199"/>
      <c r="T727" s="200"/>
      <c r="W727" s="233" t="str">
        <f t="shared" si="18"/>
        <v>1w</v>
      </c>
      <c r="X727" s="234">
        <f>_xll.qlCalendarAdvance(Calendar,X726,W727,"f",FALSE)</f>
        <v>43903</v>
      </c>
      <c r="Y727" s="237">
        <f>_xll.qlCalendarAdvance(Calendar,X727,NDays&amp;"D")</f>
        <v>43903</v>
      </c>
      <c r="Z727" s="238">
        <v>3.4760067155450762E-2</v>
      </c>
      <c r="AA727" s="240">
        <v>3.3685764993309775E-2</v>
      </c>
    </row>
    <row r="728" spans="19:27" x14ac:dyDescent="0.2">
      <c r="S728" s="199"/>
      <c r="T728" s="200"/>
      <c r="W728" s="233" t="str">
        <f t="shared" si="18"/>
        <v>1w</v>
      </c>
      <c r="X728" s="234">
        <f>_xll.qlCalendarAdvance(Calendar,X727,W728,"f",FALSE)</f>
        <v>43910</v>
      </c>
      <c r="Y728" s="237">
        <f>_xll.qlCalendarAdvance(Calendar,X728,NDays&amp;"D")</f>
        <v>43910</v>
      </c>
      <c r="Z728" s="238">
        <v>3.4779911787821569E-2</v>
      </c>
      <c r="AA728" s="240">
        <v>3.370707399297198E-2</v>
      </c>
    </row>
    <row r="729" spans="19:27" x14ac:dyDescent="0.2">
      <c r="S729" s="199"/>
      <c r="T729" s="200"/>
      <c r="W729" s="233" t="str">
        <f t="shared" si="18"/>
        <v>1w</v>
      </c>
      <c r="X729" s="234">
        <f>_xll.qlCalendarAdvance(Calendar,X728,W729,"f",FALSE)</f>
        <v>43917</v>
      </c>
      <c r="Y729" s="237">
        <f>_xll.qlCalendarAdvance(Calendar,X729,NDays&amp;"D")</f>
        <v>43917</v>
      </c>
      <c r="Z729" s="238">
        <v>3.4799779292368833E-2</v>
      </c>
      <c r="AA729" s="240">
        <v>3.3728045252385451E-2</v>
      </c>
    </row>
    <row r="730" spans="19:27" x14ac:dyDescent="0.2">
      <c r="S730" s="199"/>
      <c r="T730" s="200"/>
      <c r="W730" s="233" t="str">
        <f t="shared" si="18"/>
        <v>1w</v>
      </c>
      <c r="X730" s="234">
        <f>_xll.qlCalendarAdvance(Calendar,X729,W730,"f",FALSE)</f>
        <v>43924</v>
      </c>
      <c r="Y730" s="237">
        <f>_xll.qlCalendarAdvance(Calendar,X730,NDays&amp;"D")</f>
        <v>43924</v>
      </c>
      <c r="Z730" s="238">
        <v>3.4822801531309358E-2</v>
      </c>
      <c r="AA730" s="240">
        <v>3.3748678771361083E-2</v>
      </c>
    </row>
    <row r="731" spans="19:27" x14ac:dyDescent="0.2">
      <c r="S731" s="199"/>
      <c r="T731" s="200"/>
      <c r="W731" s="233" t="str">
        <f t="shared" si="18"/>
        <v>1w</v>
      </c>
      <c r="X731" s="234">
        <f>_xll.qlCalendarAdvance(Calendar,X730,W731,"f",FALSE)</f>
        <v>43935</v>
      </c>
      <c r="Y731" s="237">
        <f>_xll.qlCalendarAdvance(Calendar,X731,NDays&amp;"D")</f>
        <v>43935</v>
      </c>
      <c r="Z731" s="238">
        <v>3.4844763891363817E-2</v>
      </c>
      <c r="AA731" s="240">
        <v>3.3774446309905448E-2</v>
      </c>
    </row>
    <row r="732" spans="19:27" x14ac:dyDescent="0.2">
      <c r="S732" s="199"/>
      <c r="T732" s="200"/>
      <c r="W732" s="233" t="str">
        <f t="shared" si="18"/>
        <v>1w</v>
      </c>
      <c r="X732" s="234">
        <f>_xll.qlCalendarAdvance(Calendar,X731,W732,"f",FALSE)</f>
        <v>43942</v>
      </c>
      <c r="Y732" s="237">
        <f>_xll.qlCalendarAdvance(Calendar,X732,NDays&amp;"D")</f>
        <v>43942</v>
      </c>
      <c r="Z732" s="238">
        <v>3.4864768679014668E-2</v>
      </c>
      <c r="AA732" s="240">
        <v>3.3794255934110895E-2</v>
      </c>
    </row>
    <row r="733" spans="19:27" x14ac:dyDescent="0.2">
      <c r="S733" s="199"/>
      <c r="T733" s="200"/>
      <c r="W733" s="233" t="str">
        <f t="shared" si="18"/>
        <v>1w</v>
      </c>
      <c r="X733" s="234">
        <f>_xll.qlCalendarAdvance(Calendar,X732,W733,"f",FALSE)</f>
        <v>43949</v>
      </c>
      <c r="Y733" s="237">
        <f>_xll.qlCalendarAdvance(Calendar,X733,NDays&amp;"D")</f>
        <v>43949</v>
      </c>
      <c r="Z733" s="238">
        <v>3.4884840553878194E-2</v>
      </c>
      <c r="AA733" s="240">
        <v>3.3813727877852751E-2</v>
      </c>
    </row>
    <row r="734" spans="19:27" x14ac:dyDescent="0.2">
      <c r="S734" s="199"/>
      <c r="T734" s="200"/>
      <c r="W734" s="233" t="str">
        <f t="shared" si="18"/>
        <v>1w</v>
      </c>
      <c r="X734" s="234">
        <f>_xll.qlCalendarAdvance(Calendar,X733,W734,"f",FALSE)</f>
        <v>43956</v>
      </c>
      <c r="Y734" s="237">
        <f>_xll.qlCalendarAdvance(Calendar,X734,NDays&amp;"D")</f>
        <v>43956</v>
      </c>
      <c r="Z734" s="238">
        <v>3.4904989360940109E-2</v>
      </c>
      <c r="AA734" s="240">
        <v>3.383286214080683E-2</v>
      </c>
    </row>
    <row r="735" spans="19:27" x14ac:dyDescent="0.2">
      <c r="S735" s="199"/>
      <c r="T735" s="200"/>
      <c r="W735" s="233" t="str">
        <f t="shared" si="18"/>
        <v>1w</v>
      </c>
      <c r="X735" s="234">
        <f>_xll.qlCalendarAdvance(Calendar,X734,W735,"f",FALSE)</f>
        <v>43963</v>
      </c>
      <c r="Y735" s="237">
        <f>_xll.qlCalendarAdvance(Calendar,X735,NDays&amp;"D")</f>
        <v>43963</v>
      </c>
      <c r="Z735" s="238">
        <v>3.4925224945969724E-2</v>
      </c>
      <c r="AA735" s="240">
        <v>3.3851658723135225E-2</v>
      </c>
    </row>
    <row r="736" spans="19:27" x14ac:dyDescent="0.2">
      <c r="S736" s="199"/>
      <c r="T736" s="200"/>
      <c r="W736" s="233" t="str">
        <f t="shared" si="18"/>
        <v>1w</v>
      </c>
      <c r="X736" s="234">
        <f>_xll.qlCalendarAdvance(Calendar,X735,W736,"f",FALSE)</f>
        <v>43970</v>
      </c>
      <c r="Y736" s="237">
        <f>_xll.qlCalendarAdvance(Calendar,X736,NDays&amp;"D")</f>
        <v>43970</v>
      </c>
      <c r="Z736" s="238">
        <v>3.4945557155524831E-2</v>
      </c>
      <c r="AA736" s="240">
        <v>3.387011762475689E-2</v>
      </c>
    </row>
    <row r="737" spans="19:27" x14ac:dyDescent="0.2">
      <c r="S737" s="199"/>
      <c r="T737" s="200"/>
      <c r="W737" s="233" t="str">
        <f t="shared" si="18"/>
        <v>1w</v>
      </c>
      <c r="X737" s="234">
        <f>_xll.qlCalendarAdvance(Calendar,X736,W737,"f",FALSE)</f>
        <v>43977</v>
      </c>
      <c r="Y737" s="237">
        <f>_xll.qlCalendarAdvance(Calendar,X737,NDays&amp;"D")</f>
        <v>43977</v>
      </c>
      <c r="Z737" s="238">
        <v>3.4965995836963248E-2</v>
      </c>
      <c r="AA737" s="240">
        <v>3.3888238845509733E-2</v>
      </c>
    </row>
    <row r="738" spans="19:27" x14ac:dyDescent="0.2">
      <c r="S738" s="199"/>
      <c r="T738" s="200"/>
      <c r="W738" s="233" t="str">
        <f t="shared" si="18"/>
        <v>1w</v>
      </c>
      <c r="X738" s="234">
        <f>_xll.qlCalendarAdvance(Calendar,X737,W738,"f",FALSE)</f>
        <v>43984</v>
      </c>
      <c r="Y738" s="237">
        <f>_xll.qlCalendarAdvance(Calendar,X738,NDays&amp;"D")</f>
        <v>43984</v>
      </c>
      <c r="Z738" s="238">
        <v>3.498655083845037E-2</v>
      </c>
      <c r="AA738" s="240">
        <v>3.3906022385474799E-2</v>
      </c>
    </row>
    <row r="739" spans="19:27" x14ac:dyDescent="0.2">
      <c r="S739" s="199"/>
      <c r="T739" s="200"/>
      <c r="W739" s="233" t="str">
        <f t="shared" si="18"/>
        <v>1w</v>
      </c>
      <c r="X739" s="234">
        <f>_xll.qlCalendarAdvance(Calendar,X738,W739,"f",FALSE)</f>
        <v>43991</v>
      </c>
      <c r="Y739" s="237">
        <f>_xll.qlCalendarAdvance(Calendar,X739,NDays&amp;"D")</f>
        <v>43991</v>
      </c>
      <c r="Z739" s="238">
        <v>3.500723200897049E-2</v>
      </c>
      <c r="AA739" s="240">
        <v>3.3923468244571042E-2</v>
      </c>
    </row>
    <row r="740" spans="19:27" x14ac:dyDescent="0.2">
      <c r="S740" s="199"/>
      <c r="T740" s="200"/>
      <c r="W740" s="233" t="str">
        <f t="shared" si="18"/>
        <v>1w</v>
      </c>
      <c r="X740" s="234">
        <f>_xll.qlCalendarAdvance(Calendar,X739,W740,"f",FALSE)</f>
        <v>43998</v>
      </c>
      <c r="Y740" s="237">
        <f>_xll.qlCalendarAdvance(Calendar,X740,NDays&amp;"D")</f>
        <v>43998</v>
      </c>
      <c r="Z740" s="238">
        <v>3.5028049198339017E-2</v>
      </c>
      <c r="AA740" s="240">
        <v>3.3940576422717417E-2</v>
      </c>
    </row>
    <row r="741" spans="19:27" x14ac:dyDescent="0.2">
      <c r="S741" s="199"/>
      <c r="T741" s="200"/>
      <c r="W741" s="233" t="str">
        <f t="shared" si="18"/>
        <v>1w</v>
      </c>
      <c r="X741" s="234">
        <f>_xll.qlCalendarAdvance(Calendar,X740,W741,"f",FALSE)</f>
        <v>44005</v>
      </c>
      <c r="Y741" s="237">
        <f>_xll.qlCalendarAdvance(Calendar,X741,NDays&amp;"D")</f>
        <v>44005</v>
      </c>
      <c r="Z741" s="238">
        <v>3.5049012257213574E-2</v>
      </c>
      <c r="AA741" s="240">
        <v>3.3957346919832876E-2</v>
      </c>
    </row>
    <row r="742" spans="19:27" x14ac:dyDescent="0.2">
      <c r="S742" s="199"/>
      <c r="T742" s="200"/>
      <c r="W742" s="233" t="str">
        <f t="shared" si="18"/>
        <v>1w</v>
      </c>
      <c r="X742" s="234">
        <f>_xll.qlCalendarAdvance(Calendar,X741,W742,"f",FALSE)</f>
        <v>44012</v>
      </c>
      <c r="Y742" s="237">
        <f>_xll.qlCalendarAdvance(Calendar,X742,NDays&amp;"D")</f>
        <v>44012</v>
      </c>
      <c r="Z742" s="238">
        <v>3.5070131012298056E-2</v>
      </c>
      <c r="AA742" s="240">
        <v>3.397379154265856E-2</v>
      </c>
    </row>
    <row r="743" spans="19:27" x14ac:dyDescent="0.2">
      <c r="S743" s="199"/>
      <c r="T743" s="200"/>
      <c r="W743" s="233" t="str">
        <f t="shared" si="18"/>
        <v>1w</v>
      </c>
      <c r="X743" s="234">
        <f>_xll.qlCalendarAdvance(Calendar,X742,W743,"f",FALSE)</f>
        <v>44019</v>
      </c>
      <c r="Y743" s="237">
        <f>_xll.qlCalendarAdvance(Calendar,X743,NDays&amp;"D")</f>
        <v>44019</v>
      </c>
      <c r="Z743" s="238">
        <v>3.509141111657943E-2</v>
      </c>
      <c r="AA743" s="240">
        <v>3.3990240879135936E-2</v>
      </c>
    </row>
    <row r="744" spans="19:27" x14ac:dyDescent="0.2">
      <c r="S744" s="199"/>
      <c r="T744" s="200"/>
      <c r="W744" s="233" t="str">
        <f t="shared" si="18"/>
        <v>1w</v>
      </c>
      <c r="X744" s="234">
        <f>_xll.qlCalendarAdvance(Calendar,X743,W744,"f",FALSE)</f>
        <v>44026</v>
      </c>
      <c r="Y744" s="237">
        <f>_xll.qlCalendarAdvance(Calendar,X744,NDays&amp;"D")</f>
        <v>44026</v>
      </c>
      <c r="Z744" s="238">
        <v>3.5112848773672045E-2</v>
      </c>
      <c r="AA744" s="240">
        <v>3.4006848416494595E-2</v>
      </c>
    </row>
    <row r="745" spans="19:27" x14ac:dyDescent="0.2">
      <c r="S745" s="199"/>
      <c r="T745" s="200"/>
      <c r="W745" s="233" t="str">
        <f t="shared" si="18"/>
        <v>1w</v>
      </c>
      <c r="X745" s="234">
        <f>_xll.qlCalendarAdvance(Calendar,X744,W745,"f",FALSE)</f>
        <v>44033</v>
      </c>
      <c r="Y745" s="237">
        <f>_xll.qlCalendarAdvance(Calendar,X745,NDays&amp;"D")</f>
        <v>44033</v>
      </c>
      <c r="Z745" s="238">
        <v>3.5134438840881632E-2</v>
      </c>
      <c r="AA745" s="240">
        <v>3.4023614154896631E-2</v>
      </c>
    </row>
    <row r="746" spans="19:27" x14ac:dyDescent="0.2">
      <c r="S746" s="199"/>
      <c r="T746" s="200"/>
      <c r="W746" s="233" t="str">
        <f t="shared" si="18"/>
        <v>1w</v>
      </c>
      <c r="X746" s="234">
        <f>_xll.qlCalendarAdvance(Calendar,X745,W746,"f",FALSE)</f>
        <v>44040</v>
      </c>
      <c r="Y746" s="237">
        <f>_xll.qlCalendarAdvance(Calendar,X746,NDays&amp;"D")</f>
        <v>44040</v>
      </c>
      <c r="Z746" s="238">
        <v>3.5156176175151987E-2</v>
      </c>
      <c r="AA746" s="240">
        <v>3.4040538094179951E-2</v>
      </c>
    </row>
    <row r="747" spans="19:27" x14ac:dyDescent="0.2">
      <c r="S747" s="199"/>
      <c r="T747" s="200"/>
      <c r="W747" s="233" t="str">
        <f t="shared" si="18"/>
        <v>1w</v>
      </c>
      <c r="X747" s="234">
        <f>_xll.qlCalendarAdvance(Calendar,X746,W747,"f",FALSE)</f>
        <v>44047</v>
      </c>
      <c r="Y747" s="237">
        <f>_xll.qlCalendarAdvance(Calendar,X747,NDays&amp;"D")</f>
        <v>44047</v>
      </c>
      <c r="Z747" s="238">
        <v>3.5178055633058758E-2</v>
      </c>
      <c r="AA747" s="240">
        <v>3.4057620234425601E-2</v>
      </c>
    </row>
    <row r="748" spans="19:27" x14ac:dyDescent="0.2">
      <c r="S748" s="199"/>
      <c r="T748" s="200"/>
      <c r="W748" s="233" t="str">
        <f t="shared" si="18"/>
        <v>1w</v>
      </c>
      <c r="X748" s="234">
        <f>_xll.qlCalendarAdvance(Calendar,X747,W748,"f",FALSE)</f>
        <v>44054</v>
      </c>
      <c r="Y748" s="237">
        <f>_xll.qlCalendarAdvance(Calendar,X748,NDays&amp;"D")</f>
        <v>44054</v>
      </c>
      <c r="Z748" s="238">
        <v>3.5200072070802113E-2</v>
      </c>
      <c r="AA748" s="240">
        <v>3.4074860575714627E-2</v>
      </c>
    </row>
    <row r="749" spans="19:27" x14ac:dyDescent="0.2">
      <c r="S749" s="199"/>
      <c r="T749" s="200"/>
      <c r="W749" s="233" t="str">
        <f t="shared" si="18"/>
        <v>1w</v>
      </c>
      <c r="X749" s="234">
        <f>_xll.qlCalendarAdvance(Calendar,X748,W749,"f",FALSE)</f>
        <v>44061</v>
      </c>
      <c r="Y749" s="237">
        <f>_xll.qlCalendarAdvance(Calendar,X749,NDays&amp;"D")</f>
        <v>44061</v>
      </c>
      <c r="Z749" s="238">
        <v>3.5222220344199862E-2</v>
      </c>
      <c r="AA749" s="240">
        <v>3.409225911804703E-2</v>
      </c>
    </row>
    <row r="750" spans="19:27" x14ac:dyDescent="0.2">
      <c r="S750" s="199"/>
      <c r="T750" s="200"/>
      <c r="W750" s="233" t="str">
        <f t="shared" si="18"/>
        <v>1w</v>
      </c>
      <c r="X750" s="234">
        <f>_xll.qlCalendarAdvance(Calendar,X749,W750,"f",FALSE)</f>
        <v>44068</v>
      </c>
      <c r="Y750" s="237">
        <f>_xll.qlCalendarAdvance(Calendar,X750,NDays&amp;"D")</f>
        <v>44068</v>
      </c>
      <c r="Z750" s="238">
        <v>3.5244495308679902E-2</v>
      </c>
      <c r="AA750" s="240">
        <v>3.410981586142281E-2</v>
      </c>
    </row>
    <row r="751" spans="19:27" x14ac:dyDescent="0.2">
      <c r="S751" s="199"/>
      <c r="T751" s="200"/>
      <c r="W751" s="233" t="str">
        <f t="shared" si="18"/>
        <v>1w</v>
      </c>
      <c r="X751" s="234">
        <f>_xll.qlCalendarAdvance(Calendar,X750,W751,"f",FALSE)</f>
        <v>44075</v>
      </c>
      <c r="Y751" s="237">
        <f>_xll.qlCalendarAdvance(Calendar,X751,NDays&amp;"D")</f>
        <v>44075</v>
      </c>
      <c r="Z751" s="238">
        <v>3.5266891819274448E-2</v>
      </c>
      <c r="AA751" s="240">
        <v>3.4127530805923012E-2</v>
      </c>
    </row>
    <row r="752" spans="19:27" x14ac:dyDescent="0.2">
      <c r="S752" s="199"/>
      <c r="T752" s="200"/>
      <c r="W752" s="233" t="str">
        <f t="shared" si="18"/>
        <v>1w</v>
      </c>
      <c r="X752" s="234">
        <f>_xll.qlCalendarAdvance(Calendar,X751,W752,"f",FALSE)</f>
        <v>44082</v>
      </c>
      <c r="Y752" s="237">
        <f>_xll.qlCalendarAdvance(Calendar,X752,NDays&amp;"D")</f>
        <v>44082</v>
      </c>
      <c r="Z752" s="238">
        <v>3.5289404730614704E-2</v>
      </c>
      <c r="AA752" s="240">
        <v>3.4145403951385545E-2</v>
      </c>
    </row>
    <row r="753" spans="19:27" x14ac:dyDescent="0.2">
      <c r="S753" s="199"/>
      <c r="T753" s="200"/>
      <c r="W753" s="233" t="str">
        <f t="shared" si="18"/>
        <v>1w</v>
      </c>
      <c r="X753" s="234">
        <f>_xll.qlCalendarAdvance(Calendar,X752,W753,"f",FALSE)</f>
        <v>44089</v>
      </c>
      <c r="Y753" s="237">
        <f>_xll.qlCalendarAdvance(Calendar,X753,NDays&amp;"D")</f>
        <v>44089</v>
      </c>
      <c r="Z753" s="238">
        <v>3.5312028896923309E-2</v>
      </c>
      <c r="AA753" s="240">
        <v>3.4163435298134592E-2</v>
      </c>
    </row>
    <row r="754" spans="19:27" x14ac:dyDescent="0.2">
      <c r="S754" s="199"/>
      <c r="T754" s="200"/>
      <c r="W754" s="233" t="str">
        <f t="shared" si="18"/>
        <v>1w</v>
      </c>
      <c r="X754" s="234">
        <f>_xll.qlCalendarAdvance(Calendar,X753,W754,"f",FALSE)</f>
        <v>44096</v>
      </c>
      <c r="Y754" s="237">
        <f>_xll.qlCalendarAdvance(Calendar,X754,NDays&amp;"D")</f>
        <v>44096</v>
      </c>
      <c r="Z754" s="238">
        <v>3.5334759172009678E-2</v>
      </c>
      <c r="AA754" s="240">
        <v>3.4181624846008063E-2</v>
      </c>
    </row>
    <row r="755" spans="19:27" x14ac:dyDescent="0.2">
      <c r="S755" s="199"/>
      <c r="T755" s="200"/>
      <c r="W755" s="233" t="str">
        <f t="shared" si="18"/>
        <v>1w</v>
      </c>
      <c r="X755" s="234">
        <f>_xll.qlCalendarAdvance(Calendar,X754,W755,"f",FALSE)</f>
        <v>44103</v>
      </c>
      <c r="Y755" s="237">
        <f>_xll.qlCalendarAdvance(Calendar,X755,NDays&amp;"D")</f>
        <v>44103</v>
      </c>
      <c r="Z755" s="238">
        <v>3.5357590409264006E-2</v>
      </c>
      <c r="AA755" s="240">
        <v>3.4199972595005956E-2</v>
      </c>
    </row>
    <row r="756" spans="19:27" x14ac:dyDescent="0.2">
      <c r="S756" s="199"/>
      <c r="T756" s="200"/>
      <c r="W756" s="233" t="str">
        <f t="shared" si="18"/>
        <v>1w</v>
      </c>
      <c r="X756" s="234">
        <f>_xll.qlCalendarAdvance(Calendar,X755,W756,"f",FALSE)</f>
        <v>44110</v>
      </c>
      <c r="Y756" s="237">
        <f>_xll.qlCalendarAdvance(Calendar,X756,NDays&amp;"D")</f>
        <v>44110</v>
      </c>
      <c r="Z756" s="238">
        <v>3.5380517461653271E-2</v>
      </c>
      <c r="AA756" s="240">
        <v>3.4218478545128272E-2</v>
      </c>
    </row>
    <row r="757" spans="19:27" x14ac:dyDescent="0.2">
      <c r="S757" s="199"/>
      <c r="T757" s="200"/>
      <c r="W757" s="233" t="str">
        <f t="shared" si="18"/>
        <v>1w</v>
      </c>
      <c r="X757" s="234">
        <f>_xll.qlCalendarAdvance(Calendar,X756,W757,"f",FALSE)</f>
        <v>44117</v>
      </c>
      <c r="Y757" s="237">
        <f>_xll.qlCalendarAdvance(Calendar,X757,NDays&amp;"D")</f>
        <v>44117</v>
      </c>
      <c r="Z757" s="238">
        <v>3.5403535181714796E-2</v>
      </c>
      <c r="AA757" s="240">
        <v>3.423714269661815E-2</v>
      </c>
    </row>
    <row r="758" spans="19:27" x14ac:dyDescent="0.2">
      <c r="S758" s="199"/>
      <c r="T758" s="200"/>
      <c r="W758" s="233" t="str">
        <f t="shared" si="18"/>
        <v>1w</v>
      </c>
      <c r="X758" s="234">
        <f>_xll.qlCalendarAdvance(Calendar,X757,W758,"f",FALSE)</f>
        <v>44124</v>
      </c>
      <c r="Y758" s="237">
        <f>_xll.qlCalendarAdvance(Calendar,X758,NDays&amp;"D")</f>
        <v>44124</v>
      </c>
      <c r="Z758" s="238">
        <v>3.5426638421552692E-2</v>
      </c>
      <c r="AA758" s="240">
        <v>3.4255965049232451E-2</v>
      </c>
    </row>
    <row r="759" spans="19:27" x14ac:dyDescent="0.2">
      <c r="S759" s="199"/>
      <c r="T759" s="200"/>
      <c r="W759" s="233" t="str">
        <f t="shared" si="18"/>
        <v>1w</v>
      </c>
      <c r="X759" s="234">
        <f>_xll.qlCalendarAdvance(Calendar,X758,W759,"f",FALSE)</f>
        <v>44131</v>
      </c>
      <c r="Y759" s="237">
        <f>_xll.qlCalendarAdvance(Calendar,X759,NDays&amp;"D")</f>
        <v>44131</v>
      </c>
      <c r="Z759" s="238">
        <v>3.5449822032833422E-2</v>
      </c>
      <c r="AA759" s="240">
        <v>3.4274945603133267E-2</v>
      </c>
    </row>
    <row r="760" spans="19:27" x14ac:dyDescent="0.2">
      <c r="S760" s="199"/>
      <c r="T760" s="200"/>
      <c r="W760" s="233" t="str">
        <f t="shared" si="18"/>
        <v>1w</v>
      </c>
      <c r="X760" s="234">
        <f>_xll.qlCalendarAdvance(Calendar,X759,W760,"f",FALSE)</f>
        <v>44138</v>
      </c>
      <c r="Y760" s="237">
        <f>_xll.qlCalendarAdvance(Calendar,X760,NDays&amp;"D")</f>
        <v>44138</v>
      </c>
      <c r="Z760" s="238">
        <v>3.5473080866780471E-2</v>
      </c>
      <c r="AA760" s="240">
        <v>3.4294084358320598E-2</v>
      </c>
    </row>
    <row r="761" spans="19:27" x14ac:dyDescent="0.2">
      <c r="S761" s="199"/>
      <c r="T761" s="200"/>
      <c r="W761" s="233" t="str">
        <f t="shared" si="18"/>
        <v>1w</v>
      </c>
      <c r="X761" s="234">
        <f>_xll.qlCalendarAdvance(Calendar,X760,W761,"f",FALSE)</f>
        <v>44145</v>
      </c>
      <c r="Y761" s="237">
        <f>_xll.qlCalendarAdvance(Calendar,X761,NDays&amp;"D")</f>
        <v>44145</v>
      </c>
      <c r="Z761" s="238">
        <v>3.5496409774172566E-2</v>
      </c>
      <c r="AA761" s="240">
        <v>3.4313381314956537E-2</v>
      </c>
    </row>
    <row r="762" spans="19:27" x14ac:dyDescent="0.2">
      <c r="S762" s="199"/>
      <c r="T762" s="200"/>
      <c r="W762" s="233" t="str">
        <f t="shared" si="18"/>
        <v>1w</v>
      </c>
      <c r="X762" s="234">
        <f>_xll.qlCalendarAdvance(Calendar,X761,W762,"f",FALSE)</f>
        <v>44152</v>
      </c>
      <c r="Y762" s="237">
        <f>_xll.qlCalendarAdvance(Calendar,X762,NDays&amp;"D")</f>
        <v>44152</v>
      </c>
      <c r="Z762" s="238">
        <v>3.5519803605338129E-2</v>
      </c>
      <c r="AA762" s="240">
        <v>3.4332836472797945E-2</v>
      </c>
    </row>
    <row r="763" spans="19:27" x14ac:dyDescent="0.2">
      <c r="S763" s="199"/>
      <c r="T763" s="200"/>
      <c r="W763" s="233" t="str">
        <f t="shared" si="18"/>
        <v>1w</v>
      </c>
      <c r="X763" s="234">
        <f>_xll.qlCalendarAdvance(Calendar,X762,W763,"f",FALSE)</f>
        <v>44159</v>
      </c>
      <c r="Y763" s="237">
        <f>_xll.qlCalendarAdvance(Calendar,X763,NDays&amp;"D")</f>
        <v>44159</v>
      </c>
      <c r="Z763" s="238">
        <v>3.5543257210152834E-2</v>
      </c>
      <c r="AA763" s="240">
        <v>3.4352449832087961E-2</v>
      </c>
    </row>
    <row r="764" spans="19:27" x14ac:dyDescent="0.2">
      <c r="S764" s="199"/>
      <c r="T764" s="200"/>
      <c r="W764" s="233" t="str">
        <f t="shared" si="18"/>
        <v>1w</v>
      </c>
      <c r="X764" s="234">
        <f>_xll.qlCalendarAdvance(Calendar,X763,W764,"f",FALSE)</f>
        <v>44166</v>
      </c>
      <c r="Y764" s="237">
        <f>_xll.qlCalendarAdvance(Calendar,X764,NDays&amp;"D")</f>
        <v>44166</v>
      </c>
      <c r="Z764" s="238">
        <v>3.5566765438036496E-2</v>
      </c>
      <c r="AA764" s="240">
        <v>3.4372221392664493E-2</v>
      </c>
    </row>
    <row r="765" spans="19:27" x14ac:dyDescent="0.2">
      <c r="S765" s="199"/>
      <c r="T765" s="200"/>
      <c r="W765" s="233" t="str">
        <f t="shared" si="18"/>
        <v>1w</v>
      </c>
      <c r="X765" s="234">
        <f>_xll.qlCalendarAdvance(Calendar,X764,W765,"f",FALSE)</f>
        <v>44173</v>
      </c>
      <c r="Y765" s="237">
        <f>_xll.qlCalendarAdvance(Calendar,X765,NDays&amp;"D")</f>
        <v>44173</v>
      </c>
      <c r="Z765" s="238">
        <v>3.5590323137949964E-2</v>
      </c>
      <c r="AA765" s="240">
        <v>3.4392151154689632E-2</v>
      </c>
    </row>
    <row r="766" spans="19:27" x14ac:dyDescent="0.2">
      <c r="S766" s="199"/>
      <c r="T766" s="200"/>
      <c r="W766" s="233" t="str">
        <f t="shared" si="18"/>
        <v>1w</v>
      </c>
      <c r="X766" s="234">
        <f>_xll.qlCalendarAdvance(Calendar,X765,W766,"f",FALSE)</f>
        <v>44180</v>
      </c>
      <c r="Y766" s="237">
        <f>_xll.qlCalendarAdvance(Calendar,X766,NDays&amp;"D")</f>
        <v>44180</v>
      </c>
      <c r="Z766" s="238">
        <v>3.5613925158392679E-2</v>
      </c>
      <c r="AA766" s="240">
        <v>3.4412239118244425E-2</v>
      </c>
    </row>
    <row r="767" spans="19:27" x14ac:dyDescent="0.2">
      <c r="S767" s="199"/>
      <c r="T767" s="200"/>
      <c r="W767" s="233" t="str">
        <f t="shared" si="18"/>
        <v>1w</v>
      </c>
      <c r="X767" s="234">
        <f>_xll.qlCalendarAdvance(Calendar,X766,W767,"f",FALSE)</f>
        <v>44187</v>
      </c>
      <c r="Y767" s="237">
        <f>_xll.qlCalendarAdvance(Calendar,X767,NDays&amp;"D")</f>
        <v>44187</v>
      </c>
      <c r="Z767" s="238">
        <v>3.5637566347400229E-2</v>
      </c>
      <c r="AA767" s="240">
        <v>3.4432485283247827E-2</v>
      </c>
    </row>
    <row r="768" spans="19:27" x14ac:dyDescent="0.2">
      <c r="S768" s="199"/>
      <c r="T768" s="200"/>
      <c r="W768" s="233" t="str">
        <f t="shared" si="18"/>
        <v>1w</v>
      </c>
      <c r="X768" s="234">
        <f>_xll.qlCalendarAdvance(Calendar,X767,W768,"f",FALSE)</f>
        <v>44194</v>
      </c>
      <c r="Y768" s="237">
        <f>_xll.qlCalendarAdvance(Calendar,X768,NDays&amp;"D")</f>
        <v>44194</v>
      </c>
      <c r="Z768" s="238">
        <v>3.5661241552542799E-2</v>
      </c>
      <c r="AA768" s="240">
        <v>3.445288964961879E-2</v>
      </c>
    </row>
    <row r="769" spans="19:27" x14ac:dyDescent="0.2">
      <c r="S769" s="199"/>
      <c r="T769" s="200"/>
      <c r="W769" s="233" t="str">
        <f t="shared" si="18"/>
        <v>1w</v>
      </c>
      <c r="X769" s="234">
        <f>_xll.qlCalendarAdvance(Calendar,X768,W769,"f",FALSE)</f>
        <v>44201</v>
      </c>
      <c r="Y769" s="237">
        <f>_xll.qlCalendarAdvance(Calendar,X769,NDays&amp;"D")</f>
        <v>44201</v>
      </c>
      <c r="Z769" s="238">
        <v>3.5684945620922282E-2</v>
      </c>
      <c r="AA769" s="240">
        <v>3.4473452217681499E-2</v>
      </c>
    </row>
    <row r="770" spans="19:27" x14ac:dyDescent="0.2">
      <c r="S770" s="199"/>
      <c r="T770" s="200"/>
      <c r="W770" s="233" t="str">
        <f t="shared" si="18"/>
        <v>1w</v>
      </c>
      <c r="X770" s="234">
        <f>_xll.qlCalendarAdvance(Calendar,X769,W770,"f",FALSE)</f>
        <v>44208</v>
      </c>
      <c r="Y770" s="237">
        <f>_xll.qlCalendarAdvance(Calendar,X770,NDays&amp;"D")</f>
        <v>44208</v>
      </c>
      <c r="Z770" s="238">
        <v>3.5708673399171609E-2</v>
      </c>
      <c r="AA770" s="240">
        <v>3.4494172987192817E-2</v>
      </c>
    </row>
    <row r="771" spans="19:27" x14ac:dyDescent="0.2">
      <c r="S771" s="199"/>
      <c r="T771" s="200"/>
      <c r="W771" s="233" t="str">
        <f t="shared" si="18"/>
        <v>1w</v>
      </c>
      <c r="X771" s="234">
        <f>_xll.qlCalendarAdvance(Calendar,X770,W771,"f",FALSE)</f>
        <v>44215</v>
      </c>
      <c r="Y771" s="237">
        <f>_xll.qlCalendarAdvance(Calendar,X771,NDays&amp;"D")</f>
        <v>44215</v>
      </c>
      <c r="Z771" s="238">
        <v>3.5732419733453424E-2</v>
      </c>
      <c r="AA771" s="240">
        <v>3.4515051958395881E-2</v>
      </c>
    </row>
    <row r="772" spans="19:27" x14ac:dyDescent="0.2">
      <c r="S772" s="199"/>
      <c r="T772" s="200"/>
      <c r="W772" s="233" t="str">
        <f t="shared" si="18"/>
        <v>1w</v>
      </c>
      <c r="X772" s="234">
        <f>_xll.qlCalendarAdvance(Calendar,X771,W772,"f",FALSE)</f>
        <v>44222</v>
      </c>
      <c r="Y772" s="237">
        <f>_xll.qlCalendarAdvance(Calendar,X772,NDays&amp;"D")</f>
        <v>44222</v>
      </c>
      <c r="Z772" s="238">
        <v>3.5756179469458305E-2</v>
      </c>
      <c r="AA772" s="240">
        <v>3.4536089131047554E-2</v>
      </c>
    </row>
    <row r="773" spans="19:27" x14ac:dyDescent="0.2">
      <c r="S773" s="199"/>
      <c r="T773" s="200"/>
      <c r="W773" s="233" t="str">
        <f t="shared" si="18"/>
        <v>1w</v>
      </c>
      <c r="X773" s="234">
        <f>_xll.qlCalendarAdvance(Calendar,X772,W773,"f",FALSE)</f>
        <v>44229</v>
      </c>
      <c r="Y773" s="237">
        <f>_xll.qlCalendarAdvance(Calendar,X773,NDays&amp;"D")</f>
        <v>44229</v>
      </c>
      <c r="Z773" s="238">
        <v>3.5779947452404759E-2</v>
      </c>
      <c r="AA773" s="240">
        <v>3.4557284505472019E-2</v>
      </c>
    </row>
    <row r="774" spans="19:27" x14ac:dyDescent="0.2">
      <c r="S774" s="199"/>
      <c r="T774" s="200"/>
      <c r="W774" s="233" t="str">
        <f t="shared" si="18"/>
        <v>1w</v>
      </c>
      <c r="X774" s="234">
        <f>_xll.qlCalendarAdvance(Calendar,X773,W774,"f",FALSE)</f>
        <v>44236</v>
      </c>
      <c r="Y774" s="237">
        <f>_xll.qlCalendarAdvance(Calendar,X774,NDays&amp;"D")</f>
        <v>44236</v>
      </c>
      <c r="Z774" s="238">
        <v>3.5803718527038564E-2</v>
      </c>
      <c r="AA774" s="240">
        <v>3.4578638081426138E-2</v>
      </c>
    </row>
    <row r="775" spans="19:27" x14ac:dyDescent="0.2">
      <c r="S775" s="199"/>
      <c r="T775" s="200"/>
      <c r="W775" s="233" t="str">
        <f t="shared" si="18"/>
        <v>1w</v>
      </c>
      <c r="X775" s="234">
        <f>_xll.qlCalendarAdvance(Calendar,X774,W775,"f",FALSE)</f>
        <v>44243</v>
      </c>
      <c r="Y775" s="237">
        <f>_xll.qlCalendarAdvance(Calendar,X775,NDays&amp;"D")</f>
        <v>44243</v>
      </c>
      <c r="Z775" s="238">
        <v>3.5827487537631653E-2</v>
      </c>
      <c r="AA775" s="240">
        <v>3.4600149859072005E-2</v>
      </c>
    </row>
    <row r="776" spans="19:27" x14ac:dyDescent="0.2">
      <c r="S776" s="199"/>
      <c r="T776" s="200"/>
      <c r="W776" s="233" t="str">
        <f t="shared" si="18"/>
        <v>1w</v>
      </c>
      <c r="X776" s="234">
        <f>_xll.qlCalendarAdvance(Calendar,X775,W776,"f",FALSE)</f>
        <v>44250</v>
      </c>
      <c r="Y776" s="237">
        <f>_xll.qlCalendarAdvance(Calendar,X776,NDays&amp;"D")</f>
        <v>44250</v>
      </c>
      <c r="Z776" s="238">
        <v>3.5851249327983448E-2</v>
      </c>
      <c r="AA776" s="240">
        <v>3.462181983857171E-2</v>
      </c>
    </row>
    <row r="777" spans="19:27" x14ac:dyDescent="0.2">
      <c r="S777" s="199"/>
      <c r="T777" s="200"/>
      <c r="W777" s="233" t="str">
        <f t="shared" si="18"/>
        <v>1w</v>
      </c>
      <c r="X777" s="234">
        <f>_xll.qlCalendarAdvance(Calendar,X776,W777,"f",FALSE)</f>
        <v>44257</v>
      </c>
      <c r="Y777" s="237">
        <f>_xll.qlCalendarAdvance(Calendar,X777,NDays&amp;"D")</f>
        <v>44257</v>
      </c>
      <c r="Z777" s="238">
        <v>3.5874998741419528E-2</v>
      </c>
      <c r="AA777" s="240">
        <v>3.4643648019763162E-2</v>
      </c>
    </row>
    <row r="778" spans="19:27" x14ac:dyDescent="0.2">
      <c r="S778" s="199"/>
      <c r="T778" s="200"/>
      <c r="W778" s="233" t="str">
        <f t="shared" si="18"/>
        <v>1w</v>
      </c>
      <c r="X778" s="234">
        <f>_xll.qlCalendarAdvance(Calendar,X777,W778,"f",FALSE)</f>
        <v>44264</v>
      </c>
      <c r="Y778" s="237">
        <f>_xll.qlCalendarAdvance(Calendar,X778,NDays&amp;"D")</f>
        <v>44264</v>
      </c>
      <c r="Z778" s="238">
        <v>3.5898730620794073E-2</v>
      </c>
      <c r="AA778" s="240">
        <v>3.4665634402646361E-2</v>
      </c>
    </row>
    <row r="779" spans="19:27" x14ac:dyDescent="0.2">
      <c r="S779" s="199"/>
      <c r="T779" s="200"/>
      <c r="W779" s="233" t="str">
        <f t="shared" si="18"/>
        <v>1w</v>
      </c>
      <c r="X779" s="234">
        <f>_xll.qlCalendarAdvance(Calendar,X778,W779,"f",FALSE)</f>
        <v>44271</v>
      </c>
      <c r="Y779" s="237">
        <f>_xll.qlCalendarAdvance(Calendar,X779,NDays&amp;"D")</f>
        <v>44271</v>
      </c>
      <c r="Z779" s="238">
        <v>3.5922439808488305E-2</v>
      </c>
      <c r="AA779" s="240">
        <v>3.46877789873834E-2</v>
      </c>
    </row>
    <row r="780" spans="19:27" x14ac:dyDescent="0.2">
      <c r="S780" s="199"/>
      <c r="T780" s="200"/>
      <c r="W780" s="233" t="str">
        <f t="shared" si="18"/>
        <v>1w</v>
      </c>
      <c r="X780" s="234">
        <f>_xll.qlCalendarAdvance(Calendar,X779,W780,"f",FALSE)</f>
        <v>44278</v>
      </c>
      <c r="Y780" s="237">
        <f>_xll.qlCalendarAdvance(Calendar,X780,NDays&amp;"D")</f>
        <v>44278</v>
      </c>
      <c r="Z780" s="238">
        <v>3.5946121146413601E-2</v>
      </c>
      <c r="AA780" s="240">
        <v>3.4710081773974277E-2</v>
      </c>
    </row>
    <row r="781" spans="19:27" x14ac:dyDescent="0.2">
      <c r="S781" s="199"/>
      <c r="T781" s="200"/>
      <c r="W781" s="233" t="str">
        <f t="shared" si="18"/>
        <v>1w</v>
      </c>
      <c r="X781" s="234">
        <f>_xll.qlCalendarAdvance(Calendar,X780,W781,"f",FALSE)</f>
        <v>44285</v>
      </c>
      <c r="Y781" s="237">
        <f>_xll.qlCalendarAdvance(Calendar,X781,NDays&amp;"D")</f>
        <v>44285</v>
      </c>
      <c r="Z781" s="238">
        <v>3.5969769476011715E-2</v>
      </c>
      <c r="AA781" s="240">
        <v>3.4732542762418994E-2</v>
      </c>
    </row>
    <row r="782" spans="19:27" x14ac:dyDescent="0.2">
      <c r="S782" s="199"/>
      <c r="T782" s="200"/>
      <c r="W782" s="233" t="str">
        <f t="shared" si="18"/>
        <v>1w</v>
      </c>
      <c r="X782" s="234">
        <f>_xll.qlCalendarAdvance(Calendar,X781,W782,"f",FALSE)</f>
        <v>44292</v>
      </c>
      <c r="Y782" s="237">
        <f>_xll.qlCalendarAdvance(Calendar,X782,NDays&amp;"D")</f>
        <v>44292</v>
      </c>
      <c r="Z782" s="238">
        <v>3.5993379638255441E-2</v>
      </c>
      <c r="AA782" s="240">
        <v>3.475516195271755E-2</v>
      </c>
    </row>
    <row r="783" spans="19:27" x14ac:dyDescent="0.2">
      <c r="S783" s="199"/>
      <c r="T783" s="200"/>
      <c r="W783" s="233" t="str">
        <f t="shared" si="18"/>
        <v>1w</v>
      </c>
      <c r="X783" s="234">
        <f>_xll.qlCalendarAdvance(Calendar,X782,W783,"f",FALSE)</f>
        <v>44299</v>
      </c>
      <c r="Y783" s="237">
        <f>_xll.qlCalendarAdvance(Calendar,X783,NDays&amp;"D")</f>
        <v>44299</v>
      </c>
      <c r="Z783" s="238">
        <v>3.6016946473652611E-2</v>
      </c>
      <c r="AA783" s="240">
        <v>3.4777939344950992E-2</v>
      </c>
    </row>
    <row r="784" spans="19:27" x14ac:dyDescent="0.2">
      <c r="S784" s="199"/>
      <c r="T784" s="200"/>
      <c r="W784" s="233" t="str">
        <f t="shared" si="18"/>
        <v>1w</v>
      </c>
      <c r="X784" s="234">
        <f>_xll.qlCalendarAdvance(Calendar,X783,W784,"f",FALSE)</f>
        <v>44306</v>
      </c>
      <c r="Y784" s="237">
        <f>_xll.qlCalendarAdvance(Calendar,X784,NDays&amp;"D")</f>
        <v>44306</v>
      </c>
      <c r="Z784" s="238">
        <v>3.6040464822246099E-2</v>
      </c>
      <c r="AA784" s="240">
        <v>3.480087493911932E-2</v>
      </c>
    </row>
    <row r="785" spans="19:27" x14ac:dyDescent="0.2">
      <c r="S785" s="199"/>
      <c r="T785" s="200"/>
      <c r="W785" s="233" t="str">
        <f t="shared" si="18"/>
        <v>1w</v>
      </c>
      <c r="X785" s="234">
        <f>_xll.qlCalendarAdvance(Calendar,X784,W785,"f",FALSE)</f>
        <v>44313</v>
      </c>
      <c r="Y785" s="237">
        <f>_xll.qlCalendarAdvance(Calendar,X785,NDays&amp;"D")</f>
        <v>44313</v>
      </c>
      <c r="Z785" s="238">
        <v>3.6063929523617144E-2</v>
      </c>
      <c r="AA785" s="240">
        <v>3.4823968735222532E-2</v>
      </c>
    </row>
    <row r="786" spans="19:27" x14ac:dyDescent="0.2">
      <c r="S786" s="199"/>
      <c r="T786" s="200"/>
      <c r="W786" s="233" t="str">
        <f t="shared" si="18"/>
        <v>1w</v>
      </c>
      <c r="X786" s="234">
        <f>_xll.qlCalendarAdvance(Calendar,X785,W786,"f",FALSE)</f>
        <v>44320</v>
      </c>
      <c r="Y786" s="237">
        <f>_xll.qlCalendarAdvance(Calendar,X786,NDays&amp;"D")</f>
        <v>44320</v>
      </c>
      <c r="Z786" s="238">
        <v>3.6087335416888022E-2</v>
      </c>
      <c r="AA786" s="240">
        <v>3.4847220733422724E-2</v>
      </c>
    </row>
    <row r="787" spans="19:27" x14ac:dyDescent="0.2">
      <c r="S787" s="199"/>
      <c r="T787" s="200"/>
      <c r="W787" s="233" t="str">
        <f t="shared" si="18"/>
        <v>1w</v>
      </c>
      <c r="X787" s="234">
        <f>_xll.qlCalendarAdvance(Calendar,X786,W787,"f",FALSE)</f>
        <v>44327</v>
      </c>
      <c r="Y787" s="237">
        <f>_xll.qlCalendarAdvance(Calendar,X787,NDays&amp;"D")</f>
        <v>44327</v>
      </c>
      <c r="Z787" s="238">
        <v>3.6110677340723152E-2</v>
      </c>
      <c r="AA787" s="240">
        <v>3.48706309335578E-2</v>
      </c>
    </row>
    <row r="788" spans="19:27" x14ac:dyDescent="0.2">
      <c r="S788" s="199"/>
      <c r="T788" s="200"/>
      <c r="W788" s="233" t="str">
        <f t="shared" si="18"/>
        <v>1w</v>
      </c>
      <c r="X788" s="234">
        <f>_xll.qlCalendarAdvance(Calendar,X787,W788,"f",FALSE)</f>
        <v>44334</v>
      </c>
      <c r="Y788" s="237">
        <f>_xll.qlCalendarAdvance(Calendar,X788,NDays&amp;"D")</f>
        <v>44334</v>
      </c>
      <c r="Z788" s="238">
        <v>3.6133950133335091E-2</v>
      </c>
      <c r="AA788" s="240">
        <v>3.4894199335870901E-2</v>
      </c>
    </row>
    <row r="789" spans="19:27" x14ac:dyDescent="0.2">
      <c r="S789" s="199"/>
      <c r="T789" s="200"/>
      <c r="W789" s="233" t="str">
        <f t="shared" ref="W789:W852" si="19">W788</f>
        <v>1w</v>
      </c>
      <c r="X789" s="234">
        <f>_xll.qlCalendarAdvance(Calendar,X788,W789,"f",FALSE)</f>
        <v>44341</v>
      </c>
      <c r="Y789" s="237">
        <f>_xll.qlCalendarAdvance(Calendar,X789,NDays&amp;"D")</f>
        <v>44341</v>
      </c>
      <c r="Z789" s="238">
        <v>3.6157148632484981E-2</v>
      </c>
      <c r="AA789" s="240">
        <v>3.4917925940199934E-2</v>
      </c>
    </row>
    <row r="790" spans="19:27" x14ac:dyDescent="0.2">
      <c r="S790" s="199"/>
      <c r="T790" s="200"/>
      <c r="W790" s="233" t="str">
        <f t="shared" si="19"/>
        <v>1w</v>
      </c>
      <c r="X790" s="234">
        <f>_xll.qlCalendarAdvance(Calendar,X789,W790,"f",FALSE)</f>
        <v>44348</v>
      </c>
      <c r="Y790" s="237">
        <f>_xll.qlCalendarAdvance(Calendar,X790,NDays&amp;"D")</f>
        <v>44348</v>
      </c>
      <c r="Z790" s="238">
        <v>3.6180267675487876E-2</v>
      </c>
      <c r="AA790" s="240">
        <v>3.4941810746706992E-2</v>
      </c>
    </row>
    <row r="791" spans="19:27" x14ac:dyDescent="0.2">
      <c r="S791" s="199"/>
      <c r="T791" s="200"/>
      <c r="W791" s="233" t="str">
        <f t="shared" si="19"/>
        <v>1w</v>
      </c>
      <c r="X791" s="234">
        <f>_xll.qlCalendarAdvance(Calendar,X790,W791,"f",FALSE)</f>
        <v>44355</v>
      </c>
      <c r="Y791" s="237">
        <f>_xll.qlCalendarAdvance(Calendar,X791,NDays&amp;"D")</f>
        <v>44355</v>
      </c>
      <c r="Z791" s="238">
        <v>3.6203302099215851E-2</v>
      </c>
      <c r="AA791" s="240">
        <v>3.4965853755311027E-2</v>
      </c>
    </row>
    <row r="792" spans="19:27" x14ac:dyDescent="0.2">
      <c r="S792" s="199"/>
      <c r="T792" s="200"/>
      <c r="W792" s="233" t="str">
        <f t="shared" si="19"/>
        <v>1w</v>
      </c>
      <c r="X792" s="234">
        <f>_xll.qlCalendarAdvance(Calendar,X791,W792,"f",FALSE)</f>
        <v>44362</v>
      </c>
      <c r="Y792" s="237">
        <f>_xll.qlCalendarAdvance(Calendar,X792,NDays&amp;"D")</f>
        <v>44362</v>
      </c>
      <c r="Z792" s="238">
        <v>3.6226246740102441E-2</v>
      </c>
      <c r="AA792" s="240">
        <v>3.4990054966174133E-2</v>
      </c>
    </row>
    <row r="793" spans="19:27" x14ac:dyDescent="0.2">
      <c r="S793" s="199"/>
      <c r="T793" s="200"/>
      <c r="W793" s="233" t="str">
        <f t="shared" si="19"/>
        <v>1w</v>
      </c>
      <c r="X793" s="234">
        <f>_xll.qlCalendarAdvance(Calendar,X792,W793,"f",FALSE)</f>
        <v>44369</v>
      </c>
      <c r="Y793" s="237">
        <f>_xll.qlCalendarAdvance(Calendar,X793,NDays&amp;"D")</f>
        <v>44369</v>
      </c>
      <c r="Z793" s="238">
        <v>3.6249096434146866E-2</v>
      </c>
      <c r="AA793" s="240">
        <v>3.5014414379215264E-2</v>
      </c>
    </row>
    <row r="794" spans="19:27" x14ac:dyDescent="0.2">
      <c r="S794" s="199"/>
      <c r="T794" s="200"/>
      <c r="W794" s="233" t="str">
        <f t="shared" si="19"/>
        <v>1w</v>
      </c>
      <c r="X794" s="234">
        <f>_xll.qlCalendarAdvance(Calendar,X793,W794,"f",FALSE)</f>
        <v>44376</v>
      </c>
      <c r="Y794" s="237">
        <f>_xll.qlCalendarAdvance(Calendar,X794,NDays&amp;"D")</f>
        <v>44376</v>
      </c>
      <c r="Z794" s="238">
        <v>3.6271846000702324E-2</v>
      </c>
      <c r="AA794" s="240">
        <v>3.5038925814331323E-2</v>
      </c>
    </row>
    <row r="795" spans="19:27" x14ac:dyDescent="0.2">
      <c r="S795" s="199"/>
      <c r="T795" s="200"/>
      <c r="W795" s="233" t="str">
        <f t="shared" si="19"/>
        <v>1w</v>
      </c>
      <c r="X795" s="234">
        <f>_xll.qlCalendarAdvance(Calendar,X794,W795,"f",FALSE)</f>
        <v>44383</v>
      </c>
      <c r="Y795" s="237">
        <f>_xll.qlCalendarAdvance(Calendar,X795,NDays&amp;"D")</f>
        <v>44383</v>
      </c>
      <c r="Z795" s="238">
        <v>3.6294489900765114E-2</v>
      </c>
      <c r="AA795" s="240">
        <v>3.506341622458331E-2</v>
      </c>
    </row>
    <row r="796" spans="19:27" x14ac:dyDescent="0.2">
      <c r="S796" s="199"/>
      <c r="T796" s="200"/>
      <c r="W796" s="233" t="str">
        <f t="shared" si="19"/>
        <v>1w</v>
      </c>
      <c r="X796" s="234">
        <f>_xll.qlCalendarAdvance(Calendar,X795,W796,"f",FALSE)</f>
        <v>44390</v>
      </c>
      <c r="Y796" s="237">
        <f>_xll.qlCalendarAdvance(Calendar,X796,NDays&amp;"D")</f>
        <v>44390</v>
      </c>
      <c r="Z796" s="238">
        <v>3.6317023062057974E-2</v>
      </c>
      <c r="AA796" s="240">
        <v>3.508780526684796E-2</v>
      </c>
    </row>
    <row r="797" spans="19:27" x14ac:dyDescent="0.2">
      <c r="S797" s="199"/>
      <c r="T797" s="200"/>
      <c r="W797" s="233" t="str">
        <f t="shared" si="19"/>
        <v>1w</v>
      </c>
      <c r="X797" s="234">
        <f>_xll.qlCalendarAdvance(Calendar,X796,W797,"f",FALSE)</f>
        <v>44397</v>
      </c>
      <c r="Y797" s="237">
        <f>_xll.qlCalendarAdvance(Calendar,X797,NDays&amp;"D")</f>
        <v>44397</v>
      </c>
      <c r="Z797" s="238">
        <v>3.6339440660759115E-2</v>
      </c>
      <c r="AA797" s="240">
        <v>3.5112092941206319E-2</v>
      </c>
    </row>
    <row r="798" spans="19:27" x14ac:dyDescent="0.2">
      <c r="S798" s="199"/>
      <c r="T798" s="200"/>
      <c r="W798" s="233" t="str">
        <f t="shared" si="19"/>
        <v>1w</v>
      </c>
      <c r="X798" s="234">
        <f>_xll.qlCalendarAdvance(Calendar,X797,W798,"f",FALSE)</f>
        <v>44404</v>
      </c>
      <c r="Y798" s="237">
        <f>_xll.qlCalendarAdvance(Calendar,X798,NDays&amp;"D")</f>
        <v>44404</v>
      </c>
      <c r="Z798" s="238">
        <v>3.6361737872667055E-2</v>
      </c>
      <c r="AA798" s="240">
        <v>3.5136279247496294E-2</v>
      </c>
    </row>
    <row r="799" spans="19:27" x14ac:dyDescent="0.2">
      <c r="S799" s="199"/>
      <c r="T799" s="200"/>
      <c r="W799" s="233" t="str">
        <f t="shared" si="19"/>
        <v>1w</v>
      </c>
      <c r="X799" s="234">
        <f>_xll.qlCalendarAdvance(Calendar,X798,W799,"f",FALSE)</f>
        <v>44411</v>
      </c>
      <c r="Y799" s="237">
        <f>_xll.qlCalendarAdvance(Calendar,X799,NDays&amp;"D")</f>
        <v>44411</v>
      </c>
      <c r="Z799" s="238">
        <v>3.6383909873207276E-2</v>
      </c>
      <c r="AA799" s="240">
        <v>3.5160364185798931E-2</v>
      </c>
    </row>
    <row r="800" spans="19:27" x14ac:dyDescent="0.2">
      <c r="S800" s="199"/>
      <c r="T800" s="200"/>
      <c r="W800" s="233" t="str">
        <f t="shared" si="19"/>
        <v>1w</v>
      </c>
      <c r="X800" s="234">
        <f>_xll.qlCalendarAdvance(Calendar,X799,W800,"f",FALSE)</f>
        <v>44418</v>
      </c>
      <c r="Y800" s="237">
        <f>_xll.qlCalendarAdvance(Calendar,X800,NDays&amp;"D")</f>
        <v>44418</v>
      </c>
      <c r="Z800" s="238">
        <v>3.6405951837436668E-2</v>
      </c>
      <c r="AA800" s="240">
        <v>3.5184347756033185E-2</v>
      </c>
    </row>
    <row r="801" spans="19:27" x14ac:dyDescent="0.2">
      <c r="S801" s="199"/>
      <c r="T801" s="200"/>
      <c r="W801" s="233" t="str">
        <f t="shared" si="19"/>
        <v>1w</v>
      </c>
      <c r="X801" s="234">
        <f>_xll.qlCalendarAdvance(Calendar,X800,W801,"f",FALSE)</f>
        <v>44425</v>
      </c>
      <c r="Y801" s="237">
        <f>_xll.qlCalendarAdvance(Calendar,X801,NDays&amp;"D")</f>
        <v>44425</v>
      </c>
      <c r="Z801" s="238">
        <v>3.6427858940050406E-2</v>
      </c>
      <c r="AA801" s="240">
        <v>3.5208229958199055E-2</v>
      </c>
    </row>
    <row r="802" spans="19:27" x14ac:dyDescent="0.2">
      <c r="S802" s="199"/>
      <c r="T802" s="200"/>
      <c r="W802" s="233" t="str">
        <f t="shared" si="19"/>
        <v>1w</v>
      </c>
      <c r="X802" s="234">
        <f>_xll.qlCalendarAdvance(Calendar,X801,W802,"f",FALSE)</f>
        <v>44432</v>
      </c>
      <c r="Y802" s="237">
        <f>_xll.qlCalendarAdvance(Calendar,X802,NDays&amp;"D")</f>
        <v>44432</v>
      </c>
      <c r="Z802" s="238">
        <v>3.6449626355387954E-2</v>
      </c>
      <c r="AA802" s="240">
        <v>3.5232010792296542E-2</v>
      </c>
    </row>
    <row r="803" spans="19:27" x14ac:dyDescent="0.2">
      <c r="S803" s="199"/>
      <c r="T803" s="200"/>
      <c r="W803" s="233" t="str">
        <f t="shared" si="19"/>
        <v>1w</v>
      </c>
      <c r="X803" s="234">
        <f>_xll.qlCalendarAdvance(Calendar,X802,W803,"f",FALSE)</f>
        <v>44439</v>
      </c>
      <c r="Y803" s="237">
        <f>_xll.qlCalendarAdvance(Calendar,X803,NDays&amp;"D")</f>
        <v>44439</v>
      </c>
      <c r="Z803" s="238">
        <v>3.6471249257439053E-2</v>
      </c>
      <c r="AA803" s="240">
        <v>3.5255690258244599E-2</v>
      </c>
    </row>
    <row r="804" spans="19:27" x14ac:dyDescent="0.2">
      <c r="S804" s="199"/>
      <c r="T804" s="200"/>
      <c r="W804" s="233" t="str">
        <f t="shared" si="19"/>
        <v>1w</v>
      </c>
      <c r="X804" s="234">
        <f>_xll.qlCalendarAdvance(Calendar,X803,W804,"f",FALSE)</f>
        <v>44446</v>
      </c>
      <c r="Y804" s="237">
        <f>_xll.qlCalendarAdvance(Calendar,X804,NDays&amp;"D")</f>
        <v>44446</v>
      </c>
      <c r="Z804" s="238">
        <v>3.6492722819850387E-2</v>
      </c>
      <c r="AA804" s="240">
        <v>3.5279268356124271E-2</v>
      </c>
    </row>
    <row r="805" spans="19:27" x14ac:dyDescent="0.2">
      <c r="S805" s="199"/>
      <c r="T805" s="200"/>
      <c r="W805" s="233" t="str">
        <f t="shared" si="19"/>
        <v>1w</v>
      </c>
      <c r="X805" s="234">
        <f>_xll.qlCalendarAdvance(Calendar,X804,W805,"f",FALSE)</f>
        <v>44453</v>
      </c>
      <c r="Y805" s="237">
        <f>_xll.qlCalendarAdvance(Calendar,X805,NDays&amp;"D")</f>
        <v>44453</v>
      </c>
      <c r="Z805" s="238">
        <v>3.6514042215933573E-2</v>
      </c>
      <c r="AA805" s="240">
        <v>3.5302745085854514E-2</v>
      </c>
    </row>
    <row r="806" spans="19:27" x14ac:dyDescent="0.2">
      <c r="S806" s="199"/>
      <c r="T806" s="200"/>
      <c r="W806" s="233" t="str">
        <f t="shared" si="19"/>
        <v>1w</v>
      </c>
      <c r="X806" s="234">
        <f>_xll.qlCalendarAdvance(Calendar,X805,W806,"f",FALSE)</f>
        <v>44460</v>
      </c>
      <c r="Y806" s="237">
        <f>_xll.qlCalendarAdvance(Calendar,X806,NDays&amp;"D")</f>
        <v>44460</v>
      </c>
      <c r="Z806" s="238">
        <v>3.6535202618670048E-2</v>
      </c>
      <c r="AA806" s="240">
        <v>3.5326120447435327E-2</v>
      </c>
    </row>
    <row r="807" spans="19:27" x14ac:dyDescent="0.2">
      <c r="S807" s="199"/>
      <c r="T807" s="200"/>
      <c r="W807" s="233" t="str">
        <f t="shared" si="19"/>
        <v>1w</v>
      </c>
      <c r="X807" s="234">
        <f>_xll.qlCalendarAdvance(Calendar,X806,W807,"f",FALSE)</f>
        <v>44467</v>
      </c>
      <c r="Y807" s="237">
        <f>_xll.qlCalendarAdvance(Calendar,X807,NDays&amp;"D")</f>
        <v>44467</v>
      </c>
      <c r="Z807" s="238">
        <v>3.6556199200720174E-2</v>
      </c>
      <c r="AA807" s="240">
        <v>3.5349394440704618E-2</v>
      </c>
    </row>
    <row r="808" spans="19:27" x14ac:dyDescent="0.2">
      <c r="S808" s="199"/>
      <c r="T808" s="200"/>
      <c r="W808" s="233" t="str">
        <f t="shared" si="19"/>
        <v>1w</v>
      </c>
      <c r="X808" s="234">
        <f>_xll.qlCalendarAdvance(Calendar,X807,W808,"f",FALSE)</f>
        <v>44474</v>
      </c>
      <c r="Y808" s="237">
        <f>_xll.qlCalendarAdvance(Calendar,X808,NDays&amp;"D")</f>
        <v>44474</v>
      </c>
      <c r="Z808" s="238">
        <v>3.657702713443034E-2</v>
      </c>
      <c r="AA808" s="240">
        <v>3.5372567065824478E-2</v>
      </c>
    </row>
    <row r="809" spans="19:27" x14ac:dyDescent="0.2">
      <c r="S809" s="199"/>
      <c r="T809" s="200"/>
      <c r="W809" s="233" t="str">
        <f t="shared" si="19"/>
        <v>1w</v>
      </c>
      <c r="X809" s="234">
        <f>_xll.qlCalendarAdvance(Calendar,X808,W809,"f",FALSE)</f>
        <v>44481</v>
      </c>
      <c r="Y809" s="237">
        <f>_xll.qlCalendarAdvance(Calendar,X809,NDays&amp;"D")</f>
        <v>44481</v>
      </c>
      <c r="Z809" s="238">
        <v>3.659768159184007E-2</v>
      </c>
      <c r="AA809" s="240">
        <v>3.5395638322794909E-2</v>
      </c>
    </row>
    <row r="810" spans="19:27" x14ac:dyDescent="0.2">
      <c r="S810" s="199"/>
      <c r="T810" s="200"/>
      <c r="W810" s="233" t="str">
        <f t="shared" si="19"/>
        <v>1w</v>
      </c>
      <c r="X810" s="234">
        <f>_xll.qlCalendarAdvance(Calendar,X809,W810,"f",FALSE)</f>
        <v>44488</v>
      </c>
      <c r="Y810" s="237">
        <f>_xll.qlCalendarAdvance(Calendar,X810,NDays&amp;"D")</f>
        <v>44488</v>
      </c>
      <c r="Z810" s="238">
        <v>3.6618157744690905E-2</v>
      </c>
      <c r="AA810" s="240">
        <v>3.5418608211453817E-2</v>
      </c>
    </row>
    <row r="811" spans="19:27" x14ac:dyDescent="0.2">
      <c r="S811" s="199"/>
      <c r="T811" s="200"/>
      <c r="W811" s="233" t="str">
        <f t="shared" si="19"/>
        <v>1w</v>
      </c>
      <c r="X811" s="234">
        <f>_xll.qlCalendarAdvance(Calendar,X810,W811,"f",FALSE)</f>
        <v>44495</v>
      </c>
      <c r="Y811" s="237">
        <f>_xll.qlCalendarAdvance(Calendar,X811,NDays&amp;"D")</f>
        <v>44495</v>
      </c>
      <c r="Z811" s="238">
        <v>3.6638450764433506E-2</v>
      </c>
      <c r="AA811" s="240">
        <v>3.5441476731882249E-2</v>
      </c>
    </row>
    <row r="812" spans="19:27" x14ac:dyDescent="0.2">
      <c r="S812" s="199"/>
      <c r="T812" s="200"/>
      <c r="W812" s="233" t="str">
        <f t="shared" si="19"/>
        <v>1w</v>
      </c>
      <c r="X812" s="234">
        <f>_xll.qlCalendarAdvance(Calendar,X811,W812,"f",FALSE)</f>
        <v>44502</v>
      </c>
      <c r="Y812" s="237">
        <f>_xll.qlCalendarAdvance(Calendar,X812,NDays&amp;"D")</f>
        <v>44502</v>
      </c>
      <c r="Z812" s="238">
        <v>3.6658555822236982E-2</v>
      </c>
      <c r="AA812" s="240">
        <v>3.5464243884080204E-2</v>
      </c>
    </row>
    <row r="813" spans="19:27" x14ac:dyDescent="0.2">
      <c r="S813" s="199"/>
      <c r="T813" s="200"/>
      <c r="W813" s="233" t="str">
        <f t="shared" si="19"/>
        <v>1w</v>
      </c>
      <c r="X813" s="234">
        <f>_xll.qlCalendarAdvance(Calendar,X812,W813,"f",FALSE)</f>
        <v>44509</v>
      </c>
      <c r="Y813" s="237">
        <f>_xll.qlCalendarAdvance(Calendar,X813,NDays&amp;"D")</f>
        <v>44509</v>
      </c>
      <c r="Z813" s="238">
        <v>3.6678468088996885E-2</v>
      </c>
      <c r="AA813" s="240">
        <v>3.5486909667804545E-2</v>
      </c>
    </row>
    <row r="814" spans="19:27" x14ac:dyDescent="0.2">
      <c r="S814" s="199"/>
      <c r="T814" s="200"/>
      <c r="W814" s="233" t="str">
        <f t="shared" si="19"/>
        <v>1w</v>
      </c>
      <c r="X814" s="234">
        <f>_xll.qlCalendarAdvance(Calendar,X813,W814,"f",FALSE)</f>
        <v>44516</v>
      </c>
      <c r="Y814" s="237">
        <f>_xll.qlCalendarAdvance(Calendar,X814,NDays&amp;"D")</f>
        <v>44516</v>
      </c>
      <c r="Z814" s="238">
        <v>3.6698182735345197E-2</v>
      </c>
      <c r="AA814" s="240">
        <v>3.5509474083379455E-2</v>
      </c>
    </row>
    <row r="815" spans="19:27" x14ac:dyDescent="0.2">
      <c r="S815" s="199"/>
      <c r="T815" s="200"/>
      <c r="W815" s="233" t="str">
        <f t="shared" si="19"/>
        <v>1w</v>
      </c>
      <c r="X815" s="234">
        <f>_xll.qlCalendarAdvance(Calendar,X814,W815,"f",FALSE)</f>
        <v>44523</v>
      </c>
      <c r="Y815" s="237">
        <f>_xll.qlCalendarAdvance(Calendar,X815,NDays&amp;"D")</f>
        <v>44523</v>
      </c>
      <c r="Z815" s="238">
        <v>3.6717694931657441E-2</v>
      </c>
      <c r="AA815" s="240">
        <v>3.5531937130561797E-2</v>
      </c>
    </row>
    <row r="816" spans="19:27" x14ac:dyDescent="0.2">
      <c r="S816" s="199"/>
      <c r="T816" s="200"/>
      <c r="W816" s="233" t="str">
        <f t="shared" si="19"/>
        <v>1w</v>
      </c>
      <c r="X816" s="234">
        <f>_xll.qlCalendarAdvance(Calendar,X815,W816,"f",FALSE)</f>
        <v>44530</v>
      </c>
      <c r="Y816" s="237">
        <f>_xll.qlCalendarAdvance(Calendar,X816,NDays&amp;"D")</f>
        <v>44530</v>
      </c>
      <c r="Z816" s="238">
        <v>3.6736999848064222E-2</v>
      </c>
      <c r="AA816" s="240">
        <v>3.555429880935157E-2</v>
      </c>
    </row>
    <row r="817" spans="19:27" x14ac:dyDescent="0.2">
      <c r="S817" s="199"/>
      <c r="T817" s="200"/>
      <c r="W817" s="233" t="str">
        <f t="shared" si="19"/>
        <v>1w</v>
      </c>
      <c r="X817" s="234">
        <f>_xll.qlCalendarAdvance(Calendar,X816,W817,"f",FALSE)</f>
        <v>44537</v>
      </c>
      <c r="Y817" s="237">
        <f>_xll.qlCalendarAdvance(Calendar,X817,NDays&amp;"D")</f>
        <v>44537</v>
      </c>
      <c r="Z817" s="238">
        <v>3.6756092654459005E-2</v>
      </c>
      <c r="AA817" s="240">
        <v>3.5576559119748774E-2</v>
      </c>
    </row>
    <row r="818" spans="19:27" x14ac:dyDescent="0.2">
      <c r="S818" s="199"/>
      <c r="T818" s="200"/>
      <c r="W818" s="233" t="str">
        <f t="shared" si="19"/>
        <v>1w</v>
      </c>
      <c r="X818" s="234">
        <f>_xll.qlCalendarAdvance(Calendar,X817,W818,"f",FALSE)</f>
        <v>44544</v>
      </c>
      <c r="Y818" s="237">
        <f>_xll.qlCalendarAdvance(Calendar,X818,NDays&amp;"D")</f>
        <v>44544</v>
      </c>
      <c r="Z818" s="238">
        <v>3.6774968520508544E-2</v>
      </c>
      <c r="AA818" s="240">
        <v>3.5598718061834456E-2</v>
      </c>
    </row>
    <row r="819" spans="19:27" x14ac:dyDescent="0.2">
      <c r="S819" s="199"/>
      <c r="T819" s="200"/>
      <c r="W819" s="233" t="str">
        <f t="shared" si="19"/>
        <v>1w</v>
      </c>
      <c r="X819" s="234">
        <f>_xll.qlCalendarAdvance(Calendar,X818,W819,"f",FALSE)</f>
        <v>44551</v>
      </c>
      <c r="Y819" s="237">
        <f>_xll.qlCalendarAdvance(Calendar,X819,NDays&amp;"D")</f>
        <v>44551</v>
      </c>
      <c r="Z819" s="238">
        <v>3.6793622615663324E-2</v>
      </c>
      <c r="AA819" s="240">
        <v>3.5620775635446522E-2</v>
      </c>
    </row>
    <row r="820" spans="19:27" x14ac:dyDescent="0.2">
      <c r="S820" s="199"/>
      <c r="T820" s="200"/>
      <c r="W820" s="233" t="str">
        <f t="shared" si="19"/>
        <v>1w</v>
      </c>
      <c r="X820" s="234">
        <f>_xll.qlCalendarAdvance(Calendar,X819,W820,"f",FALSE)</f>
        <v>44559</v>
      </c>
      <c r="Y820" s="237">
        <f>_xll.qlCalendarAdvance(Calendar,X820,NDays&amp;"D")</f>
        <v>44559</v>
      </c>
      <c r="Z820" s="238">
        <v>3.6814663828458993E-2</v>
      </c>
      <c r="AA820" s="240">
        <v>3.5645860166482191E-2</v>
      </c>
    </row>
    <row r="821" spans="19:27" x14ac:dyDescent="0.2">
      <c r="S821" s="199"/>
      <c r="T821" s="200"/>
      <c r="W821" s="233" t="str">
        <f t="shared" si="19"/>
        <v>1w</v>
      </c>
      <c r="X821" s="234">
        <f>_xll.qlCalendarAdvance(Calendar,X820,W821,"f",FALSE)</f>
        <v>44566</v>
      </c>
      <c r="Y821" s="237">
        <f>_xll.qlCalendarAdvance(Calendar,X821,NDays&amp;"D")</f>
        <v>44566</v>
      </c>
      <c r="Z821" s="238">
        <v>3.6832826433183863E-2</v>
      </c>
      <c r="AA821" s="240">
        <v>3.5667700521959667E-2</v>
      </c>
    </row>
    <row r="822" spans="19:27" x14ac:dyDescent="0.2">
      <c r="S822" s="199"/>
      <c r="T822" s="200"/>
      <c r="W822" s="233" t="str">
        <f t="shared" si="19"/>
        <v>1w</v>
      </c>
      <c r="X822" s="234">
        <f>_xll.qlCalendarAdvance(Calendar,X821,W822,"f",FALSE)</f>
        <v>44573</v>
      </c>
      <c r="Y822" s="237">
        <f>_xll.qlCalendarAdvance(Calendar,X822,NDays&amp;"D")</f>
        <v>44573</v>
      </c>
      <c r="Z822" s="238">
        <v>3.6850752083990468E-2</v>
      </c>
      <c r="AA822" s="240">
        <v>3.5689439509044574E-2</v>
      </c>
    </row>
    <row r="823" spans="19:27" x14ac:dyDescent="0.2">
      <c r="S823" s="199"/>
      <c r="T823" s="200"/>
      <c r="W823" s="233" t="str">
        <f t="shared" si="19"/>
        <v>1w</v>
      </c>
      <c r="X823" s="234">
        <f>_xll.qlCalendarAdvance(Calendar,X822,W823,"f",FALSE)</f>
        <v>44580</v>
      </c>
      <c r="Y823" s="237">
        <f>_xll.qlCalendarAdvance(Calendar,X823,NDays&amp;"D")</f>
        <v>44580</v>
      </c>
      <c r="Z823" s="238">
        <v>3.6868435949542144E-2</v>
      </c>
      <c r="AA823" s="240">
        <v>3.571107712757482E-2</v>
      </c>
    </row>
    <row r="824" spans="19:27" x14ac:dyDescent="0.2">
      <c r="S824" s="199"/>
      <c r="T824" s="200"/>
      <c r="W824" s="233" t="str">
        <f t="shared" si="19"/>
        <v>1w</v>
      </c>
      <c r="X824" s="234">
        <f>_xll.qlCalendarAdvance(Calendar,X823,W824,"f",FALSE)</f>
        <v>44587</v>
      </c>
      <c r="Y824" s="237">
        <f>_xll.qlCalendarAdvance(Calendar,X824,NDays&amp;"D")</f>
        <v>44587</v>
      </c>
      <c r="Z824" s="238">
        <v>3.688587319834058E-2</v>
      </c>
      <c r="AA824" s="240">
        <v>3.5732613377712497E-2</v>
      </c>
    </row>
    <row r="825" spans="19:27" x14ac:dyDescent="0.2">
      <c r="S825" s="199"/>
      <c r="T825" s="200"/>
      <c r="W825" s="233" t="str">
        <f t="shared" si="19"/>
        <v>1w</v>
      </c>
      <c r="X825" s="234">
        <f>_xll.qlCalendarAdvance(Calendar,X824,W825,"f",FALSE)</f>
        <v>44594</v>
      </c>
      <c r="Y825" s="237">
        <f>_xll.qlCalendarAdvance(Calendar,X825,NDays&amp;"D")</f>
        <v>44594</v>
      </c>
      <c r="Z825" s="238">
        <v>3.6903058998737359E-2</v>
      </c>
      <c r="AA825" s="240">
        <v>3.5754048259295512E-2</v>
      </c>
    </row>
    <row r="826" spans="19:27" x14ac:dyDescent="0.2">
      <c r="S826" s="199"/>
      <c r="T826" s="200"/>
      <c r="W826" s="233" t="str">
        <f t="shared" si="19"/>
        <v>1w</v>
      </c>
      <c r="X826" s="234">
        <f>_xll.qlCalendarAdvance(Calendar,X825,W826,"f",FALSE)</f>
        <v>44601</v>
      </c>
      <c r="Y826" s="237">
        <f>_xll.qlCalendarAdvance(Calendar,X826,NDays&amp;"D")</f>
        <v>44601</v>
      </c>
      <c r="Z826" s="238">
        <v>3.6919988518944846E-2</v>
      </c>
      <c r="AA826" s="240">
        <v>3.5775381772323867E-2</v>
      </c>
    </row>
    <row r="827" spans="19:27" x14ac:dyDescent="0.2">
      <c r="S827" s="199"/>
      <c r="T827" s="200"/>
      <c r="W827" s="233" t="str">
        <f t="shared" si="19"/>
        <v>1w</v>
      </c>
      <c r="X827" s="234">
        <f>_xll.qlCalendarAdvance(Calendar,X826,W827,"f",FALSE)</f>
        <v>44608</v>
      </c>
      <c r="Y827" s="237">
        <f>_xll.qlCalendarAdvance(Calendar,X827,NDays&amp;"D")</f>
        <v>44608</v>
      </c>
      <c r="Z827" s="238">
        <v>3.6936656927047951E-2</v>
      </c>
      <c r="AA827" s="240">
        <v>3.5796613916716513E-2</v>
      </c>
    </row>
    <row r="828" spans="19:27" x14ac:dyDescent="0.2">
      <c r="S828" s="199"/>
      <c r="T828" s="200"/>
      <c r="W828" s="233" t="str">
        <f t="shared" si="19"/>
        <v>1w</v>
      </c>
      <c r="X828" s="234">
        <f>_xll.qlCalendarAdvance(Calendar,X827,W828,"f",FALSE)</f>
        <v>44615</v>
      </c>
      <c r="Y828" s="237">
        <f>_xll.qlCalendarAdvance(Calendar,X828,NDays&amp;"D")</f>
        <v>44615</v>
      </c>
      <c r="Z828" s="238">
        <v>3.6953059391017451E-2</v>
      </c>
      <c r="AA828" s="240">
        <v>3.5817744692635545E-2</v>
      </c>
    </row>
    <row r="829" spans="19:27" x14ac:dyDescent="0.2">
      <c r="S829" s="199"/>
      <c r="T829" s="200"/>
      <c r="W829" s="233" t="str">
        <f t="shared" si="19"/>
        <v>1w</v>
      </c>
      <c r="X829" s="234">
        <f>_xll.qlCalendarAdvance(Calendar,X828,W829,"f",FALSE)</f>
        <v>44622</v>
      </c>
      <c r="Y829" s="237">
        <f>_xll.qlCalendarAdvance(Calendar,X829,NDays&amp;"D")</f>
        <v>44622</v>
      </c>
      <c r="Z829" s="238">
        <v>3.6969191078720653E-2</v>
      </c>
      <c r="AA829" s="240">
        <v>3.5838774099837822E-2</v>
      </c>
    </row>
    <row r="830" spans="19:27" x14ac:dyDescent="0.2">
      <c r="S830" s="199"/>
      <c r="T830" s="200"/>
      <c r="W830" s="233" t="str">
        <f t="shared" si="19"/>
        <v>1w</v>
      </c>
      <c r="X830" s="234">
        <f>_xll.qlCalendarAdvance(Calendar,X829,W830,"f",FALSE)</f>
        <v>44629</v>
      </c>
      <c r="Y830" s="237">
        <f>_xll.qlCalendarAdvance(Calendar,X830,NDays&amp;"D")</f>
        <v>44629</v>
      </c>
      <c r="Z830" s="238">
        <v>3.6985047157934936E-2</v>
      </c>
      <c r="AA830" s="240">
        <v>3.5859702138485439E-2</v>
      </c>
    </row>
    <row r="831" spans="19:27" x14ac:dyDescent="0.2">
      <c r="S831" s="199"/>
      <c r="T831" s="200"/>
      <c r="W831" s="233" t="str">
        <f t="shared" si="19"/>
        <v>1w</v>
      </c>
      <c r="X831" s="234">
        <f>_xll.qlCalendarAdvance(Calendar,X830,W831,"f",FALSE)</f>
        <v>44636</v>
      </c>
      <c r="Y831" s="237">
        <f>_xll.qlCalendarAdvance(Calendar,X831,NDays&amp;"D")</f>
        <v>44636</v>
      </c>
      <c r="Z831" s="238">
        <v>3.7000622796360183E-2</v>
      </c>
      <c r="AA831" s="240">
        <v>3.5880528808497347E-2</v>
      </c>
    </row>
    <row r="832" spans="19:27" x14ac:dyDescent="0.2">
      <c r="S832" s="199"/>
      <c r="T832" s="200"/>
      <c r="W832" s="233" t="str">
        <f t="shared" si="19"/>
        <v>1w</v>
      </c>
      <c r="X832" s="234">
        <f>_xll.qlCalendarAdvance(Calendar,X831,W832,"f",FALSE)</f>
        <v>44643</v>
      </c>
      <c r="Y832" s="237">
        <f>_xll.qlCalendarAdvance(Calendar,X832,NDays&amp;"D")</f>
        <v>44643</v>
      </c>
      <c r="Z832" s="238">
        <v>3.7015913161630998E-2</v>
      </c>
      <c r="AA832" s="240">
        <v>3.5901254109954595E-2</v>
      </c>
    </row>
    <row r="833" spans="19:27" x14ac:dyDescent="0.2">
      <c r="S833" s="199"/>
      <c r="T833" s="200"/>
      <c r="W833" s="233" t="str">
        <f t="shared" si="19"/>
        <v>1w</v>
      </c>
      <c r="X833" s="234">
        <f>_xll.qlCalendarAdvance(Calendar,X832,W833,"f",FALSE)</f>
        <v>44650</v>
      </c>
      <c r="Y833" s="237">
        <f>_xll.qlCalendarAdvance(Calendar,X833,NDays&amp;"D")</f>
        <v>44650</v>
      </c>
      <c r="Z833" s="238">
        <v>3.7030913421331579E-2</v>
      </c>
      <c r="AA833" s="240">
        <v>3.5921878042614042E-2</v>
      </c>
    </row>
    <row r="834" spans="19:27" x14ac:dyDescent="0.2">
      <c r="S834" s="199"/>
      <c r="T834" s="200"/>
      <c r="W834" s="233" t="str">
        <f t="shared" si="19"/>
        <v>1w</v>
      </c>
      <c r="X834" s="234">
        <f>_xll.qlCalendarAdvance(Calendar,X833,W834,"f",FALSE)</f>
        <v>44657</v>
      </c>
      <c r="Y834" s="237">
        <f>_xll.qlCalendarAdvance(Calendar,X834,NDays&amp;"D")</f>
        <v>44657</v>
      </c>
      <c r="Z834" s="238">
        <v>3.7045618743007269E-2</v>
      </c>
      <c r="AA834" s="240">
        <v>3.5942400606637781E-2</v>
      </c>
    </row>
    <row r="835" spans="19:27" x14ac:dyDescent="0.2">
      <c r="S835" s="199"/>
      <c r="T835" s="200"/>
      <c r="W835" s="233" t="str">
        <f t="shared" si="19"/>
        <v>1w</v>
      </c>
      <c r="X835" s="234">
        <f>_xll.qlCalendarAdvance(Calendar,X834,W835,"f",FALSE)</f>
        <v>44664</v>
      </c>
      <c r="Y835" s="237">
        <f>_xll.qlCalendarAdvance(Calendar,X835,NDays&amp;"D")</f>
        <v>44664</v>
      </c>
      <c r="Z835" s="238">
        <v>3.7060024294179206E-2</v>
      </c>
      <c r="AA835" s="240">
        <v>3.5962821802025813E-2</v>
      </c>
    </row>
    <row r="836" spans="19:27" x14ac:dyDescent="0.2">
      <c r="S836" s="199"/>
      <c r="T836" s="200"/>
      <c r="W836" s="233" t="str">
        <f t="shared" si="19"/>
        <v>1w</v>
      </c>
      <c r="X836" s="234">
        <f>_xll.qlCalendarAdvance(Calendar,X835,W836,"f",FALSE)</f>
        <v>44671</v>
      </c>
      <c r="Y836" s="237">
        <f>_xll.qlCalendarAdvance(Calendar,X836,NDays&amp;"D")</f>
        <v>44671</v>
      </c>
      <c r="Z836" s="238">
        <v>3.7074125242357869E-2</v>
      </c>
      <c r="AA836" s="240">
        <v>3.5983141628616044E-2</v>
      </c>
    </row>
    <row r="837" spans="19:27" x14ac:dyDescent="0.2">
      <c r="S837" s="199"/>
      <c r="T837" s="200"/>
      <c r="W837" s="233" t="str">
        <f t="shared" si="19"/>
        <v>1w</v>
      </c>
      <c r="X837" s="234">
        <f>_xll.qlCalendarAdvance(Calendar,X836,W837,"f",FALSE)</f>
        <v>44678</v>
      </c>
      <c r="Y837" s="237">
        <f>_xll.qlCalendarAdvance(Calendar,X837,NDays&amp;"D")</f>
        <v>44678</v>
      </c>
      <c r="Z837" s="238">
        <v>3.7087916755057071E-2</v>
      </c>
      <c r="AA837" s="240">
        <v>3.6003360086489522E-2</v>
      </c>
    </row>
    <row r="838" spans="19:27" x14ac:dyDescent="0.2">
      <c r="S838" s="199"/>
      <c r="T838" s="200"/>
      <c r="W838" s="233" t="str">
        <f t="shared" si="19"/>
        <v>1w</v>
      </c>
      <c r="X838" s="234">
        <f>_xll.qlCalendarAdvance(Calendar,X837,W838,"f",FALSE)</f>
        <v>44685</v>
      </c>
      <c r="Y838" s="237">
        <f>_xll.qlCalendarAdvance(Calendar,X838,NDays&amp;"D")</f>
        <v>44685</v>
      </c>
      <c r="Z838" s="238">
        <v>3.7101393999808829E-2</v>
      </c>
      <c r="AA838" s="240">
        <v>3.6023477175646246E-2</v>
      </c>
    </row>
    <row r="839" spans="19:27" x14ac:dyDescent="0.2">
      <c r="S839" s="199"/>
      <c r="T839" s="200"/>
      <c r="W839" s="233" t="str">
        <f t="shared" si="19"/>
        <v>1w</v>
      </c>
      <c r="X839" s="234">
        <f>_xll.qlCalendarAdvance(Calendar,X838,W839,"f",FALSE)</f>
        <v>44692</v>
      </c>
      <c r="Y839" s="237">
        <f>_xll.qlCalendarAdvance(Calendar,X839,NDays&amp;"D")</f>
        <v>44692</v>
      </c>
      <c r="Z839" s="238">
        <v>3.7114552144176693E-2</v>
      </c>
      <c r="AA839" s="240">
        <v>3.6043492896005169E-2</v>
      </c>
    </row>
    <row r="840" spans="19:27" x14ac:dyDescent="0.2">
      <c r="S840" s="199"/>
      <c r="T840" s="200"/>
      <c r="W840" s="233" t="str">
        <f t="shared" si="19"/>
        <v>1w</v>
      </c>
      <c r="X840" s="234">
        <f>_xll.qlCalendarAdvance(Calendar,X839,W840,"f",FALSE)</f>
        <v>44699</v>
      </c>
      <c r="Y840" s="237">
        <f>_xll.qlCalendarAdvance(Calendar,X840,NDays&amp;"D")</f>
        <v>44699</v>
      </c>
      <c r="Z840" s="238">
        <v>3.7127386355771952E-2</v>
      </c>
      <c r="AA840" s="240">
        <v>3.6063407247647339E-2</v>
      </c>
    </row>
    <row r="841" spans="19:27" x14ac:dyDescent="0.2">
      <c r="S841" s="199"/>
      <c r="T841" s="200"/>
      <c r="W841" s="233" t="str">
        <f t="shared" si="19"/>
        <v>1w</v>
      </c>
      <c r="X841" s="234">
        <f>_xll.qlCalendarAdvance(Calendar,X840,W841,"f",FALSE)</f>
        <v>44706</v>
      </c>
      <c r="Y841" s="237">
        <f>_xll.qlCalendarAdvance(Calendar,X841,NDays&amp;"D")</f>
        <v>44706</v>
      </c>
      <c r="Z841" s="238">
        <v>3.7139891802267178E-2</v>
      </c>
      <c r="AA841" s="240">
        <v>3.6083220230410662E-2</v>
      </c>
    </row>
    <row r="842" spans="19:27" x14ac:dyDescent="0.2">
      <c r="S842" s="199"/>
      <c r="T842" s="200"/>
      <c r="W842" s="233" t="str">
        <f t="shared" si="19"/>
        <v>1w</v>
      </c>
      <c r="X842" s="234">
        <f>_xll.qlCalendarAdvance(Calendar,X841,W842,"f",FALSE)</f>
        <v>44713</v>
      </c>
      <c r="Y842" s="237">
        <f>_xll.qlCalendarAdvance(Calendar,X842,NDays&amp;"D")</f>
        <v>44713</v>
      </c>
      <c r="Z842" s="238">
        <v>3.7152063651412215E-2</v>
      </c>
      <c r="AA842" s="240">
        <v>3.6102931844376185E-2</v>
      </c>
    </row>
    <row r="843" spans="19:27" x14ac:dyDescent="0.2">
      <c r="S843" s="199"/>
      <c r="T843" s="200"/>
      <c r="W843" s="233" t="str">
        <f t="shared" si="19"/>
        <v>1w</v>
      </c>
      <c r="X843" s="234">
        <f>_xll.qlCalendarAdvance(Calendar,X842,W843,"f",FALSE)</f>
        <v>44720</v>
      </c>
      <c r="Y843" s="237">
        <f>_xll.qlCalendarAdvance(Calendar,X843,NDays&amp;"D")</f>
        <v>44720</v>
      </c>
      <c r="Z843" s="238">
        <v>3.7163897071050167E-2</v>
      </c>
      <c r="AA843" s="240">
        <v>3.6122542089462861E-2</v>
      </c>
    </row>
    <row r="844" spans="19:27" x14ac:dyDescent="0.2">
      <c r="S844" s="199"/>
      <c r="T844" s="200"/>
      <c r="W844" s="233" t="str">
        <f t="shared" si="19"/>
        <v>1w</v>
      </c>
      <c r="X844" s="234">
        <f>_xll.qlCalendarAdvance(Calendar,X843,W844,"f",FALSE)</f>
        <v>44727</v>
      </c>
      <c r="Y844" s="237">
        <f>_xll.qlCalendarAdvance(Calendar,X844,NDays&amp;"D")</f>
        <v>44727</v>
      </c>
      <c r="Z844" s="238">
        <v>3.7175387229131385E-2</v>
      </c>
      <c r="AA844" s="240">
        <v>3.6142050965751737E-2</v>
      </c>
    </row>
    <row r="845" spans="19:27" x14ac:dyDescent="0.2">
      <c r="S845" s="199"/>
      <c r="T845" s="200"/>
      <c r="W845" s="233" t="str">
        <f t="shared" si="19"/>
        <v>1w</v>
      </c>
      <c r="X845" s="234">
        <f>_xll.qlCalendarAdvance(Calendar,X844,W845,"f",FALSE)</f>
        <v>44734</v>
      </c>
      <c r="Y845" s="237">
        <f>_xll.qlCalendarAdvance(Calendar,X845,NDays&amp;"D")</f>
        <v>44734</v>
      </c>
      <c r="Z845" s="238">
        <v>3.7186529293730564E-2</v>
      </c>
      <c r="AA845" s="240">
        <v>3.6161458473242813E-2</v>
      </c>
    </row>
    <row r="846" spans="19:27" x14ac:dyDescent="0.2">
      <c r="S846" s="199"/>
      <c r="T846" s="200"/>
      <c r="W846" s="233" t="str">
        <f t="shared" si="19"/>
        <v>1w</v>
      </c>
      <c r="X846" s="234">
        <f>_xll.qlCalendarAdvance(Calendar,X845,W846,"f",FALSE)</f>
        <v>44741</v>
      </c>
      <c r="Y846" s="237">
        <f>_xll.qlCalendarAdvance(Calendar,X846,NDays&amp;"D")</f>
        <v>44741</v>
      </c>
      <c r="Z846" s="238">
        <v>3.7197318500772347E-2</v>
      </c>
      <c r="AA846" s="240">
        <v>3.6180748948526631E-2</v>
      </c>
    </row>
    <row r="847" spans="19:27" x14ac:dyDescent="0.2">
      <c r="S847" s="199"/>
      <c r="T847" s="200"/>
      <c r="W847" s="233" t="str">
        <f t="shared" si="19"/>
        <v>1w</v>
      </c>
      <c r="X847" s="234">
        <f>_xll.qlCalendarAdvance(Calendar,X846,W847,"f",FALSE)</f>
        <v>44748</v>
      </c>
      <c r="Y847" s="237">
        <f>_xll.qlCalendarAdvance(Calendar,X847,NDays&amp;"D")</f>
        <v>44748</v>
      </c>
      <c r="Z847" s="238">
        <v>3.7207755985580127E-2</v>
      </c>
      <c r="AA847" s="240">
        <v>3.6199745974516695E-2</v>
      </c>
    </row>
    <row r="848" spans="19:27" x14ac:dyDescent="0.2">
      <c r="S848" s="199"/>
      <c r="T848" s="200"/>
      <c r="W848" s="233" t="str">
        <f t="shared" si="19"/>
        <v>1w</v>
      </c>
      <c r="X848" s="234">
        <f>_xll.qlCalendarAdvance(Calendar,X847,W848,"f",FALSE)</f>
        <v>44755</v>
      </c>
      <c r="Y848" s="237">
        <f>_xll.qlCalendarAdvance(Calendar,X848,NDays&amp;"D")</f>
        <v>44755</v>
      </c>
      <c r="Z848" s="238">
        <v>3.7217853277482726E-2</v>
      </c>
      <c r="AA848" s="240">
        <v>3.6218399264265067E-2</v>
      </c>
    </row>
    <row r="849" spans="19:27" x14ac:dyDescent="0.2">
      <c r="S849" s="199"/>
      <c r="T849" s="200"/>
      <c r="W849" s="233" t="str">
        <f t="shared" si="19"/>
        <v>1w</v>
      </c>
      <c r="X849" s="234">
        <f>_xll.qlCalendarAdvance(Calendar,X848,W849,"f",FALSE)</f>
        <v>44762</v>
      </c>
      <c r="Y849" s="237">
        <f>_xll.qlCalendarAdvance(Calendar,X849,NDays&amp;"D")</f>
        <v>44762</v>
      </c>
      <c r="Z849" s="238">
        <v>3.7227622964588925E-2</v>
      </c>
      <c r="AA849" s="240">
        <v>3.6236708817366514E-2</v>
      </c>
    </row>
    <row r="850" spans="19:27" x14ac:dyDescent="0.2">
      <c r="S850" s="199"/>
      <c r="T850" s="200"/>
      <c r="W850" s="233" t="str">
        <f t="shared" si="19"/>
        <v>1w</v>
      </c>
      <c r="X850" s="234">
        <f>_xll.qlCalendarAdvance(Calendar,X849,W850,"f",FALSE)</f>
        <v>44769</v>
      </c>
      <c r="Y850" s="237">
        <f>_xll.qlCalendarAdvance(Calendar,X850,NDays&amp;"D")</f>
        <v>44769</v>
      </c>
      <c r="Z850" s="238">
        <v>3.7237077635802418E-2</v>
      </c>
      <c r="AA850" s="240">
        <v>3.6254674634064177E-2</v>
      </c>
    </row>
    <row r="851" spans="19:27" x14ac:dyDescent="0.2">
      <c r="S851" s="199"/>
      <c r="T851" s="200"/>
      <c r="W851" s="233" t="str">
        <f t="shared" si="19"/>
        <v>1w</v>
      </c>
      <c r="X851" s="234">
        <f>_xll.qlCalendarAdvance(Calendar,X850,W851,"f",FALSE)</f>
        <v>44776</v>
      </c>
      <c r="Y851" s="237">
        <f>_xll.qlCalendarAdvance(Calendar,X851,NDays&amp;"D")</f>
        <v>44776</v>
      </c>
      <c r="Z851" s="238">
        <v>3.7246229880779413E-2</v>
      </c>
      <c r="AA851" s="240">
        <v>3.6272296714033869E-2</v>
      </c>
    </row>
    <row r="852" spans="19:27" x14ac:dyDescent="0.2">
      <c r="S852" s="199"/>
      <c r="T852" s="200"/>
      <c r="W852" s="233" t="str">
        <f t="shared" si="19"/>
        <v>1w</v>
      </c>
      <c r="X852" s="234">
        <f>_xll.qlCalendarAdvance(Calendar,X851,W852,"f",FALSE)</f>
        <v>44783</v>
      </c>
      <c r="Y852" s="237">
        <f>_xll.qlCalendarAdvance(Calendar,X852,NDays&amp;"D")</f>
        <v>44783</v>
      </c>
      <c r="Z852" s="238">
        <v>3.7255092289894431E-2</v>
      </c>
      <c r="AA852" s="240">
        <v>3.6289575057356638E-2</v>
      </c>
    </row>
    <row r="853" spans="19:27" x14ac:dyDescent="0.2">
      <c r="S853" s="199"/>
      <c r="T853" s="200"/>
      <c r="W853" s="233" t="str">
        <f t="shared" ref="W853:W916" si="20">W852</f>
        <v>1w</v>
      </c>
      <c r="X853" s="234">
        <f>_xll.qlCalendarAdvance(Calendar,X852,W853,"f",FALSE)</f>
        <v>44790</v>
      </c>
      <c r="Y853" s="237">
        <f>_xll.qlCalendarAdvance(Calendar,X853,NDays&amp;"D")</f>
        <v>44790</v>
      </c>
      <c r="Z853" s="238">
        <v>3.7263677454201227E-2</v>
      </c>
      <c r="AA853" s="240">
        <v>3.6306509664032482E-2</v>
      </c>
    </row>
    <row r="854" spans="19:27" x14ac:dyDescent="0.2">
      <c r="S854" s="199"/>
      <c r="T854" s="200"/>
      <c r="W854" s="233" t="str">
        <f t="shared" si="20"/>
        <v>1w</v>
      </c>
      <c r="X854" s="234">
        <f>_xll.qlCalendarAdvance(Calendar,X853,W854,"f",FALSE)</f>
        <v>44797</v>
      </c>
      <c r="Y854" s="237">
        <f>_xll.qlCalendarAdvance(Calendar,X854,NDays&amp;"D")</f>
        <v>44797</v>
      </c>
      <c r="Z854" s="238">
        <v>3.727199796540126E-2</v>
      </c>
      <c r="AA854" s="240">
        <v>3.6323100533980357E-2</v>
      </c>
    </row>
    <row r="855" spans="19:27" x14ac:dyDescent="0.2">
      <c r="S855" s="199"/>
      <c r="T855" s="200"/>
      <c r="W855" s="233" t="str">
        <f t="shared" si="20"/>
        <v>1w</v>
      </c>
      <c r="X855" s="234">
        <f>_xll.qlCalendarAdvance(Calendar,X854,W855,"f",FALSE)</f>
        <v>44804</v>
      </c>
      <c r="Y855" s="237">
        <f>_xll.qlCalendarAdvance(Calendar,X855,NDays&amp;"D")</f>
        <v>44804</v>
      </c>
      <c r="Z855" s="238">
        <v>3.7280066415808388E-2</v>
      </c>
      <c r="AA855" s="240">
        <v>3.6339347667119215E-2</v>
      </c>
    </row>
    <row r="856" spans="19:27" x14ac:dyDescent="0.2">
      <c r="S856" s="199"/>
      <c r="T856" s="200"/>
      <c r="W856" s="233" t="str">
        <f t="shared" si="20"/>
        <v>1w</v>
      </c>
      <c r="X856" s="234">
        <f>_xll.qlCalendarAdvance(Calendar,X855,W856,"f",FALSE)</f>
        <v>44811</v>
      </c>
      <c r="Y856" s="237">
        <f>_xll.qlCalendarAdvance(Calendar,X856,NDays&amp;"D")</f>
        <v>44811</v>
      </c>
      <c r="Z856" s="238">
        <v>3.7287895398319115E-2</v>
      </c>
      <c r="AA856" s="240">
        <v>3.6355251063449057E-2</v>
      </c>
    </row>
    <row r="857" spans="19:27" x14ac:dyDescent="0.2">
      <c r="S857" s="199"/>
      <c r="T857" s="200"/>
      <c r="W857" s="233" t="str">
        <f t="shared" si="20"/>
        <v>1w</v>
      </c>
      <c r="X857" s="234">
        <f>_xll.qlCalendarAdvance(Calendar,X856,W857,"f",FALSE)</f>
        <v>44818</v>
      </c>
      <c r="Y857" s="237">
        <f>_xll.qlCalendarAdvance(Calendar,X857,NDays&amp;"D")</f>
        <v>44818</v>
      </c>
      <c r="Z857" s="238">
        <v>3.7295497506381059E-2</v>
      </c>
      <c r="AA857" s="240">
        <v>3.6370810722888836E-2</v>
      </c>
    </row>
    <row r="858" spans="19:27" x14ac:dyDescent="0.2">
      <c r="S858" s="199"/>
      <c r="T858" s="200"/>
      <c r="W858" s="233" t="str">
        <f t="shared" si="20"/>
        <v>1w</v>
      </c>
      <c r="X858" s="234">
        <f>_xll.qlCalendarAdvance(Calendar,X857,W858,"f",FALSE)</f>
        <v>44825</v>
      </c>
      <c r="Y858" s="237">
        <f>_xll.qlCalendarAdvance(Calendar,X858,NDays&amp;"D")</f>
        <v>44825</v>
      </c>
      <c r="Z858" s="238">
        <v>3.7302885333967195E-2</v>
      </c>
      <c r="AA858" s="240">
        <v>3.6386026645438552E-2</v>
      </c>
    </row>
    <row r="859" spans="19:27" x14ac:dyDescent="0.2">
      <c r="S859" s="199"/>
      <c r="T859" s="200"/>
      <c r="W859" s="233" t="str">
        <f t="shared" si="20"/>
        <v>1w</v>
      </c>
      <c r="X859" s="234">
        <f>_xll.qlCalendarAdvance(Calendar,X858,W859,"f",FALSE)</f>
        <v>44832</v>
      </c>
      <c r="Y859" s="237">
        <f>_xll.qlCalendarAdvance(Calendar,X859,NDays&amp;"D")</f>
        <v>44832</v>
      </c>
      <c r="Z859" s="238">
        <v>3.7310071475546547E-2</v>
      </c>
      <c r="AA859" s="240">
        <v>3.6400898831017159E-2</v>
      </c>
    </row>
    <row r="860" spans="19:27" x14ac:dyDescent="0.2">
      <c r="S860" s="199"/>
      <c r="T860" s="200"/>
      <c r="W860" s="233" t="str">
        <f t="shared" si="20"/>
        <v>1w</v>
      </c>
      <c r="X860" s="234">
        <f>_xll.qlCalendarAdvance(Calendar,X859,W860,"f",FALSE)</f>
        <v>44839</v>
      </c>
      <c r="Y860" s="237">
        <f>_xll.qlCalendarAdvance(Calendar,X860,NDays&amp;"D")</f>
        <v>44839</v>
      </c>
      <c r="Z860" s="238">
        <v>3.7317068526060204E-2</v>
      </c>
      <c r="AA860" s="240">
        <v>3.6415427279543611E-2</v>
      </c>
    </row>
    <row r="861" spans="19:27" x14ac:dyDescent="0.2">
      <c r="S861" s="199"/>
      <c r="T861" s="200"/>
      <c r="W861" s="233" t="str">
        <f t="shared" si="20"/>
        <v>1w</v>
      </c>
      <c r="X861" s="234">
        <f>_xll.qlCalendarAdvance(Calendar,X860,W861,"f",FALSE)</f>
        <v>44846</v>
      </c>
      <c r="Y861" s="237">
        <f>_xll.qlCalendarAdvance(Calendar,X861,NDays&amp;"D")</f>
        <v>44846</v>
      </c>
      <c r="Z861" s="238">
        <v>3.7323889080897787E-2</v>
      </c>
      <c r="AA861" s="240">
        <v>3.6429611991098954E-2</v>
      </c>
    </row>
    <row r="862" spans="19:27" x14ac:dyDescent="0.2">
      <c r="S862" s="199"/>
      <c r="T862" s="200"/>
      <c r="W862" s="233" t="str">
        <f t="shared" si="20"/>
        <v>1w</v>
      </c>
      <c r="X862" s="234">
        <f>_xll.qlCalendarAdvance(Calendar,X861,W862,"f",FALSE)</f>
        <v>44853</v>
      </c>
      <c r="Y862" s="237">
        <f>_xll.qlCalendarAdvance(Calendar,X862,NDays&amp;"D")</f>
        <v>44853</v>
      </c>
      <c r="Z862" s="238">
        <v>3.733054573587391E-2</v>
      </c>
      <c r="AA862" s="240">
        <v>3.6443452965440049E-2</v>
      </c>
    </row>
    <row r="863" spans="19:27" x14ac:dyDescent="0.2">
      <c r="S863" s="199"/>
      <c r="T863" s="200"/>
      <c r="W863" s="233" t="str">
        <f t="shared" si="20"/>
        <v>1w</v>
      </c>
      <c r="X863" s="234">
        <f>_xll.qlCalendarAdvance(Calendar,X862,W863,"f",FALSE)</f>
        <v>44860</v>
      </c>
      <c r="Y863" s="237">
        <f>_xll.qlCalendarAdvance(Calendar,X863,NDays&amp;"D")</f>
        <v>44860</v>
      </c>
      <c r="Z863" s="238">
        <v>3.7337051087209305E-2</v>
      </c>
      <c r="AA863" s="240">
        <v>3.6456950202810035E-2</v>
      </c>
    </row>
    <row r="864" spans="19:27" x14ac:dyDescent="0.2">
      <c r="S864" s="199"/>
      <c r="T864" s="200"/>
      <c r="W864" s="233" t="str">
        <f t="shared" si="20"/>
        <v>1w</v>
      </c>
      <c r="X864" s="234">
        <f>_xll.qlCalendarAdvance(Calendar,X863,W864,"f",FALSE)</f>
        <v>44867</v>
      </c>
      <c r="Y864" s="237">
        <f>_xll.qlCalendarAdvance(Calendar,X864,NDays&amp;"D")</f>
        <v>44867</v>
      </c>
      <c r="Z864" s="238">
        <v>3.7343417731510398E-2</v>
      </c>
      <c r="AA864" s="240">
        <v>3.6470103702884726E-2</v>
      </c>
    </row>
    <row r="865" spans="19:27" x14ac:dyDescent="0.2">
      <c r="S865" s="199"/>
      <c r="T865" s="200"/>
      <c r="W865" s="233" t="str">
        <f t="shared" si="20"/>
        <v>1w</v>
      </c>
      <c r="X865" s="234">
        <f>_xll.qlCalendarAdvance(Calendar,X864,W865,"f",FALSE)</f>
        <v>44874</v>
      </c>
      <c r="Y865" s="237">
        <f>_xll.qlCalendarAdvance(Calendar,X865,NDays&amp;"D")</f>
        <v>44874</v>
      </c>
      <c r="Z865" s="238">
        <v>3.7349658265751984E-2</v>
      </c>
      <c r="AA865" s="240">
        <v>3.6482913465826217E-2</v>
      </c>
    </row>
    <row r="866" spans="19:27" x14ac:dyDescent="0.2">
      <c r="S866" s="199"/>
      <c r="T866" s="200"/>
      <c r="W866" s="233" t="str">
        <f t="shared" si="20"/>
        <v>1w</v>
      </c>
      <c r="X866" s="234">
        <f>_xll.qlCalendarAdvance(Calendar,X865,W866,"f",FALSE)</f>
        <v>44881</v>
      </c>
      <c r="Y866" s="237">
        <f>_xll.qlCalendarAdvance(Calendar,X866,NDays&amp;"D")</f>
        <v>44881</v>
      </c>
      <c r="Z866" s="238">
        <v>3.7355785287261467E-2</v>
      </c>
      <c r="AA866" s="240">
        <v>3.6495379491553459E-2</v>
      </c>
    </row>
    <row r="867" spans="19:27" x14ac:dyDescent="0.2">
      <c r="S867" s="199"/>
      <c r="T867" s="200"/>
      <c r="W867" s="233" t="str">
        <f t="shared" si="20"/>
        <v>1w</v>
      </c>
      <c r="X867" s="234">
        <f>_xll.qlCalendarAdvance(Calendar,X866,W867,"f",FALSE)</f>
        <v>44888</v>
      </c>
      <c r="Y867" s="237">
        <f>_xll.qlCalendarAdvance(Calendar,X867,NDays&amp;"D")</f>
        <v>44888</v>
      </c>
      <c r="Z867" s="238">
        <v>3.7361811393703981E-2</v>
      </c>
      <c r="AA867" s="240">
        <v>3.6507501779904361E-2</v>
      </c>
    </row>
    <row r="868" spans="19:27" x14ac:dyDescent="0.2">
      <c r="S868" s="199"/>
      <c r="T868" s="200"/>
      <c r="W868" s="233" t="str">
        <f t="shared" si="20"/>
        <v>1w</v>
      </c>
      <c r="X868" s="234">
        <f>_xll.qlCalendarAdvance(Calendar,X867,W868,"f",FALSE)</f>
        <v>44895</v>
      </c>
      <c r="Y868" s="237">
        <f>_xll.qlCalendarAdvance(Calendar,X868,NDays&amp;"D")</f>
        <v>44895</v>
      </c>
      <c r="Z868" s="238">
        <v>3.736774918306951E-2</v>
      </c>
      <c r="AA868" s="240">
        <v>3.6519280331041015E-2</v>
      </c>
    </row>
    <row r="869" spans="19:27" x14ac:dyDescent="0.2">
      <c r="S869" s="199"/>
      <c r="T869" s="200"/>
      <c r="W869" s="233" t="str">
        <f t="shared" si="20"/>
        <v>1w</v>
      </c>
      <c r="X869" s="234">
        <f>_xll.qlCalendarAdvance(Calendar,X868,W869,"f",FALSE)</f>
        <v>44902</v>
      </c>
      <c r="Y869" s="237">
        <f>_xll.qlCalendarAdvance(Calendar,X869,NDays&amp;"D")</f>
        <v>44902</v>
      </c>
      <c r="Z869" s="238">
        <v>3.7373611253661787E-2</v>
      </c>
      <c r="AA869" s="240">
        <v>3.6530715144801329E-2</v>
      </c>
    </row>
    <row r="870" spans="19:27" x14ac:dyDescent="0.2">
      <c r="S870" s="199"/>
      <c r="T870" s="200"/>
      <c r="W870" s="233" t="str">
        <f t="shared" si="20"/>
        <v>1w</v>
      </c>
      <c r="X870" s="234">
        <f>_xll.qlCalendarAdvance(Calendar,X869,W870,"f",FALSE)</f>
        <v>44909</v>
      </c>
      <c r="Y870" s="237">
        <f>_xll.qlCalendarAdvance(Calendar,X870,NDays&amp;"D")</f>
        <v>44909</v>
      </c>
      <c r="Z870" s="238">
        <v>3.7379410204086971E-2</v>
      </c>
      <c r="AA870" s="240">
        <v>3.6541806221185302E-2</v>
      </c>
    </row>
    <row r="871" spans="19:27" x14ac:dyDescent="0.2">
      <c r="S871" s="199"/>
      <c r="T871" s="200"/>
      <c r="W871" s="233" t="str">
        <f t="shared" si="20"/>
        <v>1w</v>
      </c>
      <c r="X871" s="234">
        <f>_xll.qlCalendarAdvance(Calendar,X870,W871,"f",FALSE)</f>
        <v>44916</v>
      </c>
      <c r="Y871" s="237">
        <f>_xll.qlCalendarAdvance(Calendar,X871,NDays&amp;"D")</f>
        <v>44916</v>
      </c>
      <c r="Z871" s="238">
        <v>3.7385158633246984E-2</v>
      </c>
      <c r="AA871" s="240">
        <v>3.6552553560192935E-2</v>
      </c>
    </row>
    <row r="872" spans="19:27" x14ac:dyDescent="0.2">
      <c r="S872" s="199"/>
      <c r="T872" s="200"/>
      <c r="W872" s="233" t="str">
        <f t="shared" si="20"/>
        <v>1w</v>
      </c>
      <c r="X872" s="234">
        <f>_xll.qlCalendarAdvance(Calendar,X871,W872,"f",FALSE)</f>
        <v>44923</v>
      </c>
      <c r="Y872" s="237">
        <f>_xll.qlCalendarAdvance(Calendar,X872,NDays&amp;"D")</f>
        <v>44923</v>
      </c>
      <c r="Z872" s="238">
        <v>3.7390869140331295E-2</v>
      </c>
      <c r="AA872" s="240">
        <v>3.6562957161743181E-2</v>
      </c>
    </row>
    <row r="873" spans="19:27" x14ac:dyDescent="0.2">
      <c r="S873" s="199"/>
      <c r="T873" s="200"/>
      <c r="W873" s="233" t="str">
        <f t="shared" si="20"/>
        <v>1w</v>
      </c>
      <c r="X873" s="234">
        <f>_xll.qlCalendarAdvance(Calendar,X872,W873,"f",FALSE)</f>
        <v>44930</v>
      </c>
      <c r="Y873" s="237">
        <f>_xll.qlCalendarAdvance(Calendar,X873,NDays&amp;"D")</f>
        <v>44930</v>
      </c>
      <c r="Z873" s="238">
        <v>3.7396554324812703E-2</v>
      </c>
      <c r="AA873" s="240">
        <v>3.6573017025836041E-2</v>
      </c>
    </row>
    <row r="874" spans="19:27" x14ac:dyDescent="0.2">
      <c r="S874" s="199"/>
      <c r="T874" s="200"/>
      <c r="W874" s="233" t="str">
        <f t="shared" si="20"/>
        <v>1w</v>
      </c>
      <c r="X874" s="234">
        <f>_xll.qlCalendarAdvance(Calendar,X873,W874,"f",FALSE)</f>
        <v>44937</v>
      </c>
      <c r="Y874" s="237">
        <f>_xll.qlCalendarAdvance(Calendar,X874,NDays&amp;"D")</f>
        <v>44937</v>
      </c>
      <c r="Z874" s="238">
        <v>3.7402226786442228E-2</v>
      </c>
      <c r="AA874" s="240">
        <v>3.6582733152471514E-2</v>
      </c>
    </row>
    <row r="875" spans="19:27" x14ac:dyDescent="0.2">
      <c r="S875" s="199"/>
      <c r="T875" s="200"/>
      <c r="W875" s="233" t="str">
        <f t="shared" si="20"/>
        <v>1w</v>
      </c>
      <c r="X875" s="234">
        <f>_xll.qlCalendarAdvance(Calendar,X874,W875,"f",FALSE)</f>
        <v>44944</v>
      </c>
      <c r="Y875" s="237">
        <f>_xll.qlCalendarAdvance(Calendar,X875,NDays&amp;"D")</f>
        <v>44944</v>
      </c>
      <c r="Z875" s="238">
        <v>3.7407899125247335E-2</v>
      </c>
      <c r="AA875" s="240">
        <v>3.6592105541487507E-2</v>
      </c>
    </row>
    <row r="876" spans="19:27" x14ac:dyDescent="0.2">
      <c r="S876" s="199"/>
      <c r="T876" s="200"/>
      <c r="W876" s="233" t="str">
        <f t="shared" si="20"/>
        <v>1w</v>
      </c>
      <c r="X876" s="234">
        <f>_xll.qlCalendarAdvance(Calendar,X875,W876,"f",FALSE)</f>
        <v>44951</v>
      </c>
      <c r="Y876" s="237">
        <f>_xll.qlCalendarAdvance(Calendar,X876,NDays&amp;"D")</f>
        <v>44951</v>
      </c>
      <c r="Z876" s="238">
        <v>3.7413583941531714E-2</v>
      </c>
      <c r="AA876" s="240">
        <v>3.6601134193046114E-2</v>
      </c>
    </row>
    <row r="877" spans="19:27" x14ac:dyDescent="0.2">
      <c r="S877" s="199"/>
      <c r="T877" s="200"/>
      <c r="W877" s="233" t="str">
        <f t="shared" si="20"/>
        <v>1w</v>
      </c>
      <c r="X877" s="234">
        <f>_xll.qlCalendarAdvance(Calendar,X876,W877,"f",FALSE)</f>
        <v>44958</v>
      </c>
      <c r="Y877" s="237">
        <f>_xll.qlCalendarAdvance(Calendar,X877,NDays&amp;"D")</f>
        <v>44958</v>
      </c>
      <c r="Z877" s="238">
        <v>3.7419293835875056E-2</v>
      </c>
      <c r="AA877" s="240">
        <v>3.6609819107066288E-2</v>
      </c>
    </row>
    <row r="878" spans="19:27" x14ac:dyDescent="0.2">
      <c r="S878" s="199"/>
      <c r="T878" s="200"/>
      <c r="W878" s="233" t="str">
        <f t="shared" si="20"/>
        <v>1w</v>
      </c>
      <c r="X878" s="234">
        <f>_xll.qlCalendarAdvance(Calendar,X877,W878,"f",FALSE)</f>
        <v>44965</v>
      </c>
      <c r="Y878" s="237">
        <f>_xll.qlCalendarAdvance(Calendar,X878,NDays&amp;"D")</f>
        <v>44965</v>
      </c>
      <c r="Z878" s="238">
        <v>3.7425041409136384E-2</v>
      </c>
      <c r="AA878" s="240">
        <v>3.6618160283385937E-2</v>
      </c>
    </row>
    <row r="879" spans="19:27" x14ac:dyDescent="0.2">
      <c r="S879" s="199"/>
      <c r="T879" s="200"/>
      <c r="W879" s="233" t="str">
        <f t="shared" si="20"/>
        <v>1w</v>
      </c>
      <c r="X879" s="234">
        <f>_xll.qlCalendarAdvance(Calendar,X878,W879,"f",FALSE)</f>
        <v>44972</v>
      </c>
      <c r="Y879" s="237">
        <f>_xll.qlCalendarAdvance(Calendar,X879,NDays&amp;"D")</f>
        <v>44972</v>
      </c>
      <c r="Z879" s="238">
        <v>3.7430839262456939E-2</v>
      </c>
      <c r="AA879" s="240">
        <v>3.6626157722167152E-2</v>
      </c>
    </row>
    <row r="880" spans="19:27" x14ac:dyDescent="0.2">
      <c r="S880" s="199"/>
      <c r="T880" s="200"/>
      <c r="W880" s="233" t="str">
        <f t="shared" si="20"/>
        <v>1w</v>
      </c>
      <c r="X880" s="234">
        <f>_xll.qlCalendarAdvance(Calendar,X879,W880,"f",FALSE)</f>
        <v>44979</v>
      </c>
      <c r="Y880" s="237">
        <f>_xll.qlCalendarAdvance(Calendar,X880,NDays&amp;"D")</f>
        <v>44979</v>
      </c>
      <c r="Z880" s="238">
        <v>3.7436699997265732E-2</v>
      </c>
      <c r="AA880" s="240">
        <v>3.6633811423247842E-2</v>
      </c>
    </row>
    <row r="881" spans="19:27" x14ac:dyDescent="0.2">
      <c r="S881" s="199"/>
      <c r="T881" s="200"/>
      <c r="W881" s="233" t="str">
        <f t="shared" si="20"/>
        <v>1w</v>
      </c>
      <c r="X881" s="234">
        <f>_xll.qlCalendarAdvance(Calendar,X880,W881,"f",FALSE)</f>
        <v>44986</v>
      </c>
      <c r="Y881" s="237">
        <f>_xll.qlCalendarAdvance(Calendar,X881,NDays&amp;"D")</f>
        <v>44986</v>
      </c>
      <c r="Z881" s="238">
        <v>3.7445047432064137E-2</v>
      </c>
      <c r="AA881" s="240">
        <v>3.6641121386709052E-2</v>
      </c>
    </row>
    <row r="882" spans="19:27" x14ac:dyDescent="0.2">
      <c r="S882" s="199"/>
      <c r="T882" s="200"/>
      <c r="W882" s="233" t="str">
        <f t="shared" si="20"/>
        <v>1w</v>
      </c>
      <c r="X882" s="234">
        <f>_xll.qlCalendarAdvance(Calendar,X881,W882,"f",FALSE)</f>
        <v>44993</v>
      </c>
      <c r="Y882" s="237">
        <f>_xll.qlCalendarAdvance(Calendar,X882,NDays&amp;"D")</f>
        <v>44993</v>
      </c>
      <c r="Z882" s="238">
        <v>3.7451089201314146E-2</v>
      </c>
      <c r="AA882" s="240">
        <v>3.6648087612469737E-2</v>
      </c>
    </row>
    <row r="883" spans="19:27" x14ac:dyDescent="0.2">
      <c r="S883" s="199"/>
      <c r="T883" s="200"/>
      <c r="W883" s="233" t="str">
        <f t="shared" si="20"/>
        <v>1w</v>
      </c>
      <c r="X883" s="234">
        <f>_xll.qlCalendarAdvance(Calendar,X882,W883,"f",FALSE)</f>
        <v>45000</v>
      </c>
      <c r="Y883" s="237">
        <f>_xll.qlCalendarAdvance(Calendar,X883,NDays&amp;"D")</f>
        <v>45000</v>
      </c>
      <c r="Z883" s="238">
        <v>3.7457232214625318E-2</v>
      </c>
      <c r="AA883" s="240">
        <v>3.6654710100529897E-2</v>
      </c>
    </row>
    <row r="884" spans="19:27" x14ac:dyDescent="0.2">
      <c r="S884" s="199"/>
      <c r="T884" s="200"/>
      <c r="W884" s="233" t="str">
        <f t="shared" si="20"/>
        <v>1w</v>
      </c>
      <c r="X884" s="234">
        <f>_xll.qlCalendarAdvance(Calendar,X883,W884,"f",FALSE)</f>
        <v>45007</v>
      </c>
      <c r="Y884" s="237">
        <f>_xll.qlCalendarAdvance(Calendar,X884,NDays&amp;"D")</f>
        <v>45007</v>
      </c>
      <c r="Z884" s="238">
        <v>3.7463489041527326E-2</v>
      </c>
      <c r="AA884" s="240">
        <v>3.6660988850889531E-2</v>
      </c>
    </row>
    <row r="885" spans="19:27" x14ac:dyDescent="0.2">
      <c r="S885" s="199"/>
      <c r="T885" s="200"/>
      <c r="W885" s="233" t="str">
        <f t="shared" si="20"/>
        <v>1w</v>
      </c>
      <c r="X885" s="234">
        <f>_xll.qlCalendarAdvance(Calendar,X884,W885,"f",FALSE)</f>
        <v>45014</v>
      </c>
      <c r="Y885" s="237">
        <f>_xll.qlCalendarAdvance(Calendar,X885,NDays&amp;"D")</f>
        <v>45014</v>
      </c>
      <c r="Z885" s="238">
        <v>3.7467387964806864E-2</v>
      </c>
      <c r="AA885" s="240">
        <v>3.6666923863467593E-2</v>
      </c>
    </row>
    <row r="886" spans="19:27" x14ac:dyDescent="0.2">
      <c r="S886" s="199"/>
      <c r="T886" s="200"/>
      <c r="W886" s="233" t="str">
        <f t="shared" si="20"/>
        <v>1w</v>
      </c>
      <c r="X886" s="234">
        <f>_xll.qlCalendarAdvance(Calendar,X885,W886,"f",FALSE)</f>
        <v>45021</v>
      </c>
      <c r="Y886" s="237">
        <f>_xll.qlCalendarAdvance(Calendar,X886,NDays&amp;"D")</f>
        <v>45021</v>
      </c>
      <c r="Z886" s="238">
        <v>3.7476394415929044E-2</v>
      </c>
      <c r="AA886" s="240">
        <v>3.6672515138264083E-2</v>
      </c>
    </row>
    <row r="887" spans="19:27" x14ac:dyDescent="0.2">
      <c r="S887" s="199"/>
      <c r="T887" s="200"/>
      <c r="W887" s="233" t="str">
        <f t="shared" si="20"/>
        <v>1w</v>
      </c>
      <c r="X887" s="234">
        <f>_xll.qlCalendarAdvance(Calendar,X886,W887,"f",FALSE)</f>
        <v>45028</v>
      </c>
      <c r="Y887" s="237">
        <f>_xll.qlCalendarAdvance(Calendar,X887,NDays&amp;"D")</f>
        <v>45028</v>
      </c>
      <c r="Z887" s="238">
        <v>3.7483068104242144E-2</v>
      </c>
      <c r="AA887" s="240">
        <v>3.6677762675360048E-2</v>
      </c>
    </row>
    <row r="888" spans="19:27" x14ac:dyDescent="0.2">
      <c r="S888" s="199"/>
      <c r="T888" s="200"/>
      <c r="W888" s="233" t="str">
        <f t="shared" si="20"/>
        <v>1w</v>
      </c>
      <c r="X888" s="234">
        <f>_xll.qlCalendarAdvance(Calendar,X887,W888,"f",FALSE)</f>
        <v>45035</v>
      </c>
      <c r="Y888" s="237">
        <f>_xll.qlCalendarAdvance(Calendar,X888,NDays&amp;"D")</f>
        <v>45035</v>
      </c>
      <c r="Z888" s="238">
        <v>3.7489905887805867E-2</v>
      </c>
      <c r="AA888" s="240">
        <v>3.6682666474593395E-2</v>
      </c>
    </row>
    <row r="889" spans="19:27" x14ac:dyDescent="0.2">
      <c r="S889" s="199"/>
      <c r="T889" s="200"/>
      <c r="W889" s="233" t="str">
        <f t="shared" si="20"/>
        <v>1w</v>
      </c>
      <c r="X889" s="234">
        <f>_xll.qlCalendarAdvance(Calendar,X888,W889,"f",FALSE)</f>
        <v>45042</v>
      </c>
      <c r="Y889" s="237">
        <f>_xll.qlCalendarAdvance(Calendar,X889,NDays&amp;"D")</f>
        <v>45042</v>
      </c>
      <c r="Z889" s="238">
        <v>3.7496920338004891E-2</v>
      </c>
      <c r="AA889" s="240">
        <v>3.6687226536126216E-2</v>
      </c>
    </row>
    <row r="890" spans="19:27" x14ac:dyDescent="0.2">
      <c r="S890" s="199"/>
      <c r="T890" s="200"/>
      <c r="W890" s="233" t="str">
        <f t="shared" si="20"/>
        <v>1w</v>
      </c>
      <c r="X890" s="234">
        <f>_xll.qlCalendarAdvance(Calendar,X889,W890,"f",FALSE)</f>
        <v>45049</v>
      </c>
      <c r="Y890" s="237">
        <f>_xll.qlCalendarAdvance(Calendar,X890,NDays&amp;"D")</f>
        <v>45049</v>
      </c>
      <c r="Z890" s="238">
        <v>3.7504124026651493E-2</v>
      </c>
      <c r="AA890" s="240">
        <v>3.6691442859715373E-2</v>
      </c>
    </row>
    <row r="891" spans="19:27" x14ac:dyDescent="0.2">
      <c r="S891" s="199"/>
      <c r="T891" s="200"/>
      <c r="W891" s="233" t="str">
        <f t="shared" si="20"/>
        <v>1w</v>
      </c>
      <c r="X891" s="234">
        <f>_xll.qlCalendarAdvance(Calendar,X890,W891,"f",FALSE)</f>
        <v>45056</v>
      </c>
      <c r="Y891" s="237">
        <f>_xll.qlCalendarAdvance(Calendar,X891,NDays&amp;"D")</f>
        <v>45056</v>
      </c>
      <c r="Z891" s="238">
        <v>3.7511529526007462E-2</v>
      </c>
      <c r="AA891" s="240">
        <v>3.6695315445522958E-2</v>
      </c>
    </row>
    <row r="892" spans="19:27" x14ac:dyDescent="0.2">
      <c r="S892" s="199"/>
      <c r="T892" s="200"/>
      <c r="W892" s="233" t="str">
        <f t="shared" si="20"/>
        <v>1w</v>
      </c>
      <c r="X892" s="234">
        <f>_xll.qlCalendarAdvance(Calendar,X891,W892,"f",FALSE)</f>
        <v>45063</v>
      </c>
      <c r="Y892" s="237">
        <f>_xll.qlCalendarAdvance(Calendar,X892,NDays&amp;"D")</f>
        <v>45063</v>
      </c>
      <c r="Z892" s="238">
        <v>3.7519149408807358E-2</v>
      </c>
      <c r="AA892" s="240">
        <v>3.6698844293548971E-2</v>
      </c>
    </row>
    <row r="893" spans="19:27" x14ac:dyDescent="0.2">
      <c r="S893" s="199"/>
      <c r="T893" s="200"/>
      <c r="W893" s="233" t="str">
        <f t="shared" si="20"/>
        <v>1w</v>
      </c>
      <c r="X893" s="234">
        <f>_xll.qlCalendarAdvance(Calendar,X892,W893,"f",FALSE)</f>
        <v>45070</v>
      </c>
      <c r="Y893" s="237">
        <f>_xll.qlCalendarAdvance(Calendar,X893,NDays&amp;"D")</f>
        <v>45070</v>
      </c>
      <c r="Z893" s="238">
        <v>3.7526996248283984E-2</v>
      </c>
      <c r="AA893" s="240">
        <v>3.6702029403712366E-2</v>
      </c>
    </row>
    <row r="894" spans="19:27" x14ac:dyDescent="0.2">
      <c r="S894" s="199"/>
      <c r="T894" s="200"/>
      <c r="W894" s="233" t="str">
        <f t="shared" si="20"/>
        <v>1w</v>
      </c>
      <c r="X894" s="234">
        <f>_xll.qlCalendarAdvance(Calendar,X893,W894,"f",FALSE)</f>
        <v>45077</v>
      </c>
      <c r="Y894" s="237">
        <f>_xll.qlCalendarAdvance(Calendar,X894,NDays&amp;"D")</f>
        <v>45077</v>
      </c>
      <c r="Z894" s="238">
        <v>3.7535082618195825E-2</v>
      </c>
      <c r="AA894" s="240">
        <v>3.6704870776013143E-2</v>
      </c>
    </row>
    <row r="895" spans="19:27" x14ac:dyDescent="0.2">
      <c r="S895" s="199"/>
      <c r="T895" s="200"/>
      <c r="W895" s="233" t="str">
        <f t="shared" si="20"/>
        <v>1w</v>
      </c>
      <c r="X895" s="234">
        <f>_xll.qlCalendarAdvance(Calendar,X894,W895,"f",FALSE)</f>
        <v>45084</v>
      </c>
      <c r="Y895" s="237">
        <f>_xll.qlCalendarAdvance(Calendar,X895,NDays&amp;"D")</f>
        <v>45084</v>
      </c>
      <c r="Z895" s="238">
        <v>3.7543421092854759E-2</v>
      </c>
      <c r="AA895" s="240">
        <v>3.6707368410451302E-2</v>
      </c>
    </row>
    <row r="896" spans="19:27" x14ac:dyDescent="0.2">
      <c r="S896" s="199"/>
      <c r="T896" s="200"/>
      <c r="W896" s="233" t="str">
        <f t="shared" si="20"/>
        <v>1w</v>
      </c>
      <c r="X896" s="234">
        <f>_xll.qlCalendarAdvance(Calendar,X895,W896,"f",FALSE)</f>
        <v>45091</v>
      </c>
      <c r="Y896" s="237">
        <f>_xll.qlCalendarAdvance(Calendar,X896,NDays&amp;"D")</f>
        <v>45091</v>
      </c>
      <c r="Z896" s="238">
        <v>3.7552024247155459E-2</v>
      </c>
      <c r="AA896" s="240">
        <v>3.6709522306945797E-2</v>
      </c>
    </row>
    <row r="897" spans="19:27" x14ac:dyDescent="0.2">
      <c r="S897" s="199"/>
      <c r="T897" s="200"/>
      <c r="W897" s="233" t="str">
        <f t="shared" si="20"/>
        <v>1w</v>
      </c>
      <c r="X897" s="234">
        <f>_xll.qlCalendarAdvance(Calendar,X896,W897,"f",FALSE)</f>
        <v>45098</v>
      </c>
      <c r="Y897" s="237">
        <f>_xll.qlCalendarAdvance(Calendar,X897,NDays&amp;"D")</f>
        <v>45098</v>
      </c>
      <c r="Z897" s="238">
        <v>3.7560904656608662E-2</v>
      </c>
      <c r="AA897" s="240">
        <v>3.6711332465658719E-2</v>
      </c>
    </row>
    <row r="898" spans="19:27" x14ac:dyDescent="0.2">
      <c r="S898" s="199"/>
      <c r="T898" s="200"/>
      <c r="W898" s="233" t="str">
        <f t="shared" si="20"/>
        <v>1w</v>
      </c>
      <c r="X898" s="234">
        <f>_xll.qlCalendarAdvance(Calendar,X897,W898,"f",FALSE)</f>
        <v>45105</v>
      </c>
      <c r="Y898" s="237">
        <f>_xll.qlCalendarAdvance(Calendar,X898,NDays&amp;"D")</f>
        <v>45105</v>
      </c>
      <c r="Z898" s="238">
        <v>3.7570074886242456E-2</v>
      </c>
      <c r="AA898" s="240">
        <v>3.6712813967033631E-2</v>
      </c>
    </row>
    <row r="899" spans="19:27" x14ac:dyDescent="0.2">
      <c r="S899" s="199"/>
      <c r="T899" s="200"/>
      <c r="W899" s="233" t="str">
        <f t="shared" si="20"/>
        <v>1w</v>
      </c>
      <c r="X899" s="234">
        <f>_xll.qlCalendarAdvance(Calendar,X898,W899,"f",FALSE)</f>
        <v>45112</v>
      </c>
      <c r="Y899" s="237">
        <f>_xll.qlCalendarAdvance(Calendar,X899,NDays&amp;"D")</f>
        <v>45112</v>
      </c>
      <c r="Z899" s="238">
        <v>3.7579541848282202E-2</v>
      </c>
      <c r="AA899" s="240">
        <v>3.6714389067623587E-2</v>
      </c>
    </row>
    <row r="900" spans="19:27" x14ac:dyDescent="0.2">
      <c r="S900" s="199"/>
      <c r="T900" s="200"/>
      <c r="W900" s="233" t="str">
        <f t="shared" si="20"/>
        <v>1w</v>
      </c>
      <c r="X900" s="234">
        <f>_xll.qlCalendarAdvance(Calendar,X899,W900,"f",FALSE)</f>
        <v>45119</v>
      </c>
      <c r="Y900" s="237">
        <f>_xll.qlCalendarAdvance(Calendar,X900,NDays&amp;"D")</f>
        <v>45119</v>
      </c>
      <c r="Z900" s="238">
        <v>3.7589297620480973E-2</v>
      </c>
      <c r="AA900" s="240">
        <v>3.671625381530208E-2</v>
      </c>
    </row>
    <row r="901" spans="19:27" x14ac:dyDescent="0.2">
      <c r="S901" s="199"/>
      <c r="T901" s="200"/>
      <c r="W901" s="233" t="str">
        <f t="shared" si="20"/>
        <v>1w</v>
      </c>
      <c r="X901" s="234">
        <f>_xll.qlCalendarAdvance(Calendar,X900,W901,"f",FALSE)</f>
        <v>45126</v>
      </c>
      <c r="Y901" s="237">
        <f>_xll.qlCalendarAdvance(Calendar,X901,NDays&amp;"D")</f>
        <v>45126</v>
      </c>
      <c r="Z901" s="238">
        <v>3.7599331876648649E-2</v>
      </c>
      <c r="AA901" s="240">
        <v>3.671840820982597E-2</v>
      </c>
    </row>
    <row r="902" spans="19:27" x14ac:dyDescent="0.2">
      <c r="S902" s="199"/>
      <c r="T902" s="200"/>
      <c r="W902" s="233" t="str">
        <f t="shared" si="20"/>
        <v>1w</v>
      </c>
      <c r="X902" s="234">
        <f>_xll.qlCalendarAdvance(Calendar,X901,W902,"f",FALSE)</f>
        <v>45133</v>
      </c>
      <c r="Y902" s="237">
        <f>_xll.qlCalendarAdvance(Calendar,X902,NDays&amp;"D")</f>
        <v>45133</v>
      </c>
      <c r="Z902" s="238">
        <v>3.7609634290425492E-2</v>
      </c>
      <c r="AA902" s="240">
        <v>3.672085225135735E-2</v>
      </c>
    </row>
    <row r="903" spans="19:27" x14ac:dyDescent="0.2">
      <c r="S903" s="199"/>
      <c r="T903" s="200"/>
      <c r="W903" s="233" t="str">
        <f t="shared" si="20"/>
        <v>1w</v>
      </c>
      <c r="X903" s="234">
        <f>_xll.qlCalendarAdvance(Calendar,X902,W903,"f",FALSE)</f>
        <v>45140</v>
      </c>
      <c r="Y903" s="237">
        <f>_xll.qlCalendarAdvance(Calendar,X903,NDays&amp;"D")</f>
        <v>45140</v>
      </c>
      <c r="Z903" s="238">
        <v>3.7620194535253358E-2</v>
      </c>
      <c r="AA903" s="240">
        <v>3.6723585939815173E-2</v>
      </c>
    </row>
    <row r="904" spans="19:27" x14ac:dyDescent="0.2">
      <c r="S904" s="199"/>
      <c r="T904" s="200"/>
      <c r="W904" s="233" t="str">
        <f t="shared" si="20"/>
        <v>1w</v>
      </c>
      <c r="X904" s="234">
        <f>_xll.qlCalendarAdvance(Calendar,X903,W904,"f",FALSE)</f>
        <v>45147</v>
      </c>
      <c r="Y904" s="237">
        <f>_xll.qlCalendarAdvance(Calendar,X904,NDays&amp;"D")</f>
        <v>45147</v>
      </c>
      <c r="Z904" s="238">
        <v>3.7631002284350873E-2</v>
      </c>
      <c r="AA904" s="240">
        <v>3.6726609275361533E-2</v>
      </c>
    </row>
    <row r="905" spans="19:27" x14ac:dyDescent="0.2">
      <c r="S905" s="199"/>
      <c r="T905" s="200"/>
      <c r="W905" s="233" t="str">
        <f t="shared" si="20"/>
        <v>1w</v>
      </c>
      <c r="X905" s="234">
        <f>_xll.qlCalendarAdvance(Calendar,X904,W905,"f",FALSE)</f>
        <v>45154</v>
      </c>
      <c r="Y905" s="237">
        <f>_xll.qlCalendarAdvance(Calendar,X905,NDays&amp;"D")</f>
        <v>45154</v>
      </c>
      <c r="Z905" s="238">
        <v>3.7642047210686917E-2</v>
      </c>
      <c r="AA905" s="240">
        <v>3.6729922257834335E-2</v>
      </c>
    </row>
    <row r="906" spans="19:27" x14ac:dyDescent="0.2">
      <c r="S906" s="199"/>
      <c r="T906" s="200"/>
      <c r="W906" s="233" t="str">
        <f t="shared" si="20"/>
        <v>1w</v>
      </c>
      <c r="X906" s="234">
        <f>_xll.qlCalendarAdvance(Calendar,X905,W906,"f",FALSE)</f>
        <v>45161</v>
      </c>
      <c r="Y906" s="237">
        <f>_xll.qlCalendarAdvance(Calendar,X906,NDays&amp;"D")</f>
        <v>45161</v>
      </c>
      <c r="Z906" s="238">
        <v>3.7653318986957743E-2</v>
      </c>
      <c r="AA906" s="240">
        <v>3.6733524887233582E-2</v>
      </c>
    </row>
    <row r="907" spans="19:27" x14ac:dyDescent="0.2">
      <c r="S907" s="199"/>
      <c r="T907" s="200"/>
      <c r="W907" s="233" t="str">
        <f t="shared" si="20"/>
        <v>1w</v>
      </c>
      <c r="X907" s="234">
        <f>_xll.qlCalendarAdvance(Calendar,X906,W907,"f",FALSE)</f>
        <v>45168</v>
      </c>
      <c r="Y907" s="237">
        <f>_xll.qlCalendarAdvance(Calendar,X907,NDays&amp;"D")</f>
        <v>45168</v>
      </c>
      <c r="Z907" s="238">
        <v>3.7664807285562464E-2</v>
      </c>
      <c r="AA907" s="240">
        <v>3.6737417163721364E-2</v>
      </c>
    </row>
    <row r="908" spans="19:27" x14ac:dyDescent="0.2">
      <c r="S908" s="199"/>
      <c r="T908" s="200"/>
      <c r="W908" s="233" t="str">
        <f t="shared" si="20"/>
        <v>1w</v>
      </c>
      <c r="X908" s="234">
        <f>_xll.qlCalendarAdvance(Calendar,X907,W908,"f",FALSE)</f>
        <v>45175</v>
      </c>
      <c r="Y908" s="237">
        <f>_xll.qlCalendarAdvance(Calendar,X908,NDays&amp;"D")</f>
        <v>45175</v>
      </c>
      <c r="Z908" s="238">
        <v>3.7676501778582637E-2</v>
      </c>
      <c r="AA908" s="240">
        <v>3.6741599087216636E-2</v>
      </c>
    </row>
    <row r="909" spans="19:27" x14ac:dyDescent="0.2">
      <c r="S909" s="199"/>
      <c r="T909" s="200"/>
      <c r="W909" s="233" t="str">
        <f t="shared" si="20"/>
        <v>1w</v>
      </c>
      <c r="X909" s="234">
        <f>_xll.qlCalendarAdvance(Calendar,X908,W909,"f",FALSE)</f>
        <v>45182</v>
      </c>
      <c r="Y909" s="237">
        <f>_xll.qlCalendarAdvance(Calendar,X909,NDays&amp;"D")</f>
        <v>45182</v>
      </c>
      <c r="Z909" s="238">
        <v>3.7688392137759243E-2</v>
      </c>
      <c r="AA909" s="240">
        <v>3.6746070657638352E-2</v>
      </c>
    </row>
    <row r="910" spans="19:27" x14ac:dyDescent="0.2">
      <c r="S910" s="199"/>
      <c r="T910" s="200"/>
      <c r="W910" s="233" t="str">
        <f t="shared" si="20"/>
        <v>1w</v>
      </c>
      <c r="X910" s="234">
        <f>_xll.qlCalendarAdvance(Calendar,X909,W910,"f",FALSE)</f>
        <v>45189</v>
      </c>
      <c r="Y910" s="237">
        <f>_xll.qlCalendarAdvance(Calendar,X910,NDays&amp;"D")</f>
        <v>45189</v>
      </c>
      <c r="Z910" s="238">
        <v>3.7700468034473876E-2</v>
      </c>
      <c r="AA910" s="240">
        <v>3.6750831875148604E-2</v>
      </c>
    </row>
    <row r="911" spans="19:27" x14ac:dyDescent="0.2">
      <c r="S911" s="199"/>
      <c r="T911" s="200"/>
      <c r="W911" s="233" t="str">
        <f t="shared" si="20"/>
        <v>1w</v>
      </c>
      <c r="X911" s="234">
        <f>_xll.qlCalendarAdvance(Calendar,X910,W911,"f",FALSE)</f>
        <v>45196</v>
      </c>
      <c r="Y911" s="237">
        <f>_xll.qlCalendarAdvance(Calendar,X911,NDays&amp;"D")</f>
        <v>45196</v>
      </c>
      <c r="Z911" s="238">
        <v>3.7712719139729477E-2</v>
      </c>
      <c r="AA911" s="240">
        <v>3.6755882739747392E-2</v>
      </c>
    </row>
    <row r="912" spans="19:27" x14ac:dyDescent="0.2">
      <c r="S912" s="199"/>
      <c r="T912" s="200"/>
      <c r="W912" s="233" t="str">
        <f t="shared" si="20"/>
        <v>1w</v>
      </c>
      <c r="X912" s="234">
        <f>_xll.qlCalendarAdvance(Calendar,X911,W912,"f",FALSE)</f>
        <v>45203</v>
      </c>
      <c r="Y912" s="237">
        <f>_xll.qlCalendarAdvance(Calendar,X912,NDays&amp;"D")</f>
        <v>45203</v>
      </c>
      <c r="Z912" s="238">
        <v>3.772513512413149E-2</v>
      </c>
      <c r="AA912" s="240">
        <v>3.6761223251272623E-2</v>
      </c>
    </row>
    <row r="913" spans="19:27" x14ac:dyDescent="0.2">
      <c r="S913" s="199"/>
      <c r="T913" s="200"/>
      <c r="W913" s="233" t="str">
        <f t="shared" si="20"/>
        <v>1w</v>
      </c>
      <c r="X913" s="234">
        <f>_xll.qlCalendarAdvance(Calendar,X912,W913,"f",FALSE)</f>
        <v>45210</v>
      </c>
      <c r="Y913" s="237">
        <f>_xll.qlCalendarAdvance(Calendar,X913,NDays&amp;"D")</f>
        <v>45210</v>
      </c>
      <c r="Z913" s="238">
        <v>3.7737705657872836E-2</v>
      </c>
      <c r="AA913" s="240">
        <v>3.6766853409967437E-2</v>
      </c>
    </row>
    <row r="914" spans="19:27" x14ac:dyDescent="0.2">
      <c r="S914" s="199"/>
      <c r="T914" s="200"/>
      <c r="W914" s="233" t="str">
        <f t="shared" si="20"/>
        <v>1w</v>
      </c>
      <c r="X914" s="234">
        <f>_xll.qlCalendarAdvance(Calendar,X913,W914,"f",FALSE)</f>
        <v>45217</v>
      </c>
      <c r="Y914" s="237">
        <f>_xll.qlCalendarAdvance(Calendar,X914,NDays&amp;"D")</f>
        <v>45217</v>
      </c>
      <c r="Z914" s="238">
        <v>3.7750420410715732E-2</v>
      </c>
      <c r="AA914" s="240">
        <v>3.6772773215669741E-2</v>
      </c>
    </row>
    <row r="915" spans="19:27" x14ac:dyDescent="0.2">
      <c r="S915" s="199"/>
      <c r="T915" s="200"/>
      <c r="W915" s="233" t="str">
        <f t="shared" si="20"/>
        <v>1w</v>
      </c>
      <c r="X915" s="234">
        <f>_xll.qlCalendarAdvance(Calendar,X914,W915,"f",FALSE)</f>
        <v>45224</v>
      </c>
      <c r="Y915" s="237">
        <f>_xll.qlCalendarAdvance(Calendar,X915,NDays&amp;"D")</f>
        <v>45224</v>
      </c>
      <c r="Z915" s="238">
        <v>3.7763269051978188E-2</v>
      </c>
      <c r="AA915" s="240">
        <v>3.6778982668541627E-2</v>
      </c>
    </row>
    <row r="916" spans="19:27" x14ac:dyDescent="0.2">
      <c r="S916" s="199"/>
      <c r="T916" s="200"/>
      <c r="W916" s="233" t="str">
        <f t="shared" si="20"/>
        <v>1w</v>
      </c>
      <c r="X916" s="234">
        <f>_xll.qlCalendarAdvance(Calendar,X915,W916,"f",FALSE)</f>
        <v>45231</v>
      </c>
      <c r="Y916" s="237">
        <f>_xll.qlCalendarAdvance(Calendar,X916,NDays&amp;"D")</f>
        <v>45231</v>
      </c>
      <c r="Z916" s="238">
        <v>3.7776241250519399E-2</v>
      </c>
      <c r="AA916" s="240">
        <v>3.6785481768583095E-2</v>
      </c>
    </row>
    <row r="917" spans="19:27" x14ac:dyDescent="0.2">
      <c r="S917" s="199"/>
      <c r="T917" s="200"/>
      <c r="W917" s="233" t="str">
        <f t="shared" ref="W917:W980" si="21">W916</f>
        <v>1w</v>
      </c>
      <c r="X917" s="234">
        <f>_xll.qlCalendarAdvance(Calendar,X916,W917,"f",FALSE)</f>
        <v>45238</v>
      </c>
      <c r="Y917" s="237">
        <f>_xll.qlCalendarAdvance(Calendar,X917,NDays&amp;"D")</f>
        <v>45238</v>
      </c>
      <c r="Z917" s="238">
        <v>3.7789326674727786E-2</v>
      </c>
      <c r="AA917" s="240">
        <v>3.6792270515632053E-2</v>
      </c>
    </row>
    <row r="918" spans="19:27" x14ac:dyDescent="0.2">
      <c r="S918" s="199"/>
      <c r="T918" s="200"/>
      <c r="W918" s="233" t="str">
        <f t="shared" si="21"/>
        <v>1w</v>
      </c>
      <c r="X918" s="234">
        <f>_xll.qlCalendarAdvance(Calendar,X917,W918,"f",FALSE)</f>
        <v>45245</v>
      </c>
      <c r="Y918" s="237">
        <f>_xll.qlCalendarAdvance(Calendar,X918,NDays&amp;"D")</f>
        <v>45245</v>
      </c>
      <c r="Z918" s="238">
        <v>3.7802514992508141E-2</v>
      </c>
      <c r="AA918" s="240">
        <v>3.6799348909850593E-2</v>
      </c>
    </row>
    <row r="919" spans="19:27" x14ac:dyDescent="0.2">
      <c r="S919" s="199"/>
      <c r="T919" s="200"/>
      <c r="W919" s="233" t="str">
        <f t="shared" si="21"/>
        <v>1w</v>
      </c>
      <c r="X919" s="234">
        <f>_xll.qlCalendarAdvance(Calendar,X918,W919,"f",FALSE)</f>
        <v>45252</v>
      </c>
      <c r="Y919" s="237">
        <f>_xll.qlCalendarAdvance(Calendar,X919,NDays&amp;"D")</f>
        <v>45252</v>
      </c>
      <c r="Z919" s="238">
        <v>3.7815795871271006E-2</v>
      </c>
      <c r="AA919" s="240">
        <v>3.680671695115767E-2</v>
      </c>
    </row>
    <row r="920" spans="19:27" x14ac:dyDescent="0.2">
      <c r="S920" s="199"/>
      <c r="T920" s="200"/>
      <c r="W920" s="233" t="str">
        <f t="shared" si="21"/>
        <v>1w</v>
      </c>
      <c r="X920" s="234">
        <f>_xll.qlCalendarAdvance(Calendar,X919,W920,"f",FALSE)</f>
        <v>45259</v>
      </c>
      <c r="Y920" s="237">
        <f>_xll.qlCalendarAdvance(Calendar,X920,NDays&amp;"D")</f>
        <v>45259</v>
      </c>
      <c r="Z920" s="238">
        <v>3.7829158977924493E-2</v>
      </c>
      <c r="AA920" s="240">
        <v>3.6814374639715375E-2</v>
      </c>
    </row>
    <row r="921" spans="19:27" x14ac:dyDescent="0.2">
      <c r="S921" s="199"/>
      <c r="T921" s="200"/>
      <c r="W921" s="233" t="str">
        <f t="shared" si="21"/>
        <v>1w</v>
      </c>
      <c r="X921" s="234">
        <f>_xll.qlCalendarAdvance(Calendar,X920,W921,"f",FALSE)</f>
        <v>45266</v>
      </c>
      <c r="Y921" s="237">
        <f>_xll.qlCalendarAdvance(Calendar,X921,NDays&amp;"D")</f>
        <v>45266</v>
      </c>
      <c r="Z921" s="238">
        <v>3.7842593978862304E-2</v>
      </c>
      <c r="AA921" s="240">
        <v>3.6822321975523709E-2</v>
      </c>
    </row>
    <row r="922" spans="19:27" x14ac:dyDescent="0.2">
      <c r="S922" s="199"/>
      <c r="T922" s="200"/>
      <c r="W922" s="233" t="str">
        <f t="shared" si="21"/>
        <v>1w</v>
      </c>
      <c r="X922" s="234">
        <f>_xll.qlCalendarAdvance(Calendar,X921,W922,"f",FALSE)</f>
        <v>45273</v>
      </c>
      <c r="Y922" s="237">
        <f>_xll.qlCalendarAdvance(Calendar,X922,NDays&amp;"D")</f>
        <v>45273</v>
      </c>
      <c r="Z922" s="238">
        <v>3.7856090539960204E-2</v>
      </c>
      <c r="AA922" s="240">
        <v>3.6830558958420578E-2</v>
      </c>
    </row>
    <row r="923" spans="19:27" x14ac:dyDescent="0.2">
      <c r="S923" s="199"/>
      <c r="T923" s="200"/>
      <c r="W923" s="233" t="str">
        <f t="shared" si="21"/>
        <v>1w</v>
      </c>
      <c r="X923" s="234">
        <f>_xll.qlCalendarAdvance(Calendar,X922,W923,"f",FALSE)</f>
        <v>45280</v>
      </c>
      <c r="Y923" s="237">
        <f>_xll.qlCalendarAdvance(Calendar,X923,NDays&amp;"D")</f>
        <v>45280</v>
      </c>
      <c r="Z923" s="238">
        <v>3.7869638326565154E-2</v>
      </c>
      <c r="AA923" s="240">
        <v>3.6839085588649123E-2</v>
      </c>
    </row>
    <row r="924" spans="19:27" x14ac:dyDescent="0.2">
      <c r="S924" s="199"/>
      <c r="T924" s="200"/>
      <c r="W924" s="233" t="str">
        <f t="shared" si="21"/>
        <v>1w</v>
      </c>
      <c r="X924" s="234">
        <f>_xll.qlCalendarAdvance(Calendar,X923,W924,"f",FALSE)</f>
        <v>45287</v>
      </c>
      <c r="Y924" s="237">
        <f>_xll.qlCalendarAdvance(Calendar,X924,NDays&amp;"D")</f>
        <v>45287</v>
      </c>
      <c r="Z924" s="238">
        <v>3.7883227003493107E-2</v>
      </c>
      <c r="AA924" s="240">
        <v>3.684790186604725E-2</v>
      </c>
    </row>
    <row r="925" spans="19:27" x14ac:dyDescent="0.2">
      <c r="S925" s="199"/>
      <c r="T925" s="200"/>
      <c r="W925" s="233" t="str">
        <f t="shared" si="21"/>
        <v>1w</v>
      </c>
      <c r="X925" s="234">
        <f>_xll.qlCalendarAdvance(Calendar,X924,W925,"f",FALSE)</f>
        <v>45294</v>
      </c>
      <c r="Y925" s="237">
        <f>_xll.qlCalendarAdvance(Calendar,X925,NDays&amp;"D")</f>
        <v>45294</v>
      </c>
      <c r="Z925" s="238">
        <v>3.7896846235022166E-2</v>
      </c>
      <c r="AA925" s="240">
        <v>3.6857007790777052E-2</v>
      </c>
    </row>
    <row r="926" spans="19:27" x14ac:dyDescent="0.2">
      <c r="S926" s="199"/>
      <c r="T926" s="200"/>
      <c r="W926" s="233" t="str">
        <f t="shared" si="21"/>
        <v>1w</v>
      </c>
      <c r="X926" s="234">
        <f>_xll.qlCalendarAdvance(Calendar,X925,W926,"f",FALSE)</f>
        <v>45301</v>
      </c>
      <c r="Y926" s="237">
        <f>_xll.qlCalendarAdvance(Calendar,X926,NDays&amp;"D")</f>
        <v>45301</v>
      </c>
      <c r="Z926" s="238">
        <v>3.791048568489009E-2</v>
      </c>
      <c r="AA926" s="240">
        <v>3.6866403362838529E-2</v>
      </c>
    </row>
    <row r="927" spans="19:27" x14ac:dyDescent="0.2">
      <c r="S927" s="199"/>
      <c r="T927" s="200"/>
      <c r="W927" s="233" t="str">
        <f t="shared" si="21"/>
        <v>1w</v>
      </c>
      <c r="X927" s="234">
        <f>_xll.qlCalendarAdvance(Calendar,X926,W927,"f",FALSE)</f>
        <v>45308</v>
      </c>
      <c r="Y927" s="237">
        <f>_xll.qlCalendarAdvance(Calendar,X927,NDays&amp;"D")</f>
        <v>45308</v>
      </c>
      <c r="Z927" s="238">
        <v>3.7924135016291924E-2</v>
      </c>
      <c r="AA927" s="240">
        <v>3.6876088582150635E-2</v>
      </c>
    </row>
    <row r="928" spans="19:27" x14ac:dyDescent="0.2">
      <c r="S928" s="199"/>
      <c r="T928" s="200"/>
      <c r="W928" s="233" t="str">
        <f t="shared" si="21"/>
        <v>1w</v>
      </c>
      <c r="X928" s="234">
        <f>_xll.qlCalendarAdvance(Calendar,X927,W928,"f",FALSE)</f>
        <v>45315</v>
      </c>
      <c r="Y928" s="237">
        <f>_xll.qlCalendarAdvance(Calendar,X928,NDays&amp;"D")</f>
        <v>45315</v>
      </c>
      <c r="Z928" s="238">
        <v>3.793778389187729E-2</v>
      </c>
      <c r="AA928" s="240">
        <v>3.6886063448794415E-2</v>
      </c>
    </row>
    <row r="929" spans="19:27" x14ac:dyDescent="0.2">
      <c r="S929" s="199"/>
      <c r="T929" s="200"/>
      <c r="W929" s="233" t="str">
        <f t="shared" si="21"/>
        <v>1w</v>
      </c>
      <c r="X929" s="234">
        <f>_xll.qlCalendarAdvance(Calendar,X928,W929,"f",FALSE)</f>
        <v>45322</v>
      </c>
      <c r="Y929" s="237">
        <f>_xll.qlCalendarAdvance(Calendar,X929,NDays&amp;"D")</f>
        <v>45322</v>
      </c>
      <c r="Z929" s="238">
        <v>3.7951421973751093E-2</v>
      </c>
      <c r="AA929" s="240">
        <v>3.689632796276987E-2</v>
      </c>
    </row>
    <row r="930" spans="19:27" x14ac:dyDescent="0.2">
      <c r="S930" s="199"/>
      <c r="T930" s="200"/>
      <c r="W930" s="233" t="str">
        <f t="shared" si="21"/>
        <v>1w</v>
      </c>
      <c r="X930" s="234">
        <f>_xll.qlCalendarAdvance(Calendar,X929,W930,"f",FALSE)</f>
        <v>45329</v>
      </c>
      <c r="Y930" s="237">
        <f>_xll.qlCalendarAdvance(Calendar,X930,NDays&amp;"D")</f>
        <v>45329</v>
      </c>
      <c r="Z930" s="238">
        <v>3.7965038923474151E-2</v>
      </c>
      <c r="AA930" s="240">
        <v>3.6906882124239093E-2</v>
      </c>
    </row>
    <row r="931" spans="19:27" x14ac:dyDescent="0.2">
      <c r="S931" s="199"/>
      <c r="T931" s="200"/>
      <c r="W931" s="233" t="str">
        <f t="shared" si="21"/>
        <v>1w</v>
      </c>
      <c r="X931" s="234">
        <f>_xll.qlCalendarAdvance(Calendar,X930,W931,"f",FALSE)</f>
        <v>45336</v>
      </c>
      <c r="Y931" s="237">
        <f>_xll.qlCalendarAdvance(Calendar,X931,NDays&amp;"D")</f>
        <v>45336</v>
      </c>
      <c r="Z931" s="238">
        <v>3.7978624402063427E-2</v>
      </c>
      <c r="AA931" s="240">
        <v>3.6917725933039991E-2</v>
      </c>
    </row>
    <row r="932" spans="19:27" x14ac:dyDescent="0.2">
      <c r="S932" s="199"/>
      <c r="T932" s="200"/>
      <c r="W932" s="233" t="str">
        <f t="shared" si="21"/>
        <v>1w</v>
      </c>
      <c r="X932" s="234">
        <f>_xll.qlCalendarAdvance(Calendar,X931,W932,"f",FALSE)</f>
        <v>45343</v>
      </c>
      <c r="Y932" s="237">
        <f>_xll.qlCalendarAdvance(Calendar,X932,NDays&amp;"D")</f>
        <v>45343</v>
      </c>
      <c r="Z932" s="238">
        <v>3.7992168069996474E-2</v>
      </c>
      <c r="AA932" s="240">
        <v>3.6928859389334656E-2</v>
      </c>
    </row>
    <row r="933" spans="19:27" x14ac:dyDescent="0.2">
      <c r="S933" s="199"/>
      <c r="T933" s="200"/>
      <c r="W933" s="233" t="str">
        <f t="shared" si="21"/>
        <v>1w</v>
      </c>
      <c r="X933" s="234">
        <f>_xll.qlCalendarAdvance(Calendar,X932,W933,"f",FALSE)</f>
        <v>45350</v>
      </c>
      <c r="Y933" s="237">
        <f>_xll.qlCalendarAdvance(Calendar,X933,NDays&amp;"D")</f>
        <v>45350</v>
      </c>
      <c r="Z933" s="238">
        <v>3.8005659587213185E-2</v>
      </c>
      <c r="AA933" s="240">
        <v>3.6940282493042043E-2</v>
      </c>
    </row>
    <row r="934" spans="19:27" x14ac:dyDescent="0.2">
      <c r="S934" s="199"/>
      <c r="T934" s="200"/>
      <c r="W934" s="233" t="str">
        <f t="shared" si="21"/>
        <v>1w</v>
      </c>
      <c r="X934" s="234">
        <f>_xll.qlCalendarAdvance(Calendar,X933,W934,"f",FALSE)</f>
        <v>45357</v>
      </c>
      <c r="Y934" s="237">
        <f>_xll.qlCalendarAdvance(Calendar,X934,NDays&amp;"D")</f>
        <v>45357</v>
      </c>
      <c r="Z934" s="238">
        <v>3.8016248804747077E-2</v>
      </c>
      <c r="AA934" s="240">
        <v>3.6951995244324243E-2</v>
      </c>
    </row>
    <row r="935" spans="19:27" x14ac:dyDescent="0.2">
      <c r="S935" s="199"/>
      <c r="T935" s="200"/>
      <c r="W935" s="233" t="str">
        <f t="shared" si="21"/>
        <v>1w</v>
      </c>
      <c r="X935" s="234">
        <f>_xll.qlCalendarAdvance(Calendar,X934,W935,"f",FALSE)</f>
        <v>45364</v>
      </c>
      <c r="Y935" s="237">
        <f>_xll.qlCalendarAdvance(Calendar,X935,NDays&amp;"D")</f>
        <v>45364</v>
      </c>
      <c r="Z935" s="238">
        <v>3.8029617289075945E-2</v>
      </c>
      <c r="AA935" s="240">
        <v>3.696399764310021E-2</v>
      </c>
    </row>
    <row r="936" spans="19:27" x14ac:dyDescent="0.2">
      <c r="S936" s="199"/>
      <c r="T936" s="200"/>
      <c r="W936" s="233" t="str">
        <f t="shared" si="21"/>
        <v>1w</v>
      </c>
      <c r="X936" s="234">
        <f>_xll.qlCalendarAdvance(Calendar,X935,W936,"f",FALSE)</f>
        <v>45371</v>
      </c>
      <c r="Y936" s="237">
        <f>_xll.qlCalendarAdvance(Calendar,X936,NDays&amp;"D")</f>
        <v>45371</v>
      </c>
      <c r="Z936" s="238">
        <v>3.8042903036685116E-2</v>
      </c>
      <c r="AA936" s="240">
        <v>3.6976289689369946E-2</v>
      </c>
    </row>
    <row r="937" spans="19:27" x14ac:dyDescent="0.2">
      <c r="S937" s="199"/>
      <c r="T937" s="200"/>
      <c r="W937" s="233" t="str">
        <f t="shared" si="21"/>
        <v>1w</v>
      </c>
      <c r="X937" s="234">
        <f>_xll.qlCalendarAdvance(Calendar,X936,W937,"f",FALSE)</f>
        <v>45378</v>
      </c>
      <c r="Y937" s="237">
        <f>_xll.qlCalendarAdvance(Calendar,X937,NDays&amp;"D")</f>
        <v>45378</v>
      </c>
      <c r="Z937" s="238">
        <v>3.8056095678191015E-2</v>
      </c>
      <c r="AA937" s="240">
        <v>3.6988871383295541E-2</v>
      </c>
    </row>
    <row r="938" spans="19:27" x14ac:dyDescent="0.2">
      <c r="S938" s="199"/>
      <c r="T938" s="200"/>
      <c r="W938" s="233" t="str">
        <f t="shared" si="21"/>
        <v>1w</v>
      </c>
      <c r="X938" s="234">
        <f>_xll.qlCalendarAdvance(Calendar,X937,W938,"f",FALSE)</f>
        <v>45385</v>
      </c>
      <c r="Y938" s="237">
        <f>_xll.qlCalendarAdvance(Calendar,X938,NDays&amp;"D")</f>
        <v>45385</v>
      </c>
      <c r="Z938" s="238">
        <v>3.8069184843706472E-2</v>
      </c>
      <c r="AA938" s="240">
        <v>3.7001742724714903E-2</v>
      </c>
    </row>
    <row r="939" spans="19:27" x14ac:dyDescent="0.2">
      <c r="S939" s="199"/>
      <c r="T939" s="200"/>
      <c r="W939" s="233" t="str">
        <f t="shared" si="21"/>
        <v>1w</v>
      </c>
      <c r="X939" s="234">
        <f>_xll.qlCalendarAdvance(Calendar,X938,W939,"f",FALSE)</f>
        <v>45392</v>
      </c>
      <c r="Y939" s="237">
        <f>_xll.qlCalendarAdvance(Calendar,X939,NDays&amp;"D")</f>
        <v>45392</v>
      </c>
      <c r="Z939" s="238">
        <v>3.8082160162850265E-2</v>
      </c>
      <c r="AA939" s="240">
        <v>3.7014903713790126E-2</v>
      </c>
    </row>
    <row r="940" spans="19:27" x14ac:dyDescent="0.2">
      <c r="S940" s="199"/>
      <c r="T940" s="200"/>
      <c r="W940" s="233" t="str">
        <f t="shared" si="21"/>
        <v>1w</v>
      </c>
      <c r="X940" s="234">
        <f>_xll.qlCalendarAdvance(Calendar,X939,W940,"f",FALSE)</f>
        <v>45399</v>
      </c>
      <c r="Y940" s="237">
        <f>_xll.qlCalendarAdvance(Calendar,X940,NDays&amp;"D")</f>
        <v>45399</v>
      </c>
      <c r="Z940" s="238">
        <v>3.8095011264758893E-2</v>
      </c>
      <c r="AA940" s="240">
        <v>3.7028354350602255E-2</v>
      </c>
    </row>
    <row r="941" spans="19:27" x14ac:dyDescent="0.2">
      <c r="S941" s="199"/>
      <c r="T941" s="200"/>
      <c r="W941" s="233" t="str">
        <f t="shared" si="21"/>
        <v>1w</v>
      </c>
      <c r="X941" s="234">
        <f>_xll.qlCalendarAdvance(Calendar,X940,W941,"f",FALSE)</f>
        <v>45406</v>
      </c>
      <c r="Y941" s="237">
        <f>_xll.qlCalendarAdvance(Calendar,X941,NDays&amp;"D")</f>
        <v>45406</v>
      </c>
      <c r="Z941" s="238">
        <v>3.8107727778097233E-2</v>
      </c>
      <c r="AA941" s="240">
        <v>3.7042094635070244E-2</v>
      </c>
    </row>
    <row r="942" spans="19:27" x14ac:dyDescent="0.2">
      <c r="S942" s="199"/>
      <c r="T942" s="200"/>
      <c r="W942" s="233" t="str">
        <f t="shared" si="21"/>
        <v>1w</v>
      </c>
      <c r="X942" s="234">
        <f>_xll.qlCalendarAdvance(Calendar,X941,W942,"f",FALSE)</f>
        <v>45413</v>
      </c>
      <c r="Y942" s="237">
        <f>_xll.qlCalendarAdvance(Calendar,X942,NDays&amp;"D")</f>
        <v>45413</v>
      </c>
      <c r="Z942" s="238">
        <v>3.8120299331071639E-2</v>
      </c>
      <c r="AA942" s="240">
        <v>3.7056124567356186E-2</v>
      </c>
    </row>
    <row r="943" spans="19:27" x14ac:dyDescent="0.2">
      <c r="S943" s="199"/>
      <c r="T943" s="200"/>
      <c r="W943" s="233" t="str">
        <f t="shared" si="21"/>
        <v>1w</v>
      </c>
      <c r="X943" s="234">
        <f>_xll.qlCalendarAdvance(Calendar,X942,W943,"f",FALSE)</f>
        <v>45420</v>
      </c>
      <c r="Y943" s="237">
        <f>_xll.qlCalendarAdvance(Calendar,X943,NDays&amp;"D")</f>
        <v>45420</v>
      </c>
      <c r="Z943" s="238">
        <v>3.813271555144504E-2</v>
      </c>
      <c r="AA943" s="240">
        <v>3.7070444147379034E-2</v>
      </c>
    </row>
    <row r="944" spans="19:27" x14ac:dyDescent="0.2">
      <c r="S944" s="199"/>
      <c r="T944" s="200"/>
      <c r="W944" s="233" t="str">
        <f t="shared" si="21"/>
        <v>1w</v>
      </c>
      <c r="X944" s="234">
        <f>_xll.qlCalendarAdvance(Calendar,X943,W944,"f",FALSE)</f>
        <v>45427</v>
      </c>
      <c r="Y944" s="237">
        <f>_xll.qlCalendarAdvance(Calendar,X944,NDays&amp;"D")</f>
        <v>45427</v>
      </c>
      <c r="Z944" s="238">
        <v>3.8144966066550046E-2</v>
      </c>
      <c r="AA944" s="240">
        <v>3.7085053375138788E-2</v>
      </c>
    </row>
    <row r="945" spans="19:27" x14ac:dyDescent="0.2">
      <c r="S945" s="199"/>
      <c r="T945" s="200"/>
      <c r="W945" s="233" t="str">
        <f t="shared" si="21"/>
        <v>1w</v>
      </c>
      <c r="X945" s="234">
        <f>_xll.qlCalendarAdvance(Calendar,X944,W945,"f",FALSE)</f>
        <v>45434</v>
      </c>
      <c r="Y945" s="237">
        <f>_xll.qlCalendarAdvance(Calendar,X945,NDays&amp;"D")</f>
        <v>45434</v>
      </c>
      <c r="Z945" s="238">
        <v>3.8157040503306927E-2</v>
      </c>
      <c r="AA945" s="240">
        <v>3.7099952250797541E-2</v>
      </c>
    </row>
    <row r="946" spans="19:27" x14ac:dyDescent="0.2">
      <c r="S946" s="199"/>
      <c r="T946" s="200"/>
      <c r="W946" s="233" t="str">
        <f t="shared" si="21"/>
        <v>1w</v>
      </c>
      <c r="X946" s="234">
        <f>_xll.qlCalendarAdvance(Calendar,X945,W946,"f",FALSE)</f>
        <v>45441</v>
      </c>
      <c r="Y946" s="237">
        <f>_xll.qlCalendarAdvance(Calendar,X946,NDays&amp;"D")</f>
        <v>45441</v>
      </c>
      <c r="Z946" s="238">
        <v>3.8168928488239828E-2</v>
      </c>
      <c r="AA946" s="240">
        <v>3.7115140774355293E-2</v>
      </c>
    </row>
    <row r="947" spans="19:27" x14ac:dyDescent="0.2">
      <c r="S947" s="199"/>
      <c r="T947" s="200"/>
      <c r="W947" s="233" t="str">
        <f t="shared" si="21"/>
        <v>1w</v>
      </c>
      <c r="X947" s="234">
        <f>_xll.qlCalendarAdvance(Calendar,X946,W947,"f",FALSE)</f>
        <v>45448</v>
      </c>
      <c r="Y947" s="237">
        <f>_xll.qlCalendarAdvance(Calendar,X947,NDays&amp;"D")</f>
        <v>45448</v>
      </c>
      <c r="Z947" s="238">
        <v>3.8180619647494529E-2</v>
      </c>
      <c r="AA947" s="240">
        <v>3.7130618945730998E-2</v>
      </c>
    </row>
    <row r="948" spans="19:27" x14ac:dyDescent="0.2">
      <c r="S948" s="199"/>
      <c r="T948" s="200"/>
      <c r="W948" s="233" t="str">
        <f t="shared" si="21"/>
        <v>1w</v>
      </c>
      <c r="X948" s="234">
        <f>_xll.qlCalendarAdvance(Calendar,X947,W948,"f",FALSE)</f>
        <v>45455</v>
      </c>
      <c r="Y948" s="237">
        <f>_xll.qlCalendarAdvance(Calendar,X948,NDays&amp;"D")</f>
        <v>45455</v>
      </c>
      <c r="Z948" s="238">
        <v>3.8192103606857986E-2</v>
      </c>
      <c r="AA948" s="240">
        <v>3.7146386765086747E-2</v>
      </c>
    </row>
    <row r="949" spans="19:27" x14ac:dyDescent="0.2">
      <c r="S949" s="199"/>
      <c r="T949" s="200"/>
      <c r="W949" s="233" t="str">
        <f t="shared" si="21"/>
        <v>1w</v>
      </c>
      <c r="X949" s="234">
        <f>_xll.qlCalendarAdvance(Calendar,X948,W949,"f",FALSE)</f>
        <v>45462</v>
      </c>
      <c r="Y949" s="237">
        <f>_xll.qlCalendarAdvance(Calendar,X949,NDays&amp;"D")</f>
        <v>45462</v>
      </c>
      <c r="Z949" s="238">
        <v>3.8203369991778313E-2</v>
      </c>
      <c r="AA949" s="240">
        <v>3.7162444232422542E-2</v>
      </c>
    </row>
    <row r="950" spans="19:27" x14ac:dyDescent="0.2">
      <c r="S950" s="199"/>
      <c r="T950" s="200"/>
      <c r="W950" s="233" t="str">
        <f t="shared" si="21"/>
        <v>1w</v>
      </c>
      <c r="X950" s="234">
        <f>_xll.qlCalendarAdvance(Calendar,X949,W950,"f",FALSE)</f>
        <v>45469</v>
      </c>
      <c r="Y950" s="237">
        <f>_xll.qlCalendarAdvance(Calendar,X950,NDays&amp;"D")</f>
        <v>45469</v>
      </c>
      <c r="Z950" s="238">
        <v>3.821440842738677E-2</v>
      </c>
      <c r="AA950" s="240">
        <v>3.7178791347819429E-2</v>
      </c>
    </row>
    <row r="951" spans="19:27" x14ac:dyDescent="0.2">
      <c r="S951" s="199"/>
      <c r="T951" s="200"/>
      <c r="W951" s="233" t="str">
        <f t="shared" si="21"/>
        <v>1w</v>
      </c>
      <c r="X951" s="234">
        <f>_xll.qlCalendarAdvance(Calendar,X950,W951,"f",FALSE)</f>
        <v>45476</v>
      </c>
      <c r="Y951" s="237">
        <f>_xll.qlCalendarAdvance(Calendar,X951,NDays&amp;"D")</f>
        <v>45476</v>
      </c>
      <c r="Z951" s="238">
        <v>3.8225210122670328E-2</v>
      </c>
      <c r="AA951" s="240">
        <v>3.7195203156951129E-2</v>
      </c>
    </row>
    <row r="952" spans="19:27" x14ac:dyDescent="0.2">
      <c r="S952" s="199"/>
      <c r="T952" s="200"/>
      <c r="W952" s="233" t="str">
        <f t="shared" si="21"/>
        <v>1w</v>
      </c>
      <c r="X952" s="234">
        <f>_xll.qlCalendarAdvance(Calendar,X951,W952,"f",FALSE)</f>
        <v>45483</v>
      </c>
      <c r="Y952" s="237">
        <f>_xll.qlCalendarAdvance(Calendar,X952,NDays&amp;"D")</f>
        <v>45483</v>
      </c>
      <c r="Z952" s="238">
        <v>3.8235776062780724E-2</v>
      </c>
      <c r="AA952" s="240">
        <v>3.7211385625045557E-2</v>
      </c>
    </row>
    <row r="953" spans="19:27" x14ac:dyDescent="0.2">
      <c r="S953" s="199"/>
      <c r="T953" s="200"/>
      <c r="W953" s="233" t="str">
        <f t="shared" si="21"/>
        <v>1w</v>
      </c>
      <c r="X953" s="234">
        <f>_xll.qlCalendarAdvance(Calendar,X952,W953,"f",FALSE)</f>
        <v>45490</v>
      </c>
      <c r="Y953" s="237">
        <f>_xll.qlCalendarAdvance(Calendar,X953,NDays&amp;"D")</f>
        <v>45490</v>
      </c>
      <c r="Z953" s="238">
        <v>3.8246110958836121E-2</v>
      </c>
      <c r="AA953" s="240">
        <v>3.7227336980836245E-2</v>
      </c>
    </row>
    <row r="954" spans="19:27" x14ac:dyDescent="0.2">
      <c r="S954" s="199"/>
      <c r="T954" s="200"/>
      <c r="W954" s="233" t="str">
        <f t="shared" si="21"/>
        <v>1w</v>
      </c>
      <c r="X954" s="234">
        <f>_xll.qlCalendarAdvance(Calendar,X953,W954,"f",FALSE)</f>
        <v>45497</v>
      </c>
      <c r="Y954" s="237">
        <f>_xll.qlCalendarAdvance(Calendar,X954,NDays&amp;"D")</f>
        <v>45497</v>
      </c>
      <c r="Z954" s="238">
        <v>3.8256219529632984E-2</v>
      </c>
      <c r="AA954" s="240">
        <v>3.7243057224161102E-2</v>
      </c>
    </row>
    <row r="955" spans="19:27" x14ac:dyDescent="0.2">
      <c r="S955" s="199"/>
      <c r="T955" s="200"/>
      <c r="W955" s="233" t="str">
        <f t="shared" si="21"/>
        <v>1w</v>
      </c>
      <c r="X955" s="234">
        <f>_xll.qlCalendarAdvance(Calendar,X954,W955,"f",FALSE)</f>
        <v>45504</v>
      </c>
      <c r="Y955" s="237">
        <f>_xll.qlCalendarAdvance(Calendar,X955,NDays&amp;"D")</f>
        <v>45504</v>
      </c>
      <c r="Z955" s="238">
        <v>3.8266106494302621E-2</v>
      </c>
      <c r="AA955" s="240">
        <v>3.7258546355101174E-2</v>
      </c>
    </row>
    <row r="956" spans="19:27" x14ac:dyDescent="0.2">
      <c r="S956" s="199"/>
      <c r="T956" s="200"/>
      <c r="W956" s="233" t="str">
        <f t="shared" si="21"/>
        <v>1w</v>
      </c>
      <c r="X956" s="234">
        <f>_xll.qlCalendarAdvance(Calendar,X955,W956,"f",FALSE)</f>
        <v>45511</v>
      </c>
      <c r="Y956" s="237">
        <f>_xll.qlCalendarAdvance(Calendar,X956,NDays&amp;"D")</f>
        <v>45511</v>
      </c>
      <c r="Z956" s="238">
        <v>3.827577657230008E-2</v>
      </c>
      <c r="AA956" s="240">
        <v>3.7273804373656461E-2</v>
      </c>
    </row>
    <row r="957" spans="19:27" x14ac:dyDescent="0.2">
      <c r="S957" s="199"/>
      <c r="T957" s="200"/>
      <c r="W957" s="233" t="str">
        <f t="shared" si="21"/>
        <v>1w</v>
      </c>
      <c r="X957" s="234">
        <f>_xll.qlCalendarAdvance(Calendar,X956,W957,"f",FALSE)</f>
        <v>45518</v>
      </c>
      <c r="Y957" s="237">
        <f>_xll.qlCalendarAdvance(Calendar,X957,NDays&amp;"D")</f>
        <v>45518</v>
      </c>
      <c r="Z957" s="238">
        <v>3.8285234483393937E-2</v>
      </c>
      <c r="AA957" s="240">
        <v>3.7288831279745915E-2</v>
      </c>
    </row>
    <row r="958" spans="19:27" x14ac:dyDescent="0.2">
      <c r="S958" s="199"/>
      <c r="T958" s="200"/>
      <c r="W958" s="233" t="str">
        <f t="shared" si="21"/>
        <v>1w</v>
      </c>
      <c r="X958" s="234">
        <f>_xll.qlCalendarAdvance(Calendar,X957,W958,"f",FALSE)</f>
        <v>45525</v>
      </c>
      <c r="Y958" s="237">
        <f>_xll.qlCalendarAdvance(Calendar,X958,NDays&amp;"D")</f>
        <v>45525</v>
      </c>
      <c r="Z958" s="238">
        <v>3.8294484947657415E-2</v>
      </c>
      <c r="AA958" s="240">
        <v>3.7303627073288492E-2</v>
      </c>
    </row>
    <row r="959" spans="19:27" x14ac:dyDescent="0.2">
      <c r="S959" s="199"/>
      <c r="T959" s="200"/>
      <c r="W959" s="233" t="str">
        <f t="shared" si="21"/>
        <v>1w</v>
      </c>
      <c r="X959" s="234">
        <f>_xll.qlCalendarAdvance(Calendar,X958,W959,"f",FALSE)</f>
        <v>45532</v>
      </c>
      <c r="Y959" s="237">
        <f>_xll.qlCalendarAdvance(Calendar,X959,NDays&amp;"D")</f>
        <v>45532</v>
      </c>
      <c r="Z959" s="238">
        <v>3.8303532685458164E-2</v>
      </c>
      <c r="AA959" s="240">
        <v>3.7318191754365238E-2</v>
      </c>
    </row>
    <row r="960" spans="19:27" x14ac:dyDescent="0.2">
      <c r="S960" s="199"/>
      <c r="T960" s="200"/>
      <c r="W960" s="233" t="str">
        <f t="shared" si="21"/>
        <v>1w</v>
      </c>
      <c r="X960" s="234">
        <f>_xll.qlCalendarAdvance(Calendar,X959,W960,"f",FALSE)</f>
        <v>45539</v>
      </c>
      <c r="Y960" s="237">
        <f>_xll.qlCalendarAdvance(Calendar,X960,NDays&amp;"D")</f>
        <v>45539</v>
      </c>
      <c r="Z960" s="238">
        <v>3.8312382417449609E-2</v>
      </c>
      <c r="AA960" s="240">
        <v>3.7332525322895105E-2</v>
      </c>
    </row>
    <row r="961" spans="19:27" x14ac:dyDescent="0.2">
      <c r="S961" s="199"/>
      <c r="T961" s="200"/>
      <c r="W961" s="233" t="str">
        <f t="shared" si="21"/>
        <v>1w</v>
      </c>
      <c r="X961" s="234">
        <f>_xll.qlCalendarAdvance(Calendar,X960,W961,"f",FALSE)</f>
        <v>45546</v>
      </c>
      <c r="Y961" s="237">
        <f>_xll.qlCalendarAdvance(Calendar,X961,NDays&amp;"D")</f>
        <v>45546</v>
      </c>
      <c r="Z961" s="238">
        <v>3.8321038864560508E-2</v>
      </c>
      <c r="AA961" s="240">
        <v>3.7346627778797048E-2</v>
      </c>
    </row>
    <row r="962" spans="19:27" x14ac:dyDescent="0.2">
      <c r="S962" s="199"/>
      <c r="T962" s="200"/>
      <c r="W962" s="233" t="str">
        <f t="shared" si="21"/>
        <v>1w</v>
      </c>
      <c r="X962" s="234">
        <f>_xll.qlCalendarAdvance(Calendar,X961,W962,"f",FALSE)</f>
        <v>45553</v>
      </c>
      <c r="Y962" s="237">
        <f>_xll.qlCalendarAdvance(Calendar,X962,NDays&amp;"D")</f>
        <v>45553</v>
      </c>
      <c r="Z962" s="238">
        <v>3.8329506747988296E-2</v>
      </c>
      <c r="AA962" s="240">
        <v>3.7360499122071067E-2</v>
      </c>
    </row>
    <row r="963" spans="19:27" x14ac:dyDescent="0.2">
      <c r="S963" s="199"/>
      <c r="T963" s="200"/>
      <c r="W963" s="233" t="str">
        <f t="shared" si="21"/>
        <v>1w</v>
      </c>
      <c r="X963" s="234">
        <f>_xll.qlCalendarAdvance(Calendar,X962,W963,"f",FALSE)</f>
        <v>45560</v>
      </c>
      <c r="Y963" s="237">
        <f>_xll.qlCalendarAdvance(Calendar,X963,NDays&amp;"D")</f>
        <v>45560</v>
      </c>
      <c r="Z963" s="238">
        <v>3.8337790789187531E-2</v>
      </c>
      <c r="AA963" s="240">
        <v>3.7374139352717162E-2</v>
      </c>
    </row>
    <row r="964" spans="19:27" x14ac:dyDescent="0.2">
      <c r="S964" s="199"/>
      <c r="T964" s="200"/>
      <c r="W964" s="233" t="str">
        <f t="shared" si="21"/>
        <v>1w</v>
      </c>
      <c r="X964" s="234">
        <f>_xll.qlCalendarAdvance(Calendar,X963,W964,"f",FALSE)</f>
        <v>45567</v>
      </c>
      <c r="Y964" s="237">
        <f>_xll.qlCalendarAdvance(Calendar,X964,NDays&amp;"D")</f>
        <v>45567</v>
      </c>
      <c r="Z964" s="238">
        <v>3.8345895709864131E-2</v>
      </c>
      <c r="AA964" s="240">
        <v>3.7387548470816379E-2</v>
      </c>
    </row>
    <row r="965" spans="19:27" x14ac:dyDescent="0.2">
      <c r="S965" s="199"/>
      <c r="T965" s="200"/>
      <c r="W965" s="233" t="str">
        <f t="shared" si="21"/>
        <v>1w</v>
      </c>
      <c r="X965" s="234">
        <f>_xll.qlCalendarAdvance(Calendar,X964,W965,"f",FALSE)</f>
        <v>45574</v>
      </c>
      <c r="Y965" s="237">
        <f>_xll.qlCalendarAdvance(Calendar,X965,NDays&amp;"D")</f>
        <v>45574</v>
      </c>
      <c r="Z965" s="238">
        <v>3.8353826231965371E-2</v>
      </c>
      <c r="AA965" s="240">
        <v>3.7400726476125579E-2</v>
      </c>
    </row>
    <row r="966" spans="19:27" x14ac:dyDescent="0.2">
      <c r="S966" s="199"/>
      <c r="T966" s="200"/>
      <c r="W966" s="233" t="str">
        <f t="shared" si="21"/>
        <v>1w</v>
      </c>
      <c r="X966" s="234">
        <f>_xll.qlCalendarAdvance(Calendar,X965,W966,"f",FALSE)</f>
        <v>45581</v>
      </c>
      <c r="Y966" s="237">
        <f>_xll.qlCalendarAdvance(Calendar,X966,NDays&amp;"D")</f>
        <v>45581</v>
      </c>
      <c r="Z966" s="238">
        <v>3.8361587077672565E-2</v>
      </c>
      <c r="AA966" s="240">
        <v>3.7413673368725808E-2</v>
      </c>
    </row>
    <row r="967" spans="19:27" x14ac:dyDescent="0.2">
      <c r="S967" s="199"/>
      <c r="T967" s="200"/>
      <c r="W967" s="233" t="str">
        <f t="shared" si="21"/>
        <v>1w</v>
      </c>
      <c r="X967" s="234">
        <f>_xll.qlCalendarAdvance(Calendar,X966,W967,"f",FALSE)</f>
        <v>45588</v>
      </c>
      <c r="Y967" s="237">
        <f>_xll.qlCalendarAdvance(Calendar,X967,NDays&amp;"D")</f>
        <v>45588</v>
      </c>
      <c r="Z967" s="238">
        <v>3.8369182969392623E-2</v>
      </c>
      <c r="AA967" s="240">
        <v>3.7426389148617067E-2</v>
      </c>
    </row>
    <row r="968" spans="19:27" x14ac:dyDescent="0.2">
      <c r="S968" s="199"/>
      <c r="T968" s="200"/>
      <c r="W968" s="233" t="str">
        <f t="shared" si="21"/>
        <v>1w</v>
      </c>
      <c r="X968" s="234">
        <f>_xll.qlCalendarAdvance(Calendar,X967,W968,"f",FALSE)</f>
        <v>45595</v>
      </c>
      <c r="Y968" s="237">
        <f>_xll.qlCalendarAdvance(Calendar,X968,NDays&amp;"D")</f>
        <v>45595</v>
      </c>
      <c r="Z968" s="238">
        <v>3.8376618629751835E-2</v>
      </c>
      <c r="AA968" s="240">
        <v>3.7438873815799356E-2</v>
      </c>
    </row>
    <row r="969" spans="19:27" x14ac:dyDescent="0.2">
      <c r="S969" s="199"/>
      <c r="T969" s="200"/>
      <c r="W969" s="233" t="str">
        <f t="shared" si="21"/>
        <v>1w</v>
      </c>
      <c r="X969" s="234">
        <f>_xll.qlCalendarAdvance(Calendar,X968,W969,"f",FALSE)</f>
        <v>45602</v>
      </c>
      <c r="Y969" s="237">
        <f>_xll.qlCalendarAdvance(Calendar,X969,NDays&amp;"D")</f>
        <v>45602</v>
      </c>
      <c r="Z969" s="238">
        <v>3.8383898781586545E-2</v>
      </c>
      <c r="AA969" s="240">
        <v>3.7451127370191628E-2</v>
      </c>
    </row>
    <row r="970" spans="19:27" x14ac:dyDescent="0.2">
      <c r="S970" s="199"/>
      <c r="T970" s="200"/>
      <c r="W970" s="233" t="str">
        <f t="shared" si="21"/>
        <v>1w</v>
      </c>
      <c r="X970" s="234">
        <f>_xll.qlCalendarAdvance(Calendar,X969,W970,"f",FALSE)</f>
        <v>45609</v>
      </c>
      <c r="Y970" s="237">
        <f>_xll.qlCalendarAdvance(Calendar,X970,NDays&amp;"D")</f>
        <v>45609</v>
      </c>
      <c r="Z970" s="238">
        <v>3.8391028147937156E-2</v>
      </c>
      <c r="AA970" s="240">
        <v>3.7463149811712837E-2</v>
      </c>
    </row>
    <row r="971" spans="19:27" x14ac:dyDescent="0.2">
      <c r="S971" s="199"/>
      <c r="T971" s="200"/>
      <c r="W971" s="233" t="str">
        <f t="shared" si="21"/>
        <v>1w</v>
      </c>
      <c r="X971" s="234">
        <f>_xll.qlCalendarAdvance(Calendar,X970,W971,"f",FALSE)</f>
        <v>45616</v>
      </c>
      <c r="Y971" s="237">
        <f>_xll.qlCalendarAdvance(Calendar,X971,NDays&amp;"D")</f>
        <v>45616</v>
      </c>
      <c r="Z971" s="238">
        <v>3.8398011452041914E-2</v>
      </c>
      <c r="AA971" s="240">
        <v>3.7474941140444029E-2</v>
      </c>
    </row>
    <row r="972" spans="19:27" x14ac:dyDescent="0.2">
      <c r="S972" s="199"/>
      <c r="T972" s="200"/>
      <c r="W972" s="233" t="str">
        <f t="shared" si="21"/>
        <v>1w</v>
      </c>
      <c r="X972" s="234">
        <f>_xll.qlCalendarAdvance(Calendar,X971,W972,"f",FALSE)</f>
        <v>45623</v>
      </c>
      <c r="Y972" s="237">
        <f>_xll.qlCalendarAdvance(Calendar,X972,NDays&amp;"D")</f>
        <v>45623</v>
      </c>
      <c r="Z972" s="238">
        <v>3.84048534173278E-2</v>
      </c>
      <c r="AA972" s="240">
        <v>3.7486501356385205E-2</v>
      </c>
    </row>
    <row r="973" spans="19:27" x14ac:dyDescent="0.2">
      <c r="S973" s="199"/>
      <c r="T973" s="200"/>
      <c r="W973" s="233" t="str">
        <f t="shared" si="21"/>
        <v>1w</v>
      </c>
      <c r="X973" s="234">
        <f>_xll.qlCalendarAdvance(Calendar,X972,W973,"f",FALSE)</f>
        <v>45630</v>
      </c>
      <c r="Y973" s="237">
        <f>_xll.qlCalendarAdvance(Calendar,X973,NDays&amp;"D")</f>
        <v>45630</v>
      </c>
      <c r="Z973" s="238">
        <v>3.8411558767405873E-2</v>
      </c>
      <c r="AA973" s="240">
        <v>3.7497830459374271E-2</v>
      </c>
    </row>
    <row r="974" spans="19:27" x14ac:dyDescent="0.2">
      <c r="S974" s="199"/>
      <c r="T974" s="200"/>
      <c r="W974" s="233" t="str">
        <f t="shared" si="21"/>
        <v>1w</v>
      </c>
      <c r="X974" s="234">
        <f>_xll.qlCalendarAdvance(Calendar,X973,W974,"f",FALSE)</f>
        <v>45637</v>
      </c>
      <c r="Y974" s="237">
        <f>_xll.qlCalendarAdvance(Calendar,X974,NDays&amp;"D")</f>
        <v>45637</v>
      </c>
      <c r="Z974" s="238">
        <v>3.8418132226065271E-2</v>
      </c>
      <c r="AA974" s="240">
        <v>3.7508928449492274E-2</v>
      </c>
    </row>
    <row r="975" spans="19:27" x14ac:dyDescent="0.2">
      <c r="S975" s="199"/>
      <c r="T975" s="200"/>
      <c r="W975" s="233" t="str">
        <f t="shared" si="21"/>
        <v>1w</v>
      </c>
      <c r="X975" s="234">
        <f>_xll.qlCalendarAdvance(Calendar,X974,W975,"f",FALSE)</f>
        <v>45644</v>
      </c>
      <c r="Y975" s="237">
        <f>_xll.qlCalendarAdvance(Calendar,X975,NDays&amp;"D")</f>
        <v>45644</v>
      </c>
      <c r="Z975" s="238">
        <v>3.8424578517264996E-2</v>
      </c>
      <c r="AA975" s="240">
        <v>3.7519795326658167E-2</v>
      </c>
    </row>
    <row r="976" spans="19:27" x14ac:dyDescent="0.2">
      <c r="S976" s="199"/>
      <c r="T976" s="200"/>
      <c r="W976" s="233" t="str">
        <f t="shared" si="21"/>
        <v>1w</v>
      </c>
      <c r="X976" s="234">
        <f>_xll.qlCalendarAdvance(Calendar,X975,W976,"f",FALSE)</f>
        <v>45653</v>
      </c>
      <c r="Y976" s="237">
        <f>_xll.qlCalendarAdvance(Calendar,X976,NDays&amp;"D")</f>
        <v>45653</v>
      </c>
      <c r="Z976" s="238">
        <v>3.8437429157403918E-2</v>
      </c>
      <c r="AA976" s="240">
        <v>3.7538777004697918E-2</v>
      </c>
    </row>
    <row r="977" spans="19:27" x14ac:dyDescent="0.2">
      <c r="S977" s="199"/>
      <c r="T977" s="200"/>
      <c r="W977" s="233" t="str">
        <f t="shared" si="21"/>
        <v>1w</v>
      </c>
      <c r="X977" s="234">
        <f>_xll.qlCalendarAdvance(Calendar,X976,W977,"f",FALSE)</f>
        <v>45660</v>
      </c>
      <c r="Y977" s="237">
        <f>_xll.qlCalendarAdvance(Calendar,X977,NDays&amp;"D")</f>
        <v>45660</v>
      </c>
      <c r="Z977" s="238">
        <v>3.8443596349319854E-2</v>
      </c>
      <c r="AA977" s="240">
        <v>3.7549084727579458E-2</v>
      </c>
    </row>
    <row r="978" spans="19:27" x14ac:dyDescent="0.2">
      <c r="S978" s="199"/>
      <c r="T978" s="200"/>
      <c r="W978" s="233" t="str">
        <f t="shared" si="21"/>
        <v>1w</v>
      </c>
      <c r="X978" s="234">
        <f>_xll.qlCalendarAdvance(Calendar,X977,W978,"f",FALSE)</f>
        <v>45667</v>
      </c>
      <c r="Y978" s="237">
        <f>_xll.qlCalendarAdvance(Calendar,X978,NDays&amp;"D")</f>
        <v>45667</v>
      </c>
      <c r="Z978" s="238">
        <v>3.8449652517523081E-2</v>
      </c>
      <c r="AA978" s="240">
        <v>3.7559161290475027E-2</v>
      </c>
    </row>
    <row r="979" spans="19:27" x14ac:dyDescent="0.2">
      <c r="S979" s="199"/>
      <c r="T979" s="200"/>
      <c r="W979" s="233" t="str">
        <f t="shared" si="21"/>
        <v>1w</v>
      </c>
      <c r="X979" s="234">
        <f>_xll.qlCalendarAdvance(Calendar,X978,W979,"f",FALSE)</f>
        <v>45674</v>
      </c>
      <c r="Y979" s="237">
        <f>_xll.qlCalendarAdvance(Calendar,X979,NDays&amp;"D")</f>
        <v>45674</v>
      </c>
      <c r="Z979" s="238">
        <v>3.8455602361862032E-2</v>
      </c>
      <c r="AA979" s="240">
        <v>3.7569006693357616E-2</v>
      </c>
    </row>
    <row r="980" spans="19:27" x14ac:dyDescent="0.2">
      <c r="S980" s="199"/>
      <c r="T980" s="200"/>
      <c r="W980" s="233" t="str">
        <f t="shared" si="21"/>
        <v>1w</v>
      </c>
      <c r="X980" s="234">
        <f>_xll.qlCalendarAdvance(Calendar,X979,W980,"f",FALSE)</f>
        <v>45681</v>
      </c>
      <c r="Y980" s="237">
        <f>_xll.qlCalendarAdvance(Calendar,X980,NDays&amp;"D")</f>
        <v>45681</v>
      </c>
      <c r="Z980" s="238">
        <v>3.8461450582327784E-2</v>
      </c>
      <c r="AA980" s="240">
        <v>3.7578620936200201E-2</v>
      </c>
    </row>
    <row r="981" spans="19:27" x14ac:dyDescent="0.2">
      <c r="S981" s="199"/>
      <c r="T981" s="200"/>
      <c r="W981" s="233" t="str">
        <f t="shared" ref="W981:W1044" si="22">W980</f>
        <v>1w</v>
      </c>
      <c r="X981" s="234">
        <f>_xll.qlCalendarAdvance(Calendar,X980,W981,"f",FALSE)</f>
        <v>45688</v>
      </c>
      <c r="Y981" s="237">
        <f>_xll.qlCalendarAdvance(Calendar,X981,NDays&amp;"D")</f>
        <v>45688</v>
      </c>
      <c r="Z981" s="238">
        <v>3.8460126725303988E-2</v>
      </c>
      <c r="AA981" s="240">
        <v>3.7588004018867714E-2</v>
      </c>
    </row>
    <row r="982" spans="19:27" x14ac:dyDescent="0.2">
      <c r="S982" s="199"/>
      <c r="T982" s="200"/>
      <c r="W982" s="233" t="str">
        <f t="shared" si="22"/>
        <v>1w</v>
      </c>
      <c r="X982" s="234">
        <f>_xll.qlCalendarAdvance(Calendar,X981,W982,"f",FALSE)</f>
        <v>45695</v>
      </c>
      <c r="Y982" s="237">
        <f>_xll.qlCalendarAdvance(Calendar,X982,NDays&amp;"D")</f>
        <v>45695</v>
      </c>
      <c r="Z982" s="238">
        <v>3.8472860952286012E-2</v>
      </c>
      <c r="AA982" s="240">
        <v>3.759715594138717E-2</v>
      </c>
    </row>
    <row r="983" spans="19:27" x14ac:dyDescent="0.2">
      <c r="S983" s="199"/>
      <c r="T983" s="200"/>
      <c r="W983" s="233" t="str">
        <f t="shared" si="22"/>
        <v>1w</v>
      </c>
      <c r="X983" s="234">
        <f>_xll.qlCalendarAdvance(Calendar,X982,W983,"f",FALSE)</f>
        <v>45702</v>
      </c>
      <c r="Y983" s="237">
        <f>_xll.qlCalendarAdvance(Calendar,X983,NDays&amp;"D")</f>
        <v>45702</v>
      </c>
      <c r="Z983" s="238">
        <v>3.8478432502429334E-2</v>
      </c>
      <c r="AA983" s="240">
        <v>3.7606076703650501E-2</v>
      </c>
    </row>
    <row r="984" spans="19:27" x14ac:dyDescent="0.2">
      <c r="S984" s="199"/>
      <c r="T984" s="200"/>
      <c r="W984" s="233" t="str">
        <f t="shared" si="22"/>
        <v>1w</v>
      </c>
      <c r="X984" s="234">
        <f>_xll.qlCalendarAdvance(Calendar,X983,W984,"f",FALSE)</f>
        <v>45709</v>
      </c>
      <c r="Y984" s="237">
        <f>_xll.qlCalendarAdvance(Calendar,X984,NDays&amp;"D")</f>
        <v>45709</v>
      </c>
      <c r="Z984" s="238">
        <v>3.8483921229993244E-2</v>
      </c>
      <c r="AA984" s="240">
        <v>3.7614766305630695E-2</v>
      </c>
    </row>
    <row r="985" spans="19:27" x14ac:dyDescent="0.2">
      <c r="S985" s="199"/>
      <c r="T985" s="200"/>
      <c r="W985" s="233" t="str">
        <f t="shared" si="22"/>
        <v>1w</v>
      </c>
      <c r="X985" s="234">
        <f>_xll.qlCalendarAdvance(Calendar,X984,W985,"f",FALSE)</f>
        <v>45716</v>
      </c>
      <c r="Y985" s="237">
        <f>_xll.qlCalendarAdvance(Calendar,X985,NDays&amp;"D")</f>
        <v>45716</v>
      </c>
      <c r="Z985" s="238">
        <v>3.8482272311095522E-2</v>
      </c>
      <c r="AA985" s="240">
        <v>3.7623224747273719E-2</v>
      </c>
    </row>
    <row r="986" spans="19:27" x14ac:dyDescent="0.2">
      <c r="S986" s="199"/>
      <c r="T986" s="200"/>
      <c r="W986" s="233" t="str">
        <f t="shared" si="22"/>
        <v>1w</v>
      </c>
      <c r="X986" s="234">
        <f>_xll.qlCalendarAdvance(Calendar,X985,W986,"f",FALSE)</f>
        <v>45723</v>
      </c>
      <c r="Y986" s="237">
        <f>_xll.qlCalendarAdvance(Calendar,X986,NDays&amp;"D")</f>
        <v>45723</v>
      </c>
      <c r="Z986" s="238">
        <v>3.8494669020038882E-2</v>
      </c>
      <c r="AA986" s="240">
        <v>3.7631452028552566E-2</v>
      </c>
    </row>
    <row r="987" spans="19:27" x14ac:dyDescent="0.2">
      <c r="S987" s="199"/>
      <c r="T987" s="200"/>
      <c r="W987" s="233" t="str">
        <f t="shared" si="22"/>
        <v>1w</v>
      </c>
      <c r="X987" s="234">
        <f>_xll.qlCalendarAdvance(Calendar,X986,W987,"f",FALSE)</f>
        <v>45730</v>
      </c>
      <c r="Y987" s="237">
        <f>_xll.qlCalendarAdvance(Calendar,X987,NDays&amp;"D")</f>
        <v>45730</v>
      </c>
      <c r="Z987" s="238">
        <v>3.8499937484138075E-2</v>
      </c>
      <c r="AA987" s="240">
        <v>3.7639448149386176E-2</v>
      </c>
    </row>
    <row r="988" spans="19:27" x14ac:dyDescent="0.2">
      <c r="S988" s="199"/>
      <c r="T988" s="200"/>
      <c r="W988" s="233" t="str">
        <f t="shared" si="22"/>
        <v>1w</v>
      </c>
      <c r="X988" s="234">
        <f>_xll.qlCalendarAdvance(Calendar,X987,W988,"f",FALSE)</f>
        <v>45737</v>
      </c>
      <c r="Y988" s="237">
        <f>_xll.qlCalendarAdvance(Calendar,X988,NDays&amp;"D")</f>
        <v>45737</v>
      </c>
      <c r="Z988" s="238">
        <v>3.8505141928885468E-2</v>
      </c>
      <c r="AA988" s="240">
        <v>3.7647213109747543E-2</v>
      </c>
    </row>
    <row r="989" spans="19:27" x14ac:dyDescent="0.2">
      <c r="S989" s="199"/>
      <c r="T989" s="200"/>
      <c r="W989" s="233" t="str">
        <f t="shared" si="22"/>
        <v>1w</v>
      </c>
      <c r="X989" s="234">
        <f>_xll.qlCalendarAdvance(Calendar,X988,W989,"f",FALSE)</f>
        <v>45744</v>
      </c>
      <c r="Y989" s="237">
        <f>_xll.qlCalendarAdvance(Calendar,X989,NDays&amp;"D")</f>
        <v>45744</v>
      </c>
      <c r="Z989" s="238">
        <v>3.8510287055364391E-2</v>
      </c>
      <c r="AA989" s="240">
        <v>3.7654746909555621E-2</v>
      </c>
    </row>
    <row r="990" spans="19:27" x14ac:dyDescent="0.2">
      <c r="S990" s="199"/>
      <c r="T990" s="200"/>
      <c r="W990" s="233" t="str">
        <f t="shared" si="22"/>
        <v>1w</v>
      </c>
      <c r="X990" s="234">
        <f>_xll.qlCalendarAdvance(Calendar,X989,W990,"f",FALSE)</f>
        <v>45751</v>
      </c>
      <c r="Y990" s="237">
        <f>_xll.qlCalendarAdvance(Calendar,X990,NDays&amp;"D")</f>
        <v>45751</v>
      </c>
      <c r="Z990" s="238">
        <v>3.8517729372377442E-2</v>
      </c>
      <c r="AA990" s="240">
        <v>3.7662049548837416E-2</v>
      </c>
    </row>
    <row r="991" spans="19:27" x14ac:dyDescent="0.2">
      <c r="S991" s="199"/>
      <c r="T991" s="200"/>
      <c r="W991" s="233" t="str">
        <f t="shared" si="22"/>
        <v>1w</v>
      </c>
      <c r="X991" s="234">
        <f>_xll.qlCalendarAdvance(Calendar,X990,W991,"f",FALSE)</f>
        <v>45758</v>
      </c>
      <c r="Y991" s="237">
        <f>_xll.qlCalendarAdvance(Calendar,X991,NDays&amp;"D")</f>
        <v>45758</v>
      </c>
      <c r="Z991" s="238">
        <v>3.8520418158367133E-2</v>
      </c>
      <c r="AA991" s="240">
        <v>3.7669121027484882E-2</v>
      </c>
    </row>
    <row r="992" spans="19:27" x14ac:dyDescent="0.2">
      <c r="S992" s="199"/>
      <c r="T992" s="200"/>
      <c r="W992" s="233" t="str">
        <f t="shared" si="22"/>
        <v>1w</v>
      </c>
      <c r="X992" s="234">
        <f>_xll.qlCalendarAdvance(Calendar,X991,W992,"f",FALSE)</f>
        <v>45769</v>
      </c>
      <c r="Y992" s="237">
        <f>_xll.qlCalendarAdvance(Calendar,X992,NDays&amp;"D")</f>
        <v>45769</v>
      </c>
      <c r="Z992" s="238">
        <v>3.8523545401889514E-2</v>
      </c>
      <c r="AA992" s="240">
        <v>3.7674934816547268E-2</v>
      </c>
    </row>
    <row r="993" spans="19:27" x14ac:dyDescent="0.2">
      <c r="S993" s="199"/>
      <c r="T993" s="200"/>
      <c r="W993" s="233" t="str">
        <f t="shared" si="22"/>
        <v>1w</v>
      </c>
      <c r="X993" s="234">
        <f>_xll.qlCalendarAdvance(Calendar,X992,W993,"f",FALSE)</f>
        <v>45776</v>
      </c>
      <c r="Y993" s="237">
        <f>_xll.qlCalendarAdvance(Calendar,X993,NDays&amp;"D")</f>
        <v>45776</v>
      </c>
      <c r="Z993" s="238">
        <v>3.8528478305392078E-2</v>
      </c>
      <c r="AA993" s="240">
        <v>3.7681443561258243E-2</v>
      </c>
    </row>
    <row r="994" spans="19:27" x14ac:dyDescent="0.2">
      <c r="S994" s="199"/>
      <c r="T994" s="200"/>
      <c r="W994" s="233" t="str">
        <f t="shared" si="22"/>
        <v>1w</v>
      </c>
      <c r="X994" s="234">
        <f>_xll.qlCalendarAdvance(Calendar,X993,W994,"f",FALSE)</f>
        <v>45783</v>
      </c>
      <c r="Y994" s="237">
        <f>_xll.qlCalendarAdvance(Calendar,X994,NDays&amp;"D")</f>
        <v>45783</v>
      </c>
      <c r="Z994" s="238">
        <v>3.8533377873855246E-2</v>
      </c>
      <c r="AA994" s="240">
        <v>3.7687721192530832E-2</v>
      </c>
    </row>
    <row r="995" spans="19:27" x14ac:dyDescent="0.2">
      <c r="S995" s="199"/>
      <c r="T995" s="200"/>
      <c r="W995" s="233" t="str">
        <f t="shared" si="22"/>
        <v>1w</v>
      </c>
      <c r="X995" s="234">
        <f>_xll.qlCalendarAdvance(Calendar,X994,W995,"f",FALSE)</f>
        <v>45790</v>
      </c>
      <c r="Y995" s="237">
        <f>_xll.qlCalendarAdvance(Calendar,X995,NDays&amp;"D")</f>
        <v>45790</v>
      </c>
      <c r="Z995" s="238">
        <v>3.8538248833789757E-2</v>
      </c>
      <c r="AA995" s="240">
        <v>3.7693767710689219E-2</v>
      </c>
    </row>
    <row r="996" spans="19:27" x14ac:dyDescent="0.2">
      <c r="S996" s="199"/>
      <c r="T996" s="200"/>
      <c r="W996" s="233" t="str">
        <f t="shared" si="22"/>
        <v>1w</v>
      </c>
      <c r="X996" s="234">
        <f>_xll.qlCalendarAdvance(Calendar,X995,W996,"f",FALSE)</f>
        <v>45797</v>
      </c>
      <c r="Y996" s="237">
        <f>_xll.qlCalendarAdvance(Calendar,X996,NDays&amp;"D")</f>
        <v>45797</v>
      </c>
      <c r="Z996" s="238">
        <v>3.8543095911796943E-2</v>
      </c>
      <c r="AA996" s="240">
        <v>3.7699583115571311E-2</v>
      </c>
    </row>
    <row r="997" spans="19:27" x14ac:dyDescent="0.2">
      <c r="S997" s="199"/>
      <c r="T997" s="200"/>
      <c r="W997" s="233" t="str">
        <f t="shared" si="22"/>
        <v>1w</v>
      </c>
      <c r="X997" s="234">
        <f>_xll.qlCalendarAdvance(Calendar,X996,W997,"f",FALSE)</f>
        <v>45804</v>
      </c>
      <c r="Y997" s="237">
        <f>_xll.qlCalendarAdvance(Calendar,X997,NDays&amp;"D")</f>
        <v>45804</v>
      </c>
      <c r="Z997" s="238">
        <v>3.8547923834568287E-2</v>
      </c>
      <c r="AA997" s="240">
        <v>3.7705167407096063E-2</v>
      </c>
    </row>
    <row r="998" spans="19:27" x14ac:dyDescent="0.2">
      <c r="S998" s="199"/>
      <c r="T998" s="200"/>
      <c r="W998" s="233" t="str">
        <f t="shared" si="22"/>
        <v>1w</v>
      </c>
      <c r="X998" s="234">
        <f>_xll.qlCalendarAdvance(Calendar,X997,W998,"f",FALSE)</f>
        <v>45811</v>
      </c>
      <c r="Y998" s="237">
        <f>_xll.qlCalendarAdvance(Calendar,X998,NDays&amp;"D")</f>
        <v>45811</v>
      </c>
      <c r="Z998" s="238">
        <v>3.8552737328884978E-2</v>
      </c>
      <c r="AA998" s="240">
        <v>3.7710520585425567E-2</v>
      </c>
    </row>
    <row r="999" spans="19:27" x14ac:dyDescent="0.2">
      <c r="S999" s="199"/>
      <c r="T999" s="200"/>
      <c r="W999" s="233" t="str">
        <f t="shared" si="22"/>
        <v>1w</v>
      </c>
      <c r="X999" s="234">
        <f>_xll.qlCalendarAdvance(Calendar,X998,W999,"f",FALSE)</f>
        <v>45818</v>
      </c>
      <c r="Y999" s="237">
        <f>_xll.qlCalendarAdvance(Calendar,X999,NDays&amp;"D")</f>
        <v>45818</v>
      </c>
      <c r="Z999" s="238">
        <v>3.8557541121616357E-2</v>
      </c>
      <c r="AA999" s="240">
        <v>3.7715642650478776E-2</v>
      </c>
    </row>
    <row r="1000" spans="19:27" x14ac:dyDescent="0.2">
      <c r="S1000" s="199"/>
      <c r="T1000" s="200"/>
      <c r="W1000" s="233" t="str">
        <f t="shared" si="22"/>
        <v>1w</v>
      </c>
      <c r="X1000" s="234">
        <f>_xll.qlCalendarAdvance(Calendar,X999,W1000,"f",FALSE)</f>
        <v>45825</v>
      </c>
      <c r="Y1000" s="237">
        <f>_xll.qlCalendarAdvance(Calendar,X1000,NDays&amp;"D")</f>
        <v>45825</v>
      </c>
      <c r="Z1000" s="238">
        <v>3.8562339939719248E-2</v>
      </c>
      <c r="AA1000" s="240">
        <v>3.7720533602174644E-2</v>
      </c>
    </row>
    <row r="1001" spans="19:27" x14ac:dyDescent="0.2">
      <c r="S1001" s="199"/>
      <c r="T1001" s="200"/>
      <c r="W1001" s="233" t="str">
        <f t="shared" si="22"/>
        <v>1w</v>
      </c>
      <c r="X1001" s="234">
        <f>_xll.qlCalendarAdvance(Calendar,X1000,W1001,"f",FALSE)</f>
        <v>45832</v>
      </c>
      <c r="Y1001" s="237">
        <f>_xll.qlCalendarAdvance(Calendar,X1001,NDays&amp;"D")</f>
        <v>45832</v>
      </c>
      <c r="Z1001" s="238">
        <v>3.8567138510238408E-2</v>
      </c>
      <c r="AA1001" s="240">
        <v>3.7725193440513172E-2</v>
      </c>
    </row>
    <row r="1002" spans="19:27" x14ac:dyDescent="0.2">
      <c r="S1002" s="199"/>
      <c r="T1002" s="200"/>
      <c r="W1002" s="233" t="str">
        <f t="shared" si="22"/>
        <v>1w</v>
      </c>
      <c r="X1002" s="234">
        <f>_xll.qlCalendarAdvance(Calendar,X1001,W1002,"f",FALSE)</f>
        <v>45839</v>
      </c>
      <c r="Y1002" s="237">
        <f>_xll.qlCalendarAdvance(Calendar,X1002,NDays&amp;"D")</f>
        <v>45839</v>
      </c>
      <c r="Z1002" s="238">
        <v>3.8571941410481037E-2</v>
      </c>
      <c r="AA1002" s="240">
        <v>3.7729671413104793E-2</v>
      </c>
    </row>
    <row r="1003" spans="19:27" x14ac:dyDescent="0.2">
      <c r="S1003" s="199"/>
      <c r="T1003" s="200"/>
      <c r="W1003" s="233" t="str">
        <f t="shared" si="22"/>
        <v>1w</v>
      </c>
      <c r="X1003" s="234">
        <f>_xll.qlCalendarAdvance(Calendar,X1002,W1003,"f",FALSE)</f>
        <v>45846</v>
      </c>
      <c r="Y1003" s="237">
        <f>_xll.qlCalendarAdvance(Calendar,X1003,NDays&amp;"D")</f>
        <v>45846</v>
      </c>
      <c r="Z1003" s="238">
        <v>3.8576750502933077E-2</v>
      </c>
      <c r="AA1003" s="240">
        <v>3.7734140289386042E-2</v>
      </c>
    </row>
    <row r="1004" spans="19:27" x14ac:dyDescent="0.2">
      <c r="S1004" s="199"/>
      <c r="T1004" s="200"/>
      <c r="W1004" s="233" t="str">
        <f t="shared" si="22"/>
        <v>1w</v>
      </c>
      <c r="X1004" s="234">
        <f>_xll.qlCalendarAdvance(Calendar,X1003,W1004,"f",FALSE)</f>
        <v>45853</v>
      </c>
      <c r="Y1004" s="237">
        <f>_xll.qlCalendarAdvance(Calendar,X1004,NDays&amp;"D")</f>
        <v>45853</v>
      </c>
      <c r="Z1004" s="238">
        <v>3.8581565168386955E-2</v>
      </c>
      <c r="AA1004" s="240">
        <v>3.7738615408986487E-2</v>
      </c>
    </row>
    <row r="1005" spans="19:27" x14ac:dyDescent="0.2">
      <c r="S1005" s="199"/>
      <c r="T1005" s="200"/>
      <c r="W1005" s="233" t="str">
        <f t="shared" si="22"/>
        <v>1w</v>
      </c>
      <c r="X1005" s="234">
        <f>_xll.qlCalendarAdvance(Calendar,X1004,W1005,"f",FALSE)</f>
        <v>45860</v>
      </c>
      <c r="Y1005" s="237">
        <f>_xll.qlCalendarAdvance(Calendar,X1005,NDays&amp;"D")</f>
        <v>45860</v>
      </c>
      <c r="Z1005" s="238">
        <v>3.8586384681545294E-2</v>
      </c>
      <c r="AA1005" s="240">
        <v>3.7743096771744034E-2</v>
      </c>
    </row>
    <row r="1006" spans="19:27" x14ac:dyDescent="0.2">
      <c r="S1006" s="199"/>
      <c r="T1006" s="200"/>
      <c r="W1006" s="233" t="str">
        <f t="shared" si="22"/>
        <v>1w</v>
      </c>
      <c r="X1006" s="234">
        <f>_xll.qlCalendarAdvance(Calendar,X1005,W1006,"f",FALSE)</f>
        <v>45867</v>
      </c>
      <c r="Y1006" s="237">
        <f>_xll.qlCalendarAdvance(Calendar,X1006,NDays&amp;"D")</f>
        <v>45867</v>
      </c>
      <c r="Z1006" s="238">
        <v>3.8591208317098502E-2</v>
      </c>
      <c r="AA1006" s="240">
        <v>3.7747584377739729E-2</v>
      </c>
    </row>
    <row r="1007" spans="19:27" x14ac:dyDescent="0.2">
      <c r="S1007" s="199"/>
      <c r="T1007" s="200"/>
      <c r="W1007" s="233" t="str">
        <f t="shared" si="22"/>
        <v>1w</v>
      </c>
      <c r="X1007" s="234">
        <f>_xll.qlCalendarAdvance(Calendar,X1006,W1007,"f",FALSE)</f>
        <v>45874</v>
      </c>
      <c r="Y1007" s="237">
        <f>_xll.qlCalendarAdvance(Calendar,X1007,NDays&amp;"D")</f>
        <v>45874</v>
      </c>
      <c r="Z1007" s="238">
        <v>3.8596035349723001E-2</v>
      </c>
      <c r="AA1007" s="240">
        <v>3.7752078226811481E-2</v>
      </c>
    </row>
    <row r="1008" spans="19:27" x14ac:dyDescent="0.2">
      <c r="S1008" s="199"/>
      <c r="T1008" s="200"/>
      <c r="W1008" s="233" t="str">
        <f t="shared" si="22"/>
        <v>1w</v>
      </c>
      <c r="X1008" s="234">
        <f>_xll.qlCalendarAdvance(Calendar,X1007,W1008,"f",FALSE)</f>
        <v>45881</v>
      </c>
      <c r="Y1008" s="237">
        <f>_xll.qlCalendarAdvance(Calendar,X1008,NDays&amp;"D")</f>
        <v>45881</v>
      </c>
      <c r="Z1008" s="238">
        <v>3.860086505408189E-2</v>
      </c>
      <c r="AA1008" s="240">
        <v>3.7756578319283474E-2</v>
      </c>
    </row>
    <row r="1009" spans="19:27" x14ac:dyDescent="0.2">
      <c r="S1009" s="199"/>
      <c r="T1009" s="200"/>
      <c r="W1009" s="233" t="str">
        <f t="shared" si="22"/>
        <v>1w</v>
      </c>
      <c r="X1009" s="234">
        <f>_xll.qlCalendarAdvance(Calendar,X1008,W1009,"f",FALSE)</f>
        <v>45888</v>
      </c>
      <c r="Y1009" s="237">
        <f>_xll.qlCalendarAdvance(Calendar,X1009,NDays&amp;"D")</f>
        <v>45888</v>
      </c>
      <c r="Z1009" s="238">
        <v>3.8605696704824943E-2</v>
      </c>
      <c r="AA1009" s="240">
        <v>3.7761084654912569E-2</v>
      </c>
    </row>
    <row r="1010" spans="19:27" x14ac:dyDescent="0.2">
      <c r="S1010" s="199"/>
      <c r="T1010" s="200"/>
      <c r="W1010" s="233" t="str">
        <f t="shared" si="22"/>
        <v>1w</v>
      </c>
      <c r="X1010" s="234">
        <f>_xll.qlCalendarAdvance(Calendar,X1009,W1010,"f",FALSE)</f>
        <v>45895</v>
      </c>
      <c r="Y1010" s="237">
        <f>_xll.qlCalendarAdvance(Calendar,X1010,NDays&amp;"D")</f>
        <v>45895</v>
      </c>
      <c r="Z1010" s="238">
        <v>3.8610529576588171E-2</v>
      </c>
      <c r="AA1010" s="240">
        <v>3.776559723361772E-2</v>
      </c>
    </row>
    <row r="1011" spans="19:27" x14ac:dyDescent="0.2">
      <c r="S1011" s="199"/>
      <c r="T1011" s="200"/>
      <c r="W1011" s="233" t="str">
        <f t="shared" si="22"/>
        <v>1w</v>
      </c>
      <c r="X1011" s="234">
        <f>_xll.qlCalendarAdvance(Calendar,X1010,W1011,"f",FALSE)</f>
        <v>45902</v>
      </c>
      <c r="Y1011" s="237">
        <f>_xll.qlCalendarAdvance(Calendar,X1011,NDays&amp;"D")</f>
        <v>45902</v>
      </c>
      <c r="Z1011" s="238">
        <v>3.8615362943994258E-2</v>
      </c>
      <c r="AA1011" s="240">
        <v>3.7770116055642067E-2</v>
      </c>
    </row>
    <row r="1012" spans="19:27" x14ac:dyDescent="0.2">
      <c r="S1012" s="199"/>
      <c r="T1012" s="200"/>
      <c r="W1012" s="233" t="str">
        <f t="shared" si="22"/>
        <v>1w</v>
      </c>
      <c r="X1012" s="234">
        <f>_xll.qlCalendarAdvance(Calendar,X1011,W1012,"f",FALSE)</f>
        <v>45909</v>
      </c>
      <c r="Y1012" s="237">
        <f>_xll.qlCalendarAdvance(Calendar,X1012,NDays&amp;"D")</f>
        <v>45909</v>
      </c>
      <c r="Z1012" s="238">
        <v>3.8620196081652347E-2</v>
      </c>
      <c r="AA1012" s="240">
        <v>3.7774641120904562E-2</v>
      </c>
    </row>
    <row r="1013" spans="19:27" x14ac:dyDescent="0.2">
      <c r="S1013" s="199"/>
      <c r="T1013" s="200"/>
      <c r="W1013" s="233" t="str">
        <f t="shared" si="22"/>
        <v>1w</v>
      </c>
      <c r="X1013" s="234">
        <f>_xll.qlCalendarAdvance(Calendar,X1012,W1013,"f",FALSE)</f>
        <v>45916</v>
      </c>
      <c r="Y1013" s="237">
        <f>_xll.qlCalendarAdvance(Calendar,X1013,NDays&amp;"D")</f>
        <v>45916</v>
      </c>
      <c r="Z1013" s="238">
        <v>3.8625028264158479E-2</v>
      </c>
      <c r="AA1013" s="240">
        <v>3.7779172429324159E-2</v>
      </c>
    </row>
    <row r="1014" spans="19:27" x14ac:dyDescent="0.2">
      <c r="S1014" s="199"/>
      <c r="T1014" s="200"/>
      <c r="W1014" s="233" t="str">
        <f t="shared" si="22"/>
        <v>1w</v>
      </c>
      <c r="X1014" s="234">
        <f>_xll.qlCalendarAdvance(Calendar,X1013,W1014,"f",FALSE)</f>
        <v>45923</v>
      </c>
      <c r="Y1014" s="237">
        <f>_xll.qlCalendarAdvance(Calendar,X1014,NDays&amp;"D")</f>
        <v>45923</v>
      </c>
      <c r="Z1014" s="238">
        <v>3.8629858766094261E-2</v>
      </c>
      <c r="AA1014" s="240">
        <v>3.7783709980981905E-2</v>
      </c>
    </row>
    <row r="1015" spans="19:27" x14ac:dyDescent="0.2">
      <c r="S1015" s="199"/>
      <c r="T1015" s="200"/>
      <c r="W1015" s="233" t="str">
        <f t="shared" si="22"/>
        <v>1w</v>
      </c>
      <c r="X1015" s="234">
        <f>_xll.qlCalendarAdvance(Calendar,X1014,W1015,"f",FALSE)</f>
        <v>45930</v>
      </c>
      <c r="Y1015" s="237">
        <f>_xll.qlCalendarAdvance(Calendar,X1015,NDays&amp;"D")</f>
        <v>45930</v>
      </c>
      <c r="Z1015" s="238">
        <v>3.8634686862028644E-2</v>
      </c>
      <c r="AA1015" s="240">
        <v>3.77882537758778E-2</v>
      </c>
    </row>
    <row r="1016" spans="19:27" x14ac:dyDescent="0.2">
      <c r="S1016" s="199"/>
      <c r="T1016" s="200"/>
      <c r="W1016" s="233" t="str">
        <f t="shared" si="22"/>
        <v>1w</v>
      </c>
      <c r="X1016" s="234">
        <f>_xll.qlCalendarAdvance(Calendar,X1015,W1016,"f",FALSE)</f>
        <v>45937</v>
      </c>
      <c r="Y1016" s="237">
        <f>_xll.qlCalendarAdvance(Calendar,X1016,NDays&amp;"D")</f>
        <v>45937</v>
      </c>
      <c r="Z1016" s="238">
        <v>3.8639511826516815E-2</v>
      </c>
      <c r="AA1016" s="240">
        <v>3.7792803813768705E-2</v>
      </c>
    </row>
    <row r="1017" spans="19:27" x14ac:dyDescent="0.2">
      <c r="S1017" s="199"/>
      <c r="T1017" s="200"/>
      <c r="W1017" s="233" t="str">
        <f t="shared" si="22"/>
        <v>1w</v>
      </c>
      <c r="X1017" s="234">
        <f>_xll.qlCalendarAdvance(Calendar,X1016,W1017,"f",FALSE)</f>
        <v>45944</v>
      </c>
      <c r="Y1017" s="237">
        <f>_xll.qlCalendarAdvance(Calendar,X1017,NDays&amp;"D")</f>
        <v>45944</v>
      </c>
      <c r="Z1017" s="238">
        <v>3.8644332934100634E-2</v>
      </c>
      <c r="AA1017" s="240">
        <v>3.7797360095059851E-2</v>
      </c>
    </row>
    <row r="1018" spans="19:27" x14ac:dyDescent="0.2">
      <c r="S1018" s="199"/>
      <c r="T1018" s="200"/>
      <c r="W1018" s="233" t="str">
        <f t="shared" si="22"/>
        <v>1w</v>
      </c>
      <c r="X1018" s="234">
        <f>_xll.qlCalendarAdvance(Calendar,X1017,W1018,"f",FALSE)</f>
        <v>45951</v>
      </c>
      <c r="Y1018" s="237">
        <f>_xll.qlCalendarAdvance(Calendar,X1018,NDays&amp;"D")</f>
        <v>45951</v>
      </c>
      <c r="Z1018" s="238">
        <v>3.8649149459307974E-2</v>
      </c>
      <c r="AA1018" s="240">
        <v>3.7801922619508099E-2</v>
      </c>
    </row>
    <row r="1019" spans="19:27" x14ac:dyDescent="0.2">
      <c r="S1019" s="199"/>
      <c r="T1019" s="200"/>
      <c r="W1019" s="233" t="str">
        <f t="shared" si="22"/>
        <v>1w</v>
      </c>
      <c r="X1019" s="234">
        <f>_xll.qlCalendarAdvance(Calendar,X1018,W1019,"f",FALSE)</f>
        <v>45958</v>
      </c>
      <c r="Y1019" s="237">
        <f>_xll.qlCalendarAdvance(Calendar,X1019,NDays&amp;"D")</f>
        <v>45958</v>
      </c>
      <c r="Z1019" s="238">
        <v>3.8653960676654497E-2</v>
      </c>
      <c r="AA1019" s="240">
        <v>3.7806491387275543E-2</v>
      </c>
    </row>
    <row r="1020" spans="19:27" x14ac:dyDescent="0.2">
      <c r="S1020" s="199"/>
      <c r="T1020" s="200"/>
      <c r="W1020" s="233" t="str">
        <f t="shared" si="22"/>
        <v>1w</v>
      </c>
      <c r="X1020" s="234">
        <f>_xll.qlCalendarAdvance(Calendar,X1019,W1020,"f",FALSE)</f>
        <v>45965</v>
      </c>
      <c r="Y1020" s="237">
        <f>_xll.qlCalendarAdvance(Calendar,X1020,NDays&amp;"D")</f>
        <v>45965</v>
      </c>
      <c r="Z1020" s="238">
        <v>3.8658765860641209E-2</v>
      </c>
      <c r="AA1020" s="240">
        <v>3.7811066398200088E-2</v>
      </c>
    </row>
    <row r="1021" spans="19:27" x14ac:dyDescent="0.2">
      <c r="S1021" s="199"/>
      <c r="T1021" s="200"/>
      <c r="W1021" s="233" t="str">
        <f t="shared" si="22"/>
        <v>1w</v>
      </c>
      <c r="X1021" s="234">
        <f>_xll.qlCalendarAdvance(Calendar,X1020,W1021,"f",FALSE)</f>
        <v>45972</v>
      </c>
      <c r="Y1021" s="237">
        <f>_xll.qlCalendarAdvance(Calendar,X1021,NDays&amp;"D")</f>
        <v>45972</v>
      </c>
      <c r="Z1021" s="238">
        <v>3.8663564285756236E-2</v>
      </c>
      <c r="AA1021" s="240">
        <v>3.7815647652281736E-2</v>
      </c>
    </row>
    <row r="1022" spans="19:27" x14ac:dyDescent="0.2">
      <c r="S1022" s="199"/>
      <c r="T1022" s="200"/>
      <c r="W1022" s="233" t="str">
        <f t="shared" si="22"/>
        <v>1w</v>
      </c>
      <c r="X1022" s="234">
        <f>_xll.qlCalendarAdvance(Calendar,X1021,W1022,"f",FALSE)</f>
        <v>45979</v>
      </c>
      <c r="Y1022" s="237">
        <f>_xll.qlCalendarAdvance(Calendar,X1022,NDays&amp;"D")</f>
        <v>45979</v>
      </c>
      <c r="Z1022" s="238">
        <v>3.8668355226475049E-2</v>
      </c>
      <c r="AA1022" s="240">
        <v>3.7820235149601533E-2</v>
      </c>
    </row>
    <row r="1023" spans="19:27" x14ac:dyDescent="0.2">
      <c r="S1023" s="199"/>
      <c r="T1023" s="200"/>
      <c r="W1023" s="233" t="str">
        <f t="shared" si="22"/>
        <v>1w</v>
      </c>
      <c r="X1023" s="234">
        <f>_xll.qlCalendarAdvance(Calendar,X1022,W1023,"f",FALSE)</f>
        <v>45986</v>
      </c>
      <c r="Y1023" s="237">
        <f>_xll.qlCalendarAdvance(Calendar,X1023,NDays&amp;"D")</f>
        <v>45986</v>
      </c>
      <c r="Z1023" s="238">
        <v>3.8673137957258907E-2</v>
      </c>
      <c r="AA1023" s="240">
        <v>3.7824828890159479E-2</v>
      </c>
    </row>
    <row r="1024" spans="19:27" x14ac:dyDescent="0.2">
      <c r="S1024" s="199"/>
      <c r="T1024" s="200"/>
      <c r="W1024" s="233" t="str">
        <f t="shared" si="22"/>
        <v>1w</v>
      </c>
      <c r="X1024" s="234">
        <f>_xll.qlCalendarAdvance(Calendar,X1023,W1024,"f",FALSE)</f>
        <v>45993</v>
      </c>
      <c r="Y1024" s="237">
        <f>_xll.qlCalendarAdvance(Calendar,X1024,NDays&amp;"D")</f>
        <v>45993</v>
      </c>
      <c r="Z1024" s="238">
        <v>3.8677911752556415E-2</v>
      </c>
      <c r="AA1024" s="240">
        <v>3.7829428873874527E-2</v>
      </c>
    </row>
    <row r="1025" spans="19:27" x14ac:dyDescent="0.2">
      <c r="S1025" s="199"/>
      <c r="T1025" s="200"/>
      <c r="W1025" s="233" t="str">
        <f t="shared" si="22"/>
        <v>1w</v>
      </c>
      <c r="X1025" s="234">
        <f>_xll.qlCalendarAdvance(Calendar,X1024,W1025,"f",FALSE)</f>
        <v>46000</v>
      </c>
      <c r="Y1025" s="237">
        <f>_xll.qlCalendarAdvance(Calendar,X1025,NDays&amp;"D")</f>
        <v>46000</v>
      </c>
      <c r="Z1025" s="238">
        <v>3.8682675886803075E-2</v>
      </c>
      <c r="AA1025" s="240">
        <v>3.7834035100746677E-2</v>
      </c>
    </row>
    <row r="1026" spans="19:27" x14ac:dyDescent="0.2">
      <c r="S1026" s="199"/>
      <c r="T1026" s="200"/>
      <c r="W1026" s="233" t="str">
        <f t="shared" si="22"/>
        <v>1w</v>
      </c>
      <c r="X1026" s="234">
        <f>_xll.qlCalendarAdvance(Calendar,X1025,W1026,"f",FALSE)</f>
        <v>46007</v>
      </c>
      <c r="Y1026" s="237">
        <f>_xll.qlCalendarAdvance(Calendar,X1026,NDays&amp;"D")</f>
        <v>46007</v>
      </c>
      <c r="Z1026" s="238">
        <v>3.8687429634421067E-2</v>
      </c>
      <c r="AA1026" s="240">
        <v>3.7838647570938022E-2</v>
      </c>
    </row>
    <row r="1027" spans="19:27" x14ac:dyDescent="0.2">
      <c r="S1027" s="199"/>
      <c r="T1027" s="200"/>
      <c r="W1027" s="233" t="str">
        <f t="shared" si="22"/>
        <v>1w</v>
      </c>
      <c r="X1027" s="234">
        <f>_xll.qlCalendarAdvance(Calendar,X1026,W1027,"f",FALSE)</f>
        <v>46014</v>
      </c>
      <c r="Y1027" s="237">
        <f>_xll.qlCalendarAdvance(Calendar,X1027,NDays&amp;"D")</f>
        <v>46014</v>
      </c>
      <c r="Z1027" s="238">
        <v>3.8692172269820135E-2</v>
      </c>
      <c r="AA1027" s="240">
        <v>3.7843266284367516E-2</v>
      </c>
    </row>
    <row r="1028" spans="19:27" x14ac:dyDescent="0.2">
      <c r="S1028" s="199"/>
      <c r="T1028" s="200"/>
      <c r="W1028" s="233" t="str">
        <f t="shared" si="22"/>
        <v>1w</v>
      </c>
      <c r="X1028" s="234">
        <f>_xll.qlCalendarAdvance(Calendar,X1027,W1028,"f",FALSE)</f>
        <v>46021</v>
      </c>
      <c r="Y1028" s="237">
        <f>_xll.qlCalendarAdvance(Calendar,X1028,NDays&amp;"D")</f>
        <v>46021</v>
      </c>
      <c r="Z1028" s="238">
        <v>3.8696903067396704E-2</v>
      </c>
      <c r="AA1028" s="240">
        <v>3.7847891240954112E-2</v>
      </c>
    </row>
    <row r="1029" spans="19:27" x14ac:dyDescent="0.2">
      <c r="S1029" s="199"/>
      <c r="T1029" s="200"/>
      <c r="W1029" s="233" t="str">
        <f t="shared" si="22"/>
        <v>1w</v>
      </c>
      <c r="X1029" s="234">
        <f>_xll.qlCalendarAdvance(Calendar,X1028,W1029,"f",FALSE)</f>
        <v>46028</v>
      </c>
      <c r="Y1029" s="237">
        <f>_xll.qlCalendarAdvance(Calendar,X1029,NDays&amp;"D")</f>
        <v>46028</v>
      </c>
      <c r="Z1029" s="238">
        <v>3.8701621301533873E-2</v>
      </c>
      <c r="AA1029" s="240">
        <v>3.7852522440697811E-2</v>
      </c>
    </row>
    <row r="1030" spans="19:27" x14ac:dyDescent="0.2">
      <c r="S1030" s="199"/>
      <c r="T1030" s="200"/>
      <c r="W1030" s="233" t="str">
        <f t="shared" si="22"/>
        <v>1w</v>
      </c>
      <c r="X1030" s="234">
        <f>_xll.qlCalendarAdvance(Calendar,X1029,W1030,"f",FALSE)</f>
        <v>46035</v>
      </c>
      <c r="Y1030" s="237">
        <f>_xll.qlCalendarAdvance(Calendar,X1030,NDays&amp;"D")</f>
        <v>46035</v>
      </c>
      <c r="Z1030" s="238">
        <v>3.8706326246603195E-2</v>
      </c>
      <c r="AA1030" s="240">
        <v>3.7857159883760705E-2</v>
      </c>
    </row>
    <row r="1031" spans="19:27" x14ac:dyDescent="0.2">
      <c r="S1031" s="199"/>
      <c r="T1031" s="200"/>
      <c r="W1031" s="233" t="str">
        <f t="shared" si="22"/>
        <v>1w</v>
      </c>
      <c r="X1031" s="234">
        <f>_xll.qlCalendarAdvance(Calendar,X1030,W1031,"f",FALSE)</f>
        <v>46042</v>
      </c>
      <c r="Y1031" s="237">
        <f>_xll.qlCalendarAdvance(Calendar,X1031,NDays&amp;"D")</f>
        <v>46042</v>
      </c>
      <c r="Z1031" s="238">
        <v>3.8711017176962459E-2</v>
      </c>
      <c r="AA1031" s="240">
        <v>3.7861803569980701E-2</v>
      </c>
    </row>
    <row r="1032" spans="19:27" x14ac:dyDescent="0.2">
      <c r="S1032" s="199"/>
      <c r="T1032" s="200"/>
      <c r="W1032" s="233" t="str">
        <f t="shared" si="22"/>
        <v>1w</v>
      </c>
      <c r="X1032" s="234">
        <f>_xll.qlCalendarAdvance(Calendar,X1031,W1032,"f",FALSE)</f>
        <v>46049</v>
      </c>
      <c r="Y1032" s="237">
        <f>_xll.qlCalendarAdvance(Calendar,X1032,NDays&amp;"D")</f>
        <v>46049</v>
      </c>
      <c r="Z1032" s="238">
        <v>3.871569336695746E-2</v>
      </c>
      <c r="AA1032" s="240">
        <v>3.7866453499357799E-2</v>
      </c>
    </row>
    <row r="1033" spans="19:27" x14ac:dyDescent="0.2">
      <c r="S1033" s="199"/>
      <c r="T1033" s="200"/>
      <c r="W1033" s="233" t="str">
        <f t="shared" si="22"/>
        <v>1w</v>
      </c>
      <c r="X1033" s="234">
        <f>_xll.qlCalendarAdvance(Calendar,X1032,W1033,"f",FALSE)</f>
        <v>46056</v>
      </c>
      <c r="Y1033" s="237">
        <f>_xll.qlCalendarAdvance(Calendar,X1033,NDays&amp;"D")</f>
        <v>46056</v>
      </c>
      <c r="Z1033" s="238">
        <v>3.8720354090921782E-2</v>
      </c>
      <c r="AA1033" s="240">
        <v>3.7871109672054093E-2</v>
      </c>
    </row>
    <row r="1034" spans="19:27" x14ac:dyDescent="0.2">
      <c r="S1034" s="199"/>
      <c r="T1034" s="200"/>
      <c r="W1034" s="233" t="str">
        <f t="shared" si="22"/>
        <v>1w</v>
      </c>
      <c r="X1034" s="234">
        <f>_xll.qlCalendarAdvance(Calendar,X1033,W1034,"f",FALSE)</f>
        <v>46063</v>
      </c>
      <c r="Y1034" s="237">
        <f>_xll.qlCalendarAdvance(Calendar,X1034,NDays&amp;"D")</f>
        <v>46063</v>
      </c>
      <c r="Z1034" s="238">
        <v>3.8724998623175688E-2</v>
      </c>
      <c r="AA1034" s="240">
        <v>3.7875772087826443E-2</v>
      </c>
    </row>
    <row r="1035" spans="19:27" x14ac:dyDescent="0.2">
      <c r="S1035" s="199"/>
      <c r="T1035" s="200"/>
      <c r="W1035" s="233" t="str">
        <f t="shared" si="22"/>
        <v>1w</v>
      </c>
      <c r="X1035" s="234">
        <f>_xll.qlCalendarAdvance(Calendar,X1034,W1035,"f",FALSE)</f>
        <v>46070</v>
      </c>
      <c r="Y1035" s="237">
        <f>_xll.qlCalendarAdvance(Calendar,X1035,NDays&amp;"D")</f>
        <v>46070</v>
      </c>
      <c r="Z1035" s="238">
        <v>3.8729626238028558E-2</v>
      </c>
      <c r="AA1035" s="240">
        <v>3.7880440746999033E-2</v>
      </c>
    </row>
    <row r="1036" spans="19:27" x14ac:dyDescent="0.2">
      <c r="S1036" s="199"/>
      <c r="T1036" s="200"/>
      <c r="W1036" s="233" t="str">
        <f t="shared" si="22"/>
        <v>1w</v>
      </c>
      <c r="X1036" s="234">
        <f>_xll.qlCalendarAdvance(Calendar,X1035,W1036,"f",FALSE)</f>
        <v>46077</v>
      </c>
      <c r="Y1036" s="237">
        <f>_xll.qlCalendarAdvance(Calendar,X1036,NDays&amp;"D")</f>
        <v>46077</v>
      </c>
      <c r="Z1036" s="238">
        <v>3.8734236209776007E-2</v>
      </c>
      <c r="AA1036" s="240">
        <v>3.788511564924768E-2</v>
      </c>
    </row>
    <row r="1037" spans="19:27" x14ac:dyDescent="0.2">
      <c r="S1037" s="199"/>
      <c r="T1037" s="200"/>
      <c r="W1037" s="233" t="str">
        <f t="shared" si="22"/>
        <v>1w</v>
      </c>
      <c r="X1037" s="234">
        <f>_xll.qlCalendarAdvance(Calendar,X1036,W1037,"f",FALSE)</f>
        <v>46084</v>
      </c>
      <c r="Y1037" s="237">
        <f>_xll.qlCalendarAdvance(Calendar,X1037,NDays&amp;"D")</f>
        <v>46084</v>
      </c>
      <c r="Z1037" s="238">
        <v>3.8738827812703436E-2</v>
      </c>
      <c r="AA1037" s="240">
        <v>3.7889796794734476E-2</v>
      </c>
    </row>
    <row r="1038" spans="19:27" x14ac:dyDescent="0.2">
      <c r="S1038" s="199"/>
      <c r="T1038" s="200"/>
      <c r="W1038" s="233" t="str">
        <f t="shared" si="22"/>
        <v>1w</v>
      </c>
      <c r="X1038" s="234">
        <f>_xll.qlCalendarAdvance(Calendar,X1037,W1038,"f",FALSE)</f>
        <v>46091</v>
      </c>
      <c r="Y1038" s="237">
        <f>_xll.qlCalendarAdvance(Calendar,X1038,NDays&amp;"D")</f>
        <v>46091</v>
      </c>
      <c r="Z1038" s="238">
        <v>3.8743400321082921E-2</v>
      </c>
      <c r="AA1038" s="240">
        <v>3.7894484183540467E-2</v>
      </c>
    </row>
    <row r="1039" spans="19:27" x14ac:dyDescent="0.2">
      <c r="S1039" s="199"/>
      <c r="T1039" s="200"/>
      <c r="W1039" s="233" t="str">
        <f t="shared" si="22"/>
        <v>1w</v>
      </c>
      <c r="X1039" s="234">
        <f>_xll.qlCalendarAdvance(Calendar,X1038,W1039,"f",FALSE)</f>
        <v>46098</v>
      </c>
      <c r="Y1039" s="237">
        <f>_xll.qlCalendarAdvance(Calendar,X1039,NDays&amp;"D")</f>
        <v>46098</v>
      </c>
      <c r="Z1039" s="238">
        <v>3.8747953009175884E-2</v>
      </c>
      <c r="AA1039" s="240">
        <v>3.789917781550356E-2</v>
      </c>
    </row>
    <row r="1040" spans="19:27" x14ac:dyDescent="0.2">
      <c r="S1040" s="199"/>
      <c r="T1040" s="200"/>
      <c r="W1040" s="233" t="str">
        <f t="shared" si="22"/>
        <v>1w</v>
      </c>
      <c r="X1040" s="234">
        <f>_xll.qlCalendarAdvance(Calendar,X1039,W1040,"f",FALSE)</f>
        <v>46105</v>
      </c>
      <c r="Y1040" s="237">
        <f>_xll.qlCalendarAdvance(Calendar,X1040,NDays&amp;"D")</f>
        <v>46105</v>
      </c>
      <c r="Z1040" s="238">
        <v>3.8752485151230864E-2</v>
      </c>
      <c r="AA1040" s="240">
        <v>3.7903877690623755E-2</v>
      </c>
    </row>
    <row r="1041" spans="19:27" x14ac:dyDescent="0.2">
      <c r="S1041" s="199"/>
      <c r="T1041" s="200"/>
      <c r="W1041" s="233" t="str">
        <f t="shared" si="22"/>
        <v>1w</v>
      </c>
      <c r="X1041" s="234">
        <f>_xll.qlCalendarAdvance(Calendar,X1040,W1041,"f",FALSE)</f>
        <v>46112</v>
      </c>
      <c r="Y1041" s="237">
        <f>_xll.qlCalendarAdvance(Calendar,X1041,NDays&amp;"D")</f>
        <v>46112</v>
      </c>
      <c r="Z1041" s="238">
        <v>3.8756996021485968E-2</v>
      </c>
      <c r="AA1041" s="240">
        <v>3.7908583808982099E-2</v>
      </c>
    </row>
    <row r="1042" spans="19:27" x14ac:dyDescent="0.2">
      <c r="S1042" s="199"/>
      <c r="T1042" s="200"/>
      <c r="W1042" s="233" t="str">
        <f t="shared" si="22"/>
        <v>1w</v>
      </c>
      <c r="X1042" s="234">
        <f>_xll.qlCalendarAdvance(Calendar,X1041,W1042,"f",FALSE)</f>
        <v>46119</v>
      </c>
      <c r="Y1042" s="237">
        <f>_xll.qlCalendarAdvance(Calendar,X1042,NDays&amp;"D")</f>
        <v>46119</v>
      </c>
      <c r="Z1042" s="238">
        <v>3.8761484894167975E-2</v>
      </c>
      <c r="AA1042" s="240">
        <v>3.7913296170578592E-2</v>
      </c>
    </row>
    <row r="1043" spans="19:27" x14ac:dyDescent="0.2">
      <c r="S1043" s="199"/>
      <c r="T1043" s="200"/>
      <c r="W1043" s="233" t="str">
        <f t="shared" si="22"/>
        <v>1w</v>
      </c>
      <c r="X1043" s="234">
        <f>_xll.qlCalendarAdvance(Calendar,X1042,W1043,"f",FALSE)</f>
        <v>46126</v>
      </c>
      <c r="Y1043" s="237">
        <f>_xll.qlCalendarAdvance(Calendar,X1043,NDays&amp;"D")</f>
        <v>46126</v>
      </c>
      <c r="Z1043" s="238">
        <v>3.8765951043491897E-2</v>
      </c>
      <c r="AA1043" s="240">
        <v>3.7918014775413234E-2</v>
      </c>
    </row>
    <row r="1044" spans="19:27" x14ac:dyDescent="0.2">
      <c r="S1044" s="199"/>
      <c r="T1044" s="200"/>
      <c r="W1044" s="233" t="str">
        <f t="shared" si="22"/>
        <v>1w</v>
      </c>
      <c r="X1044" s="234">
        <f>_xll.qlCalendarAdvance(Calendar,X1043,W1044,"f",FALSE)</f>
        <v>46133</v>
      </c>
      <c r="Y1044" s="237">
        <f>_xll.qlCalendarAdvance(Calendar,X1044,NDays&amp;"D")</f>
        <v>46133</v>
      </c>
      <c r="Z1044" s="238">
        <v>3.877039374366209E-2</v>
      </c>
      <c r="AA1044" s="240">
        <v>3.7922739623404977E-2</v>
      </c>
    </row>
    <row r="1045" spans="19:27" x14ac:dyDescent="0.2">
      <c r="S1045" s="199"/>
      <c r="T1045" s="200"/>
      <c r="W1045" s="233" t="str">
        <f t="shared" ref="W1045:W1108" si="23">W1044</f>
        <v>1w</v>
      </c>
      <c r="X1045" s="234">
        <f>_xll.qlCalendarAdvance(Calendar,X1044,W1045,"f",FALSE)</f>
        <v>46140</v>
      </c>
      <c r="Y1045" s="237">
        <f>_xll.qlCalendarAdvance(Calendar,X1045,NDays&amp;"D")</f>
        <v>46140</v>
      </c>
      <c r="Z1045" s="238">
        <v>3.8774812268871806E-2</v>
      </c>
      <c r="AA1045" s="240">
        <v>3.7927470714553824E-2</v>
      </c>
    </row>
    <row r="1046" spans="19:27" x14ac:dyDescent="0.2">
      <c r="S1046" s="199"/>
      <c r="T1046" s="200"/>
      <c r="W1046" s="233" t="str">
        <f t="shared" si="23"/>
        <v>1w</v>
      </c>
      <c r="X1046" s="234">
        <f>_xll.qlCalendarAdvance(Calendar,X1045,W1046,"f",FALSE)</f>
        <v>46147</v>
      </c>
      <c r="Y1046" s="237">
        <f>_xll.qlCalendarAdvance(Calendar,X1046,NDays&amp;"D")</f>
        <v>46147</v>
      </c>
      <c r="Z1046" s="238">
        <v>3.8779205893304081E-2</v>
      </c>
      <c r="AA1046" s="240">
        <v>3.7932208049021865E-2</v>
      </c>
    </row>
    <row r="1047" spans="19:27" x14ac:dyDescent="0.2">
      <c r="S1047" s="199"/>
      <c r="T1047" s="200"/>
      <c r="W1047" s="233" t="str">
        <f t="shared" si="23"/>
        <v>1w</v>
      </c>
      <c r="X1047" s="234">
        <f>_xll.qlCalendarAdvance(Calendar,X1046,W1047,"f",FALSE)</f>
        <v>46154</v>
      </c>
      <c r="Y1047" s="237">
        <f>_xll.qlCalendarAdvance(Calendar,X1047,NDays&amp;"D")</f>
        <v>46154</v>
      </c>
      <c r="Z1047" s="238">
        <v>3.8783573891131295E-2</v>
      </c>
      <c r="AA1047" s="240">
        <v>3.7936951626647009E-2</v>
      </c>
    </row>
    <row r="1048" spans="19:27" x14ac:dyDescent="0.2">
      <c r="S1048" s="199"/>
      <c r="T1048" s="200"/>
      <c r="W1048" s="233" t="str">
        <f t="shared" si="23"/>
        <v>1w</v>
      </c>
      <c r="X1048" s="234">
        <f>_xll.qlCalendarAdvance(Calendar,X1047,W1048,"f",FALSE)</f>
        <v>46161</v>
      </c>
      <c r="Y1048" s="237">
        <f>_xll.qlCalendarAdvance(Calendar,X1048,NDays&amp;"D")</f>
        <v>46161</v>
      </c>
      <c r="Z1048" s="238">
        <v>3.878791553651495E-2</v>
      </c>
      <c r="AA1048" s="240">
        <v>3.7941701447672393E-2</v>
      </c>
    </row>
    <row r="1049" spans="19:27" x14ac:dyDescent="0.2">
      <c r="S1049" s="199"/>
      <c r="T1049" s="200"/>
      <c r="W1049" s="233" t="str">
        <f t="shared" si="23"/>
        <v>1w</v>
      </c>
      <c r="X1049" s="234">
        <f>_xll.qlCalendarAdvance(Calendar,X1048,W1049,"f",FALSE)</f>
        <v>46168</v>
      </c>
      <c r="Y1049" s="237">
        <f>_xll.qlCalendarAdvance(Calendar,X1049,NDays&amp;"D")</f>
        <v>46168</v>
      </c>
      <c r="Z1049" s="238">
        <v>3.8792230103606773E-2</v>
      </c>
      <c r="AA1049" s="240">
        <v>3.7946457511692788E-2</v>
      </c>
    </row>
    <row r="1050" spans="19:27" x14ac:dyDescent="0.2">
      <c r="S1050" s="199"/>
      <c r="T1050" s="200"/>
      <c r="W1050" s="233" t="str">
        <f t="shared" si="23"/>
        <v>1w</v>
      </c>
      <c r="X1050" s="234">
        <f>_xll.qlCalendarAdvance(Calendar,X1049,W1050,"f",FALSE)</f>
        <v>46175</v>
      </c>
      <c r="Y1050" s="237">
        <f>_xll.qlCalendarAdvance(Calendar,X1050,NDays&amp;"D")</f>
        <v>46175</v>
      </c>
      <c r="Z1050" s="238">
        <v>3.8796516866548725E-2</v>
      </c>
      <c r="AA1050" s="240">
        <v>3.7951219819032378E-2</v>
      </c>
    </row>
    <row r="1051" spans="19:27" x14ac:dyDescent="0.2">
      <c r="S1051" s="199"/>
      <c r="T1051" s="200"/>
      <c r="W1051" s="233" t="str">
        <f t="shared" si="23"/>
        <v>1w</v>
      </c>
      <c r="X1051" s="234">
        <f>_xll.qlCalendarAdvance(Calendar,X1050,W1051,"f",FALSE)</f>
        <v>46182</v>
      </c>
      <c r="Y1051" s="237">
        <f>_xll.qlCalendarAdvance(Calendar,X1051,NDays&amp;"D")</f>
        <v>46182</v>
      </c>
      <c r="Z1051" s="238">
        <v>3.8800775099472551E-2</v>
      </c>
      <c r="AA1051" s="240">
        <v>3.7955988369610116E-2</v>
      </c>
    </row>
    <row r="1052" spans="19:27" x14ac:dyDescent="0.2">
      <c r="S1052" s="199"/>
      <c r="T1052" s="200"/>
      <c r="W1052" s="233" t="str">
        <f t="shared" si="23"/>
        <v>1w</v>
      </c>
      <c r="X1052" s="234">
        <f>_xll.qlCalendarAdvance(Calendar,X1051,W1052,"f",FALSE)</f>
        <v>46189</v>
      </c>
      <c r="Y1052" s="237">
        <f>_xll.qlCalendarAdvance(Calendar,X1052,NDays&amp;"D")</f>
        <v>46189</v>
      </c>
      <c r="Z1052" s="238">
        <v>3.8805004076501115E-2</v>
      </c>
      <c r="AA1052" s="240">
        <v>3.7960763163263911E-2</v>
      </c>
    </row>
    <row r="1053" spans="19:27" x14ac:dyDescent="0.2">
      <c r="S1053" s="199"/>
      <c r="T1053" s="200"/>
      <c r="W1053" s="233" t="str">
        <f t="shared" si="23"/>
        <v>1w</v>
      </c>
      <c r="X1053" s="234">
        <f>_xll.qlCalendarAdvance(Calendar,X1052,W1053,"f",FALSE)</f>
        <v>46196</v>
      </c>
      <c r="Y1053" s="237">
        <f>_xll.qlCalendarAdvance(Calendar,X1053,NDays&amp;"D")</f>
        <v>46196</v>
      </c>
      <c r="Z1053" s="238">
        <v>3.8809203071746845E-2</v>
      </c>
      <c r="AA1053" s="240">
        <v>3.7965544200317947E-2</v>
      </c>
    </row>
    <row r="1054" spans="19:27" x14ac:dyDescent="0.2">
      <c r="S1054" s="199"/>
      <c r="T1054" s="200"/>
      <c r="W1054" s="233" t="str">
        <f t="shared" si="23"/>
        <v>1w</v>
      </c>
      <c r="X1054" s="234">
        <f>_xll.qlCalendarAdvance(Calendar,X1053,W1054,"f",FALSE)</f>
        <v>46203</v>
      </c>
      <c r="Y1054" s="237">
        <f>_xll.qlCalendarAdvance(Calendar,X1054,NDays&amp;"D")</f>
        <v>46203</v>
      </c>
      <c r="Z1054" s="238">
        <v>3.8813371359611049E-2</v>
      </c>
      <c r="AA1054" s="240">
        <v>3.7970330613252834E-2</v>
      </c>
    </row>
    <row r="1055" spans="19:27" x14ac:dyDescent="0.2">
      <c r="S1055" s="199"/>
      <c r="T1055" s="200"/>
      <c r="W1055" s="233" t="str">
        <f t="shared" si="23"/>
        <v>1w</v>
      </c>
      <c r="X1055" s="234">
        <f>_xll.qlCalendarAdvance(Calendar,X1054,W1055,"f",FALSE)</f>
        <v>46210</v>
      </c>
      <c r="Y1055" s="237">
        <f>_xll.qlCalendarAdvance(Calendar,X1055,NDays&amp;"D")</f>
        <v>46210</v>
      </c>
      <c r="Z1055" s="238">
        <v>3.8817508388748756E-2</v>
      </c>
      <c r="AA1055" s="240">
        <v>3.7975098121251216E-2</v>
      </c>
    </row>
    <row r="1056" spans="19:27" x14ac:dyDescent="0.2">
      <c r="S1056" s="199"/>
      <c r="T1056" s="200"/>
      <c r="W1056" s="233" t="str">
        <f t="shared" si="23"/>
        <v>1w</v>
      </c>
      <c r="X1056" s="234">
        <f>_xll.qlCalendarAdvance(Calendar,X1055,W1056,"f",FALSE)</f>
        <v>46217</v>
      </c>
      <c r="Y1056" s="237">
        <f>_xll.qlCalendarAdvance(Calendar,X1056,NDays&amp;"D")</f>
        <v>46217</v>
      </c>
      <c r="Z1056" s="238">
        <v>3.8821614069243893E-2</v>
      </c>
      <c r="AA1056" s="240">
        <v>3.7979835450775434E-2</v>
      </c>
    </row>
    <row r="1057" spans="19:27" x14ac:dyDescent="0.2">
      <c r="S1057" s="199"/>
      <c r="T1057" s="200"/>
      <c r="W1057" s="233" t="str">
        <f t="shared" si="23"/>
        <v>1w</v>
      </c>
      <c r="X1057" s="234">
        <f>_xll.qlCalendarAdvance(Calendar,X1056,W1057,"f",FALSE)</f>
        <v>46224</v>
      </c>
      <c r="Y1057" s="237">
        <f>_xll.qlCalendarAdvance(Calendar,X1057,NDays&amp;"D")</f>
        <v>46224</v>
      </c>
      <c r="Z1057" s="238">
        <v>3.8825688386466162E-2</v>
      </c>
      <c r="AA1057" s="240">
        <v>3.7984542601906535E-2</v>
      </c>
    </row>
    <row r="1058" spans="19:27" x14ac:dyDescent="0.2">
      <c r="S1058" s="199"/>
      <c r="T1058" s="200"/>
      <c r="W1058" s="233" t="str">
        <f t="shared" si="23"/>
        <v>1w</v>
      </c>
      <c r="X1058" s="234">
        <f>_xll.qlCalendarAdvance(Calendar,X1057,W1058,"f",FALSE)</f>
        <v>46231</v>
      </c>
      <c r="Y1058" s="237">
        <f>_xll.qlCalendarAdvance(Calendar,X1058,NDays&amp;"D")</f>
        <v>46231</v>
      </c>
      <c r="Z1058" s="238">
        <v>3.8829731325787487E-2</v>
      </c>
      <c r="AA1058" s="240">
        <v>3.7989219574644517E-2</v>
      </c>
    </row>
    <row r="1059" spans="19:27" x14ac:dyDescent="0.2">
      <c r="S1059" s="199"/>
      <c r="T1059" s="200"/>
      <c r="W1059" s="233" t="str">
        <f t="shared" si="23"/>
        <v>1w</v>
      </c>
      <c r="X1059" s="234">
        <f>_xll.qlCalendarAdvance(Calendar,X1058,W1059,"f",FALSE)</f>
        <v>46238</v>
      </c>
      <c r="Y1059" s="237">
        <f>_xll.qlCalendarAdvance(Calendar,X1059,NDays&amp;"D")</f>
        <v>46238</v>
      </c>
      <c r="Z1059" s="238">
        <v>3.8833742872582677E-2</v>
      </c>
      <c r="AA1059" s="240">
        <v>3.7993866369070428E-2</v>
      </c>
    </row>
    <row r="1060" spans="19:27" x14ac:dyDescent="0.2">
      <c r="S1060" s="199"/>
      <c r="T1060" s="200"/>
      <c r="W1060" s="233" t="str">
        <f t="shared" si="23"/>
        <v>1w</v>
      </c>
      <c r="X1060" s="234">
        <f>_xll.qlCalendarAdvance(Calendar,X1059,W1060,"f",FALSE)</f>
        <v>46245</v>
      </c>
      <c r="Y1060" s="237">
        <f>_xll.qlCalendarAdvance(Calendar,X1060,NDays&amp;"D")</f>
        <v>46245</v>
      </c>
      <c r="Z1060" s="238">
        <v>3.8837723012228764E-2</v>
      </c>
      <c r="AA1060" s="240">
        <v>3.7998482984941129E-2</v>
      </c>
    </row>
    <row r="1061" spans="19:27" x14ac:dyDescent="0.2">
      <c r="S1061" s="199"/>
      <c r="T1061" s="200"/>
      <c r="W1061" s="233" t="str">
        <f t="shared" si="23"/>
        <v>1w</v>
      </c>
      <c r="X1061" s="234">
        <f>_xll.qlCalendarAdvance(Calendar,X1060,W1061,"f",FALSE)</f>
        <v>46252</v>
      </c>
      <c r="Y1061" s="237">
        <f>_xll.qlCalendarAdvance(Calendar,X1061,NDays&amp;"D")</f>
        <v>46252</v>
      </c>
      <c r="Z1061" s="238">
        <v>3.8841671730105887E-2</v>
      </c>
      <c r="AA1061" s="240">
        <v>3.8003069422499758E-2</v>
      </c>
    </row>
    <row r="1062" spans="19:27" x14ac:dyDescent="0.2">
      <c r="S1062" s="199"/>
      <c r="T1062" s="200"/>
      <c r="W1062" s="233" t="str">
        <f t="shared" si="23"/>
        <v>1w</v>
      </c>
      <c r="X1062" s="234">
        <f>_xll.qlCalendarAdvance(Calendar,X1061,W1062,"f",FALSE)</f>
        <v>46259</v>
      </c>
      <c r="Y1062" s="237">
        <f>_xll.qlCalendarAdvance(Calendar,X1062,NDays&amp;"D")</f>
        <v>46259</v>
      </c>
      <c r="Z1062" s="238">
        <v>3.8845589011596626E-2</v>
      </c>
      <c r="AA1062" s="240">
        <v>3.8007625681503177E-2</v>
      </c>
    </row>
    <row r="1063" spans="19:27" x14ac:dyDescent="0.2">
      <c r="S1063" s="199"/>
      <c r="T1063" s="200"/>
      <c r="W1063" s="233" t="str">
        <f t="shared" si="23"/>
        <v>1w</v>
      </c>
      <c r="X1063" s="234">
        <f>_xll.qlCalendarAdvance(Calendar,X1062,W1063,"f",FALSE)</f>
        <v>46266</v>
      </c>
      <c r="Y1063" s="237">
        <f>_xll.qlCalendarAdvance(Calendar,X1063,NDays&amp;"D")</f>
        <v>46266</v>
      </c>
      <c r="Z1063" s="238">
        <v>3.8849474842086007E-2</v>
      </c>
      <c r="AA1063" s="240">
        <v>3.8012151762194524E-2</v>
      </c>
    </row>
    <row r="1064" spans="19:27" x14ac:dyDescent="0.2">
      <c r="S1064" s="199"/>
      <c r="T1064" s="200"/>
      <c r="W1064" s="233" t="str">
        <f t="shared" si="23"/>
        <v>1w</v>
      </c>
      <c r="X1064" s="234">
        <f>_xll.qlCalendarAdvance(Calendar,X1063,W1064,"f",FALSE)</f>
        <v>46273</v>
      </c>
      <c r="Y1064" s="237">
        <f>_xll.qlCalendarAdvance(Calendar,X1064,NDays&amp;"D")</f>
        <v>46273</v>
      </c>
      <c r="Z1064" s="238">
        <v>3.8853329206962162E-2</v>
      </c>
      <c r="AA1064" s="240">
        <v>3.8016647664411707E-2</v>
      </c>
    </row>
    <row r="1065" spans="19:27" x14ac:dyDescent="0.2">
      <c r="S1065" s="199"/>
      <c r="T1065" s="200"/>
      <c r="W1065" s="233" t="str">
        <f t="shared" si="23"/>
        <v>1w</v>
      </c>
      <c r="X1065" s="234">
        <f>_xll.qlCalendarAdvance(Calendar,X1064,W1065,"f",FALSE)</f>
        <v>46280</v>
      </c>
      <c r="Y1065" s="237">
        <f>_xll.qlCalendarAdvance(Calendar,X1065,NDays&amp;"D")</f>
        <v>46280</v>
      </c>
      <c r="Z1065" s="238">
        <v>3.8857152091615443E-2</v>
      </c>
      <c r="AA1065" s="240">
        <v>3.8021113388316818E-2</v>
      </c>
    </row>
    <row r="1066" spans="19:27" x14ac:dyDescent="0.2">
      <c r="S1066" s="199"/>
      <c r="T1066" s="200"/>
      <c r="W1066" s="233" t="str">
        <f t="shared" si="23"/>
        <v>1w</v>
      </c>
      <c r="X1066" s="234">
        <f>_xll.qlCalendarAdvance(Calendar,X1065,W1066,"f",FALSE)</f>
        <v>46287</v>
      </c>
      <c r="Y1066" s="237">
        <f>_xll.qlCalendarAdvance(Calendar,X1066,NDays&amp;"D")</f>
        <v>46287</v>
      </c>
      <c r="Z1066" s="238">
        <v>3.886094348143887E-2</v>
      </c>
      <c r="AA1066" s="240">
        <v>3.8025548933747766E-2</v>
      </c>
    </row>
    <row r="1067" spans="19:27" x14ac:dyDescent="0.2">
      <c r="S1067" s="199"/>
      <c r="T1067" s="200"/>
      <c r="W1067" s="233" t="str">
        <f t="shared" si="23"/>
        <v>1w</v>
      </c>
      <c r="X1067" s="234">
        <f>_xll.qlCalendarAdvance(Calendar,X1066,W1067,"f",FALSE)</f>
        <v>46294</v>
      </c>
      <c r="Y1067" s="237">
        <f>_xll.qlCalendarAdvance(Calendar,X1067,NDays&amp;"D")</f>
        <v>46294</v>
      </c>
      <c r="Z1067" s="238">
        <v>3.8864703361828568E-2</v>
      </c>
      <c r="AA1067" s="240">
        <v>3.8029954300704549E-2</v>
      </c>
    </row>
    <row r="1068" spans="19:27" x14ac:dyDescent="0.2">
      <c r="S1068" s="199"/>
      <c r="T1068" s="200"/>
      <c r="W1068" s="233" t="str">
        <f t="shared" si="23"/>
        <v>1w</v>
      </c>
      <c r="X1068" s="234">
        <f>_xll.qlCalendarAdvance(Calendar,X1067,W1068,"f",FALSE)</f>
        <v>46301</v>
      </c>
      <c r="Y1068" s="237">
        <f>_xll.qlCalendarAdvance(Calendar,X1068,NDays&amp;"D")</f>
        <v>46301</v>
      </c>
      <c r="Z1068" s="238">
        <v>3.8868431718182661E-2</v>
      </c>
      <c r="AA1068" s="240">
        <v>3.8034329489268215E-2</v>
      </c>
    </row>
    <row r="1069" spans="19:27" x14ac:dyDescent="0.2">
      <c r="S1069" s="199"/>
      <c r="T1069" s="200"/>
      <c r="W1069" s="233" t="str">
        <f t="shared" si="23"/>
        <v>1w</v>
      </c>
      <c r="X1069" s="234">
        <f>_xll.qlCalendarAdvance(Calendar,X1068,W1069,"f",FALSE)</f>
        <v>46308</v>
      </c>
      <c r="Y1069" s="237">
        <f>_xll.qlCalendarAdvance(Calendar,X1069,NDays&amp;"D")</f>
        <v>46308</v>
      </c>
      <c r="Z1069" s="238">
        <v>3.8872128535902606E-2</v>
      </c>
      <c r="AA1069" s="240">
        <v>3.8038674499438763E-2</v>
      </c>
    </row>
    <row r="1070" spans="19:27" x14ac:dyDescent="0.2">
      <c r="S1070" s="199"/>
      <c r="T1070" s="200"/>
      <c r="W1070" s="233" t="str">
        <f t="shared" si="23"/>
        <v>1w</v>
      </c>
      <c r="X1070" s="234">
        <f>_xll.qlCalendarAdvance(Calendar,X1069,W1070,"f",FALSE)</f>
        <v>46315</v>
      </c>
      <c r="Y1070" s="237">
        <f>_xll.qlCalendarAdvance(Calendar,X1070,NDays&amp;"D")</f>
        <v>46315</v>
      </c>
      <c r="Z1070" s="238">
        <v>3.8875793800391856E-2</v>
      </c>
      <c r="AA1070" s="240">
        <v>3.8042989331216193E-2</v>
      </c>
    </row>
    <row r="1071" spans="19:27" x14ac:dyDescent="0.2">
      <c r="S1071" s="199"/>
      <c r="T1071" s="200"/>
      <c r="W1071" s="233" t="str">
        <f t="shared" si="23"/>
        <v>1w</v>
      </c>
      <c r="X1071" s="234">
        <f>_xll.qlCalendarAdvance(Calendar,X1070,W1071,"f",FALSE)</f>
        <v>46322</v>
      </c>
      <c r="Y1071" s="237">
        <f>_xll.qlCalendarAdvance(Calendar,X1071,NDays&amp;"D")</f>
        <v>46322</v>
      </c>
      <c r="Z1071" s="238">
        <v>3.8879427497057195E-2</v>
      </c>
      <c r="AA1071" s="240">
        <v>3.8047273984438412E-2</v>
      </c>
    </row>
    <row r="1072" spans="19:27" x14ac:dyDescent="0.2">
      <c r="S1072" s="199"/>
      <c r="T1072" s="200"/>
      <c r="W1072" s="233" t="str">
        <f t="shared" si="23"/>
        <v>1w</v>
      </c>
      <c r="X1072" s="234">
        <f>_xll.qlCalendarAdvance(Calendar,X1071,W1072,"f",FALSE)</f>
        <v>46329</v>
      </c>
      <c r="Y1072" s="237">
        <f>_xll.qlCalendarAdvance(Calendar,X1072,NDays&amp;"D")</f>
        <v>46329</v>
      </c>
      <c r="Z1072" s="238">
        <v>3.8883029611307407E-2</v>
      </c>
      <c r="AA1072" s="240">
        <v>3.805152845934856E-2</v>
      </c>
    </row>
    <row r="1073" spans="19:27" x14ac:dyDescent="0.2">
      <c r="S1073" s="199"/>
      <c r="T1073" s="200"/>
      <c r="W1073" s="233" t="str">
        <f t="shared" si="23"/>
        <v>1w</v>
      </c>
      <c r="X1073" s="234">
        <f>_xll.qlCalendarAdvance(Calendar,X1072,W1073,"f",FALSE)</f>
        <v>46336</v>
      </c>
      <c r="Y1073" s="237">
        <f>_xll.qlCalendarAdvance(Calendar,X1073,NDays&amp;"D")</f>
        <v>46336</v>
      </c>
      <c r="Z1073" s="238">
        <v>3.8886600128554605E-2</v>
      </c>
      <c r="AA1073" s="240">
        <v>3.8055752755865591E-2</v>
      </c>
    </row>
    <row r="1074" spans="19:27" x14ac:dyDescent="0.2">
      <c r="S1074" s="199"/>
      <c r="T1074" s="200"/>
      <c r="W1074" s="233" t="str">
        <f t="shared" si="23"/>
        <v>1w</v>
      </c>
      <c r="X1074" s="234">
        <f>_xll.qlCalendarAdvance(Calendar,X1073,W1074,"f",FALSE)</f>
        <v>46343</v>
      </c>
      <c r="Y1074" s="237">
        <f>_xll.qlCalendarAdvance(Calendar,X1074,NDays&amp;"D")</f>
        <v>46343</v>
      </c>
      <c r="Z1074" s="238">
        <v>3.8890139034213345E-2</v>
      </c>
      <c r="AA1074" s="240">
        <v>3.805994687382741E-2</v>
      </c>
    </row>
    <row r="1075" spans="19:27" x14ac:dyDescent="0.2">
      <c r="S1075" s="199"/>
      <c r="T1075" s="200"/>
      <c r="W1075" s="233" t="str">
        <f t="shared" si="23"/>
        <v>1w</v>
      </c>
      <c r="X1075" s="234">
        <f>_xll.qlCalendarAdvance(Calendar,X1074,W1075,"f",FALSE)</f>
        <v>46350</v>
      </c>
      <c r="Y1075" s="237">
        <f>_xll.qlCalendarAdvance(Calendar,X1075,NDays&amp;"D")</f>
        <v>46350</v>
      </c>
      <c r="Z1075" s="238">
        <v>3.8893646313700625E-2</v>
      </c>
      <c r="AA1075" s="240">
        <v>3.8064110813396113E-2</v>
      </c>
    </row>
    <row r="1076" spans="19:27" x14ac:dyDescent="0.2">
      <c r="S1076" s="199"/>
      <c r="T1076" s="200"/>
      <c r="W1076" s="233" t="str">
        <f t="shared" si="23"/>
        <v>1w</v>
      </c>
      <c r="X1076" s="234">
        <f>_xll.qlCalendarAdvance(Calendar,X1075,W1076,"f",FALSE)</f>
        <v>46357</v>
      </c>
      <c r="Y1076" s="237">
        <f>_xll.qlCalendarAdvance(Calendar,X1076,NDays&amp;"D")</f>
        <v>46357</v>
      </c>
      <c r="Z1076" s="238">
        <v>3.8897121952436553E-2</v>
      </c>
      <c r="AA1076" s="240">
        <v>3.8068244574571697E-2</v>
      </c>
    </row>
    <row r="1077" spans="19:27" x14ac:dyDescent="0.2">
      <c r="S1077" s="199"/>
      <c r="T1077" s="200"/>
      <c r="W1077" s="233" t="str">
        <f t="shared" si="23"/>
        <v>1w</v>
      </c>
      <c r="X1077" s="234">
        <f>_xll.qlCalendarAdvance(Calendar,X1076,W1077,"f",FALSE)</f>
        <v>46364</v>
      </c>
      <c r="Y1077" s="237">
        <f>_xll.qlCalendarAdvance(Calendar,X1077,NDays&amp;"D")</f>
        <v>46364</v>
      </c>
      <c r="Z1077" s="238">
        <v>3.8900565935843678E-2</v>
      </c>
      <c r="AA1077" s="240">
        <v>3.807234815743521E-2</v>
      </c>
    </row>
    <row r="1078" spans="19:27" x14ac:dyDescent="0.2">
      <c r="S1078" s="199"/>
      <c r="T1078" s="200"/>
      <c r="W1078" s="233" t="str">
        <f t="shared" si="23"/>
        <v>1w</v>
      </c>
      <c r="X1078" s="234">
        <f>_xll.qlCalendarAdvance(Calendar,X1077,W1078,"f",FALSE)</f>
        <v>46371</v>
      </c>
      <c r="Y1078" s="237">
        <f>_xll.qlCalendarAdvance(Calendar,X1078,NDays&amp;"D")</f>
        <v>46371</v>
      </c>
      <c r="Z1078" s="238">
        <v>3.8903978249346993E-2</v>
      </c>
      <c r="AA1078" s="240">
        <v>3.8076421561662466E-2</v>
      </c>
    </row>
    <row r="1079" spans="19:27" x14ac:dyDescent="0.2">
      <c r="S1079" s="199"/>
      <c r="T1079" s="200"/>
      <c r="W1079" s="233" t="str">
        <f t="shared" si="23"/>
        <v>1w</v>
      </c>
      <c r="X1079" s="234">
        <f>_xll.qlCalendarAdvance(Calendar,X1078,W1079,"f",FALSE)</f>
        <v>46378</v>
      </c>
      <c r="Y1079" s="237">
        <f>_xll.qlCalendarAdvance(Calendar,X1079,NDays&amp;"D")</f>
        <v>46378</v>
      </c>
      <c r="Z1079" s="238">
        <v>3.8907358878375042E-2</v>
      </c>
      <c r="AA1079" s="240">
        <v>3.8080464787496604E-2</v>
      </c>
    </row>
    <row r="1080" spans="19:27" x14ac:dyDescent="0.2">
      <c r="S1080" s="199"/>
      <c r="T1080" s="200"/>
      <c r="W1080" s="233" t="str">
        <f t="shared" si="23"/>
        <v>1w</v>
      </c>
      <c r="X1080" s="234">
        <f>_xll.qlCalendarAdvance(Calendar,X1079,W1080,"f",FALSE)</f>
        <v>46385</v>
      </c>
      <c r="Y1080" s="237">
        <f>_xll.qlCalendarAdvance(Calendar,X1080,NDays&amp;"D")</f>
        <v>46385</v>
      </c>
      <c r="Z1080" s="238">
        <v>3.8910707808358147E-2</v>
      </c>
      <c r="AA1080" s="240">
        <v>3.8084477835018671E-2</v>
      </c>
    </row>
    <row r="1081" spans="19:27" x14ac:dyDescent="0.2">
      <c r="S1081" s="199"/>
      <c r="T1081" s="200"/>
      <c r="W1081" s="233" t="str">
        <f t="shared" si="23"/>
        <v>1w</v>
      </c>
      <c r="X1081" s="234">
        <f>_xll.qlCalendarAdvance(Calendar,X1080,W1081,"f",FALSE)</f>
        <v>46392</v>
      </c>
      <c r="Y1081" s="237">
        <f>_xll.qlCalendarAdvance(Calendar,X1081,NDays&amp;"D")</f>
        <v>46392</v>
      </c>
      <c r="Z1081" s="238">
        <v>3.8914025024729959E-2</v>
      </c>
      <c r="AA1081" s="240">
        <v>3.8088460703985527E-2</v>
      </c>
    </row>
    <row r="1082" spans="19:27" x14ac:dyDescent="0.2">
      <c r="S1082" s="199"/>
      <c r="T1082" s="200"/>
      <c r="W1082" s="233" t="str">
        <f t="shared" si="23"/>
        <v>1w</v>
      </c>
      <c r="X1082" s="234">
        <f>_xll.qlCalendarAdvance(Calendar,X1081,W1082,"f",FALSE)</f>
        <v>46399</v>
      </c>
      <c r="Y1082" s="237">
        <f>_xll.qlCalendarAdvance(Calendar,X1082,NDays&amp;"D")</f>
        <v>46399</v>
      </c>
      <c r="Z1082" s="238">
        <v>3.8917310512926573E-2</v>
      </c>
      <c r="AA1082" s="240">
        <v>3.8092413394559266E-2</v>
      </c>
    </row>
    <row r="1083" spans="19:27" x14ac:dyDescent="0.2">
      <c r="S1083" s="199"/>
      <c r="T1083" s="200"/>
      <c r="W1083" s="233" t="str">
        <f t="shared" si="23"/>
        <v>1w</v>
      </c>
      <c r="X1083" s="234">
        <f>_xll.qlCalendarAdvance(Calendar,X1082,W1083,"f",FALSE)</f>
        <v>46406</v>
      </c>
      <c r="Y1083" s="237">
        <f>_xll.qlCalendarAdvance(Calendar,X1083,NDays&amp;"D")</f>
        <v>46406</v>
      </c>
      <c r="Z1083" s="238">
        <v>3.8920564258386747E-2</v>
      </c>
      <c r="AA1083" s="240">
        <v>3.809633590665884E-2</v>
      </c>
    </row>
    <row r="1084" spans="19:27" x14ac:dyDescent="0.2">
      <c r="S1084" s="199"/>
      <c r="T1084" s="200"/>
      <c r="W1084" s="233" t="str">
        <f t="shared" si="23"/>
        <v>1w</v>
      </c>
      <c r="X1084" s="234">
        <f>_xll.qlCalendarAdvance(Calendar,X1083,W1084,"f",FALSE)</f>
        <v>46413</v>
      </c>
      <c r="Y1084" s="237">
        <f>_xll.qlCalendarAdvance(Calendar,X1084,NDays&amp;"D")</f>
        <v>46413</v>
      </c>
      <c r="Z1084" s="238">
        <v>3.892378624655235E-2</v>
      </c>
      <c r="AA1084" s="240">
        <v>3.8100228240365297E-2</v>
      </c>
    </row>
    <row r="1085" spans="19:27" x14ac:dyDescent="0.2">
      <c r="S1085" s="199"/>
      <c r="T1085" s="200"/>
      <c r="W1085" s="233" t="str">
        <f t="shared" si="23"/>
        <v>1w</v>
      </c>
      <c r="X1085" s="234">
        <f>_xll.qlCalendarAdvance(Calendar,X1084,W1085,"f",FALSE)</f>
        <v>46420</v>
      </c>
      <c r="Y1085" s="237">
        <f>_xll.qlCalendarAdvance(Calendar,X1085,NDays&amp;"D")</f>
        <v>46420</v>
      </c>
      <c r="Z1085" s="238">
        <v>3.8926976462867469E-2</v>
      </c>
      <c r="AA1085" s="240">
        <v>3.8104090395678636E-2</v>
      </c>
    </row>
    <row r="1086" spans="19:27" x14ac:dyDescent="0.2">
      <c r="S1086" s="199"/>
      <c r="T1086" s="200"/>
      <c r="W1086" s="233" t="str">
        <f t="shared" si="23"/>
        <v>1w</v>
      </c>
      <c r="X1086" s="234">
        <f>_xll.qlCalendarAdvance(Calendar,X1085,W1086,"f",FALSE)</f>
        <v>46427</v>
      </c>
      <c r="Y1086" s="237">
        <f>_xll.qlCalendarAdvance(Calendar,X1086,NDays&amp;"D")</f>
        <v>46427</v>
      </c>
      <c r="Z1086" s="238">
        <v>3.89301348927793E-2</v>
      </c>
      <c r="AA1086" s="240">
        <v>3.8107922372436764E-2</v>
      </c>
    </row>
    <row r="1087" spans="19:27" x14ac:dyDescent="0.2">
      <c r="S1087" s="199"/>
      <c r="T1087" s="200"/>
      <c r="W1087" s="233" t="str">
        <f t="shared" si="23"/>
        <v>1w</v>
      </c>
      <c r="X1087" s="234">
        <f>_xll.qlCalendarAdvance(Calendar,X1086,W1087,"f",FALSE)</f>
        <v>46434</v>
      </c>
      <c r="Y1087" s="237">
        <f>_xll.qlCalendarAdvance(Calendar,X1087,NDays&amp;"D")</f>
        <v>46434</v>
      </c>
      <c r="Z1087" s="238">
        <v>3.8933261521737705E-2</v>
      </c>
      <c r="AA1087" s="240">
        <v>3.8111724170882821E-2</v>
      </c>
    </row>
    <row r="1088" spans="19:27" x14ac:dyDescent="0.2">
      <c r="S1088" s="199"/>
      <c r="T1088" s="200"/>
      <c r="W1088" s="233" t="str">
        <f t="shared" si="23"/>
        <v>1w</v>
      </c>
      <c r="X1088" s="234">
        <f>_xll.qlCalendarAdvance(Calendar,X1087,W1088,"f",FALSE)</f>
        <v>46441</v>
      </c>
      <c r="Y1088" s="237">
        <f>_xll.qlCalendarAdvance(Calendar,X1088,NDays&amp;"D")</f>
        <v>46441</v>
      </c>
      <c r="Z1088" s="238">
        <v>3.8936356335195654E-2</v>
      </c>
      <c r="AA1088" s="240">
        <v>3.8115495790773668E-2</v>
      </c>
    </row>
    <row r="1089" spans="19:27" x14ac:dyDescent="0.2">
      <c r="S1089" s="199"/>
      <c r="T1089" s="200"/>
      <c r="W1089" s="233" t="str">
        <f t="shared" si="23"/>
        <v>1w</v>
      </c>
      <c r="X1089" s="234">
        <f>_xll.qlCalendarAdvance(Calendar,X1088,W1089,"f",FALSE)</f>
        <v>46448</v>
      </c>
      <c r="Y1089" s="237">
        <f>_xll.qlCalendarAdvance(Calendar,X1089,NDays&amp;"D")</f>
        <v>46448</v>
      </c>
      <c r="Z1089" s="238">
        <v>3.8941667787046413E-2</v>
      </c>
      <c r="AA1089" s="240">
        <v>3.8119237232271397E-2</v>
      </c>
    </row>
    <row r="1090" spans="19:27" x14ac:dyDescent="0.2">
      <c r="S1090" s="199"/>
      <c r="T1090" s="200"/>
      <c r="W1090" s="233" t="str">
        <f t="shared" si="23"/>
        <v>1w</v>
      </c>
      <c r="X1090" s="234">
        <f>_xll.qlCalendarAdvance(Calendar,X1089,W1090,"f",FALSE)</f>
        <v>46455</v>
      </c>
      <c r="Y1090" s="237">
        <f>_xll.qlCalendarAdvance(Calendar,X1090,NDays&amp;"D")</f>
        <v>46455</v>
      </c>
      <c r="Z1090" s="238">
        <v>3.8944696956258226E-2</v>
      </c>
      <c r="AA1090" s="240">
        <v>3.8122948495294962E-2</v>
      </c>
    </row>
    <row r="1091" spans="19:27" x14ac:dyDescent="0.2">
      <c r="S1091" s="199"/>
      <c r="T1091" s="200"/>
      <c r="W1091" s="233" t="str">
        <f t="shared" si="23"/>
        <v>1w</v>
      </c>
      <c r="X1091" s="234">
        <f>_xll.qlCalendarAdvance(Calendar,X1090,W1091,"f",FALSE)</f>
        <v>46462</v>
      </c>
      <c r="Y1091" s="237">
        <f>_xll.qlCalendarAdvance(Calendar,X1091,NDays&amp;"D")</f>
        <v>46462</v>
      </c>
      <c r="Z1091" s="238">
        <v>3.8947694262395784E-2</v>
      </c>
      <c r="AA1091" s="240">
        <v>3.8126629579925408E-2</v>
      </c>
    </row>
    <row r="1092" spans="19:27" x14ac:dyDescent="0.2">
      <c r="S1092" s="199"/>
      <c r="T1092" s="200"/>
      <c r="W1092" s="233" t="str">
        <f t="shared" si="23"/>
        <v>1w</v>
      </c>
      <c r="X1092" s="234">
        <f>_xll.qlCalendarAdvance(Calendar,X1091,W1092,"f",FALSE)</f>
        <v>46469</v>
      </c>
      <c r="Y1092" s="237">
        <f>_xll.qlCalendarAdvance(Calendar,X1092,NDays&amp;"D")</f>
        <v>46469</v>
      </c>
      <c r="Z1092" s="238">
        <v>3.8950659690958893E-2</v>
      </c>
      <c r="AA1092" s="240">
        <v>3.8130280486081691E-2</v>
      </c>
    </row>
    <row r="1093" spans="19:27" x14ac:dyDescent="0.2">
      <c r="S1093" s="199"/>
      <c r="T1093" s="200"/>
      <c r="W1093" s="233" t="str">
        <f t="shared" si="23"/>
        <v>1w</v>
      </c>
      <c r="X1093" s="234">
        <f>_xll.qlCalendarAdvance(Calendar,X1092,W1093,"f",FALSE)</f>
        <v>46476</v>
      </c>
      <c r="Y1093" s="237">
        <f>_xll.qlCalendarAdvance(Calendar,X1093,NDays&amp;"D")</f>
        <v>46476</v>
      </c>
      <c r="Z1093" s="238">
        <v>3.8953593227451552E-2</v>
      </c>
      <c r="AA1093" s="240">
        <v>3.8133901213844856E-2</v>
      </c>
    </row>
    <row r="1094" spans="19:27" x14ac:dyDescent="0.2">
      <c r="S1094" s="199"/>
      <c r="T1094" s="200"/>
      <c r="W1094" s="233" t="str">
        <f t="shared" si="23"/>
        <v>1w</v>
      </c>
      <c r="X1094" s="234">
        <f>_xll.qlCalendarAdvance(Calendar,X1093,W1094,"f",FALSE)</f>
        <v>46483</v>
      </c>
      <c r="Y1094" s="237">
        <f>_xll.qlCalendarAdvance(Calendar,X1094,NDays&amp;"D")</f>
        <v>46483</v>
      </c>
      <c r="Z1094" s="238">
        <v>3.8956494857379544E-2</v>
      </c>
      <c r="AA1094" s="240">
        <v>3.8137491763052811E-2</v>
      </c>
    </row>
    <row r="1095" spans="19:27" x14ac:dyDescent="0.2">
      <c r="S1095" s="199"/>
      <c r="T1095" s="200"/>
      <c r="W1095" s="233" t="str">
        <f t="shared" si="23"/>
        <v>1w</v>
      </c>
      <c r="X1095" s="234">
        <f>_xll.qlCalendarAdvance(Calendar,X1094,W1095,"f",FALSE)</f>
        <v>46490</v>
      </c>
      <c r="Y1095" s="237">
        <f>_xll.qlCalendarAdvance(Calendar,X1095,NDays&amp;"D")</f>
        <v>46490</v>
      </c>
      <c r="Z1095" s="238">
        <v>3.8959364566251535E-2</v>
      </c>
      <c r="AA1095" s="240">
        <v>3.8141052133867648E-2</v>
      </c>
    </row>
    <row r="1096" spans="19:27" x14ac:dyDescent="0.2">
      <c r="S1096" s="199"/>
      <c r="T1096" s="200"/>
      <c r="W1096" s="233" t="str">
        <f t="shared" si="23"/>
        <v>1w</v>
      </c>
      <c r="X1096" s="234">
        <f>_xll.qlCalendarAdvance(Calendar,X1095,W1096,"f",FALSE)</f>
        <v>46497</v>
      </c>
      <c r="Y1096" s="237">
        <f>_xll.qlCalendarAdvance(Calendar,X1096,NDays&amp;"D")</f>
        <v>46497</v>
      </c>
      <c r="Z1096" s="238">
        <v>3.8962202339579498E-2</v>
      </c>
      <c r="AA1096" s="240">
        <v>3.8144582326289367E-2</v>
      </c>
    </row>
    <row r="1097" spans="19:27" x14ac:dyDescent="0.2">
      <c r="S1097" s="199"/>
      <c r="T1097" s="200"/>
      <c r="W1097" s="233" t="str">
        <f t="shared" si="23"/>
        <v>1w</v>
      </c>
      <c r="X1097" s="234">
        <f>_xll.qlCalendarAdvance(Calendar,X1096,W1097,"f",FALSE)</f>
        <v>46504</v>
      </c>
      <c r="Y1097" s="237">
        <f>_xll.qlCalendarAdvance(Calendar,X1097,NDays&amp;"D")</f>
        <v>46504</v>
      </c>
      <c r="Z1097" s="238">
        <v>3.8965008162877415E-2</v>
      </c>
      <c r="AA1097" s="240">
        <v>3.8148082340155876E-2</v>
      </c>
    </row>
    <row r="1098" spans="19:27" x14ac:dyDescent="0.2">
      <c r="S1098" s="199"/>
      <c r="T1098" s="200"/>
      <c r="W1098" s="233" t="str">
        <f t="shared" si="23"/>
        <v>1w</v>
      </c>
      <c r="X1098" s="234">
        <f>_xll.qlCalendarAdvance(Calendar,X1097,W1098,"f",FALSE)</f>
        <v>46511</v>
      </c>
      <c r="Y1098" s="237">
        <f>_xll.qlCalendarAdvance(Calendar,X1098,NDays&amp;"D")</f>
        <v>46511</v>
      </c>
      <c r="Z1098" s="238">
        <v>3.8967782021663018E-2</v>
      </c>
      <c r="AA1098" s="240">
        <v>3.8151552175629266E-2</v>
      </c>
    </row>
    <row r="1099" spans="19:27" x14ac:dyDescent="0.2">
      <c r="S1099" s="199"/>
      <c r="T1099" s="200"/>
      <c r="W1099" s="233" t="str">
        <f t="shared" si="23"/>
        <v>1w</v>
      </c>
      <c r="X1099" s="234">
        <f>_xll.qlCalendarAdvance(Calendar,X1098,W1099,"f",FALSE)</f>
        <v>46518</v>
      </c>
      <c r="Y1099" s="237">
        <f>_xll.qlCalendarAdvance(Calendar,X1099,NDays&amp;"D")</f>
        <v>46518</v>
      </c>
      <c r="Z1099" s="238">
        <v>3.8970523901456042E-2</v>
      </c>
      <c r="AA1099" s="240">
        <v>3.8154991832628493E-2</v>
      </c>
    </row>
    <row r="1100" spans="19:27" x14ac:dyDescent="0.2">
      <c r="S1100" s="199"/>
      <c r="T1100" s="200"/>
      <c r="W1100" s="233" t="str">
        <f t="shared" si="23"/>
        <v>1w</v>
      </c>
      <c r="X1100" s="234">
        <f>_xll.qlCalendarAdvance(Calendar,X1099,W1100,"f",FALSE)</f>
        <v>46525</v>
      </c>
      <c r="Y1100" s="237">
        <f>_xll.qlCalendarAdvance(Calendar,X1100,NDays&amp;"D")</f>
        <v>46525</v>
      </c>
      <c r="Z1100" s="238">
        <v>3.8973233787779539E-2</v>
      </c>
      <c r="AA1100" s="240">
        <v>3.8158401311234602E-2</v>
      </c>
    </row>
    <row r="1101" spans="19:27" x14ac:dyDescent="0.2">
      <c r="S1101" s="199"/>
      <c r="T1101" s="200"/>
      <c r="W1101" s="233" t="str">
        <f t="shared" si="23"/>
        <v>1w</v>
      </c>
      <c r="X1101" s="234">
        <f>_xll.qlCalendarAdvance(Calendar,X1100,W1101,"f",FALSE)</f>
        <v>46532</v>
      </c>
      <c r="Y1101" s="237">
        <f>_xll.qlCalendarAdvance(Calendar,X1101,NDays&amp;"D")</f>
        <v>46532</v>
      </c>
      <c r="Z1101" s="238">
        <v>3.8975911666159435E-2</v>
      </c>
      <c r="AA1101" s="240">
        <v>3.8161780611285501E-2</v>
      </c>
    </row>
    <row r="1102" spans="19:27" x14ac:dyDescent="0.2">
      <c r="S1102" s="199"/>
      <c r="T1102" s="200"/>
      <c r="W1102" s="233" t="str">
        <f t="shared" si="23"/>
        <v>1w</v>
      </c>
      <c r="X1102" s="234">
        <f>_xll.qlCalendarAdvance(Calendar,X1101,W1102,"f",FALSE)</f>
        <v>46539</v>
      </c>
      <c r="Y1102" s="237">
        <f>_xll.qlCalendarAdvance(Calendar,X1102,NDays&amp;"D")</f>
        <v>46539</v>
      </c>
      <c r="Z1102" s="238">
        <v>3.8978557522123439E-2</v>
      </c>
      <c r="AA1102" s="240">
        <v>3.8165129732943281E-2</v>
      </c>
    </row>
    <row r="1103" spans="19:27" x14ac:dyDescent="0.2">
      <c r="S1103" s="199"/>
      <c r="T1103" s="200"/>
      <c r="W1103" s="233" t="str">
        <f t="shared" si="23"/>
        <v>1w</v>
      </c>
      <c r="X1103" s="234">
        <f>_xll.qlCalendarAdvance(Calendar,X1102,W1103,"f",FALSE)</f>
        <v>46546</v>
      </c>
      <c r="Y1103" s="237">
        <f>_xll.qlCalendarAdvance(Calendar,X1103,NDays&amp;"D")</f>
        <v>46546</v>
      </c>
      <c r="Z1103" s="238">
        <v>3.8981171341203463E-2</v>
      </c>
      <c r="AA1103" s="240">
        <v>3.8168448676126898E-2</v>
      </c>
    </row>
    <row r="1104" spans="19:27" x14ac:dyDescent="0.2">
      <c r="S1104" s="199"/>
      <c r="T1104" s="200"/>
      <c r="W1104" s="233" t="str">
        <f t="shared" si="23"/>
        <v>1w</v>
      </c>
      <c r="X1104" s="234">
        <f>_xll.qlCalendarAdvance(Calendar,X1103,W1104,"f",FALSE)</f>
        <v>46553</v>
      </c>
      <c r="Y1104" s="237">
        <f>_xll.qlCalendarAdvance(Calendar,X1104,NDays&amp;"D")</f>
        <v>46553</v>
      </c>
      <c r="Z1104" s="238">
        <v>3.8983753108933622E-2</v>
      </c>
      <c r="AA1104" s="240">
        <v>3.8171737440917397E-2</v>
      </c>
    </row>
    <row r="1105" spans="19:27" x14ac:dyDescent="0.2">
      <c r="S1105" s="199"/>
      <c r="T1105" s="200"/>
      <c r="W1105" s="233" t="str">
        <f t="shared" si="23"/>
        <v>1w</v>
      </c>
      <c r="X1105" s="234">
        <f>_xll.qlCalendarAdvance(Calendar,X1104,W1105,"f",FALSE)</f>
        <v>46560</v>
      </c>
      <c r="Y1105" s="237">
        <f>_xll.qlCalendarAdvance(Calendar,X1105,NDays&amp;"D")</f>
        <v>46560</v>
      </c>
      <c r="Z1105" s="238">
        <v>3.8986302810850929E-2</v>
      </c>
      <c r="AA1105" s="240">
        <v>3.8174996027233732E-2</v>
      </c>
    </row>
    <row r="1106" spans="19:27" x14ac:dyDescent="0.2">
      <c r="S1106" s="199"/>
      <c r="T1106" s="200"/>
      <c r="W1106" s="233" t="str">
        <f t="shared" si="23"/>
        <v>1w</v>
      </c>
      <c r="X1106" s="234">
        <f>_xll.qlCalendarAdvance(Calendar,X1105,W1106,"f",FALSE)</f>
        <v>46567</v>
      </c>
      <c r="Y1106" s="237">
        <f>_xll.qlCalendarAdvance(Calendar,X1106,NDays&amp;"D")</f>
        <v>46567</v>
      </c>
      <c r="Z1106" s="238">
        <v>3.8988820433158024E-2</v>
      </c>
      <c r="AA1106" s="240">
        <v>3.8178224418056184E-2</v>
      </c>
    </row>
    <row r="1107" spans="19:27" x14ac:dyDescent="0.2">
      <c r="S1107" s="199"/>
      <c r="T1107" s="200"/>
      <c r="W1107" s="233" t="str">
        <f t="shared" si="23"/>
        <v>1w</v>
      </c>
      <c r="X1107" s="234">
        <f>_xll.qlCalendarAdvance(Calendar,X1106,W1107,"f",FALSE)</f>
        <v>46574</v>
      </c>
      <c r="Y1107" s="237">
        <f>_xll.qlCalendarAdvance(Calendar,X1107,NDays&amp;"D")</f>
        <v>46574</v>
      </c>
      <c r="Z1107" s="238">
        <v>3.8991306022757237E-2</v>
      </c>
      <c r="AA1107" s="240">
        <v>3.8181422136103205E-2</v>
      </c>
    </row>
    <row r="1108" spans="19:27" x14ac:dyDescent="0.2">
      <c r="S1108" s="199"/>
      <c r="T1108" s="200"/>
      <c r="W1108" s="233" t="str">
        <f t="shared" si="23"/>
        <v>1w</v>
      </c>
      <c r="X1108" s="234">
        <f>_xll.qlCalendarAdvance(Calendar,X1107,W1108,"f",FALSE)</f>
        <v>46581</v>
      </c>
      <c r="Y1108" s="237">
        <f>_xll.qlCalendarAdvance(Calendar,X1108,NDays&amp;"D")</f>
        <v>46581</v>
      </c>
      <c r="Z1108" s="238">
        <v>3.8993759736518065E-2</v>
      </c>
      <c r="AA1108" s="240">
        <v>3.8184588960037402E-2</v>
      </c>
    </row>
    <row r="1109" spans="19:27" x14ac:dyDescent="0.2">
      <c r="S1109" s="199"/>
      <c r="T1109" s="200"/>
      <c r="W1109" s="233" t="str">
        <f t="shared" ref="W1109:W1172" si="24">W1108</f>
        <v>1w</v>
      </c>
      <c r="X1109" s="234">
        <f>_xll.qlCalendarAdvance(Calendar,X1108,W1109,"f",FALSE)</f>
        <v>46588</v>
      </c>
      <c r="Y1109" s="237">
        <f>_xll.qlCalendarAdvance(Calendar,X1109,NDays&amp;"D")</f>
        <v>46588</v>
      </c>
      <c r="Z1109" s="238">
        <v>3.8996181743062394E-2</v>
      </c>
      <c r="AA1109" s="240">
        <v>3.8187724889696684E-2</v>
      </c>
    </row>
    <row r="1110" spans="19:27" x14ac:dyDescent="0.2">
      <c r="S1110" s="199"/>
      <c r="T1110" s="200"/>
      <c r="W1110" s="233" t="str">
        <f t="shared" si="24"/>
        <v>1w</v>
      </c>
      <c r="X1110" s="234">
        <f>_xll.qlCalendarAdvance(Calendar,X1109,W1110,"f",FALSE)</f>
        <v>46595</v>
      </c>
      <c r="Y1110" s="237">
        <f>_xll.qlCalendarAdvance(Calendar,X1110,NDays&amp;"D")</f>
        <v>46595</v>
      </c>
      <c r="Z1110" s="238">
        <v>3.8998572211016977E-2</v>
      </c>
      <c r="AA1110" s="240">
        <v>3.8190829925000003E-2</v>
      </c>
    </row>
    <row r="1111" spans="19:27" x14ac:dyDescent="0.2">
      <c r="S1111" s="199"/>
      <c r="T1111" s="200"/>
      <c r="W1111" s="233" t="str">
        <f t="shared" si="24"/>
        <v>1w</v>
      </c>
      <c r="X1111" s="234">
        <f>_xll.qlCalendarAdvance(Calendar,X1110,W1111,"f",FALSE)</f>
        <v>46602</v>
      </c>
      <c r="Y1111" s="237">
        <f>_xll.qlCalendarAdvance(Calendar,X1111,NDays&amp;"D")</f>
        <v>46602</v>
      </c>
      <c r="Z1111" s="238">
        <v>3.9000931309013658E-2</v>
      </c>
      <c r="AA1111" s="240">
        <v>3.8193904066190498E-2</v>
      </c>
    </row>
    <row r="1112" spans="19:27" x14ac:dyDescent="0.2">
      <c r="S1112" s="199"/>
      <c r="T1112" s="200"/>
      <c r="W1112" s="233" t="str">
        <f t="shared" si="24"/>
        <v>1w</v>
      </c>
      <c r="X1112" s="234">
        <f>_xll.qlCalendarAdvance(Calendar,X1111,W1112,"f",FALSE)</f>
        <v>46609</v>
      </c>
      <c r="Y1112" s="237">
        <f>_xll.qlCalendarAdvance(Calendar,X1112,NDays&amp;"D")</f>
        <v>46609</v>
      </c>
      <c r="Z1112" s="238">
        <v>3.9003259205687153E-2</v>
      </c>
      <c r="AA1112" s="240">
        <v>3.8196947313106078E-2</v>
      </c>
    </row>
    <row r="1113" spans="19:27" x14ac:dyDescent="0.2">
      <c r="S1113" s="199"/>
      <c r="T1113" s="200"/>
      <c r="W1113" s="233" t="str">
        <f t="shared" si="24"/>
        <v>1w</v>
      </c>
      <c r="X1113" s="234">
        <f>_xll.qlCalendarAdvance(Calendar,X1112,W1113,"f",FALSE)</f>
        <v>46616</v>
      </c>
      <c r="Y1113" s="237">
        <f>_xll.qlCalendarAdvance(Calendar,X1113,NDays&amp;"D")</f>
        <v>46616</v>
      </c>
      <c r="Z1113" s="238">
        <v>3.9005556069677733E-2</v>
      </c>
      <c r="AA1113" s="240">
        <v>3.8199959665827787E-2</v>
      </c>
    </row>
    <row r="1114" spans="19:27" x14ac:dyDescent="0.2">
      <c r="S1114" s="199"/>
      <c r="T1114" s="200"/>
      <c r="W1114" s="233" t="str">
        <f t="shared" si="24"/>
        <v>1w</v>
      </c>
      <c r="X1114" s="234">
        <f>_xll.qlCalendarAdvance(Calendar,X1113,W1114,"f",FALSE)</f>
        <v>46623</v>
      </c>
      <c r="Y1114" s="237">
        <f>_xll.qlCalendarAdvance(Calendar,X1114,NDays&amp;"D")</f>
        <v>46623</v>
      </c>
      <c r="Z1114" s="238">
        <v>3.9007822069629862E-2</v>
      </c>
      <c r="AA1114" s="240">
        <v>3.8202941124274581E-2</v>
      </c>
    </row>
    <row r="1115" spans="19:27" x14ac:dyDescent="0.2">
      <c r="S1115" s="199"/>
      <c r="T1115" s="200"/>
      <c r="W1115" s="233" t="str">
        <f t="shared" si="24"/>
        <v>1w</v>
      </c>
      <c r="X1115" s="234">
        <f>_xll.qlCalendarAdvance(Calendar,X1114,W1115,"f",FALSE)</f>
        <v>46630</v>
      </c>
      <c r="Y1115" s="237">
        <f>_xll.qlCalendarAdvance(Calendar,X1115,NDays&amp;"D")</f>
        <v>46630</v>
      </c>
      <c r="Z1115" s="238">
        <v>3.9010057374191984E-2</v>
      </c>
      <c r="AA1115" s="240">
        <v>3.8205891688446458E-2</v>
      </c>
    </row>
    <row r="1116" spans="19:27" x14ac:dyDescent="0.2">
      <c r="S1116" s="199"/>
      <c r="T1116" s="200"/>
      <c r="W1116" s="233" t="str">
        <f t="shared" si="24"/>
        <v>1w</v>
      </c>
      <c r="X1116" s="234">
        <f>_xll.qlCalendarAdvance(Calendar,X1115,W1116,"f",FALSE)</f>
        <v>46637</v>
      </c>
      <c r="Y1116" s="237">
        <f>_xll.qlCalendarAdvance(Calendar,X1116,NDays&amp;"D")</f>
        <v>46637</v>
      </c>
      <c r="Z1116" s="238">
        <v>3.9012262152016766E-2</v>
      </c>
      <c r="AA1116" s="240">
        <v>3.8208811358424466E-2</v>
      </c>
    </row>
    <row r="1117" spans="19:27" x14ac:dyDescent="0.2">
      <c r="S1117" s="199"/>
      <c r="T1117" s="200"/>
      <c r="W1117" s="233" t="str">
        <f t="shared" si="24"/>
        <v>1w</v>
      </c>
      <c r="X1117" s="234">
        <f>_xll.qlCalendarAdvance(Calendar,X1116,W1117,"f",FALSE)</f>
        <v>46644</v>
      </c>
      <c r="Y1117" s="237">
        <f>_xll.qlCalendarAdvance(Calendar,X1117,NDays&amp;"D")</f>
        <v>46644</v>
      </c>
      <c r="Z1117" s="238">
        <v>3.9014436571760416E-2</v>
      </c>
      <c r="AA1117" s="240">
        <v>3.8211700134127558E-2</v>
      </c>
    </row>
    <row r="1118" spans="19:27" x14ac:dyDescent="0.2">
      <c r="S1118" s="199"/>
      <c r="T1118" s="200"/>
      <c r="W1118" s="233" t="str">
        <f t="shared" si="24"/>
        <v>1w</v>
      </c>
      <c r="X1118" s="234">
        <f>_xll.qlCalendarAdvance(Calendar,X1117,W1118,"f",FALSE)</f>
        <v>46651</v>
      </c>
      <c r="Y1118" s="237">
        <f>_xll.qlCalendarAdvance(Calendar,X1118,NDays&amp;"D")</f>
        <v>46651</v>
      </c>
      <c r="Z1118" s="238">
        <v>3.9016580802084665E-2</v>
      </c>
      <c r="AA1118" s="240">
        <v>3.8214558015474687E-2</v>
      </c>
    </row>
    <row r="1119" spans="19:27" x14ac:dyDescent="0.2">
      <c r="S1119" s="199"/>
      <c r="T1119" s="200"/>
      <c r="W1119" s="233" t="str">
        <f t="shared" si="24"/>
        <v>1w</v>
      </c>
      <c r="X1119" s="234">
        <f>_xll.qlCalendarAdvance(Calendar,X1118,W1119,"f",FALSE)</f>
        <v>46658</v>
      </c>
      <c r="Y1119" s="237">
        <f>_xll.qlCalendarAdvance(Calendar,X1119,NDays&amp;"D")</f>
        <v>46658</v>
      </c>
      <c r="Z1119" s="238">
        <v>3.9018695011654357E-2</v>
      </c>
      <c r="AA1119" s="240">
        <v>3.8217385002790039E-2</v>
      </c>
    </row>
    <row r="1120" spans="19:27" x14ac:dyDescent="0.2">
      <c r="S1120" s="199"/>
      <c r="T1120" s="200"/>
      <c r="W1120" s="233" t="str">
        <f t="shared" si="24"/>
        <v>1w</v>
      </c>
      <c r="X1120" s="234">
        <f>_xll.qlCalendarAdvance(Calendar,X1119,W1120,"f",FALSE)</f>
        <v>46665</v>
      </c>
      <c r="Y1120" s="237">
        <f>_xll.qlCalendarAdvance(Calendar,X1120,NDays&amp;"D")</f>
        <v>46665</v>
      </c>
      <c r="Z1120" s="238">
        <v>3.9020779369137872E-2</v>
      </c>
      <c r="AA1120" s="240">
        <v>3.8220181095749428E-2</v>
      </c>
    </row>
    <row r="1121" spans="19:27" x14ac:dyDescent="0.2">
      <c r="S1121" s="199"/>
      <c r="T1121" s="200"/>
      <c r="W1121" s="233" t="str">
        <f t="shared" si="24"/>
        <v>1w</v>
      </c>
      <c r="X1121" s="234">
        <f>_xll.qlCalendarAdvance(Calendar,X1120,W1121,"f",FALSE)</f>
        <v>46672</v>
      </c>
      <c r="Y1121" s="237">
        <f>_xll.qlCalendarAdvance(Calendar,X1121,NDays&amp;"D")</f>
        <v>46672</v>
      </c>
      <c r="Z1121" s="238">
        <v>3.9022834043208908E-2</v>
      </c>
      <c r="AA1121" s="240">
        <v>3.8222946294514948E-2</v>
      </c>
    </row>
    <row r="1122" spans="19:27" x14ac:dyDescent="0.2">
      <c r="S1122" s="199"/>
      <c r="T1122" s="200"/>
      <c r="W1122" s="233" t="str">
        <f t="shared" si="24"/>
        <v>1w</v>
      </c>
      <c r="X1122" s="234">
        <f>_xll.qlCalendarAdvance(Calendar,X1121,W1122,"f",FALSE)</f>
        <v>46679</v>
      </c>
      <c r="Y1122" s="237">
        <f>_xll.qlCalendarAdvance(Calendar,X1122,NDays&amp;"D")</f>
        <v>46679</v>
      </c>
      <c r="Z1122" s="238">
        <v>3.9024859202543595E-2</v>
      </c>
      <c r="AA1122" s="240">
        <v>3.8225680598924505E-2</v>
      </c>
    </row>
    <row r="1123" spans="19:27" x14ac:dyDescent="0.2">
      <c r="S1123" s="199"/>
      <c r="T1123" s="200"/>
      <c r="W1123" s="233" t="str">
        <f t="shared" si="24"/>
        <v>1w</v>
      </c>
      <c r="X1123" s="234">
        <f>_xll.qlCalendarAdvance(Calendar,X1122,W1123,"f",FALSE)</f>
        <v>46686</v>
      </c>
      <c r="Y1123" s="237">
        <f>_xll.qlCalendarAdvance(Calendar,X1123,NDays&amp;"D")</f>
        <v>46686</v>
      </c>
      <c r="Z1123" s="238">
        <v>3.9026855015823161E-2</v>
      </c>
      <c r="AA1123" s="240">
        <v>3.8228384009221239E-2</v>
      </c>
    </row>
    <row r="1124" spans="19:27" x14ac:dyDescent="0.2">
      <c r="S1124" s="199"/>
      <c r="T1124" s="200"/>
      <c r="W1124" s="233" t="str">
        <f t="shared" si="24"/>
        <v>1w</v>
      </c>
      <c r="X1124" s="234">
        <f>_xll.qlCalendarAdvance(Calendar,X1123,W1124,"f",FALSE)</f>
        <v>46693</v>
      </c>
      <c r="Y1124" s="237">
        <f>_xll.qlCalendarAdvance(Calendar,X1124,NDays&amp;"D")</f>
        <v>46693</v>
      </c>
      <c r="Z1124" s="238">
        <v>3.9028821651731715E-2</v>
      </c>
      <c r="AA1124" s="240">
        <v>3.823105652516201E-2</v>
      </c>
    </row>
    <row r="1125" spans="19:27" x14ac:dyDescent="0.2">
      <c r="S1125" s="199"/>
      <c r="T1125" s="200"/>
      <c r="W1125" s="233" t="str">
        <f t="shared" si="24"/>
        <v>1w</v>
      </c>
      <c r="X1125" s="234">
        <f>_xll.qlCalendarAdvance(Calendar,X1124,W1125,"f",FALSE)</f>
        <v>46700</v>
      </c>
      <c r="Y1125" s="237">
        <f>_xll.qlCalendarAdvance(Calendar,X1125,NDays&amp;"D")</f>
        <v>46700</v>
      </c>
      <c r="Z1125" s="238">
        <v>3.9030759278957557E-2</v>
      </c>
      <c r="AA1125" s="240">
        <v>3.8233698146908912E-2</v>
      </c>
    </row>
    <row r="1126" spans="19:27" x14ac:dyDescent="0.2">
      <c r="S1126" s="199"/>
      <c r="T1126" s="200"/>
      <c r="W1126" s="233" t="str">
        <f t="shared" si="24"/>
        <v>1w</v>
      </c>
      <c r="X1126" s="234">
        <f>_xll.qlCalendarAdvance(Calendar,X1125,W1126,"f",FALSE)</f>
        <v>46707</v>
      </c>
      <c r="Y1126" s="237">
        <f>_xll.qlCalendarAdvance(Calendar,X1126,NDays&amp;"D")</f>
        <v>46707</v>
      </c>
      <c r="Z1126" s="238">
        <v>3.9032668066192329E-2</v>
      </c>
      <c r="AA1126" s="240">
        <v>3.8236308874380898E-2</v>
      </c>
    </row>
    <row r="1127" spans="19:27" x14ac:dyDescent="0.2">
      <c r="S1127" s="199"/>
      <c r="T1127" s="200"/>
      <c r="W1127" s="233" t="str">
        <f t="shared" si="24"/>
        <v>1w</v>
      </c>
      <c r="X1127" s="234">
        <f>_xll.qlCalendarAdvance(Calendar,X1126,W1127,"f",FALSE)</f>
        <v>46714</v>
      </c>
      <c r="Y1127" s="237">
        <f>_xll.qlCalendarAdvance(Calendar,X1127,NDays&amp;"D")</f>
        <v>46714</v>
      </c>
      <c r="Z1127" s="238">
        <v>3.9034548182132089E-2</v>
      </c>
      <c r="AA1127" s="240">
        <v>3.8238888707659013E-2</v>
      </c>
    </row>
    <row r="1128" spans="19:27" x14ac:dyDescent="0.2">
      <c r="S1128" s="199"/>
      <c r="T1128" s="200"/>
      <c r="W1128" s="233" t="str">
        <f t="shared" si="24"/>
        <v>1w</v>
      </c>
      <c r="X1128" s="234">
        <f>_xll.qlCalendarAdvance(Calendar,X1127,W1128,"f",FALSE)</f>
        <v>46721</v>
      </c>
      <c r="Y1128" s="237">
        <f>_xll.qlCalendarAdvance(Calendar,X1128,NDays&amp;"D")</f>
        <v>46721</v>
      </c>
      <c r="Z1128" s="238">
        <v>3.9036399795475782E-2</v>
      </c>
      <c r="AA1128" s="240">
        <v>3.8241437646662213E-2</v>
      </c>
    </row>
    <row r="1129" spans="19:27" x14ac:dyDescent="0.2">
      <c r="S1129" s="199"/>
      <c r="T1129" s="200"/>
      <c r="W1129" s="233" t="str">
        <f t="shared" si="24"/>
        <v>1w</v>
      </c>
      <c r="X1129" s="234">
        <f>_xll.qlCalendarAdvance(Calendar,X1128,W1129,"f",FALSE)</f>
        <v>46728</v>
      </c>
      <c r="Y1129" s="237">
        <f>_xll.qlCalendarAdvance(Calendar,X1129,NDays&amp;"D")</f>
        <v>46728</v>
      </c>
      <c r="Z1129" s="238">
        <v>3.9038223074926333E-2</v>
      </c>
      <c r="AA1129" s="240">
        <v>3.824395569130945E-2</v>
      </c>
    </row>
    <row r="1130" spans="19:27" x14ac:dyDescent="0.2">
      <c r="S1130" s="199"/>
      <c r="T1130" s="200"/>
      <c r="W1130" s="233" t="str">
        <f t="shared" si="24"/>
        <v>1w</v>
      </c>
      <c r="X1130" s="234">
        <f>_xll.qlCalendarAdvance(Calendar,X1129,W1130,"f",FALSE)</f>
        <v>46735</v>
      </c>
      <c r="Y1130" s="237">
        <f>_xll.qlCalendarAdvance(Calendar,X1130,NDays&amp;"D")</f>
        <v>46735</v>
      </c>
      <c r="Z1130" s="238">
        <v>3.9040018189189764E-2</v>
      </c>
      <c r="AA1130" s="240">
        <v>3.8246442841762818E-2</v>
      </c>
    </row>
    <row r="1131" spans="19:27" x14ac:dyDescent="0.2">
      <c r="S1131" s="199"/>
      <c r="T1131" s="200"/>
      <c r="W1131" s="233" t="str">
        <f t="shared" si="24"/>
        <v>1w</v>
      </c>
      <c r="X1131" s="234">
        <f>_xll.qlCalendarAdvance(Calendar,X1130,W1131,"f",FALSE)</f>
        <v>46742</v>
      </c>
      <c r="Y1131" s="237">
        <f>_xll.qlCalendarAdvance(Calendar,X1131,NDays&amp;"D")</f>
        <v>46742</v>
      </c>
      <c r="Z1131" s="238">
        <v>3.9041785306976315E-2</v>
      </c>
      <c r="AA1131" s="240">
        <v>3.8248899098022315E-2</v>
      </c>
    </row>
    <row r="1132" spans="19:27" x14ac:dyDescent="0.2">
      <c r="S1132" s="199"/>
      <c r="T1132" s="200"/>
      <c r="W1132" s="233" t="str">
        <f t="shared" si="24"/>
        <v>1w</v>
      </c>
      <c r="X1132" s="234">
        <f>_xll.qlCalendarAdvance(Calendar,X1131,W1132,"f",FALSE)</f>
        <v>46750</v>
      </c>
      <c r="Y1132" s="237">
        <f>_xll.qlCalendarAdvance(Calendar,X1132,NDays&amp;"D")</f>
        <v>46750</v>
      </c>
      <c r="Z1132" s="238">
        <v>3.9043770805185271E-2</v>
      </c>
      <c r="AA1132" s="240">
        <v>3.8251668418315399E-2</v>
      </c>
    </row>
    <row r="1133" spans="19:27" x14ac:dyDescent="0.2">
      <c r="S1133" s="199"/>
      <c r="T1133" s="200"/>
      <c r="W1133" s="233" t="str">
        <f t="shared" si="24"/>
        <v>1w</v>
      </c>
      <c r="X1133" s="234">
        <f>_xll.qlCalendarAdvance(Calendar,X1132,W1133,"f",FALSE)</f>
        <v>46757</v>
      </c>
      <c r="Y1133" s="237">
        <f>_xll.qlCalendarAdvance(Calendar,X1133,NDays&amp;"D")</f>
        <v>46757</v>
      </c>
      <c r="Z1133" s="238">
        <v>3.9045478498640762E-2</v>
      </c>
      <c r="AA1133" s="240">
        <v>3.8254058472568797E-2</v>
      </c>
    </row>
    <row r="1134" spans="19:27" x14ac:dyDescent="0.2">
      <c r="S1134" s="199"/>
      <c r="T1134" s="200"/>
      <c r="W1134" s="233" t="str">
        <f t="shared" si="24"/>
        <v>1w</v>
      </c>
      <c r="X1134" s="234">
        <f>_xll.qlCalendarAdvance(Calendar,X1133,W1134,"f",FALSE)</f>
        <v>46764</v>
      </c>
      <c r="Y1134" s="237">
        <f>_xll.qlCalendarAdvance(Calendar,X1134,NDays&amp;"D")</f>
        <v>46764</v>
      </c>
      <c r="Z1134" s="238">
        <v>3.9047158725871743E-2</v>
      </c>
      <c r="AA1134" s="240">
        <v>3.8256417632466233E-2</v>
      </c>
    </row>
    <row r="1135" spans="19:27" x14ac:dyDescent="0.2">
      <c r="S1135" s="199"/>
      <c r="T1135" s="200"/>
      <c r="W1135" s="233" t="str">
        <f t="shared" si="24"/>
        <v>1w</v>
      </c>
      <c r="X1135" s="234">
        <f>_xll.qlCalendarAdvance(Calendar,X1134,W1135,"f",FALSE)</f>
        <v>46771</v>
      </c>
      <c r="Y1135" s="237">
        <f>_xll.qlCalendarAdvance(Calendar,X1135,NDays&amp;"D")</f>
        <v>46771</v>
      </c>
      <c r="Z1135" s="238">
        <v>3.9048811655602193E-2</v>
      </c>
      <c r="AA1135" s="240">
        <v>3.8258745898250845E-2</v>
      </c>
    </row>
    <row r="1136" spans="19:27" x14ac:dyDescent="0.2">
      <c r="S1136" s="199"/>
      <c r="T1136" s="200"/>
      <c r="W1136" s="233" t="str">
        <f t="shared" si="24"/>
        <v>1w</v>
      </c>
      <c r="X1136" s="234">
        <f>_xll.qlCalendarAdvance(Calendar,X1135,W1136,"f",FALSE)</f>
        <v>46778</v>
      </c>
      <c r="Y1136" s="237">
        <f>_xll.qlCalendarAdvance(Calendar,X1136,NDays&amp;"D")</f>
        <v>46778</v>
      </c>
      <c r="Z1136" s="238">
        <v>3.9050437456559159E-2</v>
      </c>
      <c r="AA1136" s="240">
        <v>3.8261043269679496E-2</v>
      </c>
    </row>
    <row r="1137" spans="19:27" x14ac:dyDescent="0.2">
      <c r="S1137" s="199"/>
      <c r="T1137" s="200"/>
      <c r="W1137" s="233" t="str">
        <f t="shared" si="24"/>
        <v>1w</v>
      </c>
      <c r="X1137" s="234">
        <f>_xll.qlCalendarAdvance(Calendar,X1136,W1137,"f",FALSE)</f>
        <v>46785</v>
      </c>
      <c r="Y1137" s="237">
        <f>_xll.qlCalendarAdvance(Calendar,X1137,NDays&amp;"D")</f>
        <v>46785</v>
      </c>
      <c r="Z1137" s="238">
        <v>3.9052036297472149E-2</v>
      </c>
      <c r="AA1137" s="240">
        <v>3.8263309746995322E-2</v>
      </c>
    </row>
    <row r="1138" spans="19:27" x14ac:dyDescent="0.2">
      <c r="S1138" s="199"/>
      <c r="T1138" s="200"/>
      <c r="W1138" s="233" t="str">
        <f t="shared" si="24"/>
        <v>1w</v>
      </c>
      <c r="X1138" s="234">
        <f>_xll.qlCalendarAdvance(Calendar,X1137,W1138,"f",FALSE)</f>
        <v>46792</v>
      </c>
      <c r="Y1138" s="237">
        <f>_xll.qlCalendarAdvance(Calendar,X1138,NDays&amp;"D")</f>
        <v>46792</v>
      </c>
      <c r="Z1138" s="238">
        <v>3.9053608347074865E-2</v>
      </c>
      <c r="AA1138" s="240">
        <v>3.826554532987414E-2</v>
      </c>
    </row>
    <row r="1139" spans="19:27" x14ac:dyDescent="0.2">
      <c r="S1139" s="199"/>
      <c r="T1139" s="200"/>
      <c r="W1139" s="233" t="str">
        <f t="shared" si="24"/>
        <v>1w</v>
      </c>
      <c r="X1139" s="234">
        <f>_xll.qlCalendarAdvance(Calendar,X1138,W1139,"f",FALSE)</f>
        <v>46799</v>
      </c>
      <c r="Y1139" s="237">
        <f>_xll.qlCalendarAdvance(Calendar,X1139,NDays&amp;"D")</f>
        <v>46799</v>
      </c>
      <c r="Z1139" s="238">
        <v>3.9055153774103672E-2</v>
      </c>
      <c r="AA1139" s="240">
        <v>3.8267750018640134E-2</v>
      </c>
    </row>
    <row r="1140" spans="19:27" x14ac:dyDescent="0.2">
      <c r="S1140" s="199"/>
      <c r="T1140" s="200"/>
      <c r="W1140" s="233" t="str">
        <f t="shared" si="24"/>
        <v>1w</v>
      </c>
      <c r="X1140" s="234">
        <f>_xll.qlCalendarAdvance(Calendar,X1139,W1140,"f",FALSE)</f>
        <v>46806</v>
      </c>
      <c r="Y1140" s="237">
        <f>_xll.qlCalendarAdvance(Calendar,X1140,NDays&amp;"D")</f>
        <v>46806</v>
      </c>
      <c r="Z1140" s="238">
        <v>3.905667274729803E-2</v>
      </c>
      <c r="AA1140" s="240">
        <v>3.8269923813050166E-2</v>
      </c>
    </row>
    <row r="1141" spans="19:27" x14ac:dyDescent="0.2">
      <c r="S1141" s="199"/>
      <c r="T1141" s="200"/>
      <c r="W1141" s="233" t="str">
        <f t="shared" si="24"/>
        <v>1w</v>
      </c>
      <c r="X1141" s="234">
        <f>_xll.qlCalendarAdvance(Calendar,X1140,W1141,"f",FALSE)</f>
        <v>46813</v>
      </c>
      <c r="Y1141" s="237">
        <f>_xll.qlCalendarAdvance(Calendar,X1141,NDays&amp;"D")</f>
        <v>46813</v>
      </c>
      <c r="Z1141" s="238">
        <v>3.9056012561207165E-2</v>
      </c>
      <c r="AA1141" s="240">
        <v>3.8272066713266328E-2</v>
      </c>
    </row>
    <row r="1142" spans="19:27" x14ac:dyDescent="0.2">
      <c r="S1142" s="199"/>
      <c r="T1142" s="200"/>
      <c r="W1142" s="233" t="str">
        <f t="shared" si="24"/>
        <v>1w</v>
      </c>
      <c r="X1142" s="234">
        <f>_xll.qlCalendarAdvance(Calendar,X1141,W1142,"f",FALSE)</f>
        <v>46820</v>
      </c>
      <c r="Y1142" s="237">
        <f>_xll.qlCalendarAdvance(Calendar,X1142,NDays&amp;"D")</f>
        <v>46820</v>
      </c>
      <c r="Z1142" s="238">
        <v>3.9057480702914926E-2</v>
      </c>
      <c r="AA1142" s="240">
        <v>3.8274178719207574E-2</v>
      </c>
    </row>
    <row r="1143" spans="19:27" x14ac:dyDescent="0.2">
      <c r="S1143" s="199"/>
      <c r="T1143" s="200"/>
      <c r="W1143" s="233" t="str">
        <f t="shared" si="24"/>
        <v>1w</v>
      </c>
      <c r="X1143" s="234">
        <f>_xll.qlCalendarAdvance(Calendar,X1142,W1143,"f",FALSE)</f>
        <v>46827</v>
      </c>
      <c r="Y1143" s="237">
        <f>_xll.qlCalendarAdvance(Calendar,X1143,NDays&amp;"D")</f>
        <v>46827</v>
      </c>
      <c r="Z1143" s="238">
        <v>3.9058922892414527E-2</v>
      </c>
      <c r="AA1143" s="240">
        <v>3.8276259830873904E-2</v>
      </c>
    </row>
    <row r="1144" spans="19:27" x14ac:dyDescent="0.2">
      <c r="S1144" s="199"/>
      <c r="T1144" s="200"/>
      <c r="W1144" s="233" t="str">
        <f t="shared" si="24"/>
        <v>1w</v>
      </c>
      <c r="X1144" s="234">
        <f>_xll.qlCalendarAdvance(Calendar,X1143,W1144,"f",FALSE)</f>
        <v>46834</v>
      </c>
      <c r="Y1144" s="237">
        <f>_xll.qlCalendarAdvance(Calendar,X1144,NDays&amp;"D")</f>
        <v>46834</v>
      </c>
      <c r="Z1144" s="238">
        <v>3.9060339298901736E-2</v>
      </c>
      <c r="AA1144" s="240">
        <v>3.8278310048265318E-2</v>
      </c>
    </row>
    <row r="1145" spans="19:27" x14ac:dyDescent="0.2">
      <c r="S1145" s="199"/>
      <c r="T1145" s="200"/>
      <c r="W1145" s="233" t="str">
        <f t="shared" si="24"/>
        <v>1w</v>
      </c>
      <c r="X1145" s="234">
        <f>_xll.qlCalendarAdvance(Calendar,X1144,W1145,"f",FALSE)</f>
        <v>46841</v>
      </c>
      <c r="Y1145" s="237">
        <f>_xll.qlCalendarAdvance(Calendar,X1145,NDays&amp;"D")</f>
        <v>46841</v>
      </c>
      <c r="Z1145" s="238">
        <v>3.9061730091576541E-2</v>
      </c>
      <c r="AA1145" s="240">
        <v>3.8280329371462862E-2</v>
      </c>
    </row>
    <row r="1146" spans="19:27" x14ac:dyDescent="0.2">
      <c r="S1146" s="199"/>
      <c r="T1146" s="200"/>
      <c r="W1146" s="233" t="str">
        <f t="shared" si="24"/>
        <v>1w</v>
      </c>
      <c r="X1146" s="234">
        <f>_xll.qlCalendarAdvance(Calendar,X1145,W1146,"f",FALSE)</f>
        <v>46848</v>
      </c>
      <c r="Y1146" s="237">
        <f>_xll.qlCalendarAdvance(Calendar,X1146,NDays&amp;"D")</f>
        <v>46848</v>
      </c>
      <c r="Z1146" s="238">
        <v>3.9063095439640261E-2</v>
      </c>
      <c r="AA1146" s="240">
        <v>3.8282317800304444E-2</v>
      </c>
    </row>
    <row r="1147" spans="19:27" x14ac:dyDescent="0.2">
      <c r="S1147" s="199"/>
      <c r="T1147" s="200"/>
      <c r="W1147" s="233" t="str">
        <f t="shared" si="24"/>
        <v>1w</v>
      </c>
      <c r="X1147" s="234">
        <f>_xll.qlCalendarAdvance(Calendar,X1146,W1147,"f",FALSE)</f>
        <v>46855</v>
      </c>
      <c r="Y1147" s="237">
        <f>_xll.qlCalendarAdvance(Calendar,X1147,NDays&amp;"D")</f>
        <v>46855</v>
      </c>
      <c r="Z1147" s="238">
        <v>3.9064435512297768E-2</v>
      </c>
      <c r="AA1147" s="240">
        <v>3.8284275334952156E-2</v>
      </c>
    </row>
    <row r="1148" spans="19:27" x14ac:dyDescent="0.2">
      <c r="S1148" s="199"/>
      <c r="T1148" s="200"/>
      <c r="W1148" s="233" t="str">
        <f t="shared" si="24"/>
        <v>1w</v>
      </c>
      <c r="X1148" s="234">
        <f>_xll.qlCalendarAdvance(Calendar,X1147,W1148,"f",FALSE)</f>
        <v>46862</v>
      </c>
      <c r="Y1148" s="237">
        <f>_xll.qlCalendarAdvance(Calendar,X1148,NDays&amp;"D")</f>
        <v>46862</v>
      </c>
      <c r="Z1148" s="238">
        <v>3.90657504787566E-2</v>
      </c>
      <c r="AA1148" s="240">
        <v>3.8286201975324952E-2</v>
      </c>
    </row>
    <row r="1149" spans="19:27" x14ac:dyDescent="0.2">
      <c r="S1149" s="199"/>
      <c r="T1149" s="200"/>
      <c r="W1149" s="233" t="str">
        <f t="shared" si="24"/>
        <v>1w</v>
      </c>
      <c r="X1149" s="234">
        <f>_xll.qlCalendarAdvance(Calendar,X1148,W1149,"f",FALSE)</f>
        <v>46869</v>
      </c>
      <c r="Y1149" s="237">
        <f>_xll.qlCalendarAdvance(Calendar,X1149,NDays&amp;"D")</f>
        <v>46869</v>
      </c>
      <c r="Z1149" s="238">
        <v>3.9067040508226736E-2</v>
      </c>
      <c r="AA1149" s="240">
        <v>3.8288097721422831E-2</v>
      </c>
    </row>
    <row r="1150" spans="19:27" x14ac:dyDescent="0.2">
      <c r="S1150" s="199"/>
      <c r="T1150" s="200"/>
      <c r="W1150" s="233" t="str">
        <f t="shared" si="24"/>
        <v>1w</v>
      </c>
      <c r="X1150" s="234">
        <f>_xll.qlCalendarAdvance(Calendar,X1149,W1150,"f",FALSE)</f>
        <v>46876</v>
      </c>
      <c r="Y1150" s="237">
        <f>_xll.qlCalendarAdvance(Calendar,X1150,NDays&amp;"D")</f>
        <v>46876</v>
      </c>
      <c r="Z1150" s="238">
        <v>3.9068305769921263E-2</v>
      </c>
      <c r="AA1150" s="240">
        <v>3.8289962573164749E-2</v>
      </c>
    </row>
    <row r="1151" spans="19:27" x14ac:dyDescent="0.2">
      <c r="S1151" s="199"/>
      <c r="T1151" s="200"/>
      <c r="W1151" s="233" t="str">
        <f t="shared" si="24"/>
        <v>1w</v>
      </c>
      <c r="X1151" s="234">
        <f>_xll.qlCalendarAdvance(Calendar,X1150,W1151,"f",FALSE)</f>
        <v>46883</v>
      </c>
      <c r="Y1151" s="237">
        <f>_xll.qlCalendarAdvance(Calendar,X1151,NDays&amp;"D")</f>
        <v>46883</v>
      </c>
      <c r="Z1151" s="238">
        <v>3.9069546433055047E-2</v>
      </c>
      <c r="AA1151" s="240">
        <v>3.8291796530793842E-2</v>
      </c>
    </row>
    <row r="1152" spans="19:27" x14ac:dyDescent="0.2">
      <c r="S1152" s="199"/>
      <c r="T1152" s="200"/>
      <c r="W1152" s="233" t="str">
        <f t="shared" si="24"/>
        <v>1w</v>
      </c>
      <c r="X1152" s="234">
        <f>_xll.qlCalendarAdvance(Calendar,X1151,W1152,"f",FALSE)</f>
        <v>46890</v>
      </c>
      <c r="Y1152" s="237">
        <f>_xll.qlCalendarAdvance(Calendar,X1152,NDays&amp;"D")</f>
        <v>46890</v>
      </c>
      <c r="Z1152" s="238">
        <v>3.9070762666846282E-2</v>
      </c>
      <c r="AA1152" s="240">
        <v>3.8293599594066974E-2</v>
      </c>
    </row>
    <row r="1153" spans="19:27" x14ac:dyDescent="0.2">
      <c r="S1153" s="199"/>
      <c r="T1153" s="200"/>
      <c r="W1153" s="233" t="str">
        <f t="shared" si="24"/>
        <v>1w</v>
      </c>
      <c r="X1153" s="234">
        <f>_xll.qlCalendarAdvance(Calendar,X1152,W1153,"f",FALSE)</f>
        <v>46897</v>
      </c>
      <c r="Y1153" s="237">
        <f>_xll.qlCalendarAdvance(Calendar,X1153,NDays&amp;"D")</f>
        <v>46897</v>
      </c>
      <c r="Z1153" s="238">
        <v>3.9071954640515605E-2</v>
      </c>
      <c r="AA1153" s="240">
        <v>3.8295371763146235E-2</v>
      </c>
    </row>
    <row r="1154" spans="19:27" x14ac:dyDescent="0.2">
      <c r="S1154" s="199"/>
      <c r="T1154" s="200"/>
      <c r="W1154" s="233" t="str">
        <f t="shared" si="24"/>
        <v>1w</v>
      </c>
      <c r="X1154" s="234">
        <f>_xll.qlCalendarAdvance(Calendar,X1153,W1154,"f",FALSE)</f>
        <v>46904</v>
      </c>
      <c r="Y1154" s="237">
        <f>_xll.qlCalendarAdvance(Calendar,X1154,NDays&amp;"D")</f>
        <v>46904</v>
      </c>
      <c r="Z1154" s="238">
        <v>3.9073122523285875E-2</v>
      </c>
      <c r="AA1154" s="240">
        <v>3.8297113037869535E-2</v>
      </c>
    </row>
    <row r="1155" spans="19:27" x14ac:dyDescent="0.2">
      <c r="S1155" s="199"/>
      <c r="T1155" s="200"/>
      <c r="W1155" s="233" t="str">
        <f t="shared" si="24"/>
        <v>1w</v>
      </c>
      <c r="X1155" s="234">
        <f>_xll.qlCalendarAdvance(Calendar,X1154,W1155,"f",FALSE)</f>
        <v>46911</v>
      </c>
      <c r="Y1155" s="237">
        <f>_xll.qlCalendarAdvance(Calendar,X1155,NDays&amp;"D")</f>
        <v>46911</v>
      </c>
      <c r="Z1155" s="238">
        <v>3.907426648438217E-2</v>
      </c>
      <c r="AA1155" s="240">
        <v>3.8298823418398964E-2</v>
      </c>
    </row>
    <row r="1156" spans="19:27" x14ac:dyDescent="0.2">
      <c r="S1156" s="199"/>
      <c r="T1156" s="200"/>
      <c r="W1156" s="233" t="str">
        <f t="shared" si="24"/>
        <v>1w</v>
      </c>
      <c r="X1156" s="234">
        <f>_xll.qlCalendarAdvance(Calendar,X1155,W1156,"f",FALSE)</f>
        <v>46918</v>
      </c>
      <c r="Y1156" s="237">
        <f>_xll.qlCalendarAdvance(Calendar,X1156,NDays&amp;"D")</f>
        <v>46918</v>
      </c>
      <c r="Z1156" s="238">
        <v>3.9075386693032677E-2</v>
      </c>
      <c r="AA1156" s="240">
        <v>3.8300502904653477E-2</v>
      </c>
    </row>
    <row r="1157" spans="19:27" x14ac:dyDescent="0.2">
      <c r="S1157" s="199"/>
      <c r="T1157" s="200"/>
      <c r="W1157" s="233" t="str">
        <f t="shared" si="24"/>
        <v>1w</v>
      </c>
      <c r="X1157" s="234">
        <f>_xll.qlCalendarAdvance(Calendar,X1156,W1157,"f",FALSE)</f>
        <v>46925</v>
      </c>
      <c r="Y1157" s="237">
        <f>_xll.qlCalendarAdvance(Calendar,X1157,NDays&amp;"D")</f>
        <v>46925</v>
      </c>
      <c r="Z1157" s="238">
        <v>3.9076483318467359E-2</v>
      </c>
      <c r="AA1157" s="240">
        <v>3.8302151496633075E-2</v>
      </c>
    </row>
    <row r="1158" spans="19:27" x14ac:dyDescent="0.2">
      <c r="S1158" s="199"/>
      <c r="T1158" s="200"/>
      <c r="W1158" s="233" t="str">
        <f t="shared" si="24"/>
        <v>1w</v>
      </c>
      <c r="X1158" s="234">
        <f>_xll.qlCalendarAdvance(Calendar,X1157,W1158,"f",FALSE)</f>
        <v>46932</v>
      </c>
      <c r="Y1158" s="237">
        <f>_xll.qlCalendarAdvance(Calendar,X1158,NDays&amp;"D")</f>
        <v>46932</v>
      </c>
      <c r="Z1158" s="238">
        <v>3.9077556529488966E-2</v>
      </c>
      <c r="AA1158" s="240">
        <v>3.8303769396629272E-2</v>
      </c>
    </row>
    <row r="1159" spans="19:27" x14ac:dyDescent="0.2">
      <c r="S1159" s="199"/>
      <c r="T1159" s="200"/>
      <c r="W1159" s="233" t="str">
        <f t="shared" si="24"/>
        <v>1w</v>
      </c>
      <c r="X1159" s="234">
        <f>_xll.qlCalendarAdvance(Calendar,X1158,W1159,"f",FALSE)</f>
        <v>46939</v>
      </c>
      <c r="Y1159" s="237">
        <f>_xll.qlCalendarAdvance(Calendar,X1159,NDays&amp;"D")</f>
        <v>46939</v>
      </c>
      <c r="Z1159" s="238">
        <v>3.9078606276550243E-2</v>
      </c>
      <c r="AA1159" s="240">
        <v>3.8305362269371868E-2</v>
      </c>
    </row>
    <row r="1160" spans="19:27" x14ac:dyDescent="0.2">
      <c r="S1160" s="199"/>
      <c r="T1160" s="200"/>
      <c r="W1160" s="233" t="str">
        <f t="shared" si="24"/>
        <v>1w</v>
      </c>
      <c r="X1160" s="234">
        <f>_xll.qlCalendarAdvance(Calendar,X1159,W1160,"f",FALSE)</f>
        <v>46946</v>
      </c>
      <c r="Y1160" s="237">
        <f>_xll.qlCalendarAdvance(Calendar,X1160,NDays&amp;"D")</f>
        <v>46946</v>
      </c>
      <c r="Z1160" s="238">
        <v>3.9079631937145587E-2</v>
      </c>
      <c r="AA1160" s="240">
        <v>3.8306932744893718E-2</v>
      </c>
    </row>
    <row r="1161" spans="19:27" x14ac:dyDescent="0.2">
      <c r="S1161" s="199"/>
      <c r="T1161" s="200"/>
      <c r="W1161" s="233" t="str">
        <f t="shared" si="24"/>
        <v>1w</v>
      </c>
      <c r="X1161" s="234">
        <f>_xll.qlCalendarAdvance(Calendar,X1160,W1161,"f",FALSE)</f>
        <v>46953</v>
      </c>
      <c r="Y1161" s="237">
        <f>_xll.qlCalendarAdvance(Calendar,X1161,NDays&amp;"D")</f>
        <v>46953</v>
      </c>
      <c r="Z1161" s="238">
        <v>3.9080632795925441E-2</v>
      </c>
      <c r="AA1161" s="240">
        <v>3.8308480823194824E-2</v>
      </c>
    </row>
    <row r="1162" spans="19:27" x14ac:dyDescent="0.2">
      <c r="S1162" s="199"/>
      <c r="T1162" s="200"/>
      <c r="W1162" s="233" t="str">
        <f t="shared" si="24"/>
        <v>1w</v>
      </c>
      <c r="X1162" s="234">
        <f>_xll.qlCalendarAdvance(Calendar,X1161,W1162,"f",FALSE)</f>
        <v>46960</v>
      </c>
      <c r="Y1162" s="237">
        <f>_xll.qlCalendarAdvance(Calendar,X1162,NDays&amp;"D")</f>
        <v>46960</v>
      </c>
      <c r="Z1162" s="238">
        <v>3.9081608137539581E-2</v>
      </c>
      <c r="AA1162" s="240">
        <v>3.8310006504275185E-2</v>
      </c>
    </row>
    <row r="1163" spans="19:27" x14ac:dyDescent="0.2">
      <c r="S1163" s="199"/>
      <c r="T1163" s="200"/>
      <c r="W1163" s="233" t="str">
        <f t="shared" si="24"/>
        <v>1w</v>
      </c>
      <c r="X1163" s="234">
        <f>_xll.qlCalendarAdvance(Calendar,X1162,W1163,"f",FALSE)</f>
        <v>46967</v>
      </c>
      <c r="Y1163" s="237">
        <f>_xll.qlCalendarAdvance(Calendar,X1163,NDays&amp;"D")</f>
        <v>46967</v>
      </c>
      <c r="Z1163" s="238">
        <v>3.9082557246636673E-2</v>
      </c>
      <c r="AA1163" s="240">
        <v>3.8311509788134801E-2</v>
      </c>
    </row>
    <row r="1164" spans="19:27" x14ac:dyDescent="0.2">
      <c r="S1164" s="199"/>
      <c r="T1164" s="200"/>
      <c r="W1164" s="233" t="str">
        <f t="shared" si="24"/>
        <v>1w</v>
      </c>
      <c r="X1164" s="234">
        <f>_xll.qlCalendarAdvance(Calendar,X1163,W1164,"f",FALSE)</f>
        <v>46974</v>
      </c>
      <c r="Y1164" s="237">
        <f>_xll.qlCalendarAdvance(Calendar,X1164,NDays&amp;"D")</f>
        <v>46974</v>
      </c>
      <c r="Z1164" s="238">
        <v>3.9083479407864719E-2</v>
      </c>
      <c r="AA1164" s="240">
        <v>3.8312990674773673E-2</v>
      </c>
    </row>
    <row r="1165" spans="19:27" x14ac:dyDescent="0.2">
      <c r="S1165" s="199"/>
      <c r="T1165" s="200"/>
      <c r="W1165" s="233" t="str">
        <f t="shared" si="24"/>
        <v>1w</v>
      </c>
      <c r="X1165" s="234">
        <f>_xll.qlCalendarAdvance(Calendar,X1164,W1165,"f",FALSE)</f>
        <v>46981</v>
      </c>
      <c r="Y1165" s="237">
        <f>_xll.qlCalendarAdvance(Calendar,X1165,NDays&amp;"D")</f>
        <v>46981</v>
      </c>
      <c r="Z1165" s="238">
        <v>3.9084373905871717E-2</v>
      </c>
      <c r="AA1165" s="240">
        <v>3.8314449164110753E-2</v>
      </c>
    </row>
    <row r="1166" spans="19:27" x14ac:dyDescent="0.2">
      <c r="S1166" s="199"/>
      <c r="T1166" s="200"/>
      <c r="W1166" s="233" t="str">
        <f t="shared" si="24"/>
        <v>1w</v>
      </c>
      <c r="X1166" s="234">
        <f>_xll.qlCalendarAdvance(Calendar,X1165,W1166,"f",FALSE)</f>
        <v>46988</v>
      </c>
      <c r="Y1166" s="237">
        <f>_xll.qlCalendarAdvance(Calendar,X1166,NDays&amp;"D")</f>
        <v>46988</v>
      </c>
      <c r="Z1166" s="238">
        <v>3.9085240025304779E-2</v>
      </c>
      <c r="AA1166" s="240">
        <v>3.8315885256308135E-2</v>
      </c>
    </row>
    <row r="1167" spans="19:27" x14ac:dyDescent="0.2">
      <c r="S1167" s="199"/>
      <c r="T1167" s="200"/>
      <c r="W1167" s="233" t="str">
        <f t="shared" si="24"/>
        <v>1w</v>
      </c>
      <c r="X1167" s="234">
        <f>_xll.qlCalendarAdvance(Calendar,X1166,W1167,"f",FALSE)</f>
        <v>46995</v>
      </c>
      <c r="Y1167" s="237">
        <f>_xll.qlCalendarAdvance(Calendar,X1167,NDays&amp;"D")</f>
        <v>46995</v>
      </c>
      <c r="Z1167" s="238">
        <v>3.9086077050810797E-2</v>
      </c>
      <c r="AA1167" s="240">
        <v>3.8317298951284773E-2</v>
      </c>
    </row>
    <row r="1168" spans="19:27" x14ac:dyDescent="0.2">
      <c r="S1168" s="199"/>
      <c r="T1168" s="200"/>
      <c r="W1168" s="233" t="str">
        <f t="shared" si="24"/>
        <v>1w</v>
      </c>
      <c r="X1168" s="234">
        <f>_xll.qlCalendarAdvance(Calendar,X1167,W1168,"f",FALSE)</f>
        <v>47002</v>
      </c>
      <c r="Y1168" s="237">
        <f>_xll.qlCalendarAdvance(Calendar,X1168,NDays&amp;"D")</f>
        <v>47002</v>
      </c>
      <c r="Z1168" s="238">
        <v>3.9086884267037547E-2</v>
      </c>
      <c r="AA1168" s="240">
        <v>3.8318690249040666E-2</v>
      </c>
    </row>
    <row r="1169" spans="19:27" x14ac:dyDescent="0.2">
      <c r="S1169" s="199"/>
      <c r="T1169" s="200"/>
      <c r="W1169" s="233" t="str">
        <f t="shared" si="24"/>
        <v>1w</v>
      </c>
      <c r="X1169" s="234">
        <f>_xll.qlCalendarAdvance(Calendar,X1168,W1169,"f",FALSE)</f>
        <v>47009</v>
      </c>
      <c r="Y1169" s="237">
        <f>_xll.qlCalendarAdvance(Calendar,X1169,NDays&amp;"D")</f>
        <v>47009</v>
      </c>
      <c r="Z1169" s="238">
        <v>3.9087660958632808E-2</v>
      </c>
      <c r="AA1169" s="240">
        <v>3.8320059149413721E-2</v>
      </c>
    </row>
    <row r="1170" spans="19:27" x14ac:dyDescent="0.2">
      <c r="S1170" s="199"/>
      <c r="T1170" s="200"/>
      <c r="W1170" s="233" t="str">
        <f t="shared" si="24"/>
        <v>1w</v>
      </c>
      <c r="X1170" s="234">
        <f>_xll.qlCalendarAdvance(Calendar,X1169,W1170,"f",FALSE)</f>
        <v>47016</v>
      </c>
      <c r="Y1170" s="237">
        <f>_xll.qlCalendarAdvance(Calendar,X1170,NDays&amp;"D")</f>
        <v>47016</v>
      </c>
      <c r="Z1170" s="238">
        <v>3.9088406410244136E-2</v>
      </c>
      <c r="AA1170" s="240">
        <v>3.8321405652647078E-2</v>
      </c>
    </row>
    <row r="1171" spans="19:27" x14ac:dyDescent="0.2">
      <c r="S1171" s="199"/>
      <c r="T1171" s="200"/>
      <c r="W1171" s="233" t="str">
        <f t="shared" si="24"/>
        <v>1w</v>
      </c>
      <c r="X1171" s="234">
        <f>_xll.qlCalendarAdvance(Calendar,X1170,W1171,"f",FALSE)</f>
        <v>47023</v>
      </c>
      <c r="Y1171" s="237">
        <f>_xll.qlCalendarAdvance(Calendar,X1171,NDays&amp;"D")</f>
        <v>47023</v>
      </c>
      <c r="Z1171" s="238">
        <v>3.9089119906520864E-2</v>
      </c>
      <c r="AA1171" s="240">
        <v>3.8322729758740737E-2</v>
      </c>
    </row>
    <row r="1172" spans="19:27" x14ac:dyDescent="0.2">
      <c r="S1172" s="199"/>
      <c r="T1172" s="200"/>
      <c r="W1172" s="233" t="str">
        <f t="shared" si="24"/>
        <v>1w</v>
      </c>
      <c r="X1172" s="234">
        <f>_xll.qlCalendarAdvance(Calendar,X1171,W1172,"f",FALSE)</f>
        <v>47030</v>
      </c>
      <c r="Y1172" s="237">
        <f>_xll.qlCalendarAdvance(Calendar,X1172,NDays&amp;"D")</f>
        <v>47030</v>
      </c>
      <c r="Z1172" s="238">
        <v>3.9089800732112545E-2</v>
      </c>
      <c r="AA1172" s="240">
        <v>3.8324031467451558E-2</v>
      </c>
    </row>
    <row r="1173" spans="19:27" x14ac:dyDescent="0.2">
      <c r="S1173" s="199"/>
      <c r="T1173" s="200"/>
      <c r="W1173" s="233" t="str">
        <f t="shared" ref="W1173:W1236" si="25">W1172</f>
        <v>1w</v>
      </c>
      <c r="X1173" s="234">
        <f>_xll.qlCalendarAdvance(Calendar,X1172,W1173,"f",FALSE)</f>
        <v>47037</v>
      </c>
      <c r="Y1173" s="237">
        <f>_xll.qlCalendarAdvance(Calendar,X1173,NDays&amp;"D")</f>
        <v>47037</v>
      </c>
      <c r="Z1173" s="238">
        <v>3.9090448171670511E-2</v>
      </c>
      <c r="AA1173" s="240">
        <v>3.8325310779022681E-2</v>
      </c>
    </row>
    <row r="1174" spans="19:27" x14ac:dyDescent="0.2">
      <c r="S1174" s="199"/>
      <c r="T1174" s="200"/>
      <c r="W1174" s="233" t="str">
        <f t="shared" si="25"/>
        <v>1w</v>
      </c>
      <c r="X1174" s="234">
        <f>_xll.qlCalendarAdvance(Calendar,X1173,W1174,"f",FALSE)</f>
        <v>47044</v>
      </c>
      <c r="Y1174" s="237">
        <f>_xll.qlCalendarAdvance(Calendar,X1174,NDays&amp;"D")</f>
        <v>47044</v>
      </c>
      <c r="Z1174" s="238">
        <v>3.9091061509846536E-2</v>
      </c>
      <c r="AA1174" s="240">
        <v>3.8326567693373059E-2</v>
      </c>
    </row>
    <row r="1175" spans="19:27" x14ac:dyDescent="0.2">
      <c r="S1175" s="199"/>
      <c r="T1175" s="200"/>
      <c r="W1175" s="233" t="str">
        <f t="shared" si="25"/>
        <v>1w</v>
      </c>
      <c r="X1175" s="234">
        <f>_xll.qlCalendarAdvance(Calendar,X1174,W1175,"f",FALSE)</f>
        <v>47051</v>
      </c>
      <c r="Y1175" s="237">
        <f>_xll.qlCalendarAdvance(Calendar,X1175,NDays&amp;"D")</f>
        <v>47051</v>
      </c>
      <c r="Z1175" s="238">
        <v>3.9091640031295283E-2</v>
      </c>
      <c r="AA1175" s="240">
        <v>3.8327802210502693E-2</v>
      </c>
    </row>
    <row r="1176" spans="19:27" x14ac:dyDescent="0.2">
      <c r="S1176" s="199"/>
      <c r="T1176" s="200"/>
      <c r="W1176" s="233" t="str">
        <f t="shared" si="25"/>
        <v>1w</v>
      </c>
      <c r="X1176" s="234">
        <f>_xll.qlCalendarAdvance(Calendar,X1175,W1176,"f",FALSE)</f>
        <v>47058</v>
      </c>
      <c r="Y1176" s="237">
        <f>_xll.qlCalendarAdvance(Calendar,X1176,NDays&amp;"D")</f>
        <v>47058</v>
      </c>
      <c r="Z1176" s="238">
        <v>3.90921830206723E-2</v>
      </c>
      <c r="AA1176" s="240">
        <v>3.8329014330411582E-2</v>
      </c>
    </row>
    <row r="1177" spans="19:27" x14ac:dyDescent="0.2">
      <c r="S1177" s="199"/>
      <c r="T1177" s="200"/>
      <c r="W1177" s="233" t="str">
        <f t="shared" si="25"/>
        <v>1w</v>
      </c>
      <c r="X1177" s="234">
        <f>_xll.qlCalendarAdvance(Calendar,X1176,W1177,"f",FALSE)</f>
        <v>47065</v>
      </c>
      <c r="Y1177" s="237">
        <f>_xll.qlCalendarAdvance(Calendar,X1177,NDays&amp;"D")</f>
        <v>47065</v>
      </c>
      <c r="Z1177" s="238">
        <v>3.9092689762635358E-2</v>
      </c>
      <c r="AA1177" s="240">
        <v>3.8330204053099726E-2</v>
      </c>
    </row>
    <row r="1178" spans="19:27" x14ac:dyDescent="0.2">
      <c r="S1178" s="199"/>
      <c r="T1178" s="200"/>
      <c r="W1178" s="233" t="str">
        <f t="shared" si="25"/>
        <v>1w</v>
      </c>
      <c r="X1178" s="234">
        <f>_xll.qlCalendarAdvance(Calendar,X1177,W1178,"f",FALSE)</f>
        <v>47072</v>
      </c>
      <c r="Y1178" s="237">
        <f>_xll.qlCalendarAdvance(Calendar,X1178,NDays&amp;"D")</f>
        <v>47072</v>
      </c>
      <c r="Z1178" s="238">
        <v>3.9093159541844891E-2</v>
      </c>
      <c r="AA1178" s="240">
        <v>3.8331371378486079E-2</v>
      </c>
    </row>
    <row r="1179" spans="19:27" x14ac:dyDescent="0.2">
      <c r="S1179" s="199"/>
      <c r="T1179" s="200"/>
      <c r="W1179" s="233" t="str">
        <f t="shared" si="25"/>
        <v>1w</v>
      </c>
      <c r="X1179" s="234">
        <f>_xll.qlCalendarAdvance(Calendar,X1178,W1179,"f",FALSE)</f>
        <v>47079</v>
      </c>
      <c r="Y1179" s="237">
        <f>_xll.qlCalendarAdvance(Calendar,X1179,NDays&amp;"D")</f>
        <v>47079</v>
      </c>
      <c r="Z1179" s="238">
        <v>3.9093591642963776E-2</v>
      </c>
      <c r="AA1179" s="240">
        <v>3.8332516306651687E-2</v>
      </c>
    </row>
    <row r="1180" spans="19:27" x14ac:dyDescent="0.2">
      <c r="S1180" s="199"/>
      <c r="T1180" s="200"/>
      <c r="W1180" s="233" t="str">
        <f t="shared" si="25"/>
        <v>1w</v>
      </c>
      <c r="X1180" s="234">
        <f>_xll.qlCalendarAdvance(Calendar,X1179,W1180,"f",FALSE)</f>
        <v>47086</v>
      </c>
      <c r="Y1180" s="237">
        <f>_xll.qlCalendarAdvance(Calendar,X1180,NDays&amp;"D")</f>
        <v>47086</v>
      </c>
      <c r="Z1180" s="238">
        <v>3.9093985350657778E-2</v>
      </c>
      <c r="AA1180" s="240">
        <v>3.8333638837596551E-2</v>
      </c>
    </row>
    <row r="1181" spans="19:27" x14ac:dyDescent="0.2">
      <c r="S1181" s="199"/>
      <c r="T1181" s="200"/>
      <c r="W1181" s="233" t="str">
        <f t="shared" si="25"/>
        <v>1w</v>
      </c>
      <c r="X1181" s="234">
        <f>_xll.qlCalendarAdvance(Calendar,X1180,W1181,"f",FALSE)</f>
        <v>47093</v>
      </c>
      <c r="Y1181" s="237">
        <f>_xll.qlCalendarAdvance(Calendar,X1181,NDays&amp;"D")</f>
        <v>47093</v>
      </c>
      <c r="Z1181" s="238">
        <v>3.9094339949595769E-2</v>
      </c>
      <c r="AA1181" s="240">
        <v>3.833473897132067E-2</v>
      </c>
    </row>
    <row r="1182" spans="19:27" x14ac:dyDescent="0.2">
      <c r="S1182" s="199"/>
      <c r="T1182" s="200"/>
      <c r="W1182" s="233" t="str">
        <f t="shared" si="25"/>
        <v>1w</v>
      </c>
      <c r="X1182" s="234">
        <f>_xll.qlCalendarAdvance(Calendar,X1181,W1182,"f",FALSE)</f>
        <v>47100</v>
      </c>
      <c r="Y1182" s="237">
        <f>_xll.qlCalendarAdvance(Calendar,X1182,NDays&amp;"D")</f>
        <v>47100</v>
      </c>
      <c r="Z1182" s="238">
        <v>3.9094654724449951E-2</v>
      </c>
      <c r="AA1182" s="240">
        <v>3.8335816707742998E-2</v>
      </c>
    </row>
    <row r="1183" spans="19:27" x14ac:dyDescent="0.2">
      <c r="S1183" s="199"/>
      <c r="T1183" s="200"/>
      <c r="W1183" s="233" t="str">
        <f t="shared" si="25"/>
        <v>1w</v>
      </c>
      <c r="X1183" s="234">
        <f>_xll.qlCalendarAdvance(Calendar,X1182,W1183,"f",FALSE)</f>
        <v>47107</v>
      </c>
      <c r="Y1183" s="237">
        <f>_xll.qlCalendarAdvance(Calendar,X1183,NDays&amp;"D")</f>
        <v>47107</v>
      </c>
      <c r="Z1183" s="238">
        <v>3.9094928959896524E-2</v>
      </c>
      <c r="AA1183" s="240">
        <v>3.8336872047025627E-2</v>
      </c>
    </row>
    <row r="1184" spans="19:27" x14ac:dyDescent="0.2">
      <c r="S1184" s="199"/>
      <c r="T1184" s="200"/>
      <c r="W1184" s="233" t="str">
        <f t="shared" si="25"/>
        <v>1w</v>
      </c>
      <c r="X1184" s="234">
        <f>_xll.qlCalendarAdvance(Calendar,X1183,W1184,"f",FALSE)</f>
        <v>47114</v>
      </c>
      <c r="Y1184" s="237">
        <f>_xll.qlCalendarAdvance(Calendar,X1184,NDays&amp;"D")</f>
        <v>47114</v>
      </c>
      <c r="Z1184" s="238">
        <v>3.9095161940614798E-2</v>
      </c>
      <c r="AA1184" s="240">
        <v>3.8337904989006466E-2</v>
      </c>
    </row>
    <row r="1185" spans="19:27" x14ac:dyDescent="0.2">
      <c r="S1185" s="199"/>
      <c r="T1185" s="200"/>
      <c r="W1185" s="233" t="str">
        <f t="shared" si="25"/>
        <v>1w</v>
      </c>
      <c r="X1185" s="234">
        <f>_xll.qlCalendarAdvance(Calendar,X1184,W1185,"f",FALSE)</f>
        <v>47121</v>
      </c>
      <c r="Y1185" s="237">
        <f>_xll.qlCalendarAdvance(Calendar,X1185,NDays&amp;"D")</f>
        <v>47121</v>
      </c>
      <c r="Z1185" s="238">
        <v>3.9095352951289408E-2</v>
      </c>
      <c r="AA1185" s="240">
        <v>3.8338915533847606E-2</v>
      </c>
    </row>
    <row r="1186" spans="19:27" x14ac:dyDescent="0.2">
      <c r="S1186" s="199"/>
      <c r="T1186" s="200"/>
      <c r="W1186" s="233" t="str">
        <f t="shared" si="25"/>
        <v>1w</v>
      </c>
      <c r="X1186" s="234">
        <f>_xll.qlCalendarAdvance(Calendar,X1185,W1186,"f",FALSE)</f>
        <v>47128</v>
      </c>
      <c r="Y1186" s="237">
        <f>_xll.qlCalendarAdvance(Calendar,X1186,NDays&amp;"D")</f>
        <v>47128</v>
      </c>
      <c r="Z1186" s="238">
        <v>3.9095501276608768E-2</v>
      </c>
      <c r="AA1186" s="240">
        <v>3.8339903681468002E-2</v>
      </c>
    </row>
    <row r="1187" spans="19:27" x14ac:dyDescent="0.2">
      <c r="S1187" s="199"/>
      <c r="T1187" s="200"/>
      <c r="W1187" s="233" t="str">
        <f t="shared" si="25"/>
        <v>1w</v>
      </c>
      <c r="X1187" s="234">
        <f>_xll.qlCalendarAdvance(Calendar,X1186,W1187,"f",FALSE)</f>
        <v>47135</v>
      </c>
      <c r="Y1187" s="237">
        <f>_xll.qlCalendarAdvance(Calendar,X1187,NDays&amp;"D")</f>
        <v>47135</v>
      </c>
      <c r="Z1187" s="238">
        <v>3.9095606201265953E-2</v>
      </c>
      <c r="AA1187" s="240">
        <v>3.8340869431786606E-2</v>
      </c>
    </row>
    <row r="1188" spans="19:27" x14ac:dyDescent="0.2">
      <c r="S1188" s="199"/>
      <c r="T1188" s="200"/>
      <c r="W1188" s="233" t="str">
        <f t="shared" si="25"/>
        <v>1w</v>
      </c>
      <c r="X1188" s="234">
        <f>_xll.qlCalendarAdvance(Calendar,X1187,W1188,"f",FALSE)</f>
        <v>47142</v>
      </c>
      <c r="Y1188" s="237">
        <f>_xll.qlCalendarAdvance(Calendar,X1188,NDays&amp;"D")</f>
        <v>47142</v>
      </c>
      <c r="Z1188" s="238">
        <v>3.9095667009959811E-2</v>
      </c>
      <c r="AA1188" s="240">
        <v>3.8341812784884466E-2</v>
      </c>
    </row>
    <row r="1189" spans="19:27" x14ac:dyDescent="0.2">
      <c r="S1189" s="199"/>
      <c r="T1189" s="200"/>
      <c r="W1189" s="233" t="str">
        <f t="shared" si="25"/>
        <v>1w</v>
      </c>
      <c r="X1189" s="234">
        <f>_xll.qlCalendarAdvance(Calendar,X1188,W1189,"f",FALSE)</f>
        <v>47149</v>
      </c>
      <c r="Y1189" s="237">
        <f>_xll.qlCalendarAdvance(Calendar,X1189,NDays&amp;"D")</f>
        <v>47149</v>
      </c>
      <c r="Z1189" s="238">
        <v>3.9095682987393632E-2</v>
      </c>
      <c r="AA1189" s="240">
        <v>3.8342733740680535E-2</v>
      </c>
    </row>
    <row r="1190" spans="19:27" x14ac:dyDescent="0.2">
      <c r="S1190" s="199"/>
      <c r="T1190" s="200"/>
      <c r="W1190" s="233" t="str">
        <f t="shared" si="25"/>
        <v>1w</v>
      </c>
      <c r="X1190" s="234">
        <f>_xll.qlCalendarAdvance(Calendar,X1189,W1190,"f",FALSE)</f>
        <v>47156</v>
      </c>
      <c r="Y1190" s="237">
        <f>_xll.qlCalendarAdvance(Calendar,X1190,NDays&amp;"D")</f>
        <v>47156</v>
      </c>
      <c r="Z1190" s="238">
        <v>3.9095653418277587E-2</v>
      </c>
      <c r="AA1190" s="240">
        <v>3.8343632299417951E-2</v>
      </c>
    </row>
    <row r="1191" spans="19:27" x14ac:dyDescent="0.2">
      <c r="S1191" s="199"/>
      <c r="T1191" s="200"/>
      <c r="W1191" s="233" t="str">
        <f t="shared" si="25"/>
        <v>1w</v>
      </c>
      <c r="X1191" s="234">
        <f>_xll.qlCalendarAdvance(Calendar,X1190,W1191,"f",FALSE)</f>
        <v>47163</v>
      </c>
      <c r="Y1191" s="237">
        <f>_xll.qlCalendarAdvance(Calendar,X1191,NDays&amp;"D")</f>
        <v>47163</v>
      </c>
      <c r="Z1191" s="238">
        <v>3.9095577587326957E-2</v>
      </c>
      <c r="AA1191" s="240">
        <v>3.8344508460772531E-2</v>
      </c>
    </row>
    <row r="1192" spans="19:27" x14ac:dyDescent="0.2">
      <c r="S1192" s="199"/>
      <c r="T1192" s="200"/>
      <c r="W1192" s="233" t="str">
        <f t="shared" si="25"/>
        <v>1w</v>
      </c>
      <c r="X1192" s="234">
        <f>_xll.qlCalendarAdvance(Calendar,X1191,W1192,"f",FALSE)</f>
        <v>47170</v>
      </c>
      <c r="Y1192" s="237">
        <f>_xll.qlCalendarAdvance(Calendar,X1192,NDays&amp;"D")</f>
        <v>47170</v>
      </c>
      <c r="Z1192" s="238">
        <v>3.9095454779263461E-2</v>
      </c>
      <c r="AA1192" s="240">
        <v>3.8345362224906365E-2</v>
      </c>
    </row>
    <row r="1193" spans="19:27" x14ac:dyDescent="0.2">
      <c r="S1193" s="199"/>
      <c r="T1193" s="200"/>
      <c r="W1193" s="233" t="str">
        <f t="shared" si="25"/>
        <v>1w</v>
      </c>
      <c r="X1193" s="234">
        <f>_xll.qlCalendarAdvance(Calendar,X1192,W1193,"f",FALSE)</f>
        <v>47177</v>
      </c>
      <c r="Y1193" s="237">
        <f>_xll.qlCalendarAdvance(Calendar,X1193,NDays&amp;"D")</f>
        <v>47177</v>
      </c>
      <c r="Z1193" s="238">
        <v>3.9095284278815923E-2</v>
      </c>
      <c r="AA1193" s="240">
        <v>3.8346193591900501E-2</v>
      </c>
    </row>
    <row r="1194" spans="19:27" x14ac:dyDescent="0.2">
      <c r="S1194" s="199"/>
      <c r="T1194" s="200"/>
      <c r="W1194" s="233" t="str">
        <f t="shared" si="25"/>
        <v>1w</v>
      </c>
      <c r="X1194" s="234">
        <f>_xll.qlCalendarAdvance(Calendar,X1193,W1194,"f",FALSE)</f>
        <v>47184</v>
      </c>
      <c r="Y1194" s="237">
        <f>_xll.qlCalendarAdvance(Calendar,X1194,NDays&amp;"D")</f>
        <v>47184</v>
      </c>
      <c r="Z1194" s="238">
        <v>3.9095065370719384E-2</v>
      </c>
      <c r="AA1194" s="240">
        <v>3.83470025615118E-2</v>
      </c>
    </row>
    <row r="1195" spans="19:27" x14ac:dyDescent="0.2">
      <c r="S1195" s="199"/>
      <c r="T1195" s="200"/>
      <c r="W1195" s="233" t="str">
        <f t="shared" si="25"/>
        <v>1w</v>
      </c>
      <c r="X1195" s="234">
        <f>_xll.qlCalendarAdvance(Calendar,X1194,W1195,"f",FALSE)</f>
        <v>47191</v>
      </c>
      <c r="Y1195" s="237">
        <f>_xll.qlCalendarAdvance(Calendar,X1195,NDays&amp;"D")</f>
        <v>47191</v>
      </c>
      <c r="Z1195" s="238">
        <v>3.9094797339717102E-2</v>
      </c>
      <c r="AA1195" s="240">
        <v>3.8347789134064447E-2</v>
      </c>
    </row>
    <row r="1196" spans="19:27" x14ac:dyDescent="0.2">
      <c r="S1196" s="199"/>
      <c r="T1196" s="200"/>
      <c r="W1196" s="233" t="str">
        <f t="shared" si="25"/>
        <v>1w</v>
      </c>
      <c r="X1196" s="234">
        <f>_xll.qlCalendarAdvance(Calendar,X1195,W1196,"f",FALSE)</f>
        <v>47198</v>
      </c>
      <c r="Y1196" s="237">
        <f>_xll.qlCalendarAdvance(Calendar,X1196,NDays&amp;"D")</f>
        <v>47198</v>
      </c>
      <c r="Z1196" s="238">
        <v>3.909447947055944E-2</v>
      </c>
      <c r="AA1196" s="240">
        <v>3.8348553309234257E-2</v>
      </c>
    </row>
    <row r="1197" spans="19:27" x14ac:dyDescent="0.2">
      <c r="S1197" s="199"/>
      <c r="T1197" s="200"/>
      <c r="W1197" s="233" t="str">
        <f t="shared" si="25"/>
        <v>1w</v>
      </c>
      <c r="X1197" s="234">
        <f>_xll.qlCalendarAdvance(Calendar,X1196,W1197,"f",FALSE)</f>
        <v>47205</v>
      </c>
      <c r="Y1197" s="237">
        <f>_xll.qlCalendarAdvance(Calendar,X1197,NDays&amp;"D")</f>
        <v>47205</v>
      </c>
      <c r="Z1197" s="238">
        <v>3.9094111048004532E-2</v>
      </c>
      <c r="AA1197" s="240">
        <v>3.8349295087183322E-2</v>
      </c>
    </row>
    <row r="1198" spans="19:27" x14ac:dyDescent="0.2">
      <c r="S1198" s="199"/>
      <c r="T1198" s="200"/>
      <c r="W1198" s="233" t="str">
        <f t="shared" si="25"/>
        <v>1w</v>
      </c>
      <c r="X1198" s="234">
        <f>_xll.qlCalendarAdvance(Calendar,X1197,W1198,"f",FALSE)</f>
        <v>47212</v>
      </c>
      <c r="Y1198" s="237">
        <f>_xll.qlCalendarAdvance(Calendar,X1198,NDays&amp;"D")</f>
        <v>47212</v>
      </c>
      <c r="Z1198" s="238">
        <v>3.9093691356819393E-2</v>
      </c>
      <c r="AA1198" s="240">
        <v>3.8350014467992688E-2</v>
      </c>
    </row>
    <row r="1199" spans="19:27" x14ac:dyDescent="0.2">
      <c r="S1199" s="199"/>
      <c r="T1199" s="200"/>
      <c r="W1199" s="233" t="str">
        <f t="shared" si="25"/>
        <v>1w</v>
      </c>
      <c r="X1199" s="234">
        <f>_xll.qlCalendarAdvance(Calendar,X1198,W1199,"f",FALSE)</f>
        <v>47219</v>
      </c>
      <c r="Y1199" s="237">
        <f>_xll.qlCalendarAdvance(Calendar,X1199,NDays&amp;"D")</f>
        <v>47219</v>
      </c>
      <c r="Z1199" s="238">
        <v>3.9093219681779257E-2</v>
      </c>
      <c r="AA1199" s="240">
        <v>3.8350711451500263E-2</v>
      </c>
    </row>
    <row r="1200" spans="19:27" x14ac:dyDescent="0.2">
      <c r="S1200" s="199"/>
      <c r="T1200" s="200"/>
      <c r="W1200" s="233" t="str">
        <f t="shared" si="25"/>
        <v>1w</v>
      </c>
      <c r="X1200" s="234">
        <f>_xll.qlCalendarAdvance(Calendar,X1199,W1200,"f",FALSE)</f>
        <v>47226</v>
      </c>
      <c r="Y1200" s="237">
        <f>_xll.qlCalendarAdvance(Calendar,X1200,NDays&amp;"D")</f>
        <v>47226</v>
      </c>
      <c r="Z1200" s="238">
        <v>3.9092695307668457E-2</v>
      </c>
      <c r="AA1200" s="240">
        <v>3.8351386037787094E-2</v>
      </c>
    </row>
    <row r="1201" spans="19:27" x14ac:dyDescent="0.2">
      <c r="S1201" s="199"/>
      <c r="T1201" s="200"/>
      <c r="W1201" s="233" t="str">
        <f t="shared" si="25"/>
        <v>1w</v>
      </c>
      <c r="X1201" s="234">
        <f>_xll.qlCalendarAdvance(Calendar,X1200,W1201,"f",FALSE)</f>
        <v>47233</v>
      </c>
      <c r="Y1201" s="237">
        <f>_xll.qlCalendarAdvance(Calendar,X1201,NDays&amp;"D")</f>
        <v>47233</v>
      </c>
      <c r="Z1201" s="238">
        <v>3.9092117519281322E-2</v>
      </c>
      <c r="AA1201" s="240">
        <v>3.8352038226772134E-2</v>
      </c>
    </row>
    <row r="1202" spans="19:27" x14ac:dyDescent="0.2">
      <c r="S1202" s="199"/>
      <c r="T1202" s="200"/>
      <c r="W1202" s="233" t="str">
        <f t="shared" si="25"/>
        <v>1w</v>
      </c>
      <c r="X1202" s="234">
        <f>_xll.qlCalendarAdvance(Calendar,X1201,W1202,"f",FALSE)</f>
        <v>47240</v>
      </c>
      <c r="Y1202" s="237">
        <f>_xll.qlCalendarAdvance(Calendar,X1202,NDays&amp;"D")</f>
        <v>47240</v>
      </c>
      <c r="Z1202" s="238">
        <v>3.9091485601420839E-2</v>
      </c>
      <c r="AA1202" s="240">
        <v>3.8352668018779568E-2</v>
      </c>
    </row>
    <row r="1203" spans="19:27" x14ac:dyDescent="0.2">
      <c r="S1203" s="199"/>
      <c r="T1203" s="200"/>
      <c r="W1203" s="233" t="str">
        <f t="shared" si="25"/>
        <v>1w</v>
      </c>
      <c r="X1203" s="234">
        <f>_xll.qlCalendarAdvance(Calendar,X1202,W1203,"f",FALSE)</f>
        <v>47247</v>
      </c>
      <c r="Y1203" s="237">
        <f>_xll.qlCalendarAdvance(Calendar,X1203,NDays&amp;"D")</f>
        <v>47247</v>
      </c>
      <c r="Z1203" s="238">
        <v>3.9090798838901097E-2</v>
      </c>
      <c r="AA1203" s="240">
        <v>3.8353275413242072E-2</v>
      </c>
    </row>
    <row r="1204" spans="19:27" x14ac:dyDescent="0.2">
      <c r="S1204" s="199"/>
      <c r="T1204" s="200"/>
      <c r="W1204" s="233" t="str">
        <f t="shared" si="25"/>
        <v>1w</v>
      </c>
      <c r="X1204" s="234">
        <f>_xll.qlCalendarAdvance(Calendar,X1203,W1204,"f",FALSE)</f>
        <v>47254</v>
      </c>
      <c r="Y1204" s="237">
        <f>_xll.qlCalendarAdvance(Calendar,X1204,NDays&amp;"D")</f>
        <v>47254</v>
      </c>
      <c r="Z1204" s="238">
        <v>3.9090056516546179E-2</v>
      </c>
      <c r="AA1204" s="240">
        <v>3.8353860410645924E-2</v>
      </c>
    </row>
    <row r="1205" spans="19:27" x14ac:dyDescent="0.2">
      <c r="S1205" s="199"/>
      <c r="T1205" s="200"/>
      <c r="W1205" s="233" t="str">
        <f t="shared" si="25"/>
        <v>1w</v>
      </c>
      <c r="X1205" s="234">
        <f>_xll.qlCalendarAdvance(Calendar,X1204,W1205,"f",FALSE)</f>
        <v>47261</v>
      </c>
      <c r="Y1205" s="237">
        <f>_xll.qlCalendarAdvance(Calendar,X1205,NDays&amp;"D")</f>
        <v>47261</v>
      </c>
      <c r="Z1205" s="238">
        <v>3.9089257919191045E-2</v>
      </c>
      <c r="AA1205" s="240">
        <v>3.8354423010747984E-2</v>
      </c>
    </row>
    <row r="1206" spans="19:27" x14ac:dyDescent="0.2">
      <c r="S1206" s="199"/>
      <c r="T1206" s="200"/>
      <c r="W1206" s="233" t="str">
        <f t="shared" si="25"/>
        <v>1w</v>
      </c>
      <c r="X1206" s="234">
        <f>_xll.qlCalendarAdvance(Calendar,X1205,W1206,"f",FALSE)</f>
        <v>47268</v>
      </c>
      <c r="Y1206" s="237">
        <f>_xll.qlCalendarAdvance(Calendar,X1206,NDays&amp;"D")</f>
        <v>47268</v>
      </c>
      <c r="Z1206" s="238">
        <v>3.9088402331682204E-2</v>
      </c>
      <c r="AA1206" s="240">
        <v>3.8354963213629301E-2</v>
      </c>
    </row>
    <row r="1207" spans="19:27" x14ac:dyDescent="0.2">
      <c r="S1207" s="199"/>
      <c r="T1207" s="200"/>
      <c r="W1207" s="233" t="str">
        <f t="shared" si="25"/>
        <v>1w</v>
      </c>
      <c r="X1207" s="234">
        <f>_xll.qlCalendarAdvance(Calendar,X1206,W1207,"f",FALSE)</f>
        <v>47275</v>
      </c>
      <c r="Y1207" s="237">
        <f>_xll.qlCalendarAdvance(Calendar,X1207,NDays&amp;"D")</f>
        <v>47275</v>
      </c>
      <c r="Z1207" s="238">
        <v>3.908748903887771E-2</v>
      </c>
      <c r="AA1207" s="240">
        <v>3.8355481019289872E-2</v>
      </c>
    </row>
    <row r="1208" spans="19:27" x14ac:dyDescent="0.2">
      <c r="S1208" s="199"/>
      <c r="T1208" s="200"/>
      <c r="W1208" s="233" t="str">
        <f t="shared" si="25"/>
        <v>1w</v>
      </c>
      <c r="X1208" s="234">
        <f>_xll.qlCalendarAdvance(Calendar,X1207,W1208,"f",FALSE)</f>
        <v>47282</v>
      </c>
      <c r="Y1208" s="237">
        <f>_xll.qlCalendarAdvance(Calendar,X1208,NDays&amp;"D")</f>
        <v>47282</v>
      </c>
      <c r="Z1208" s="238">
        <v>3.9086517325647385E-2</v>
      </c>
      <c r="AA1208" s="240">
        <v>3.8355976427648653E-2</v>
      </c>
    </row>
    <row r="1209" spans="19:27" x14ac:dyDescent="0.2">
      <c r="S1209" s="199"/>
      <c r="T1209" s="200"/>
      <c r="W1209" s="233" t="str">
        <f t="shared" si="25"/>
        <v>1w</v>
      </c>
      <c r="X1209" s="234">
        <f>_xll.qlCalendarAdvance(Calendar,X1208,W1209,"f",FALSE)</f>
        <v>47289</v>
      </c>
      <c r="Y1209" s="237">
        <f>_xll.qlCalendarAdvance(Calendar,X1209,NDays&amp;"D")</f>
        <v>47289</v>
      </c>
      <c r="Z1209" s="238">
        <v>3.9085486476874154E-2</v>
      </c>
      <c r="AA1209" s="240">
        <v>3.8356449438867735E-2</v>
      </c>
    </row>
    <row r="1210" spans="19:27" x14ac:dyDescent="0.2">
      <c r="S1210" s="199"/>
      <c r="T1210" s="200"/>
      <c r="W1210" s="233" t="str">
        <f t="shared" si="25"/>
        <v>1w</v>
      </c>
      <c r="X1210" s="234">
        <f>_xll.qlCalendarAdvance(Calendar,X1209,W1210,"f",FALSE)</f>
        <v>47296</v>
      </c>
      <c r="Y1210" s="237">
        <f>_xll.qlCalendarAdvance(Calendar,X1210,NDays&amp;"D")</f>
        <v>47296</v>
      </c>
      <c r="Z1210" s="238">
        <v>3.9084395777452929E-2</v>
      </c>
      <c r="AA1210" s="240">
        <v>3.8356899930729327E-2</v>
      </c>
    </row>
    <row r="1211" spans="19:27" x14ac:dyDescent="0.2">
      <c r="S1211" s="199"/>
      <c r="T1211" s="200"/>
      <c r="W1211" s="233" t="str">
        <f t="shared" si="25"/>
        <v>1w</v>
      </c>
      <c r="X1211" s="234">
        <f>_xll.qlCalendarAdvance(Calendar,X1210,W1211,"f",FALSE)</f>
        <v>47303</v>
      </c>
      <c r="Y1211" s="237">
        <f>_xll.qlCalendarAdvance(Calendar,X1211,NDays&amp;"D")</f>
        <v>47303</v>
      </c>
      <c r="Z1211" s="238">
        <v>3.9083244632681868E-2</v>
      </c>
      <c r="AA1211" s="240">
        <v>3.8357307634450111E-2</v>
      </c>
    </row>
    <row r="1212" spans="19:27" x14ac:dyDescent="0.2">
      <c r="S1212" s="199"/>
      <c r="T1212" s="200"/>
      <c r="W1212" s="233" t="str">
        <f t="shared" si="25"/>
        <v>1w</v>
      </c>
      <c r="X1212" s="234">
        <f>_xll.qlCalendarAdvance(Calendar,X1211,W1212,"f",FALSE)</f>
        <v>47310</v>
      </c>
      <c r="Y1212" s="237">
        <f>_xll.qlCalendarAdvance(Calendar,X1212,NDays&amp;"D")</f>
        <v>47310</v>
      </c>
      <c r="Z1212" s="238">
        <v>3.9082032929429023E-2</v>
      </c>
      <c r="AA1212" s="240">
        <v>3.8357657043283089E-2</v>
      </c>
    </row>
    <row r="1213" spans="19:27" x14ac:dyDescent="0.2">
      <c r="S1213" s="199"/>
      <c r="T1213" s="200"/>
      <c r="W1213" s="233" t="str">
        <f t="shared" si="25"/>
        <v>1w</v>
      </c>
      <c r="X1213" s="234">
        <f>_xll.qlCalendarAdvance(Calendar,X1212,W1213,"f",FALSE)</f>
        <v>47317</v>
      </c>
      <c r="Y1213" s="237">
        <f>_xll.qlCalendarAdvance(Calendar,X1213,NDays&amp;"D")</f>
        <v>47317</v>
      </c>
      <c r="Z1213" s="238">
        <v>3.90807606749628E-2</v>
      </c>
      <c r="AA1213" s="240">
        <v>3.8357948157309307E-2</v>
      </c>
    </row>
    <row r="1214" spans="19:27" x14ac:dyDescent="0.2">
      <c r="S1214" s="199"/>
      <c r="T1214" s="200"/>
      <c r="W1214" s="233" t="str">
        <f t="shared" si="25"/>
        <v>1w</v>
      </c>
      <c r="X1214" s="234">
        <f>_xll.qlCalendarAdvance(Calendar,X1213,W1214,"f",FALSE)</f>
        <v>47324</v>
      </c>
      <c r="Y1214" s="237">
        <f>_xll.qlCalendarAdvance(Calendar,X1214,NDays&amp;"D")</f>
        <v>47324</v>
      </c>
      <c r="Z1214" s="238">
        <v>3.9079427876561601E-2</v>
      </c>
      <c r="AA1214" s="240">
        <v>3.8358180976366674E-2</v>
      </c>
    </row>
    <row r="1215" spans="19:27" x14ac:dyDescent="0.2">
      <c r="S1215" s="199"/>
      <c r="T1215" s="200"/>
      <c r="W1215" s="233" t="str">
        <f t="shared" si="25"/>
        <v>1w</v>
      </c>
      <c r="X1215" s="234">
        <f>_xll.qlCalendarAdvance(Calendar,X1214,W1215,"f",FALSE)</f>
        <v>47331</v>
      </c>
      <c r="Y1215" s="237">
        <f>_xll.qlCalendarAdvance(Calendar,X1215,NDays&amp;"D")</f>
        <v>47331</v>
      </c>
      <c r="Z1215" s="238">
        <v>3.9078034541515372E-2</v>
      </c>
      <c r="AA1215" s="240">
        <v>3.835835550061728E-2</v>
      </c>
    </row>
    <row r="1216" spans="19:27" x14ac:dyDescent="0.2">
      <c r="S1216" s="199"/>
      <c r="T1216" s="200"/>
      <c r="W1216" s="233" t="str">
        <f t="shared" si="25"/>
        <v>1w</v>
      </c>
      <c r="X1216" s="234">
        <f>_xll.qlCalendarAdvance(Calendar,X1215,W1216,"f",FALSE)</f>
        <v>47338</v>
      </c>
      <c r="Y1216" s="237">
        <f>_xll.qlCalendarAdvance(Calendar,X1216,NDays&amp;"D")</f>
        <v>47338</v>
      </c>
      <c r="Z1216" s="238">
        <v>3.9076580677122941E-2</v>
      </c>
      <c r="AA1216" s="240">
        <v>3.8358471729899035E-2</v>
      </c>
    </row>
    <row r="1217" spans="19:27" x14ac:dyDescent="0.2">
      <c r="S1217" s="199"/>
      <c r="T1217" s="200"/>
      <c r="W1217" s="233" t="str">
        <f t="shared" si="25"/>
        <v>1w</v>
      </c>
      <c r="X1217" s="234">
        <f>_xll.qlCalendarAdvance(Calendar,X1216,W1217,"f",FALSE)</f>
        <v>47345</v>
      </c>
      <c r="Y1217" s="237">
        <f>_xll.qlCalendarAdvance(Calendar,X1217,NDays&amp;"D")</f>
        <v>47345</v>
      </c>
      <c r="Z1217" s="238">
        <v>3.907506629069557E-2</v>
      </c>
      <c r="AA1217" s="240">
        <v>3.8358529664292984E-2</v>
      </c>
    </row>
    <row r="1218" spans="19:27" x14ac:dyDescent="0.2">
      <c r="S1218" s="199"/>
      <c r="T1218" s="200"/>
      <c r="W1218" s="233" t="str">
        <f t="shared" si="25"/>
        <v>1w</v>
      </c>
      <c r="X1218" s="234">
        <f>_xll.qlCalendarAdvance(Calendar,X1217,W1218,"f",FALSE)</f>
        <v>47352</v>
      </c>
      <c r="Y1218" s="237">
        <f>_xll.qlCalendarAdvance(Calendar,X1218,NDays&amp;"D")</f>
        <v>47352</v>
      </c>
      <c r="Z1218" s="238">
        <v>3.9073491389553627E-2</v>
      </c>
      <c r="AA1218" s="240">
        <v>3.8358529303718081E-2</v>
      </c>
    </row>
    <row r="1219" spans="19:27" x14ac:dyDescent="0.2">
      <c r="S1219" s="199"/>
      <c r="T1219" s="200"/>
      <c r="W1219" s="233" t="str">
        <f t="shared" si="25"/>
        <v>1w</v>
      </c>
      <c r="X1219" s="234">
        <f>_xll.qlCalendarAdvance(Calendar,X1218,W1219,"f",FALSE)</f>
        <v>47359</v>
      </c>
      <c r="Y1219" s="237">
        <f>_xll.qlCalendarAdvance(Calendar,X1219,NDays&amp;"D")</f>
        <v>47359</v>
      </c>
      <c r="Z1219" s="238">
        <v>3.9071855981029469E-2</v>
      </c>
      <c r="AA1219" s="240">
        <v>3.8358470648336418E-2</v>
      </c>
    </row>
    <row r="1220" spans="19:27" x14ac:dyDescent="0.2">
      <c r="S1220" s="199"/>
      <c r="T1220" s="200"/>
      <c r="W1220" s="233" t="str">
        <f t="shared" si="25"/>
        <v>1w</v>
      </c>
      <c r="X1220" s="234">
        <f>_xll.qlCalendarAdvance(Calendar,X1219,W1220,"f",FALSE)</f>
        <v>47366</v>
      </c>
      <c r="Y1220" s="237">
        <f>_xll.qlCalendarAdvance(Calendar,X1220,NDays&amp;"D")</f>
        <v>47366</v>
      </c>
      <c r="Z1220" s="238">
        <v>3.9070160072464111E-2</v>
      </c>
      <c r="AA1220" s="240">
        <v>3.8358353698066949E-2</v>
      </c>
    </row>
    <row r="1221" spans="19:27" x14ac:dyDescent="0.2">
      <c r="S1221" s="199"/>
      <c r="T1221" s="200"/>
      <c r="W1221" s="233" t="str">
        <f t="shared" si="25"/>
        <v>1w</v>
      </c>
      <c r="X1221" s="234">
        <f>_xll.qlCalendarAdvance(Calendar,X1220,W1221,"f",FALSE)</f>
        <v>47373</v>
      </c>
      <c r="Y1221" s="237">
        <f>_xll.qlCalendarAdvance(Calendar,X1221,NDays&amp;"D")</f>
        <v>47373</v>
      </c>
      <c r="Z1221" s="238">
        <v>3.9068403671210783E-2</v>
      </c>
      <c r="AA1221" s="240">
        <v>3.8358178452909675E-2</v>
      </c>
    </row>
    <row r="1222" spans="19:27" x14ac:dyDescent="0.2">
      <c r="S1222" s="199"/>
      <c r="T1222" s="200"/>
      <c r="W1222" s="233" t="str">
        <f t="shared" si="25"/>
        <v>1w</v>
      </c>
      <c r="X1222" s="234">
        <f>_xll.qlCalendarAdvance(Calendar,X1221,W1222,"f",FALSE)</f>
        <v>47380</v>
      </c>
      <c r="Y1222" s="237">
        <f>_xll.qlCalendarAdvance(Calendar,X1222,NDays&amp;"D")</f>
        <v>47380</v>
      </c>
      <c r="Z1222" s="238">
        <v>3.906658678463204E-2</v>
      </c>
      <c r="AA1222" s="240">
        <v>3.8357944912864594E-2</v>
      </c>
    </row>
    <row r="1223" spans="19:27" x14ac:dyDescent="0.2">
      <c r="S1223" s="199"/>
      <c r="T1223" s="200"/>
      <c r="W1223" s="233" t="str">
        <f t="shared" si="25"/>
        <v>1w</v>
      </c>
      <c r="X1223" s="234">
        <f>_xll.qlCalendarAdvance(Calendar,X1222,W1223,"f",FALSE)</f>
        <v>47387</v>
      </c>
      <c r="Y1223" s="237">
        <f>_xll.qlCalendarAdvance(Calendar,X1223,NDays&amp;"D")</f>
        <v>47387</v>
      </c>
      <c r="Z1223" s="238">
        <v>3.9064709420101762E-2</v>
      </c>
      <c r="AA1223" s="240">
        <v>3.8357653077931708E-2</v>
      </c>
    </row>
    <row r="1224" spans="19:27" x14ac:dyDescent="0.2">
      <c r="S1224" s="199"/>
      <c r="T1224" s="200"/>
      <c r="W1224" s="233" t="str">
        <f t="shared" si="25"/>
        <v>1w</v>
      </c>
      <c r="X1224" s="234">
        <f>_xll.qlCalendarAdvance(Calendar,X1223,W1224,"f",FALSE)</f>
        <v>47394</v>
      </c>
      <c r="Y1224" s="237">
        <f>_xll.qlCalendarAdvance(Calendar,X1224,NDays&amp;"D")</f>
        <v>47394</v>
      </c>
      <c r="Z1224" s="238">
        <v>3.9062771585003597E-2</v>
      </c>
      <c r="AA1224" s="240">
        <v>3.835730294802997E-2</v>
      </c>
    </row>
    <row r="1225" spans="19:27" x14ac:dyDescent="0.2">
      <c r="S1225" s="199"/>
      <c r="T1225" s="200"/>
      <c r="W1225" s="233" t="str">
        <f t="shared" si="25"/>
        <v>1w</v>
      </c>
      <c r="X1225" s="234">
        <f>_xll.qlCalendarAdvance(Calendar,X1224,W1225,"f",FALSE)</f>
        <v>47401</v>
      </c>
      <c r="Y1225" s="237">
        <f>_xll.qlCalendarAdvance(Calendar,X1225,NDays&amp;"D")</f>
        <v>47401</v>
      </c>
      <c r="Z1225" s="238">
        <v>3.906077328673252E-2</v>
      </c>
      <c r="AA1225" s="240">
        <v>3.8356894523321472E-2</v>
      </c>
    </row>
    <row r="1226" spans="19:27" x14ac:dyDescent="0.2">
      <c r="S1226" s="199"/>
      <c r="T1226" s="200"/>
      <c r="W1226" s="233" t="str">
        <f t="shared" si="25"/>
        <v>1w</v>
      </c>
      <c r="X1226" s="234">
        <f>_xll.qlCalendarAdvance(Calendar,X1225,W1226,"f",FALSE)</f>
        <v>47408</v>
      </c>
      <c r="Y1226" s="237">
        <f>_xll.qlCalendarAdvance(Calendar,X1226,NDays&amp;"D")</f>
        <v>47408</v>
      </c>
      <c r="Z1226" s="238">
        <v>3.9058714532693495E-2</v>
      </c>
      <c r="AA1226" s="240">
        <v>3.8356427803644122E-2</v>
      </c>
    </row>
    <row r="1227" spans="19:27" x14ac:dyDescent="0.2">
      <c r="S1227" s="199"/>
      <c r="T1227" s="200"/>
      <c r="W1227" s="233" t="str">
        <f t="shared" si="25"/>
        <v>1w</v>
      </c>
      <c r="X1227" s="234">
        <f>_xll.qlCalendarAdvance(Calendar,X1226,W1227,"f",FALSE)</f>
        <v>47415</v>
      </c>
      <c r="Y1227" s="237">
        <f>_xll.qlCalendarAdvance(Calendar,X1227,NDays&amp;"D")</f>
        <v>47415</v>
      </c>
      <c r="Z1227" s="238">
        <v>3.9056595330301924E-2</v>
      </c>
      <c r="AA1227" s="240">
        <v>3.8355902789078966E-2</v>
      </c>
    </row>
    <row r="1228" spans="19:27" x14ac:dyDescent="0.2">
      <c r="S1228" s="199"/>
      <c r="T1228" s="200"/>
      <c r="W1228" s="233" t="str">
        <f t="shared" si="25"/>
        <v>1w</v>
      </c>
      <c r="X1228" s="234">
        <f>_xll.qlCalendarAdvance(Calendar,X1227,W1228,"f",FALSE)</f>
        <v>47422</v>
      </c>
      <c r="Y1228" s="237">
        <f>_xll.qlCalendarAdvance(Calendar,X1228,NDays&amp;"D")</f>
        <v>47422</v>
      </c>
      <c r="Z1228" s="238">
        <v>3.9054415686984312E-2</v>
      </c>
      <c r="AA1228" s="240">
        <v>3.8355319479707051E-2</v>
      </c>
    </row>
    <row r="1229" spans="19:27" x14ac:dyDescent="0.2">
      <c r="S1229" s="199"/>
      <c r="T1229" s="200"/>
      <c r="W1229" s="233" t="str">
        <f t="shared" si="25"/>
        <v>1w</v>
      </c>
      <c r="X1229" s="234">
        <f>_xll.qlCalendarAdvance(Calendar,X1228,W1229,"f",FALSE)</f>
        <v>47429</v>
      </c>
      <c r="Y1229" s="237">
        <f>_xll.qlCalendarAdvance(Calendar,X1229,NDays&amp;"D")</f>
        <v>47429</v>
      </c>
      <c r="Z1229" s="238">
        <v>3.9052175610176487E-2</v>
      </c>
      <c r="AA1229" s="240">
        <v>3.8354677875366283E-2</v>
      </c>
    </row>
    <row r="1230" spans="19:27" x14ac:dyDescent="0.2">
      <c r="S1230" s="199"/>
      <c r="T1230" s="200"/>
      <c r="W1230" s="233" t="str">
        <f t="shared" si="25"/>
        <v>1w</v>
      </c>
      <c r="X1230" s="234">
        <f>_xll.qlCalendarAdvance(Calendar,X1229,W1230,"f",FALSE)</f>
        <v>47436</v>
      </c>
      <c r="Y1230" s="237">
        <f>_xll.qlCalendarAdvance(Calendar,X1230,NDays&amp;"D")</f>
        <v>47436</v>
      </c>
      <c r="Z1230" s="238">
        <v>3.9049875107326271E-2</v>
      </c>
      <c r="AA1230" s="240">
        <v>3.835397797613771E-2</v>
      </c>
    </row>
    <row r="1231" spans="19:27" x14ac:dyDescent="0.2">
      <c r="S1231" s="199"/>
      <c r="T1231" s="200"/>
      <c r="W1231" s="233" t="str">
        <f t="shared" si="25"/>
        <v>1w</v>
      </c>
      <c r="X1231" s="234">
        <f>_xll.qlCalendarAdvance(Calendar,X1230,W1231,"f",FALSE)</f>
        <v>47443</v>
      </c>
      <c r="Y1231" s="237">
        <f>_xll.qlCalendarAdvance(Calendar,X1231,NDays&amp;"D")</f>
        <v>47443</v>
      </c>
      <c r="Z1231" s="238">
        <v>3.9047514185890808E-2</v>
      </c>
      <c r="AA1231" s="240">
        <v>3.8353219782021331E-2</v>
      </c>
    </row>
    <row r="1232" spans="19:27" x14ac:dyDescent="0.2">
      <c r="S1232" s="199"/>
      <c r="T1232" s="200"/>
      <c r="W1232" s="233" t="str">
        <f t="shared" si="25"/>
        <v>1w</v>
      </c>
      <c r="X1232" s="234">
        <f>_xll.qlCalendarAdvance(Calendar,X1231,W1232,"f",FALSE)</f>
        <v>47450</v>
      </c>
      <c r="Y1232" s="237">
        <f>_xll.qlCalendarAdvance(Calendar,X1232,NDays&amp;"D")</f>
        <v>47450</v>
      </c>
      <c r="Z1232" s="238">
        <v>3.9045092853337682E-2</v>
      </c>
      <c r="AA1232" s="240">
        <v>3.8352403293017145E-2</v>
      </c>
    </row>
    <row r="1233" spans="19:27" x14ac:dyDescent="0.2">
      <c r="S1233" s="199"/>
      <c r="T1233" s="200"/>
      <c r="W1233" s="233" t="str">
        <f t="shared" si="25"/>
        <v>1w</v>
      </c>
      <c r="X1233" s="234">
        <f>_xll.qlCalendarAdvance(Calendar,X1232,W1233,"f",FALSE)</f>
        <v>47457</v>
      </c>
      <c r="Y1233" s="237">
        <f>_xll.qlCalendarAdvance(Calendar,X1233,NDays&amp;"D")</f>
        <v>47457</v>
      </c>
      <c r="Z1233" s="238">
        <v>3.904261111714602E-2</v>
      </c>
      <c r="AA1233" s="240">
        <v>3.8351528509206201E-2</v>
      </c>
    </row>
    <row r="1234" spans="19:27" x14ac:dyDescent="0.2">
      <c r="S1234" s="199"/>
      <c r="T1234" s="200"/>
      <c r="W1234" s="233" t="str">
        <f t="shared" si="25"/>
        <v>1w</v>
      </c>
      <c r="X1234" s="234">
        <f>_xll.qlCalendarAdvance(Calendar,X1233,W1234,"f",FALSE)</f>
        <v>47464</v>
      </c>
      <c r="Y1234" s="237">
        <f>_xll.qlCalendarAdvance(Calendar,X1234,NDays&amp;"D")</f>
        <v>47464</v>
      </c>
      <c r="Z1234" s="238">
        <v>3.9040068984804499E-2</v>
      </c>
      <c r="AA1234" s="240">
        <v>3.8350595430426404E-2</v>
      </c>
    </row>
    <row r="1235" spans="19:27" x14ac:dyDescent="0.2">
      <c r="S1235" s="199"/>
      <c r="T1235" s="200"/>
      <c r="W1235" s="233" t="str">
        <f t="shared" si="25"/>
        <v>1w</v>
      </c>
      <c r="X1235" s="234">
        <f>_xll.qlCalendarAdvance(Calendar,X1234,W1235,"f",FALSE)</f>
        <v>47471</v>
      </c>
      <c r="Y1235" s="237">
        <f>_xll.qlCalendarAdvance(Calendar,X1235,NDays&amp;"D")</f>
        <v>47471</v>
      </c>
      <c r="Z1235" s="238">
        <v>3.9037466463812232E-2</v>
      </c>
      <c r="AA1235" s="240">
        <v>3.8349604056677755E-2</v>
      </c>
    </row>
    <row r="1236" spans="19:27" x14ac:dyDescent="0.2">
      <c r="S1236" s="199"/>
      <c r="T1236" s="200"/>
      <c r="W1236" s="233" t="str">
        <f t="shared" si="25"/>
        <v>1w</v>
      </c>
      <c r="X1236" s="234">
        <f>_xll.qlCalendarAdvance(Calendar,X1235,W1236,"f",FALSE)</f>
        <v>47479</v>
      </c>
      <c r="Y1236" s="237">
        <f>_xll.qlCalendarAdvance(Calendar,X1236,NDays&amp;"D")</f>
        <v>47479</v>
      </c>
      <c r="Z1236" s="238">
        <v>3.9034418218454991E-2</v>
      </c>
      <c r="AA1236" s="240">
        <v>3.8348399676688683E-2</v>
      </c>
    </row>
    <row r="1237" spans="19:27" x14ac:dyDescent="0.2">
      <c r="S1237" s="199"/>
      <c r="T1237" s="200"/>
      <c r="W1237" s="233" t="str">
        <f t="shared" ref="W1237:W1300" si="26">W1236</f>
        <v>1w</v>
      </c>
      <c r="X1237" s="234">
        <f>_xll.qlCalendarAdvance(Calendar,X1236,W1237,"f",FALSE)</f>
        <v>47486</v>
      </c>
      <c r="Y1237" s="237">
        <f>_xll.qlCalendarAdvance(Calendar,X1237,NDays&amp;"D")</f>
        <v>47486</v>
      </c>
      <c r="Z1237" s="238">
        <v>3.9031686318513614E-2</v>
      </c>
      <c r="AA1237" s="240">
        <v>3.8347283385415931E-2</v>
      </c>
    </row>
    <row r="1238" spans="19:27" x14ac:dyDescent="0.2">
      <c r="S1238" s="199"/>
      <c r="T1238" s="200"/>
      <c r="W1238" s="233" t="str">
        <f t="shared" si="26"/>
        <v>1w</v>
      </c>
      <c r="X1238" s="234">
        <f>_xll.qlCalendarAdvance(Calendar,X1237,W1238,"f",FALSE)</f>
        <v>47493</v>
      </c>
      <c r="Y1238" s="237">
        <f>_xll.qlCalendarAdvance(Calendar,X1238,NDays&amp;"D")</f>
        <v>47493</v>
      </c>
      <c r="Z1238" s="238">
        <v>3.9028894053559471E-2</v>
      </c>
      <c r="AA1238" s="240">
        <v>3.8346108799255374E-2</v>
      </c>
    </row>
    <row r="1239" spans="19:27" x14ac:dyDescent="0.2">
      <c r="S1239" s="199"/>
      <c r="T1239" s="200"/>
      <c r="W1239" s="233" t="str">
        <f t="shared" si="26"/>
        <v>1w</v>
      </c>
      <c r="X1239" s="234">
        <f>_xll.qlCalendarAdvance(Calendar,X1238,W1239,"f",FALSE)</f>
        <v>47500</v>
      </c>
      <c r="Y1239" s="237">
        <f>_xll.qlCalendarAdvance(Calendar,X1239,NDays&amp;"D")</f>
        <v>47500</v>
      </c>
      <c r="Z1239" s="238">
        <v>3.9026041431134972E-2</v>
      </c>
      <c r="AA1239" s="240">
        <v>3.8344875918207011E-2</v>
      </c>
    </row>
    <row r="1240" spans="19:27" x14ac:dyDescent="0.2">
      <c r="S1240" s="199"/>
      <c r="T1240" s="200"/>
      <c r="W1240" s="233" t="str">
        <f t="shared" si="26"/>
        <v>1w</v>
      </c>
      <c r="X1240" s="234">
        <f>_xll.qlCalendarAdvance(Calendar,X1239,W1240,"f",FALSE)</f>
        <v>47507</v>
      </c>
      <c r="Y1240" s="237">
        <f>_xll.qlCalendarAdvance(Calendar,X1240,NDays&amp;"D")</f>
        <v>47507</v>
      </c>
      <c r="Z1240" s="238">
        <v>3.9023128458793632E-2</v>
      </c>
      <c r="AA1240" s="240">
        <v>3.8343584742270842E-2</v>
      </c>
    </row>
    <row r="1241" spans="19:27" x14ac:dyDescent="0.2">
      <c r="S1241" s="199"/>
      <c r="T1241" s="200"/>
      <c r="W1241" s="233" t="str">
        <f t="shared" si="26"/>
        <v>1w</v>
      </c>
      <c r="X1241" s="234">
        <f>_xll.qlCalendarAdvance(Calendar,X1240,W1241,"f",FALSE)</f>
        <v>47514</v>
      </c>
      <c r="Y1241" s="237">
        <f>_xll.qlCalendarAdvance(Calendar,X1241,NDays&amp;"D")</f>
        <v>47514</v>
      </c>
      <c r="Z1241" s="238">
        <v>3.9020155144098734E-2</v>
      </c>
      <c r="AA1241" s="240">
        <v>3.8342235271365821E-2</v>
      </c>
    </row>
    <row r="1242" spans="19:27" x14ac:dyDescent="0.2">
      <c r="S1242" s="199"/>
      <c r="T1242" s="200"/>
      <c r="W1242" s="233" t="str">
        <f t="shared" si="26"/>
        <v>1w</v>
      </c>
      <c r="X1242" s="234">
        <f>_xll.qlCalendarAdvance(Calendar,X1241,W1242,"f",FALSE)</f>
        <v>47521</v>
      </c>
      <c r="Y1242" s="237">
        <f>_xll.qlCalendarAdvance(Calendar,X1242,NDays&amp;"D")</f>
        <v>47521</v>
      </c>
      <c r="Z1242" s="238">
        <v>3.901712149462444E-2</v>
      </c>
      <c r="AA1242" s="240">
        <v>3.834082750565404E-2</v>
      </c>
    </row>
    <row r="1243" spans="19:27" x14ac:dyDescent="0.2">
      <c r="S1243" s="199"/>
      <c r="T1243" s="200"/>
      <c r="W1243" s="233" t="str">
        <f t="shared" si="26"/>
        <v>1w</v>
      </c>
      <c r="X1243" s="234">
        <f>_xll.qlCalendarAdvance(Calendar,X1242,W1243,"f",FALSE)</f>
        <v>47528</v>
      </c>
      <c r="Y1243" s="237">
        <f>_xll.qlCalendarAdvance(Calendar,X1243,NDays&amp;"D")</f>
        <v>47528</v>
      </c>
      <c r="Z1243" s="238">
        <v>3.9014027517954908E-2</v>
      </c>
      <c r="AA1243" s="240">
        <v>3.8339361445054454E-2</v>
      </c>
    </row>
    <row r="1244" spans="19:27" x14ac:dyDescent="0.2">
      <c r="S1244" s="199"/>
      <c r="T1244" s="200"/>
      <c r="W1244" s="233" t="str">
        <f t="shared" si="26"/>
        <v>1w</v>
      </c>
      <c r="X1244" s="234">
        <f>_xll.qlCalendarAdvance(Calendar,X1243,W1244,"f",FALSE)</f>
        <v>47535</v>
      </c>
      <c r="Y1244" s="237">
        <f>_xll.qlCalendarAdvance(Calendar,X1244,NDays&amp;"D")</f>
        <v>47535</v>
      </c>
      <c r="Z1244" s="238">
        <v>3.9010873221685616E-2</v>
      </c>
      <c r="AA1244" s="240">
        <v>3.8337837089567062E-2</v>
      </c>
    </row>
    <row r="1245" spans="19:27" x14ac:dyDescent="0.2">
      <c r="S1245" s="199"/>
      <c r="T1245" s="200"/>
      <c r="W1245" s="233" t="str">
        <f t="shared" si="26"/>
        <v>1w</v>
      </c>
      <c r="X1245" s="234">
        <f>_xll.qlCalendarAdvance(Calendar,X1244,W1245,"f",FALSE)</f>
        <v>47542</v>
      </c>
      <c r="Y1245" s="237">
        <f>_xll.qlCalendarAdvance(Calendar,X1245,NDays&amp;"D")</f>
        <v>47542</v>
      </c>
      <c r="Z1245" s="238">
        <v>3.9007658613421148E-2</v>
      </c>
      <c r="AA1245" s="240">
        <v>3.8336254439191864E-2</v>
      </c>
    </row>
    <row r="1246" spans="19:27" x14ac:dyDescent="0.2">
      <c r="S1246" s="199"/>
      <c r="T1246" s="200"/>
      <c r="W1246" s="233" t="str">
        <f t="shared" si="26"/>
        <v>1w</v>
      </c>
      <c r="X1246" s="234">
        <f>_xll.qlCalendarAdvance(Calendar,X1245,W1246,"f",FALSE)</f>
        <v>47549</v>
      </c>
      <c r="Y1246" s="237">
        <f>_xll.qlCalendarAdvance(Calendar,X1246,NDays&amp;"D")</f>
        <v>47549</v>
      </c>
      <c r="Z1246" s="238">
        <v>3.9004383700777634E-2</v>
      </c>
      <c r="AA1246" s="240">
        <v>3.8334613494009906E-2</v>
      </c>
    </row>
    <row r="1247" spans="19:27" x14ac:dyDescent="0.2">
      <c r="S1247" s="199"/>
      <c r="T1247" s="200"/>
      <c r="W1247" s="233" t="str">
        <f t="shared" si="26"/>
        <v>1w</v>
      </c>
      <c r="X1247" s="234">
        <f>_xll.qlCalendarAdvance(Calendar,X1246,W1247,"f",FALSE)</f>
        <v>47556</v>
      </c>
      <c r="Y1247" s="237">
        <f>_xll.qlCalendarAdvance(Calendar,X1247,NDays&amp;"D")</f>
        <v>47556</v>
      </c>
      <c r="Z1247" s="238">
        <v>3.9001048491381418E-2</v>
      </c>
      <c r="AA1247" s="240">
        <v>3.833291425377805E-2</v>
      </c>
    </row>
    <row r="1248" spans="19:27" x14ac:dyDescent="0.2">
      <c r="S1248" s="199"/>
      <c r="T1248" s="200"/>
      <c r="W1248" s="233" t="str">
        <f t="shared" si="26"/>
        <v>1w</v>
      </c>
      <c r="X1248" s="234">
        <f>_xll.qlCalendarAdvance(Calendar,X1247,W1248,"f",FALSE)</f>
        <v>47563</v>
      </c>
      <c r="Y1248" s="237">
        <f>_xll.qlCalendarAdvance(Calendar,X1248,NDays&amp;"D")</f>
        <v>47563</v>
      </c>
      <c r="Z1248" s="238">
        <v>3.899765299286817E-2</v>
      </c>
      <c r="AA1248" s="240">
        <v>3.833115671882048E-2</v>
      </c>
    </row>
    <row r="1249" spans="19:27" x14ac:dyDescent="0.2">
      <c r="S1249" s="199"/>
      <c r="T1249" s="200"/>
      <c r="W1249" s="233" t="str">
        <f t="shared" si="26"/>
        <v>1w</v>
      </c>
      <c r="X1249" s="234">
        <f>_xll.qlCalendarAdvance(Calendar,X1248,W1249,"f",FALSE)</f>
        <v>47570</v>
      </c>
      <c r="Y1249" s="237">
        <f>_xll.qlCalendarAdvance(Calendar,X1249,NDays&amp;"D")</f>
        <v>47570</v>
      </c>
      <c r="Z1249" s="238">
        <v>3.8994197212885773E-2</v>
      </c>
      <c r="AA1249" s="240">
        <v>3.8329340888894059E-2</v>
      </c>
    </row>
    <row r="1250" spans="19:27" x14ac:dyDescent="0.2">
      <c r="S1250" s="199"/>
      <c r="T1250" s="200"/>
      <c r="W1250" s="233" t="str">
        <f t="shared" si="26"/>
        <v>1w</v>
      </c>
      <c r="X1250" s="234">
        <f>_xll.qlCalendarAdvance(Calendar,X1249,W1250,"f",FALSE)</f>
        <v>47577</v>
      </c>
      <c r="Y1250" s="237">
        <f>_xll.qlCalendarAdvance(Calendar,X1250,NDays&amp;"D")</f>
        <v>47577</v>
      </c>
      <c r="Z1250" s="238">
        <v>3.8990681159090768E-2</v>
      </c>
      <c r="AA1250" s="240">
        <v>3.8327466764079832E-2</v>
      </c>
    </row>
    <row r="1251" spans="19:27" x14ac:dyDescent="0.2">
      <c r="S1251" s="199"/>
      <c r="T1251" s="200"/>
      <c r="W1251" s="233" t="str">
        <f t="shared" si="26"/>
        <v>1w</v>
      </c>
      <c r="X1251" s="234">
        <f>_xll.qlCalendarAdvance(Calendar,X1250,W1251,"f",FALSE)</f>
        <v>47584</v>
      </c>
      <c r="Y1251" s="237">
        <f>_xll.qlCalendarAdvance(Calendar,X1251,NDays&amp;"D")</f>
        <v>47584</v>
      </c>
      <c r="Z1251" s="238">
        <v>3.8994144801564393E-2</v>
      </c>
      <c r="AA1251" s="240">
        <v>3.8325534344458845E-2</v>
      </c>
    </row>
    <row r="1252" spans="19:27" x14ac:dyDescent="0.2">
      <c r="S1252" s="199"/>
      <c r="T1252" s="200"/>
      <c r="W1252" s="233" t="str">
        <f t="shared" si="26"/>
        <v>1w</v>
      </c>
      <c r="X1252" s="234">
        <f>_xll.qlCalendarAdvance(Calendar,X1251,W1252,"f",FALSE)</f>
        <v>47591</v>
      </c>
      <c r="Y1252" s="237">
        <f>_xll.qlCalendarAdvance(Calendar,X1252,NDays&amp;"D")</f>
        <v>47591</v>
      </c>
      <c r="Z1252" s="238">
        <v>3.8983468260745502E-2</v>
      </c>
      <c r="AA1252" s="240">
        <v>3.8331011196835574E-2</v>
      </c>
    </row>
    <row r="1253" spans="19:27" x14ac:dyDescent="0.2">
      <c r="S1253" s="199"/>
      <c r="T1253" s="200"/>
      <c r="W1253" s="233" t="str">
        <f t="shared" si="26"/>
        <v>1w</v>
      </c>
      <c r="X1253" s="234">
        <f>_xll.qlCalendarAdvance(Calendar,X1252,W1253,"f",FALSE)</f>
        <v>47598</v>
      </c>
      <c r="Y1253" s="237">
        <f>_xll.qlCalendarAdvance(Calendar,X1253,NDays&amp;"D")</f>
        <v>47598</v>
      </c>
      <c r="Z1253" s="238">
        <v>3.8979771431561616E-2</v>
      </c>
      <c r="AA1253" s="240">
        <v>3.8321494620472407E-2</v>
      </c>
    </row>
    <row r="1254" spans="19:27" x14ac:dyDescent="0.2">
      <c r="S1254" s="199"/>
      <c r="T1254" s="200"/>
      <c r="W1254" s="233" t="str">
        <f t="shared" si="26"/>
        <v>1w</v>
      </c>
      <c r="X1254" s="234">
        <f>_xll.qlCalendarAdvance(Calendar,X1253,W1254,"f",FALSE)</f>
        <v>47605</v>
      </c>
      <c r="Y1254" s="237">
        <f>_xll.qlCalendarAdvance(Calendar,X1254,NDays&amp;"D")</f>
        <v>47605</v>
      </c>
      <c r="Z1254" s="238">
        <v>3.8976014359298983E-2</v>
      </c>
      <c r="AA1254" s="240">
        <v>3.8319387316188003E-2</v>
      </c>
    </row>
    <row r="1255" spans="19:27" x14ac:dyDescent="0.2">
      <c r="S1255" s="199"/>
      <c r="T1255" s="200"/>
      <c r="W1255" s="233" t="str">
        <f t="shared" si="26"/>
        <v>1w</v>
      </c>
      <c r="X1255" s="234">
        <f>_xll.qlCalendarAdvance(Calendar,X1254,W1255,"f",FALSE)</f>
        <v>47612</v>
      </c>
      <c r="Y1255" s="237">
        <f>_xll.qlCalendarAdvance(Calendar,X1255,NDays&amp;"D")</f>
        <v>47612</v>
      </c>
      <c r="Z1255" s="238">
        <v>3.8972197051666324E-2</v>
      </c>
      <c r="AA1255" s="240">
        <v>3.8317221717015792E-2</v>
      </c>
    </row>
    <row r="1256" spans="19:27" x14ac:dyDescent="0.2">
      <c r="S1256" s="199"/>
      <c r="T1256" s="200"/>
      <c r="W1256" s="233" t="str">
        <f t="shared" si="26"/>
        <v>1w</v>
      </c>
      <c r="X1256" s="234">
        <f>_xll.qlCalendarAdvance(Calendar,X1255,W1256,"f",FALSE)</f>
        <v>47619</v>
      </c>
      <c r="Y1256" s="237">
        <f>_xll.qlCalendarAdvance(Calendar,X1256,NDays&amp;"D")</f>
        <v>47619</v>
      </c>
      <c r="Z1256" s="238">
        <v>3.8968319516383465E-2</v>
      </c>
      <c r="AA1256" s="240">
        <v>3.8314997822955776E-2</v>
      </c>
    </row>
    <row r="1257" spans="19:27" x14ac:dyDescent="0.2">
      <c r="S1257" s="199"/>
      <c r="T1257" s="200"/>
      <c r="W1257" s="233" t="str">
        <f t="shared" si="26"/>
        <v>1w</v>
      </c>
      <c r="X1257" s="234">
        <f>_xll.qlCalendarAdvance(Calendar,X1256,W1257,"f",FALSE)</f>
        <v>47626</v>
      </c>
      <c r="Y1257" s="237">
        <f>_xll.qlCalendarAdvance(Calendar,X1257,NDays&amp;"D")</f>
        <v>47626</v>
      </c>
      <c r="Z1257" s="238">
        <v>3.8964381761180888E-2</v>
      </c>
      <c r="AA1257" s="240">
        <v>3.8312715634089001E-2</v>
      </c>
    </row>
    <row r="1258" spans="19:27" x14ac:dyDescent="0.2">
      <c r="S1258" s="199"/>
      <c r="T1258" s="200"/>
      <c r="W1258" s="233" t="str">
        <f t="shared" si="26"/>
        <v>1w</v>
      </c>
      <c r="X1258" s="234">
        <f>_xll.qlCalendarAdvance(Calendar,X1257,W1258,"f",FALSE)</f>
        <v>47633</v>
      </c>
      <c r="Y1258" s="237">
        <f>_xll.qlCalendarAdvance(Calendar,X1258,NDays&amp;"D")</f>
        <v>47633</v>
      </c>
      <c r="Z1258" s="238">
        <v>3.8960383793798181E-2</v>
      </c>
      <c r="AA1258" s="240">
        <v>3.8310375150334419E-2</v>
      </c>
    </row>
    <row r="1259" spans="19:27" x14ac:dyDescent="0.2">
      <c r="S1259" s="199"/>
      <c r="T1259" s="200"/>
      <c r="W1259" s="233" t="str">
        <f t="shared" si="26"/>
        <v>1w</v>
      </c>
      <c r="X1259" s="234">
        <f>_xll.qlCalendarAdvance(Calendar,X1258,W1259,"f",FALSE)</f>
        <v>47640</v>
      </c>
      <c r="Y1259" s="237">
        <f>_xll.qlCalendarAdvance(Calendar,X1259,NDays&amp;"D")</f>
        <v>47640</v>
      </c>
      <c r="Z1259" s="238">
        <v>3.8956325621986254E-2</v>
      </c>
      <c r="AA1259" s="240">
        <v>3.8307976371610986E-2</v>
      </c>
    </row>
    <row r="1260" spans="19:27" x14ac:dyDescent="0.2">
      <c r="S1260" s="199"/>
      <c r="T1260" s="200"/>
      <c r="W1260" s="233" t="str">
        <f t="shared" si="26"/>
        <v>1w</v>
      </c>
      <c r="X1260" s="234">
        <f>_xll.qlCalendarAdvance(Calendar,X1259,W1260,"f",FALSE)</f>
        <v>47647</v>
      </c>
      <c r="Y1260" s="237">
        <f>_xll.qlCalendarAdvance(Calendar,X1260,NDays&amp;"D")</f>
        <v>47647</v>
      </c>
      <c r="Z1260" s="238">
        <v>3.8952207253506455E-2</v>
      </c>
      <c r="AA1260" s="240">
        <v>3.8305519298080792E-2</v>
      </c>
    </row>
    <row r="1261" spans="19:27" x14ac:dyDescent="0.2">
      <c r="S1261" s="199"/>
      <c r="T1261" s="200"/>
      <c r="W1261" s="233" t="str">
        <f t="shared" si="26"/>
        <v>1w</v>
      </c>
      <c r="X1261" s="234">
        <f>_xll.qlCalendarAdvance(Calendar,X1260,W1261,"f",FALSE)</f>
        <v>47654</v>
      </c>
      <c r="Y1261" s="237">
        <f>_xll.qlCalendarAdvance(Calendar,X1261,NDays&amp;"D")</f>
        <v>47654</v>
      </c>
      <c r="Z1261" s="238">
        <v>3.8948028696130121E-2</v>
      </c>
      <c r="AA1261" s="240">
        <v>3.8303003929662793E-2</v>
      </c>
    </row>
    <row r="1262" spans="19:27" x14ac:dyDescent="0.2">
      <c r="S1262" s="199"/>
      <c r="T1262" s="200"/>
      <c r="W1262" s="233" t="str">
        <f t="shared" si="26"/>
        <v>1w</v>
      </c>
      <c r="X1262" s="234">
        <f>_xll.qlCalendarAdvance(Calendar,X1261,W1262,"f",FALSE)</f>
        <v>47661</v>
      </c>
      <c r="Y1262" s="237">
        <f>_xll.qlCalendarAdvance(Calendar,X1262,NDays&amp;"D")</f>
        <v>47661</v>
      </c>
      <c r="Z1262" s="238">
        <v>3.8943789957639252E-2</v>
      </c>
      <c r="AA1262" s="240">
        <v>3.8300430267572683E-2</v>
      </c>
    </row>
    <row r="1263" spans="19:27" x14ac:dyDescent="0.2">
      <c r="S1263" s="199"/>
      <c r="T1263" s="200"/>
      <c r="W1263" s="233" t="str">
        <f t="shared" si="26"/>
        <v>1w</v>
      </c>
      <c r="X1263" s="234">
        <f>_xll.qlCalendarAdvance(Calendar,X1262,W1263,"f",FALSE)</f>
        <v>47668</v>
      </c>
      <c r="Y1263" s="237">
        <f>_xll.qlCalendarAdvance(Calendar,X1263,NDays&amp;"D")</f>
        <v>47668</v>
      </c>
      <c r="Z1263" s="238">
        <v>3.893949100889027E-2</v>
      </c>
      <c r="AA1263" s="240">
        <v>3.8297798511913728E-2</v>
      </c>
    </row>
    <row r="1264" spans="19:27" x14ac:dyDescent="0.2">
      <c r="S1264" s="199"/>
      <c r="T1264" s="200"/>
      <c r="W1264" s="233" t="str">
        <f t="shared" si="26"/>
        <v>1w</v>
      </c>
      <c r="X1264" s="234">
        <f>_xll.qlCalendarAdvance(Calendar,X1263,W1264,"f",FALSE)</f>
        <v>47675</v>
      </c>
      <c r="Y1264" s="237">
        <f>_xll.qlCalendarAdvance(Calendar,X1264,NDays&amp;"D")</f>
        <v>47675</v>
      </c>
      <c r="Z1264" s="238">
        <v>3.8935131673009993E-2</v>
      </c>
      <c r="AA1264" s="240">
        <v>3.8295108815377121E-2</v>
      </c>
    </row>
    <row r="1265" spans="19:27" x14ac:dyDescent="0.2">
      <c r="S1265" s="199"/>
      <c r="T1265" s="200"/>
      <c r="W1265" s="233" t="str">
        <f t="shared" si="26"/>
        <v>1w</v>
      </c>
      <c r="X1265" s="234">
        <f>_xll.qlCalendarAdvance(Calendar,X1264,W1265,"f",FALSE)</f>
        <v>47682</v>
      </c>
      <c r="Y1265" s="237">
        <f>_xll.qlCalendarAdvance(Calendar,X1265,NDays&amp;"D")</f>
        <v>47682</v>
      </c>
      <c r="Z1265" s="238">
        <v>3.8930711736203438E-2</v>
      </c>
      <c r="AA1265" s="240">
        <v>3.8292361178124956E-2</v>
      </c>
    </row>
    <row r="1266" spans="19:27" x14ac:dyDescent="0.2">
      <c r="S1266" s="199"/>
      <c r="T1266" s="200"/>
      <c r="W1266" s="233" t="str">
        <f t="shared" si="26"/>
        <v>1w</v>
      </c>
      <c r="X1266" s="234">
        <f>_xll.qlCalendarAdvance(Calendar,X1265,W1266,"f",FALSE)</f>
        <v>47689</v>
      </c>
      <c r="Y1266" s="237">
        <f>_xll.qlCalendarAdvance(Calendar,X1266,NDays&amp;"D")</f>
        <v>47689</v>
      </c>
      <c r="Z1266" s="238">
        <v>3.892623098469028E-2</v>
      </c>
      <c r="AA1266" s="240">
        <v>3.8289555600157232E-2</v>
      </c>
    </row>
    <row r="1267" spans="19:27" x14ac:dyDescent="0.2">
      <c r="S1267" s="199"/>
      <c r="T1267" s="200"/>
      <c r="W1267" s="233" t="str">
        <f t="shared" si="26"/>
        <v>1w</v>
      </c>
      <c r="X1267" s="234">
        <f>_xll.qlCalendarAdvance(Calendar,X1266,W1267,"f",FALSE)</f>
        <v>47696</v>
      </c>
      <c r="Y1267" s="237">
        <f>_xll.qlCalendarAdvance(Calendar,X1267,NDays&amp;"D")</f>
        <v>47696</v>
      </c>
      <c r="Z1267" s="238">
        <v>3.8921689204703958E-2</v>
      </c>
      <c r="AA1267" s="240">
        <v>3.8286692081554996E-2</v>
      </c>
    </row>
    <row r="1268" spans="19:27" x14ac:dyDescent="0.2">
      <c r="S1268" s="199"/>
      <c r="T1268" s="200"/>
      <c r="W1268" s="233" t="str">
        <f t="shared" si="26"/>
        <v>1w</v>
      </c>
      <c r="X1268" s="234">
        <f>_xll.qlCalendarAdvance(Calendar,X1267,W1268,"f",FALSE)</f>
        <v>47703</v>
      </c>
      <c r="Y1268" s="237">
        <f>_xll.qlCalendarAdvance(Calendar,X1268,NDays&amp;"D")</f>
        <v>47703</v>
      </c>
      <c r="Z1268" s="238">
        <v>3.891708618249301E-2</v>
      </c>
      <c r="AA1268" s="240">
        <v>3.8283770622156155E-2</v>
      </c>
    </row>
    <row r="1269" spans="19:27" x14ac:dyDescent="0.2">
      <c r="S1269" s="199"/>
      <c r="T1269" s="200"/>
      <c r="W1269" s="233" t="str">
        <f t="shared" si="26"/>
        <v>1w</v>
      </c>
      <c r="X1269" s="234">
        <f>_xll.qlCalendarAdvance(Calendar,X1268,W1269,"f",FALSE)</f>
        <v>47710</v>
      </c>
      <c r="Y1269" s="237">
        <f>_xll.qlCalendarAdvance(Calendar,X1269,NDays&amp;"D")</f>
        <v>47710</v>
      </c>
      <c r="Z1269" s="238">
        <v>3.8912421704319744E-2</v>
      </c>
      <c r="AA1269" s="240">
        <v>3.8280791222041755E-2</v>
      </c>
    </row>
    <row r="1270" spans="19:27" x14ac:dyDescent="0.2">
      <c r="S1270" s="199"/>
      <c r="T1270" s="200"/>
      <c r="W1270" s="233" t="str">
        <f t="shared" si="26"/>
        <v>1w</v>
      </c>
      <c r="X1270" s="234">
        <f>_xll.qlCalendarAdvance(Calendar,X1269,W1270,"f",FALSE)</f>
        <v>47717</v>
      </c>
      <c r="Y1270" s="237">
        <f>_xll.qlCalendarAdvance(Calendar,X1270,NDays&amp;"D")</f>
        <v>47717</v>
      </c>
      <c r="Z1270" s="238">
        <v>3.8907695556462674E-2</v>
      </c>
      <c r="AA1270" s="240">
        <v>3.8277753881211796E-2</v>
      </c>
    </row>
    <row r="1271" spans="19:27" x14ac:dyDescent="0.2">
      <c r="S1271" s="199"/>
      <c r="T1271" s="200"/>
      <c r="W1271" s="233" t="str">
        <f t="shared" si="26"/>
        <v>1w</v>
      </c>
      <c r="X1271" s="234">
        <f>_xll.qlCalendarAdvance(Calendar,X1270,W1271,"f",FALSE)</f>
        <v>47724</v>
      </c>
      <c r="Y1271" s="237">
        <f>_xll.qlCalendarAdvance(Calendar,X1271,NDays&amp;"D")</f>
        <v>47724</v>
      </c>
      <c r="Z1271" s="238">
        <v>3.8902907525213193E-2</v>
      </c>
      <c r="AA1271" s="240">
        <v>3.8274658599666278E-2</v>
      </c>
    </row>
    <row r="1272" spans="19:27" x14ac:dyDescent="0.2">
      <c r="S1272" s="199"/>
      <c r="T1272" s="200"/>
      <c r="W1272" s="233" t="str">
        <f t="shared" si="26"/>
        <v>1w</v>
      </c>
      <c r="X1272" s="234">
        <f>_xll.qlCalendarAdvance(Calendar,X1271,W1272,"f",FALSE)</f>
        <v>47731</v>
      </c>
      <c r="Y1272" s="237">
        <f>_xll.qlCalendarAdvance(Calendar,X1272,NDays&amp;"D")</f>
        <v>47731</v>
      </c>
      <c r="Z1272" s="238">
        <v>3.8898057396879127E-2</v>
      </c>
      <c r="AA1272" s="240">
        <v>3.8271505377405202E-2</v>
      </c>
    </row>
    <row r="1273" spans="19:27" x14ac:dyDescent="0.2">
      <c r="S1273" s="199"/>
      <c r="T1273" s="200"/>
      <c r="W1273" s="233" t="str">
        <f t="shared" si="26"/>
        <v>1w</v>
      </c>
      <c r="X1273" s="234">
        <f>_xll.qlCalendarAdvance(Calendar,X1272,W1273,"f",FALSE)</f>
        <v>47738</v>
      </c>
      <c r="Y1273" s="237">
        <f>_xll.qlCalendarAdvance(Calendar,X1273,NDays&amp;"D")</f>
        <v>47738</v>
      </c>
      <c r="Z1273" s="238">
        <v>3.8893144957782955E-2</v>
      </c>
      <c r="AA1273" s="240">
        <v>3.826829421434752E-2</v>
      </c>
    </row>
    <row r="1274" spans="19:27" x14ac:dyDescent="0.2">
      <c r="S1274" s="199"/>
      <c r="T1274" s="200"/>
      <c r="W1274" s="233" t="str">
        <f t="shared" si="26"/>
        <v>1w</v>
      </c>
      <c r="X1274" s="234">
        <f>_xll.qlCalendarAdvance(Calendar,X1273,W1274,"f",FALSE)</f>
        <v>47745</v>
      </c>
      <c r="Y1274" s="237">
        <f>_xll.qlCalendarAdvance(Calendar,X1274,NDays&amp;"D")</f>
        <v>47745</v>
      </c>
      <c r="Z1274" s="238">
        <v>3.8888169994262478E-2</v>
      </c>
      <c r="AA1274" s="240">
        <v>3.8265025110655326E-2</v>
      </c>
    </row>
    <row r="1275" spans="19:27" x14ac:dyDescent="0.2">
      <c r="S1275" s="199"/>
      <c r="T1275" s="200"/>
      <c r="W1275" s="233" t="str">
        <f t="shared" si="26"/>
        <v>1w</v>
      </c>
      <c r="X1275" s="234">
        <f>_xll.qlCalendarAdvance(Calendar,X1274,W1275,"f",FALSE)</f>
        <v>47752</v>
      </c>
      <c r="Y1275" s="237">
        <f>_xll.qlCalendarAdvance(Calendar,X1275,NDays&amp;"D")</f>
        <v>47752</v>
      </c>
      <c r="Z1275" s="238">
        <v>3.8883132292670819E-2</v>
      </c>
      <c r="AA1275" s="240">
        <v>3.8261698066247574E-2</v>
      </c>
    </row>
    <row r="1276" spans="19:27" x14ac:dyDescent="0.2">
      <c r="S1276" s="199"/>
      <c r="T1276" s="200"/>
      <c r="W1276" s="233" t="str">
        <f t="shared" si="26"/>
        <v>1w</v>
      </c>
      <c r="X1276" s="234">
        <f>_xll.qlCalendarAdvance(Calendar,X1275,W1276,"f",FALSE)</f>
        <v>47759</v>
      </c>
      <c r="Y1276" s="237">
        <f>_xll.qlCalendarAdvance(Calendar,X1276,NDays&amp;"D")</f>
        <v>47759</v>
      </c>
      <c r="Z1276" s="238">
        <v>3.8878031639377086E-2</v>
      </c>
      <c r="AA1276" s="240">
        <v>3.8258313081205308E-2</v>
      </c>
    </row>
    <row r="1277" spans="19:27" x14ac:dyDescent="0.2">
      <c r="S1277" s="199"/>
      <c r="T1277" s="200"/>
      <c r="W1277" s="233" t="str">
        <f t="shared" si="26"/>
        <v>1w</v>
      </c>
      <c r="X1277" s="234">
        <f>_xll.qlCalendarAdvance(Calendar,X1276,W1277,"f",FALSE)</f>
        <v>47766</v>
      </c>
      <c r="Y1277" s="237">
        <f>_xll.qlCalendarAdvance(Calendar,X1277,NDays&amp;"D")</f>
        <v>47766</v>
      </c>
      <c r="Z1277" s="238">
        <v>3.8872867820764823E-2</v>
      </c>
      <c r="AA1277" s="240">
        <v>3.8254870155447485E-2</v>
      </c>
    </row>
    <row r="1278" spans="19:27" x14ac:dyDescent="0.2">
      <c r="S1278" s="199"/>
      <c r="T1278" s="200"/>
      <c r="W1278" s="233" t="str">
        <f t="shared" si="26"/>
        <v>1w</v>
      </c>
      <c r="X1278" s="234">
        <f>_xll.qlCalendarAdvance(Calendar,X1277,W1278,"f",FALSE)</f>
        <v>47773</v>
      </c>
      <c r="Y1278" s="237">
        <f>_xll.qlCalendarAdvance(Calendar,X1278,NDays&amp;"D")</f>
        <v>47773</v>
      </c>
      <c r="Z1278" s="238">
        <v>3.8867640623234001E-2</v>
      </c>
      <c r="AA1278" s="240">
        <v>3.8251369288812009E-2</v>
      </c>
    </row>
    <row r="1279" spans="19:27" x14ac:dyDescent="0.2">
      <c r="S1279" s="199"/>
      <c r="T1279" s="200"/>
      <c r="W1279" s="233" t="str">
        <f t="shared" si="26"/>
        <v>1w</v>
      </c>
      <c r="X1279" s="234">
        <f>_xll.qlCalendarAdvance(Calendar,X1278,W1279,"f",FALSE)</f>
        <v>47780</v>
      </c>
      <c r="Y1279" s="237">
        <f>_xll.qlCalendarAdvance(Calendar,X1279,NDays&amp;"D")</f>
        <v>47780</v>
      </c>
      <c r="Z1279" s="238">
        <v>3.8862349833201248E-2</v>
      </c>
      <c r="AA1279" s="240">
        <v>3.8247810481623068E-2</v>
      </c>
    </row>
    <row r="1280" spans="19:27" x14ac:dyDescent="0.2">
      <c r="S1280" s="199"/>
      <c r="T1280" s="200"/>
      <c r="W1280" s="233" t="str">
        <f t="shared" si="26"/>
        <v>1w</v>
      </c>
      <c r="X1280" s="234">
        <f>_xll.qlCalendarAdvance(Calendar,X1279,W1280,"f",FALSE)</f>
        <v>47787</v>
      </c>
      <c r="Y1280" s="237">
        <f>_xll.qlCalendarAdvance(Calendar,X1280,NDays&amp;"D")</f>
        <v>47787</v>
      </c>
      <c r="Z1280" s="238">
        <v>3.8856995237097847E-2</v>
      </c>
      <c r="AA1280" s="240">
        <v>3.8244193733637522E-2</v>
      </c>
    </row>
    <row r="1281" spans="19:27" x14ac:dyDescent="0.2">
      <c r="S1281" s="199"/>
      <c r="T1281" s="200"/>
      <c r="W1281" s="233" t="str">
        <f t="shared" si="26"/>
        <v>1w</v>
      </c>
      <c r="X1281" s="234">
        <f>_xll.qlCalendarAdvance(Calendar,X1280,W1281,"f",FALSE)</f>
        <v>47794</v>
      </c>
      <c r="Y1281" s="237">
        <f>_xll.qlCalendarAdvance(Calendar,X1281,NDays&amp;"D")</f>
        <v>47794</v>
      </c>
      <c r="Z1281" s="238">
        <v>3.8851576621372619E-2</v>
      </c>
      <c r="AA1281" s="240">
        <v>3.8240519045179555E-2</v>
      </c>
    </row>
    <row r="1282" spans="19:27" x14ac:dyDescent="0.2">
      <c r="S1282" s="199"/>
      <c r="T1282" s="200"/>
      <c r="W1282" s="233" t="str">
        <f t="shared" si="26"/>
        <v>1w</v>
      </c>
      <c r="X1282" s="234">
        <f>_xll.qlCalendarAdvance(Calendar,X1281,W1282,"f",FALSE)</f>
        <v>47801</v>
      </c>
      <c r="Y1282" s="237">
        <f>_xll.qlCalendarAdvance(Calendar,X1282,NDays&amp;"D")</f>
        <v>47801</v>
      </c>
      <c r="Z1282" s="238">
        <v>3.8846093772489265E-2</v>
      </c>
      <c r="AA1282" s="240">
        <v>3.8236786415762891E-2</v>
      </c>
    </row>
    <row r="1283" spans="19:27" x14ac:dyDescent="0.2">
      <c r="S1283" s="199"/>
      <c r="T1283" s="200"/>
      <c r="W1283" s="233" t="str">
        <f t="shared" si="26"/>
        <v>1w</v>
      </c>
      <c r="X1283" s="234">
        <f>_xll.qlCalendarAdvance(Calendar,X1282,W1283,"f",FALSE)</f>
        <v>47808</v>
      </c>
      <c r="Y1283" s="237">
        <f>_xll.qlCalendarAdvance(Calendar,X1283,NDays&amp;"D")</f>
        <v>47808</v>
      </c>
      <c r="Z1283" s="238">
        <v>3.8840546476929028E-2</v>
      </c>
      <c r="AA1283" s="240">
        <v>3.8232995845711715E-2</v>
      </c>
    </row>
    <row r="1284" spans="19:27" x14ac:dyDescent="0.2">
      <c r="S1284" s="199"/>
      <c r="T1284" s="200"/>
      <c r="W1284" s="233" t="str">
        <f t="shared" si="26"/>
        <v>1w</v>
      </c>
      <c r="X1284" s="234">
        <f>_xll.qlCalendarAdvance(Calendar,X1283,W1284,"f",FALSE)</f>
        <v>47815</v>
      </c>
      <c r="Y1284" s="237">
        <f>_xll.qlCalendarAdvance(Calendar,X1284,NDays&amp;"D")</f>
        <v>47815</v>
      </c>
      <c r="Z1284" s="238">
        <v>3.8834934521188913E-2</v>
      </c>
      <c r="AA1284" s="240">
        <v>3.8229147335026026E-2</v>
      </c>
    </row>
    <row r="1285" spans="19:27" x14ac:dyDescent="0.2">
      <c r="S1285" s="199"/>
      <c r="T1285" s="200"/>
      <c r="W1285" s="233" t="str">
        <f t="shared" si="26"/>
        <v>1w</v>
      </c>
      <c r="X1285" s="234">
        <f>_xll.qlCalendarAdvance(Calendar,X1284,W1285,"f",FALSE)</f>
        <v>47822</v>
      </c>
      <c r="Y1285" s="237">
        <f>_xll.qlCalendarAdvance(Calendar,X1285,NDays&amp;"D")</f>
        <v>47822</v>
      </c>
      <c r="Z1285" s="238">
        <v>3.8829257691783248E-2</v>
      </c>
      <c r="AA1285" s="240">
        <v>3.8225240883543732E-2</v>
      </c>
    </row>
    <row r="1286" spans="19:27" x14ac:dyDescent="0.2">
      <c r="S1286" s="199"/>
      <c r="T1286" s="200"/>
      <c r="W1286" s="233" t="str">
        <f t="shared" si="26"/>
        <v>1w</v>
      </c>
      <c r="X1286" s="234">
        <f>_xll.qlCalendarAdvance(Calendar,X1285,W1286,"f",FALSE)</f>
        <v>47829</v>
      </c>
      <c r="Y1286" s="237">
        <f>_xll.qlCalendarAdvance(Calendar,X1286,NDays&amp;"D")</f>
        <v>47829</v>
      </c>
      <c r="Z1286" s="238">
        <v>3.8823515775242567E-2</v>
      </c>
      <c r="AA1286" s="240">
        <v>3.8221276491426925E-2</v>
      </c>
    </row>
    <row r="1287" spans="19:27" x14ac:dyDescent="0.2">
      <c r="S1287" s="199"/>
      <c r="T1287" s="200"/>
      <c r="W1287" s="233" t="str">
        <f t="shared" si="26"/>
        <v>1w</v>
      </c>
      <c r="X1287" s="234">
        <f>_xll.qlCalendarAdvance(Calendar,X1286,W1287,"f",FALSE)</f>
        <v>47836</v>
      </c>
      <c r="Y1287" s="237">
        <f>_xll.qlCalendarAdvance(Calendar,X1287,NDays&amp;"D")</f>
        <v>47836</v>
      </c>
      <c r="Z1287" s="238">
        <v>3.8817708558115172E-2</v>
      </c>
      <c r="AA1287" s="240">
        <v>3.8217254158675606E-2</v>
      </c>
    </row>
    <row r="1288" spans="19:27" x14ac:dyDescent="0.2">
      <c r="S1288" s="199"/>
      <c r="T1288" s="200"/>
      <c r="W1288" s="233" t="str">
        <f t="shared" si="26"/>
        <v>1w</v>
      </c>
      <c r="X1288" s="234">
        <f>_xll.qlCalendarAdvance(Calendar,X1287,W1288,"f",FALSE)</f>
        <v>47844</v>
      </c>
      <c r="Y1288" s="237">
        <f>_xll.qlCalendarAdvance(Calendar,X1288,NDays&amp;"D")</f>
        <v>47844</v>
      </c>
      <c r="Z1288" s="238">
        <v>3.8814138415174705E-2</v>
      </c>
      <c r="AA1288" s="240">
        <v>3.8215997625350814E-2</v>
      </c>
    </row>
    <row r="1289" spans="19:27" x14ac:dyDescent="0.2">
      <c r="S1289" s="199"/>
      <c r="T1289" s="200"/>
      <c r="W1289" s="233" t="str">
        <f t="shared" si="26"/>
        <v>1w</v>
      </c>
      <c r="X1289" s="234">
        <f>_xll.qlCalendarAdvance(Calendar,X1288,W1289,"f",FALSE)</f>
        <v>47851</v>
      </c>
      <c r="Y1289" s="237">
        <f>_xll.qlCalendarAdvance(Calendar,X1289,NDays&amp;"D")</f>
        <v>47851</v>
      </c>
      <c r="Z1289" s="238">
        <v>3.8808179496415386E-2</v>
      </c>
      <c r="AA1289" s="240">
        <v>3.8211841986758317E-2</v>
      </c>
    </row>
    <row r="1290" spans="19:27" x14ac:dyDescent="0.2">
      <c r="S1290" s="199"/>
      <c r="T1290" s="200"/>
      <c r="W1290" s="233" t="str">
        <f t="shared" si="26"/>
        <v>1w</v>
      </c>
      <c r="X1290" s="234">
        <f>_xll.qlCalendarAdvance(Calendar,X1289,W1290,"f",FALSE)</f>
        <v>47858</v>
      </c>
      <c r="Y1290" s="237">
        <f>_xll.qlCalendarAdvance(Calendar,X1290,NDays&amp;"D")</f>
        <v>47858</v>
      </c>
      <c r="Z1290" s="238">
        <v>3.8802154563696775E-2</v>
      </c>
      <c r="AA1290" s="240">
        <v>3.8207628395428392E-2</v>
      </c>
    </row>
    <row r="1291" spans="19:27" x14ac:dyDescent="0.2">
      <c r="S1291" s="199"/>
      <c r="T1291" s="200"/>
      <c r="W1291" s="233" t="str">
        <f t="shared" si="26"/>
        <v>1w</v>
      </c>
      <c r="X1291" s="234">
        <f>_xll.qlCalendarAdvance(Calendar,X1290,W1291,"f",FALSE)</f>
        <v>47865</v>
      </c>
      <c r="Y1291" s="237">
        <f>_xll.qlCalendarAdvance(Calendar,X1291,NDays&amp;"D")</f>
        <v>47865</v>
      </c>
      <c r="Z1291" s="238">
        <v>3.8796063404771909E-2</v>
      </c>
      <c r="AA1291" s="240">
        <v>3.8203356851415078E-2</v>
      </c>
    </row>
    <row r="1292" spans="19:27" x14ac:dyDescent="0.2">
      <c r="S1292" s="199"/>
      <c r="T1292" s="200"/>
      <c r="W1292" s="233" t="str">
        <f t="shared" si="26"/>
        <v>1w</v>
      </c>
      <c r="X1292" s="234">
        <f>_xll.qlCalendarAdvance(Calendar,X1291,W1292,"f",FALSE)</f>
        <v>47872</v>
      </c>
      <c r="Y1292" s="237">
        <f>_xll.qlCalendarAdvance(Calendar,X1292,NDays&amp;"D")</f>
        <v>47872</v>
      </c>
      <c r="Z1292" s="238">
        <v>3.8789905807411061E-2</v>
      </c>
      <c r="AA1292" s="240">
        <v>3.8199027354664336E-2</v>
      </c>
    </row>
    <row r="1293" spans="19:27" x14ac:dyDescent="0.2">
      <c r="S1293" s="199"/>
      <c r="T1293" s="200"/>
      <c r="W1293" s="233" t="str">
        <f t="shared" si="26"/>
        <v>1w</v>
      </c>
      <c r="X1293" s="234">
        <f>_xll.qlCalendarAdvance(Calendar,X1292,W1293,"f",FALSE)</f>
        <v>47879</v>
      </c>
      <c r="Y1293" s="237">
        <f>_xll.qlCalendarAdvance(Calendar,X1293,NDays&amp;"D")</f>
        <v>47879</v>
      </c>
      <c r="Z1293" s="238">
        <v>3.8779044054338463E-2</v>
      </c>
      <c r="AA1293" s="240">
        <v>3.8194639905230206E-2</v>
      </c>
    </row>
    <row r="1294" spans="19:27" x14ac:dyDescent="0.2">
      <c r="S1294" s="199"/>
      <c r="T1294" s="200"/>
      <c r="W1294" s="233" t="str">
        <f t="shared" si="26"/>
        <v>1w</v>
      </c>
      <c r="X1294" s="234">
        <f>_xll.qlCalendarAdvance(Calendar,X1293,W1294,"f",FALSE)</f>
        <v>47886</v>
      </c>
      <c r="Y1294" s="237">
        <f>_xll.qlCalendarAdvance(Calendar,X1294,NDays&amp;"D")</f>
        <v>47886</v>
      </c>
      <c r="Z1294" s="238">
        <v>3.8777390448556971E-2</v>
      </c>
      <c r="AA1294" s="240">
        <v>3.819019450311268E-2</v>
      </c>
    </row>
    <row r="1295" spans="19:27" x14ac:dyDescent="0.2">
      <c r="S1295" s="199"/>
      <c r="T1295" s="200"/>
      <c r="W1295" s="233" t="str">
        <f t="shared" si="26"/>
        <v>1w</v>
      </c>
      <c r="X1295" s="234">
        <f>_xll.qlCalendarAdvance(Calendar,X1294,W1295,"f",FALSE)</f>
        <v>47893</v>
      </c>
      <c r="Y1295" s="237">
        <f>_xll.qlCalendarAdvance(Calendar,X1295,NDays&amp;"D")</f>
        <v>47893</v>
      </c>
      <c r="Z1295" s="238">
        <v>3.8771032262695244E-2</v>
      </c>
      <c r="AA1295" s="240">
        <v>3.8185691148284746E-2</v>
      </c>
    </row>
    <row r="1296" spans="19:27" x14ac:dyDescent="0.2">
      <c r="S1296" s="199"/>
      <c r="T1296" s="200"/>
      <c r="W1296" s="233" t="str">
        <f t="shared" si="26"/>
        <v>1w</v>
      </c>
      <c r="X1296" s="234">
        <f>_xll.qlCalendarAdvance(Calendar,X1295,W1296,"f",FALSE)</f>
        <v>47900</v>
      </c>
      <c r="Y1296" s="237">
        <f>_xll.qlCalendarAdvance(Calendar,X1296,NDays&amp;"D")</f>
        <v>47900</v>
      </c>
      <c r="Z1296" s="238">
        <v>3.8764606789661454E-2</v>
      </c>
      <c r="AA1296" s="240">
        <v>3.8181129840773417E-2</v>
      </c>
    </row>
    <row r="1297" spans="19:27" x14ac:dyDescent="0.2">
      <c r="S1297" s="199"/>
      <c r="T1297" s="200"/>
      <c r="W1297" s="233" t="str">
        <f t="shared" si="26"/>
        <v>1w</v>
      </c>
      <c r="X1297" s="234">
        <f>_xll.qlCalendarAdvance(Calendar,X1296,W1297,"f",FALSE)</f>
        <v>47907</v>
      </c>
      <c r="Y1297" s="237">
        <f>_xll.qlCalendarAdvance(Calendar,X1297,NDays&amp;"D")</f>
        <v>47907</v>
      </c>
      <c r="Z1297" s="238">
        <v>3.875354415783222E-2</v>
      </c>
      <c r="AA1297" s="240">
        <v>3.8176510580605713E-2</v>
      </c>
    </row>
    <row r="1298" spans="19:27" x14ac:dyDescent="0.2">
      <c r="S1298" s="199"/>
      <c r="T1298" s="200"/>
      <c r="W1298" s="233" t="str">
        <f t="shared" si="26"/>
        <v>1w</v>
      </c>
      <c r="X1298" s="234">
        <f>_xll.qlCalendarAdvance(Calendar,X1297,W1298,"f",FALSE)</f>
        <v>47914</v>
      </c>
      <c r="Y1298" s="237">
        <f>_xll.qlCalendarAdvance(Calendar,X1298,NDays&amp;"D")</f>
        <v>47914</v>
      </c>
      <c r="Z1298" s="238">
        <v>3.8751553133544059E-2</v>
      </c>
      <c r="AA1298" s="240">
        <v>3.8171833367754614E-2</v>
      </c>
    </row>
    <row r="1299" spans="19:27" x14ac:dyDescent="0.2">
      <c r="S1299" s="199"/>
      <c r="T1299" s="200"/>
      <c r="W1299" s="233" t="str">
        <f t="shared" si="26"/>
        <v>1w</v>
      </c>
      <c r="X1299" s="234">
        <f>_xll.qlCalendarAdvance(Calendar,X1298,W1299,"f",FALSE)</f>
        <v>47921</v>
      </c>
      <c r="Y1299" s="237">
        <f>_xll.qlCalendarAdvance(Calendar,X1299,NDays&amp;"D")</f>
        <v>47921</v>
      </c>
      <c r="Z1299" s="238">
        <v>3.874492452623949E-2</v>
      </c>
      <c r="AA1299" s="240">
        <v>3.8167098202247139E-2</v>
      </c>
    </row>
    <row r="1300" spans="19:27" x14ac:dyDescent="0.2">
      <c r="S1300" s="199"/>
      <c r="T1300" s="200"/>
      <c r="W1300" s="233" t="str">
        <f t="shared" si="26"/>
        <v>1w</v>
      </c>
      <c r="X1300" s="234">
        <f>_xll.qlCalendarAdvance(Calendar,X1299,W1300,"f",FALSE)</f>
        <v>47928</v>
      </c>
      <c r="Y1300" s="237">
        <f>_xll.qlCalendarAdvance(Calendar,X1300,NDays&amp;"D")</f>
        <v>47928</v>
      </c>
      <c r="Z1300" s="238">
        <v>3.8738227783321803E-2</v>
      </c>
      <c r="AA1300" s="240">
        <v>3.8162305084110303E-2</v>
      </c>
    </row>
    <row r="1301" spans="19:27" x14ac:dyDescent="0.2">
      <c r="S1301" s="199"/>
      <c r="T1301" s="200"/>
      <c r="W1301" s="233" t="str">
        <f t="shared" ref="W1301:W1364" si="27">W1300</f>
        <v>1w</v>
      </c>
      <c r="X1301" s="234">
        <f>_xll.qlCalendarAdvance(Calendar,X1300,W1301,"f",FALSE)</f>
        <v>47935</v>
      </c>
      <c r="Y1301" s="237">
        <f>_xll.qlCalendarAdvance(Calendar,X1301,NDays&amp;"D")</f>
        <v>47935</v>
      </c>
      <c r="Z1301" s="238">
        <v>3.8732962122545352E-2</v>
      </c>
      <c r="AA1301" s="240">
        <v>3.8157454013263058E-2</v>
      </c>
    </row>
    <row r="1302" spans="19:27" x14ac:dyDescent="0.2">
      <c r="S1302" s="199"/>
      <c r="T1302" s="200"/>
      <c r="W1302" s="233" t="str">
        <f t="shared" si="27"/>
        <v>1w</v>
      </c>
      <c r="X1302" s="234">
        <f>_xll.qlCalendarAdvance(Calendar,X1301,W1302,"f",FALSE)</f>
        <v>47942</v>
      </c>
      <c r="Y1302" s="237">
        <f>_xll.qlCalendarAdvance(Calendar,X1302,NDays&amp;"D")</f>
        <v>47942</v>
      </c>
      <c r="Z1302" s="238">
        <v>3.8724629042412473E-2</v>
      </c>
      <c r="AA1302" s="240">
        <v>3.8152544989840484E-2</v>
      </c>
    </row>
    <row r="1303" spans="19:27" x14ac:dyDescent="0.2">
      <c r="S1303" s="199"/>
      <c r="T1303" s="200"/>
      <c r="W1303" s="233" t="str">
        <f t="shared" si="27"/>
        <v>1w</v>
      </c>
      <c r="X1303" s="234">
        <f>_xll.qlCalendarAdvance(Calendar,X1302,W1303,"f",FALSE)</f>
        <v>47953</v>
      </c>
      <c r="Y1303" s="237">
        <f>_xll.qlCalendarAdvance(Calendar,X1303,NDays&amp;"D")</f>
        <v>47953</v>
      </c>
      <c r="Z1303" s="238">
        <v>3.8712266377275817E-2</v>
      </c>
      <c r="AA1303" s="240">
        <v>3.8141446153491243E-2</v>
      </c>
    </row>
    <row r="1304" spans="19:27" x14ac:dyDescent="0.2">
      <c r="S1304" s="199"/>
      <c r="T1304" s="200"/>
      <c r="W1304" s="233" t="str">
        <f t="shared" si="27"/>
        <v>1w</v>
      </c>
      <c r="X1304" s="234">
        <f>_xll.qlCalendarAdvance(Calendar,X1303,W1304,"f",FALSE)</f>
        <v>47960</v>
      </c>
      <c r="Y1304" s="237">
        <f>_xll.qlCalendarAdvance(Calendar,X1304,NDays&amp;"D")</f>
        <v>47960</v>
      </c>
      <c r="Z1304" s="238">
        <v>3.8705261251794625E-2</v>
      </c>
      <c r="AA1304" s="240">
        <v>3.8136397443102599E-2</v>
      </c>
    </row>
    <row r="1305" spans="19:27" x14ac:dyDescent="0.2">
      <c r="S1305" s="199"/>
      <c r="T1305" s="200"/>
      <c r="W1305" s="233" t="str">
        <f t="shared" si="27"/>
        <v>1w</v>
      </c>
      <c r="X1305" s="234">
        <f>_xll.qlCalendarAdvance(Calendar,X1304,W1305,"f",FALSE)</f>
        <v>47967</v>
      </c>
      <c r="Y1305" s="237">
        <f>_xll.qlCalendarAdvance(Calendar,X1305,NDays&amp;"D")</f>
        <v>47967</v>
      </c>
      <c r="Z1305" s="238">
        <v>3.8698186821921471E-2</v>
      </c>
      <c r="AA1305" s="240">
        <v>3.8131290791998396E-2</v>
      </c>
    </row>
    <row r="1306" spans="19:27" x14ac:dyDescent="0.2">
      <c r="S1306" s="199"/>
      <c r="T1306" s="200"/>
      <c r="W1306" s="233" t="str">
        <f t="shared" si="27"/>
        <v>1w</v>
      </c>
      <c r="X1306" s="234">
        <f>_xll.qlCalendarAdvance(Calendar,X1305,W1306,"f",FALSE)</f>
        <v>47974</v>
      </c>
      <c r="Y1306" s="237">
        <f>_xll.qlCalendarAdvance(Calendar,X1306,NDays&amp;"D")</f>
        <v>47974</v>
      </c>
      <c r="Z1306" s="238">
        <v>3.8691042875135515E-2</v>
      </c>
      <c r="AA1306" s="240">
        <v>3.8126126200340726E-2</v>
      </c>
    </row>
    <row r="1307" spans="19:27" x14ac:dyDescent="0.2">
      <c r="S1307" s="199"/>
      <c r="T1307" s="200"/>
      <c r="W1307" s="233" t="str">
        <f t="shared" si="27"/>
        <v>1w</v>
      </c>
      <c r="X1307" s="234">
        <f>_xll.qlCalendarAdvance(Calendar,X1306,W1307,"f",FALSE)</f>
        <v>47981</v>
      </c>
      <c r="Y1307" s="237">
        <f>_xll.qlCalendarAdvance(Calendar,X1307,NDays&amp;"D")</f>
        <v>47981</v>
      </c>
      <c r="Z1307" s="238">
        <v>3.8683829198935406E-2</v>
      </c>
      <c r="AA1307" s="240">
        <v>3.8120903667967498E-2</v>
      </c>
    </row>
    <row r="1308" spans="19:27" x14ac:dyDescent="0.2">
      <c r="S1308" s="199"/>
      <c r="T1308" s="200"/>
      <c r="W1308" s="233" t="str">
        <f t="shared" si="27"/>
        <v>1w</v>
      </c>
      <c r="X1308" s="234">
        <f>_xll.qlCalendarAdvance(Calendar,X1307,W1308,"f",FALSE)</f>
        <v>47988</v>
      </c>
      <c r="Y1308" s="237">
        <f>_xll.qlCalendarAdvance(Calendar,X1308,NDays&amp;"D")</f>
        <v>47988</v>
      </c>
      <c r="Z1308" s="238">
        <v>3.8676545580840591E-2</v>
      </c>
      <c r="AA1308" s="240">
        <v>3.8115623194959758E-2</v>
      </c>
    </row>
    <row r="1309" spans="19:27" x14ac:dyDescent="0.2">
      <c r="S1309" s="199"/>
      <c r="T1309" s="200"/>
      <c r="W1309" s="233" t="str">
        <f t="shared" si="27"/>
        <v>1w</v>
      </c>
      <c r="X1309" s="234">
        <f>_xll.qlCalendarAdvance(Calendar,X1308,W1309,"f",FALSE)</f>
        <v>47995</v>
      </c>
      <c r="Y1309" s="237">
        <f>_xll.qlCalendarAdvance(Calendar,X1309,NDays&amp;"D")</f>
        <v>47995</v>
      </c>
      <c r="Z1309" s="238">
        <v>3.8669191808389139E-2</v>
      </c>
      <c r="AA1309" s="240">
        <v>3.8110284781236459E-2</v>
      </c>
    </row>
    <row r="1310" spans="19:27" x14ac:dyDescent="0.2">
      <c r="S1310" s="199"/>
      <c r="T1310" s="200"/>
      <c r="W1310" s="233" t="str">
        <f t="shared" si="27"/>
        <v>1w</v>
      </c>
      <c r="X1310" s="234">
        <f>_xll.qlCalendarAdvance(Calendar,X1309,W1310,"f",FALSE)</f>
        <v>48002</v>
      </c>
      <c r="Y1310" s="237">
        <f>_xll.qlCalendarAdvance(Calendar,X1310,NDays&amp;"D")</f>
        <v>48002</v>
      </c>
      <c r="Z1310" s="238">
        <v>3.8661767669141478E-2</v>
      </c>
      <c r="AA1310" s="240">
        <v>3.810488842704074E-2</v>
      </c>
    </row>
    <row r="1311" spans="19:27" x14ac:dyDescent="0.2">
      <c r="S1311" s="199"/>
      <c r="T1311" s="200"/>
      <c r="W1311" s="233" t="str">
        <f t="shared" si="27"/>
        <v>1w</v>
      </c>
      <c r="X1311" s="234">
        <f>_xll.qlCalendarAdvance(Calendar,X1310,W1311,"f",FALSE)</f>
        <v>48009</v>
      </c>
      <c r="Y1311" s="237">
        <f>_xll.qlCalendarAdvance(Calendar,X1311,NDays&amp;"D")</f>
        <v>48009</v>
      </c>
      <c r="Z1311" s="238">
        <v>3.8654272950676853E-2</v>
      </c>
      <c r="AA1311" s="240">
        <v>3.8099434132048415E-2</v>
      </c>
    </row>
    <row r="1312" spans="19:27" x14ac:dyDescent="0.2">
      <c r="S1312" s="199"/>
      <c r="T1312" s="200"/>
      <c r="W1312" s="233" t="str">
        <f t="shared" si="27"/>
        <v>1w</v>
      </c>
      <c r="X1312" s="234">
        <f>_xll.qlCalendarAdvance(Calendar,X1311,W1312,"f",FALSE)</f>
        <v>48016</v>
      </c>
      <c r="Y1312" s="237">
        <f>_xll.qlCalendarAdvance(Calendar,X1312,NDays&amp;"D")</f>
        <v>48016</v>
      </c>
      <c r="Z1312" s="238">
        <v>3.8646707440595993E-2</v>
      </c>
      <c r="AA1312" s="240">
        <v>3.8093921896583671E-2</v>
      </c>
    </row>
    <row r="1313" spans="19:27" x14ac:dyDescent="0.2">
      <c r="S1313" s="199"/>
      <c r="T1313" s="200"/>
      <c r="W1313" s="233" t="str">
        <f t="shared" si="27"/>
        <v>1w</v>
      </c>
      <c r="X1313" s="234">
        <f>_xll.qlCalendarAdvance(Calendar,X1312,W1313,"f",FALSE)</f>
        <v>48023</v>
      </c>
      <c r="Y1313" s="237">
        <f>_xll.qlCalendarAdvance(Calendar,X1313,NDays&amp;"D")</f>
        <v>48023</v>
      </c>
      <c r="Z1313" s="238">
        <v>3.863907092651999E-2</v>
      </c>
      <c r="AA1313" s="240">
        <v>3.8088351720403368E-2</v>
      </c>
    </row>
    <row r="1314" spans="19:27" x14ac:dyDescent="0.2">
      <c r="S1314" s="199"/>
      <c r="T1314" s="200"/>
      <c r="W1314" s="233" t="str">
        <f t="shared" si="27"/>
        <v>1w</v>
      </c>
      <c r="X1314" s="234">
        <f>_xll.qlCalendarAdvance(Calendar,X1313,W1314,"f",FALSE)</f>
        <v>48030</v>
      </c>
      <c r="Y1314" s="237">
        <f>_xll.qlCalendarAdvance(Calendar,X1314,NDays&amp;"D")</f>
        <v>48030</v>
      </c>
      <c r="Z1314" s="238">
        <v>3.8631363204489691E-2</v>
      </c>
      <c r="AA1314" s="240">
        <v>3.8082721369061545E-2</v>
      </c>
    </row>
    <row r="1315" spans="19:27" x14ac:dyDescent="0.2">
      <c r="S1315" s="199"/>
      <c r="T1315" s="200"/>
      <c r="W1315" s="233" t="str">
        <f t="shared" si="27"/>
        <v>1w</v>
      </c>
      <c r="X1315" s="234">
        <f>_xll.qlCalendarAdvance(Calendar,X1314,W1315,"f",FALSE)</f>
        <v>48037</v>
      </c>
      <c r="Y1315" s="237">
        <f>_xll.qlCalendarAdvance(Calendar,X1315,NDays&amp;"D")</f>
        <v>48037</v>
      </c>
      <c r="Z1315" s="238">
        <v>3.8623584240019014E-2</v>
      </c>
      <c r="AA1315" s="240">
        <v>3.8077023003842969E-2</v>
      </c>
    </row>
    <row r="1316" spans="19:27" x14ac:dyDescent="0.2">
      <c r="S1316" s="199"/>
      <c r="T1316" s="200"/>
      <c r="W1316" s="233" t="str">
        <f t="shared" si="27"/>
        <v>1w</v>
      </c>
      <c r="X1316" s="234">
        <f>_xll.qlCalendarAdvance(Calendar,X1315,W1316,"f",FALSE)</f>
        <v>48044</v>
      </c>
      <c r="Y1316" s="237">
        <f>_xll.qlCalendarAdvance(Calendar,X1316,NDays&amp;"D")</f>
        <v>48044</v>
      </c>
      <c r="Z1316" s="238">
        <v>3.8615734160900882E-2</v>
      </c>
      <c r="AA1316" s="240">
        <v>3.8071255928316949E-2</v>
      </c>
    </row>
    <row r="1317" spans="19:27" x14ac:dyDescent="0.2">
      <c r="S1317" s="199"/>
      <c r="T1317" s="200"/>
      <c r="W1317" s="233" t="str">
        <f t="shared" si="27"/>
        <v>1w</v>
      </c>
      <c r="X1317" s="234">
        <f>_xll.qlCalendarAdvance(Calendar,X1316,W1317,"f",FALSE)</f>
        <v>48051</v>
      </c>
      <c r="Y1317" s="237">
        <f>_xll.qlCalendarAdvance(Calendar,X1317,NDays&amp;"D")</f>
        <v>48051</v>
      </c>
      <c r="Z1317" s="238">
        <v>3.8607813101886927E-2</v>
      </c>
      <c r="AA1317" s="240">
        <v>3.8065420142969764E-2</v>
      </c>
    </row>
    <row r="1318" spans="19:27" x14ac:dyDescent="0.2">
      <c r="S1318" s="199"/>
      <c r="T1318" s="200"/>
      <c r="W1318" s="233" t="str">
        <f t="shared" si="27"/>
        <v>1w</v>
      </c>
      <c r="X1318" s="234">
        <f>_xll.qlCalendarAdvance(Calendar,X1317,W1318,"f",FALSE)</f>
        <v>48058</v>
      </c>
      <c r="Y1318" s="237">
        <f>_xll.qlCalendarAdvance(Calendar,X1318,NDays&amp;"D")</f>
        <v>48058</v>
      </c>
      <c r="Z1318" s="238">
        <v>3.8599821197739179E-2</v>
      </c>
      <c r="AA1318" s="240">
        <v>3.805951564739618E-2</v>
      </c>
    </row>
    <row r="1319" spans="19:27" x14ac:dyDescent="0.2">
      <c r="S1319" s="199"/>
      <c r="T1319" s="200"/>
      <c r="W1319" s="233" t="str">
        <f t="shared" si="27"/>
        <v>1w</v>
      </c>
      <c r="X1319" s="234">
        <f>_xll.qlCalendarAdvance(Calendar,X1318,W1319,"f",FALSE)</f>
        <v>48065</v>
      </c>
      <c r="Y1319" s="237">
        <f>_xll.qlCalendarAdvance(Calendar,X1319,NDays&amp;"D")</f>
        <v>48065</v>
      </c>
      <c r="Z1319" s="238">
        <v>3.8591758583230287E-2</v>
      </c>
      <c r="AA1319" s="240">
        <v>3.8053542441920385E-2</v>
      </c>
    </row>
    <row r="1320" spans="19:27" x14ac:dyDescent="0.2">
      <c r="S1320" s="199"/>
      <c r="T1320" s="200"/>
      <c r="W1320" s="233" t="str">
        <f t="shared" si="27"/>
        <v>1w</v>
      </c>
      <c r="X1320" s="234">
        <f>_xll.qlCalendarAdvance(Calendar,X1319,W1320,"f",FALSE)</f>
        <v>48072</v>
      </c>
      <c r="Y1320" s="237">
        <f>_xll.qlCalendarAdvance(Calendar,X1320,NDays&amp;"D")</f>
        <v>48072</v>
      </c>
      <c r="Z1320" s="238">
        <v>3.8583625393142661E-2</v>
      </c>
      <c r="AA1320" s="240">
        <v>3.8047500526380285E-2</v>
      </c>
    </row>
    <row r="1321" spans="19:27" x14ac:dyDescent="0.2">
      <c r="S1321" s="199"/>
      <c r="T1321" s="200"/>
      <c r="W1321" s="233" t="str">
        <f t="shared" si="27"/>
        <v>1w</v>
      </c>
      <c r="X1321" s="234">
        <f>_xll.qlCalendarAdvance(Calendar,X1320,W1321,"f",FALSE)</f>
        <v>48079</v>
      </c>
      <c r="Y1321" s="237">
        <f>_xll.qlCalendarAdvance(Calendar,X1321,NDays&amp;"D")</f>
        <v>48079</v>
      </c>
      <c r="Z1321" s="238">
        <v>3.8575421762269323E-2</v>
      </c>
      <c r="AA1321" s="240">
        <v>3.8041389900856926E-2</v>
      </c>
    </row>
    <row r="1322" spans="19:27" x14ac:dyDescent="0.2">
      <c r="S1322" s="199"/>
      <c r="T1322" s="200"/>
      <c r="W1322" s="233" t="str">
        <f t="shared" si="27"/>
        <v>1w</v>
      </c>
      <c r="X1322" s="234">
        <f>_xll.qlCalendarAdvance(Calendar,X1321,W1322,"f",FALSE)</f>
        <v>48086</v>
      </c>
      <c r="Y1322" s="237">
        <f>_xll.qlCalendarAdvance(Calendar,X1322,NDays&amp;"D")</f>
        <v>48086</v>
      </c>
      <c r="Z1322" s="238">
        <v>3.8567147825413713E-2</v>
      </c>
      <c r="AA1322" s="240">
        <v>3.8035210565269262E-2</v>
      </c>
    </row>
    <row r="1323" spans="19:27" x14ac:dyDescent="0.2">
      <c r="S1323" s="199"/>
      <c r="T1323" s="200"/>
      <c r="W1323" s="233" t="str">
        <f t="shared" si="27"/>
        <v>1w</v>
      </c>
      <c r="X1323" s="234">
        <f>_xll.qlCalendarAdvance(Calendar,X1322,W1323,"f",FALSE)</f>
        <v>48093</v>
      </c>
      <c r="Y1323" s="237">
        <f>_xll.qlCalendarAdvance(Calendar,X1323,NDays&amp;"D")</f>
        <v>48093</v>
      </c>
      <c r="Z1323" s="238">
        <v>3.855880371738879E-2</v>
      </c>
      <c r="AA1323" s="240">
        <v>3.8028962519617293E-2</v>
      </c>
    </row>
    <row r="1324" spans="19:27" x14ac:dyDescent="0.2">
      <c r="S1324" s="199"/>
      <c r="T1324" s="200"/>
      <c r="W1324" s="233" t="str">
        <f t="shared" si="27"/>
        <v>1w</v>
      </c>
      <c r="X1324" s="234">
        <f>_xll.qlCalendarAdvance(Calendar,X1323,W1324,"f",FALSE)</f>
        <v>48100</v>
      </c>
      <c r="Y1324" s="237">
        <f>_xll.qlCalendarAdvance(Calendar,X1324,NDays&amp;"D")</f>
        <v>48100</v>
      </c>
      <c r="Z1324" s="238">
        <v>3.8550389573018366E-2</v>
      </c>
      <c r="AA1324" s="240">
        <v>3.8022645763982066E-2</v>
      </c>
    </row>
    <row r="1325" spans="19:27" x14ac:dyDescent="0.2">
      <c r="S1325" s="199"/>
      <c r="T1325" s="200"/>
      <c r="W1325" s="233" t="str">
        <f t="shared" si="27"/>
        <v>1w</v>
      </c>
      <c r="X1325" s="234">
        <f>_xll.qlCalendarAdvance(Calendar,X1324,W1325,"f",FALSE)</f>
        <v>48107</v>
      </c>
      <c r="Y1325" s="237">
        <f>_xll.qlCalendarAdvance(Calendar,X1325,NDays&amp;"D")</f>
        <v>48107</v>
      </c>
      <c r="Z1325" s="238">
        <v>3.8541905527134664E-2</v>
      </c>
      <c r="AA1325" s="240">
        <v>3.8016260298282534E-2</v>
      </c>
    </row>
    <row r="1326" spans="19:27" x14ac:dyDescent="0.2">
      <c r="S1326" s="199"/>
      <c r="T1326" s="200"/>
      <c r="W1326" s="233" t="str">
        <f t="shared" si="27"/>
        <v>1w</v>
      </c>
      <c r="X1326" s="234">
        <f>_xll.qlCalendarAdvance(Calendar,X1325,W1326,"f",FALSE)</f>
        <v>48114</v>
      </c>
      <c r="Y1326" s="237">
        <f>_xll.qlCalendarAdvance(Calendar,X1326,NDays&amp;"D")</f>
        <v>48114</v>
      </c>
      <c r="Z1326" s="238">
        <v>3.8533351714581644E-2</v>
      </c>
      <c r="AA1326" s="240">
        <v>3.8009806122680789E-2</v>
      </c>
    </row>
    <row r="1327" spans="19:27" x14ac:dyDescent="0.2">
      <c r="S1327" s="199"/>
      <c r="T1327" s="200"/>
      <c r="W1327" s="233" t="str">
        <f t="shared" si="27"/>
        <v>1w</v>
      </c>
      <c r="X1327" s="234">
        <f>_xll.qlCalendarAdvance(Calendar,X1326,W1327,"f",FALSE)</f>
        <v>48121</v>
      </c>
      <c r="Y1327" s="237">
        <f>_xll.qlCalendarAdvance(Calendar,X1327,NDays&amp;"D")</f>
        <v>48121</v>
      </c>
      <c r="Z1327" s="238">
        <v>3.8524728270211681E-2</v>
      </c>
      <c r="AA1327" s="240">
        <v>3.800328323701474E-2</v>
      </c>
    </row>
    <row r="1328" spans="19:27" x14ac:dyDescent="0.2">
      <c r="S1328" s="199"/>
      <c r="T1328" s="200"/>
      <c r="W1328" s="233" t="str">
        <f t="shared" si="27"/>
        <v>1w</v>
      </c>
      <c r="X1328" s="234">
        <f>_xll.qlCalendarAdvance(Calendar,X1327,W1328,"f",FALSE)</f>
        <v>48128</v>
      </c>
      <c r="Y1328" s="237">
        <f>_xll.qlCalendarAdvance(Calendar,X1328,NDays&amp;"D")</f>
        <v>48128</v>
      </c>
      <c r="Z1328" s="238">
        <v>3.8516035328886894E-2</v>
      </c>
      <c r="AA1328" s="240">
        <v>3.7996691641365432E-2</v>
      </c>
    </row>
    <row r="1329" spans="19:27" x14ac:dyDescent="0.2">
      <c r="S1329" s="199"/>
      <c r="T1329" s="200"/>
      <c r="W1329" s="233" t="str">
        <f t="shared" si="27"/>
        <v>1w</v>
      </c>
      <c r="X1329" s="234">
        <f>_xll.qlCalendarAdvance(Calendar,X1328,W1329,"f",FALSE)</f>
        <v>48135</v>
      </c>
      <c r="Y1329" s="237">
        <f>_xll.qlCalendarAdvance(Calendar,X1329,NDays&amp;"D")</f>
        <v>48135</v>
      </c>
      <c r="Z1329" s="238">
        <v>3.8507273025478926E-2</v>
      </c>
      <c r="AA1329" s="240">
        <v>3.7990031335651819E-2</v>
      </c>
    </row>
    <row r="1330" spans="19:27" x14ac:dyDescent="0.2">
      <c r="S1330" s="199"/>
      <c r="T1330" s="200"/>
      <c r="W1330" s="233" t="str">
        <f t="shared" si="27"/>
        <v>1w</v>
      </c>
      <c r="X1330" s="234">
        <f>_xll.qlCalendarAdvance(Calendar,X1329,W1330,"f",FALSE)</f>
        <v>48142</v>
      </c>
      <c r="Y1330" s="237">
        <f>_xll.qlCalendarAdvance(Calendar,X1330,NDays&amp;"D")</f>
        <v>48142</v>
      </c>
      <c r="Z1330" s="238">
        <v>3.8498441494869591E-2</v>
      </c>
      <c r="AA1330" s="240">
        <v>3.7983302319954948E-2</v>
      </c>
    </row>
    <row r="1331" spans="19:27" x14ac:dyDescent="0.2">
      <c r="S1331" s="199"/>
      <c r="T1331" s="200"/>
      <c r="W1331" s="233" t="str">
        <f t="shared" si="27"/>
        <v>1w</v>
      </c>
      <c r="X1331" s="234">
        <f>_xll.qlCalendarAdvance(Calendar,X1330,W1331,"f",FALSE)</f>
        <v>48149</v>
      </c>
      <c r="Y1331" s="237">
        <f>_xll.qlCalendarAdvance(Calendar,X1331,NDays&amp;"D")</f>
        <v>48149</v>
      </c>
      <c r="Z1331" s="238">
        <v>3.8489540871949147E-2</v>
      </c>
      <c r="AA1331" s="240">
        <v>3.7976504594355864E-2</v>
      </c>
    </row>
    <row r="1332" spans="19:27" x14ac:dyDescent="0.2">
      <c r="S1332" s="199"/>
      <c r="T1332" s="200"/>
      <c r="W1332" s="233" t="str">
        <f t="shared" si="27"/>
        <v>1w</v>
      </c>
      <c r="X1332" s="234">
        <f>_xll.qlCalendarAdvance(Calendar,X1331,W1332,"f",FALSE)</f>
        <v>48156</v>
      </c>
      <c r="Y1332" s="237">
        <f>_xll.qlCalendarAdvance(Calendar,X1332,NDays&amp;"D")</f>
        <v>48156</v>
      </c>
      <c r="Z1332" s="238">
        <v>3.8480571291618013E-2</v>
      </c>
      <c r="AA1332" s="240">
        <v>3.796963815861143E-2</v>
      </c>
    </row>
    <row r="1333" spans="19:27" x14ac:dyDescent="0.2">
      <c r="S1333" s="199"/>
      <c r="T1333" s="200"/>
      <c r="W1333" s="233" t="str">
        <f t="shared" si="27"/>
        <v>1w</v>
      </c>
      <c r="X1333" s="234">
        <f>_xll.qlCalendarAdvance(Calendar,X1332,W1333,"f",FALSE)</f>
        <v>48163</v>
      </c>
      <c r="Y1333" s="237">
        <f>_xll.qlCalendarAdvance(Calendar,X1333,NDays&amp;"D")</f>
        <v>48163</v>
      </c>
      <c r="Z1333" s="238">
        <v>3.8471532888784812E-2</v>
      </c>
      <c r="AA1333" s="240">
        <v>3.7962703013045829E-2</v>
      </c>
    </row>
    <row r="1334" spans="19:27" x14ac:dyDescent="0.2">
      <c r="S1334" s="199"/>
      <c r="T1334" s="200"/>
      <c r="W1334" s="233" t="str">
        <f t="shared" si="27"/>
        <v>1w</v>
      </c>
      <c r="X1334" s="234">
        <f>_xll.qlCalendarAdvance(Calendar,X1333,W1334,"f",FALSE)</f>
        <v>48170</v>
      </c>
      <c r="Y1334" s="237">
        <f>_xll.qlCalendarAdvance(Calendar,X1334,NDays&amp;"D")</f>
        <v>48170</v>
      </c>
      <c r="Z1334" s="238">
        <v>3.8462425798368123E-2</v>
      </c>
      <c r="AA1334" s="240">
        <v>3.7955699157415923E-2</v>
      </c>
    </row>
    <row r="1335" spans="19:27" x14ac:dyDescent="0.2">
      <c r="S1335" s="199"/>
      <c r="T1335" s="200"/>
      <c r="W1335" s="233" t="str">
        <f t="shared" si="27"/>
        <v>1w</v>
      </c>
      <c r="X1335" s="234">
        <f>_xll.qlCalendarAdvance(Calendar,X1334,W1335,"f",FALSE)</f>
        <v>48177</v>
      </c>
      <c r="Y1335" s="237">
        <f>_xll.qlCalendarAdvance(Calendar,X1335,NDays&amp;"D")</f>
        <v>48177</v>
      </c>
      <c r="Z1335" s="238">
        <v>3.8453250155294952E-2</v>
      </c>
      <c r="AA1335" s="240">
        <v>3.7948626591802759E-2</v>
      </c>
    </row>
    <row r="1336" spans="19:27" x14ac:dyDescent="0.2">
      <c r="S1336" s="199"/>
      <c r="T1336" s="200"/>
      <c r="W1336" s="233" t="str">
        <f t="shared" si="27"/>
        <v>1w</v>
      </c>
      <c r="X1336" s="234">
        <f>_xll.qlCalendarAdvance(Calendar,X1335,W1336,"f",FALSE)</f>
        <v>48184</v>
      </c>
      <c r="Y1336" s="237">
        <f>_xll.qlCalendarAdvance(Calendar,X1336,NDays&amp;"D")</f>
        <v>48184</v>
      </c>
      <c r="Z1336" s="238">
        <v>3.8444006094501153E-2</v>
      </c>
      <c r="AA1336" s="240">
        <v>3.7941485316206336E-2</v>
      </c>
    </row>
    <row r="1337" spans="19:27" x14ac:dyDescent="0.2">
      <c r="S1337" s="199"/>
      <c r="T1337" s="200"/>
      <c r="W1337" s="233" t="str">
        <f t="shared" si="27"/>
        <v>1w</v>
      </c>
      <c r="X1337" s="234">
        <f>_xll.qlCalendarAdvance(Calendar,X1336,W1337,"f",FALSE)</f>
        <v>48191</v>
      </c>
      <c r="Y1337" s="237">
        <f>_xll.qlCalendarAdvance(Calendar,X1337,NDays&amp;"D")</f>
        <v>48191</v>
      </c>
      <c r="Z1337" s="238">
        <v>3.8434693750931885E-2</v>
      </c>
      <c r="AA1337" s="240">
        <v>3.7934275330707701E-2</v>
      </c>
    </row>
    <row r="1338" spans="19:27" x14ac:dyDescent="0.2">
      <c r="S1338" s="199"/>
      <c r="T1338" s="200"/>
      <c r="W1338" s="233" t="str">
        <f t="shared" si="27"/>
        <v>1w</v>
      </c>
      <c r="X1338" s="234">
        <f>_xll.qlCalendarAdvance(Calendar,X1337,W1338,"f",FALSE)</f>
        <v>48198</v>
      </c>
      <c r="Y1338" s="237">
        <f>_xll.qlCalendarAdvance(Calendar,X1338,NDays&amp;"D")</f>
        <v>48198</v>
      </c>
      <c r="Z1338" s="238">
        <v>3.8425313259541169E-2</v>
      </c>
      <c r="AA1338" s="240">
        <v>3.7926996635225807E-2</v>
      </c>
    </row>
    <row r="1339" spans="19:27" x14ac:dyDescent="0.2">
      <c r="S1339" s="199"/>
      <c r="T1339" s="200"/>
      <c r="W1339" s="233" t="str">
        <f t="shared" si="27"/>
        <v>1w</v>
      </c>
      <c r="X1339" s="234">
        <f>_xll.qlCalendarAdvance(Calendar,X1338,W1339,"f",FALSE)</f>
        <v>48205</v>
      </c>
      <c r="Y1339" s="237">
        <f>_xll.qlCalendarAdvance(Calendar,X1339,NDays&amp;"D")</f>
        <v>48205</v>
      </c>
      <c r="Z1339" s="238">
        <v>3.8415864755290977E-2</v>
      </c>
      <c r="AA1339" s="240">
        <v>3.7919649229760655E-2</v>
      </c>
    </row>
    <row r="1340" spans="19:27" x14ac:dyDescent="0.2">
      <c r="S1340" s="199"/>
      <c r="T1340" s="200"/>
      <c r="W1340" s="233" t="str">
        <f t="shared" si="27"/>
        <v>1w</v>
      </c>
      <c r="X1340" s="234">
        <f>_xll.qlCalendarAdvance(Calendar,X1339,W1340,"f",FALSE)</f>
        <v>48212</v>
      </c>
      <c r="Y1340" s="237">
        <f>_xll.qlCalendarAdvance(Calendar,X1340,NDays&amp;"D")</f>
        <v>48212</v>
      </c>
      <c r="Z1340" s="238">
        <v>3.8406348373151947E-2</v>
      </c>
      <c r="AA1340" s="240">
        <v>3.7912233114312244E-2</v>
      </c>
    </row>
    <row r="1341" spans="19:27" x14ac:dyDescent="0.2">
      <c r="S1341" s="199"/>
      <c r="T1341" s="200"/>
      <c r="W1341" s="233" t="str">
        <f t="shared" si="27"/>
        <v>1w</v>
      </c>
      <c r="X1341" s="234">
        <f>_xll.qlCalendarAdvance(Calendar,X1340,W1341,"f",FALSE)</f>
        <v>48219</v>
      </c>
      <c r="Y1341" s="237">
        <f>_xll.qlCalendarAdvance(Calendar,X1341,NDays&amp;"D")</f>
        <v>48219</v>
      </c>
      <c r="Z1341" s="238">
        <v>3.8396764248103996E-2</v>
      </c>
      <c r="AA1341" s="240">
        <v>3.7904748288961621E-2</v>
      </c>
    </row>
    <row r="1342" spans="19:27" x14ac:dyDescent="0.2">
      <c r="S1342" s="199"/>
      <c r="T1342" s="200"/>
      <c r="W1342" s="233" t="str">
        <f t="shared" si="27"/>
        <v>1w</v>
      </c>
      <c r="X1342" s="234">
        <f>_xll.qlCalendarAdvance(Calendar,X1341,W1342,"f",FALSE)</f>
        <v>48226</v>
      </c>
      <c r="Y1342" s="237">
        <f>_xll.qlCalendarAdvance(Calendar,X1342,NDays&amp;"D")</f>
        <v>48226</v>
      </c>
      <c r="Z1342" s="238">
        <v>3.8387112515134353E-2</v>
      </c>
      <c r="AA1342" s="240">
        <v>3.7897194753708785E-2</v>
      </c>
    </row>
    <row r="1343" spans="19:27" x14ac:dyDescent="0.2">
      <c r="S1343" s="199"/>
      <c r="T1343" s="200"/>
      <c r="W1343" s="233" t="str">
        <f t="shared" si="27"/>
        <v>1w</v>
      </c>
      <c r="X1343" s="234">
        <f>_xll.qlCalendarAdvance(Calendar,X1342,W1343,"f",FALSE)</f>
        <v>48233</v>
      </c>
      <c r="Y1343" s="237">
        <f>_xll.qlCalendarAdvance(Calendar,X1343,NDays&amp;"D")</f>
        <v>48233</v>
      </c>
      <c r="Z1343" s="238">
        <v>3.8377393309239331E-2</v>
      </c>
      <c r="AA1343" s="240">
        <v>3.7889572508391645E-2</v>
      </c>
    </row>
    <row r="1344" spans="19:27" x14ac:dyDescent="0.2">
      <c r="S1344" s="199"/>
      <c r="T1344" s="200"/>
      <c r="W1344" s="233" t="str">
        <f t="shared" si="27"/>
        <v>1w</v>
      </c>
      <c r="X1344" s="234">
        <f>_xll.qlCalendarAdvance(Calendar,X1343,W1344,"f",FALSE)</f>
        <v>48240</v>
      </c>
      <c r="Y1344" s="237">
        <f>_xll.qlCalendarAdvance(Calendar,X1344,NDays&amp;"D")</f>
        <v>48240</v>
      </c>
      <c r="Z1344" s="238">
        <v>3.8367606765423209E-2</v>
      </c>
      <c r="AA1344" s="240">
        <v>3.7881881553253338E-2</v>
      </c>
    </row>
    <row r="1345" spans="19:27" x14ac:dyDescent="0.2">
      <c r="S1345" s="199"/>
      <c r="T1345" s="200"/>
      <c r="W1345" s="233" t="str">
        <f t="shared" si="27"/>
        <v>1w</v>
      </c>
      <c r="X1345" s="234">
        <f>_xll.qlCalendarAdvance(Calendar,X1344,W1345,"f",FALSE)</f>
        <v>48247</v>
      </c>
      <c r="Y1345" s="237">
        <f>_xll.qlCalendarAdvance(Calendar,X1345,NDays&amp;"D")</f>
        <v>48247</v>
      </c>
      <c r="Z1345" s="238">
        <v>3.8357753018697802E-2</v>
      </c>
      <c r="AA1345" s="240">
        <v>3.7874121888050727E-2</v>
      </c>
    </row>
    <row r="1346" spans="19:27" x14ac:dyDescent="0.2">
      <c r="S1346" s="199"/>
      <c r="T1346" s="200"/>
      <c r="W1346" s="233" t="str">
        <f t="shared" si="27"/>
        <v>1w</v>
      </c>
      <c r="X1346" s="234">
        <f>_xll.qlCalendarAdvance(Calendar,X1345,W1346,"f",FALSE)</f>
        <v>48254</v>
      </c>
      <c r="Y1346" s="237">
        <f>_xll.qlCalendarAdvance(Calendar,X1346,NDays&amp;"D")</f>
        <v>48254</v>
      </c>
      <c r="Z1346" s="238">
        <v>3.8347832204084435E-2</v>
      </c>
      <c r="AA1346" s="240">
        <v>3.786629351302695E-2</v>
      </c>
    </row>
    <row r="1347" spans="19:27" x14ac:dyDescent="0.2">
      <c r="S1347" s="199"/>
      <c r="T1347" s="200"/>
      <c r="W1347" s="233" t="str">
        <f t="shared" si="27"/>
        <v>1w</v>
      </c>
      <c r="X1347" s="234">
        <f>_xll.qlCalendarAdvance(Calendar,X1346,W1347,"f",FALSE)</f>
        <v>48261</v>
      </c>
      <c r="Y1347" s="237">
        <f>_xll.qlCalendarAdvance(Calendar,X1347,NDays&amp;"D")</f>
        <v>48261</v>
      </c>
      <c r="Z1347" s="238">
        <v>3.8337844456610648E-2</v>
      </c>
      <c r="AA1347" s="240">
        <v>3.7858396427938867E-2</v>
      </c>
    </row>
    <row r="1348" spans="19:27" x14ac:dyDescent="0.2">
      <c r="S1348" s="199"/>
      <c r="T1348" s="200"/>
      <c r="W1348" s="233" t="str">
        <f t="shared" si="27"/>
        <v>1w</v>
      </c>
      <c r="X1348" s="234">
        <f>_xll.qlCalendarAdvance(Calendar,X1347,W1348,"f",FALSE)</f>
        <v>48268</v>
      </c>
      <c r="Y1348" s="237">
        <f>_xll.qlCalendarAdvance(Calendar,X1348,NDays&amp;"D")</f>
        <v>48268</v>
      </c>
      <c r="Z1348" s="238">
        <v>3.8327789911312832E-2</v>
      </c>
      <c r="AA1348" s="240">
        <v>3.7850430633029619E-2</v>
      </c>
    </row>
    <row r="1349" spans="19:27" x14ac:dyDescent="0.2">
      <c r="S1349" s="199"/>
      <c r="T1349" s="200"/>
      <c r="W1349" s="233" t="str">
        <f t="shared" si="27"/>
        <v>1w</v>
      </c>
      <c r="X1349" s="234">
        <f>_xll.qlCalendarAdvance(Calendar,X1348,W1349,"f",FALSE)</f>
        <v>48275</v>
      </c>
      <c r="Y1349" s="237">
        <f>_xll.qlCalendarAdvance(Calendar,X1349,NDays&amp;"D")</f>
        <v>48275</v>
      </c>
      <c r="Z1349" s="238">
        <v>3.8316448913411572E-2</v>
      </c>
      <c r="AA1349" s="240">
        <v>3.7842396128218159E-2</v>
      </c>
    </row>
    <row r="1350" spans="19:27" x14ac:dyDescent="0.2">
      <c r="S1350" s="199"/>
      <c r="T1350" s="200"/>
      <c r="W1350" s="233" t="str">
        <f t="shared" si="27"/>
        <v>1w</v>
      </c>
      <c r="X1350" s="234">
        <f>_xll.qlCalendarAdvance(Calendar,X1349,W1350,"f",FALSE)</f>
        <v>48282</v>
      </c>
      <c r="Y1350" s="237">
        <f>_xll.qlCalendarAdvance(Calendar,X1350,NDays&amp;"D")</f>
        <v>48282</v>
      </c>
      <c r="Z1350" s="238">
        <v>3.8306266866480643E-2</v>
      </c>
      <c r="AA1350" s="240">
        <v>3.7834292913504486E-2</v>
      </c>
    </row>
    <row r="1351" spans="19:27" x14ac:dyDescent="0.2">
      <c r="S1351" s="199"/>
      <c r="T1351" s="200"/>
      <c r="W1351" s="233" t="str">
        <f t="shared" si="27"/>
        <v>1w</v>
      </c>
      <c r="X1351" s="234">
        <f>_xll.qlCalendarAdvance(Calendar,X1350,W1351,"f",FALSE)</f>
        <v>48289</v>
      </c>
      <c r="Y1351" s="237">
        <f>_xll.qlCalendarAdvance(Calendar,X1351,NDays&amp;"D")</f>
        <v>48289</v>
      </c>
      <c r="Z1351" s="238">
        <v>3.829601842751984E-2</v>
      </c>
      <c r="AA1351" s="240">
        <v>3.7826120988888601E-2</v>
      </c>
    </row>
    <row r="1352" spans="19:27" x14ac:dyDescent="0.2">
      <c r="S1352" s="199"/>
      <c r="T1352" s="200"/>
      <c r="W1352" s="233" t="str">
        <f t="shared" si="27"/>
        <v>1w</v>
      </c>
      <c r="X1352" s="234">
        <f>_xll.qlCalendarAdvance(Calendar,X1351,W1352,"f",FALSE)</f>
        <v>48296</v>
      </c>
      <c r="Y1352" s="237">
        <f>_xll.qlCalendarAdvance(Calendar,X1352,NDays&amp;"D")</f>
        <v>48296</v>
      </c>
      <c r="Z1352" s="238">
        <v>3.8285703731941068E-2</v>
      </c>
      <c r="AA1352" s="240">
        <v>3.7817880354289457E-2</v>
      </c>
    </row>
    <row r="1353" spans="19:27" x14ac:dyDescent="0.2">
      <c r="S1353" s="199"/>
      <c r="T1353" s="200"/>
      <c r="W1353" s="233" t="str">
        <f t="shared" si="27"/>
        <v>1w</v>
      </c>
      <c r="X1353" s="234">
        <f>_xll.qlCalendarAdvance(Calendar,X1352,W1353,"f",FALSE)</f>
        <v>48303</v>
      </c>
      <c r="Y1353" s="237">
        <f>_xll.qlCalendarAdvance(Calendar,X1353,NDays&amp;"D")</f>
        <v>48303</v>
      </c>
      <c r="Z1353" s="238">
        <v>3.8275322915162224E-2</v>
      </c>
      <c r="AA1353" s="240">
        <v>3.7809571009788101E-2</v>
      </c>
    </row>
    <row r="1354" spans="19:27" x14ac:dyDescent="0.2">
      <c r="S1354" s="199"/>
      <c r="T1354" s="200"/>
      <c r="W1354" s="233" t="str">
        <f t="shared" si="27"/>
        <v>1w</v>
      </c>
      <c r="X1354" s="234">
        <f>_xll.qlCalendarAdvance(Calendar,X1353,W1354,"f",FALSE)</f>
        <v>48310</v>
      </c>
      <c r="Y1354" s="237">
        <f>_xll.qlCalendarAdvance(Calendar,X1354,NDays&amp;"D")</f>
        <v>48310</v>
      </c>
      <c r="Z1354" s="238">
        <v>3.8264876112610535E-2</v>
      </c>
      <c r="AA1354" s="240">
        <v>3.7801192955465579E-2</v>
      </c>
    </row>
    <row r="1355" spans="19:27" x14ac:dyDescent="0.2">
      <c r="S1355" s="199"/>
      <c r="T1355" s="200"/>
      <c r="W1355" s="233" t="str">
        <f t="shared" si="27"/>
        <v>1w</v>
      </c>
      <c r="X1355" s="234">
        <f>_xll.qlCalendarAdvance(Calendar,X1354,W1355,"f",FALSE)</f>
        <v>48317</v>
      </c>
      <c r="Y1355" s="237">
        <f>_xll.qlCalendarAdvance(Calendar,X1355,NDays&amp;"D")</f>
        <v>48317</v>
      </c>
      <c r="Z1355" s="238">
        <v>3.8254363459718776E-2</v>
      </c>
      <c r="AA1355" s="240">
        <v>3.7792746191240845E-2</v>
      </c>
    </row>
    <row r="1356" spans="19:27" x14ac:dyDescent="0.2">
      <c r="S1356" s="199"/>
      <c r="T1356" s="200"/>
      <c r="W1356" s="233" t="str">
        <f t="shared" si="27"/>
        <v>1w</v>
      </c>
      <c r="X1356" s="234">
        <f>_xll.qlCalendarAdvance(Calendar,X1355,W1356,"f",FALSE)</f>
        <v>48324</v>
      </c>
      <c r="Y1356" s="237">
        <f>_xll.qlCalendarAdvance(Calendar,X1356,NDays&amp;"D")</f>
        <v>48324</v>
      </c>
      <c r="Z1356" s="238">
        <v>3.824378509192794E-2</v>
      </c>
      <c r="AA1356" s="240">
        <v>3.7784230717113898E-2</v>
      </c>
    </row>
    <row r="1357" spans="19:27" x14ac:dyDescent="0.2">
      <c r="S1357" s="199"/>
      <c r="T1357" s="200"/>
      <c r="W1357" s="233" t="str">
        <f t="shared" si="27"/>
        <v>1w</v>
      </c>
      <c r="X1357" s="234">
        <f>_xll.qlCalendarAdvance(Calendar,X1356,W1357,"f",FALSE)</f>
        <v>48331</v>
      </c>
      <c r="Y1357" s="237">
        <f>_xll.qlCalendarAdvance(Calendar,X1357,NDays&amp;"D")</f>
        <v>48331</v>
      </c>
      <c r="Z1357" s="238">
        <v>3.8233141144685234E-2</v>
      </c>
      <c r="AA1357" s="240">
        <v>3.7775646533084739E-2</v>
      </c>
    </row>
    <row r="1358" spans="19:27" x14ac:dyDescent="0.2">
      <c r="S1358" s="199"/>
      <c r="T1358" s="200"/>
      <c r="W1358" s="233" t="str">
        <f t="shared" si="27"/>
        <v>1w</v>
      </c>
      <c r="X1358" s="234">
        <f>_xll.qlCalendarAdvance(Calendar,X1357,W1358,"f",FALSE)</f>
        <v>48338</v>
      </c>
      <c r="Y1358" s="237">
        <f>_xll.qlCalendarAdvance(Calendar,X1358,NDays&amp;"D")</f>
        <v>48338</v>
      </c>
      <c r="Z1358" s="238">
        <v>3.822243175344564E-2</v>
      </c>
      <c r="AA1358" s="240">
        <v>3.7766993639234414E-2</v>
      </c>
    </row>
    <row r="1359" spans="19:27" x14ac:dyDescent="0.2">
      <c r="S1359" s="199"/>
      <c r="T1359" s="200"/>
      <c r="W1359" s="233" t="str">
        <f t="shared" si="27"/>
        <v>1w</v>
      </c>
      <c r="X1359" s="234">
        <f>_xll.qlCalendarAdvance(Calendar,X1358,W1359,"f",FALSE)</f>
        <v>48345</v>
      </c>
      <c r="Y1359" s="237">
        <f>_xll.qlCalendarAdvance(Calendar,X1359,NDays&amp;"D")</f>
        <v>48345</v>
      </c>
      <c r="Z1359" s="238">
        <v>3.8211657053670134E-2</v>
      </c>
      <c r="AA1359" s="240">
        <v>3.7758272035400831E-2</v>
      </c>
    </row>
    <row r="1360" spans="19:27" x14ac:dyDescent="0.2">
      <c r="S1360" s="199"/>
      <c r="T1360" s="200"/>
      <c r="W1360" s="233" t="str">
        <f t="shared" si="27"/>
        <v>1w</v>
      </c>
      <c r="X1360" s="234">
        <f>_xll.qlCalendarAdvance(Calendar,X1359,W1360,"f",FALSE)</f>
        <v>48352</v>
      </c>
      <c r="Y1360" s="237">
        <f>_xll.qlCalendarAdvance(Calendar,X1360,NDays&amp;"D")</f>
        <v>48352</v>
      </c>
      <c r="Z1360" s="238">
        <v>3.8200817180827462E-2</v>
      </c>
      <c r="AA1360" s="240">
        <v>3.7749481721827127E-2</v>
      </c>
    </row>
    <row r="1361" spans="19:27" x14ac:dyDescent="0.2">
      <c r="S1361" s="199"/>
      <c r="T1361" s="200"/>
      <c r="W1361" s="233" t="str">
        <f t="shared" si="27"/>
        <v>1w</v>
      </c>
      <c r="X1361" s="234">
        <f>_xll.qlCalendarAdvance(Calendar,X1360,W1361,"f",FALSE)</f>
        <v>48359</v>
      </c>
      <c r="Y1361" s="237">
        <f>_xll.qlCalendarAdvance(Calendar,X1361,NDays&amp;"D")</f>
        <v>48359</v>
      </c>
      <c r="Z1361" s="238">
        <v>3.8189912270392146E-2</v>
      </c>
      <c r="AA1361" s="240">
        <v>3.7740622698351212E-2</v>
      </c>
    </row>
    <row r="1362" spans="19:27" x14ac:dyDescent="0.2">
      <c r="S1362" s="199"/>
      <c r="T1362" s="200"/>
      <c r="W1362" s="233" t="str">
        <f t="shared" si="27"/>
        <v>1w</v>
      </c>
      <c r="X1362" s="234">
        <f>_xll.qlCalendarAdvance(Calendar,X1361,W1362,"f",FALSE)</f>
        <v>48366</v>
      </c>
      <c r="Y1362" s="237">
        <f>_xll.qlCalendarAdvance(Calendar,X1362,NDays&amp;"D")</f>
        <v>48366</v>
      </c>
      <c r="Z1362" s="238">
        <v>3.8178942457846032E-2</v>
      </c>
      <c r="AA1362" s="240">
        <v>3.7731694965135176E-2</v>
      </c>
    </row>
    <row r="1363" spans="19:27" x14ac:dyDescent="0.2">
      <c r="S1363" s="199"/>
      <c r="T1363" s="200"/>
      <c r="W1363" s="233" t="str">
        <f t="shared" si="27"/>
        <v>1w</v>
      </c>
      <c r="X1363" s="234">
        <f>_xll.qlCalendarAdvance(Calendar,X1362,W1363,"f",FALSE)</f>
        <v>48373</v>
      </c>
      <c r="Y1363" s="237">
        <f>_xll.qlCalendarAdvance(Calendar,X1363,NDays&amp;"D")</f>
        <v>48373</v>
      </c>
      <c r="Z1363" s="238">
        <v>3.816790787867741E-2</v>
      </c>
      <c r="AA1363" s="240">
        <v>3.772269852177379E-2</v>
      </c>
    </row>
    <row r="1364" spans="19:27" x14ac:dyDescent="0.2">
      <c r="S1364" s="199"/>
      <c r="T1364" s="200"/>
      <c r="W1364" s="233" t="str">
        <f t="shared" si="27"/>
        <v>1w</v>
      </c>
      <c r="X1364" s="234">
        <f>_xll.qlCalendarAdvance(Calendar,X1363,W1364,"f",FALSE)</f>
        <v>48380</v>
      </c>
      <c r="Y1364" s="237">
        <f>_xll.qlCalendarAdvance(Calendar,X1364,NDays&amp;"D")</f>
        <v>48380</v>
      </c>
      <c r="Z1364" s="238">
        <v>3.8156808668380782E-2</v>
      </c>
      <c r="AA1364" s="240">
        <v>3.7713633368915422E-2</v>
      </c>
    </row>
    <row r="1365" spans="19:27" x14ac:dyDescent="0.2">
      <c r="S1365" s="199"/>
      <c r="T1365" s="200"/>
      <c r="W1365" s="233" t="str">
        <f t="shared" ref="W1365:W1428" si="28">W1364</f>
        <v>1w</v>
      </c>
      <c r="X1365" s="234">
        <f>_xll.qlCalendarAdvance(Calendar,X1364,W1365,"f",FALSE)</f>
        <v>48387</v>
      </c>
      <c r="Y1365" s="237">
        <f>_xll.qlCalendarAdvance(Calendar,X1365,NDays&amp;"D")</f>
        <v>48387</v>
      </c>
      <c r="Z1365" s="238">
        <v>3.8145644962456871E-2</v>
      </c>
      <c r="AA1365" s="240">
        <v>3.770449950599275E-2</v>
      </c>
    </row>
    <row r="1366" spans="19:27" x14ac:dyDescent="0.2">
      <c r="S1366" s="199"/>
      <c r="T1366" s="200"/>
      <c r="W1366" s="233" t="str">
        <f t="shared" si="28"/>
        <v>1w</v>
      </c>
      <c r="X1366" s="234">
        <f>_xll.qlCalendarAdvance(Calendar,X1365,W1366,"f",FALSE)</f>
        <v>48394</v>
      </c>
      <c r="Y1366" s="237">
        <f>_xll.qlCalendarAdvance(Calendar,X1366,NDays&amp;"D")</f>
        <v>48394</v>
      </c>
      <c r="Z1366" s="238">
        <v>3.8134416895539536E-2</v>
      </c>
      <c r="AA1366" s="240">
        <v>3.7695297092829039E-2</v>
      </c>
    </row>
    <row r="1367" spans="19:27" x14ac:dyDescent="0.2">
      <c r="S1367" s="199"/>
      <c r="T1367" s="200"/>
      <c r="W1367" s="233" t="str">
        <f t="shared" si="28"/>
        <v>1w</v>
      </c>
      <c r="X1367" s="234">
        <f>_xll.qlCalendarAdvance(Calendar,X1366,W1367,"f",FALSE)</f>
        <v>48401</v>
      </c>
      <c r="Y1367" s="237">
        <f>_xll.qlCalendarAdvance(Calendar,X1367,NDays&amp;"D")</f>
        <v>48401</v>
      </c>
      <c r="Z1367" s="238">
        <v>3.8123124498823602E-2</v>
      </c>
      <c r="AA1367" s="240">
        <v>3.7686030597667841E-2</v>
      </c>
    </row>
    <row r="1368" spans="19:27" x14ac:dyDescent="0.2">
      <c r="S1368" s="199"/>
      <c r="T1368" s="200"/>
      <c r="W1368" s="233" t="str">
        <f t="shared" si="28"/>
        <v>1w</v>
      </c>
      <c r="X1368" s="234">
        <f>_xll.qlCalendarAdvance(Calendar,X1367,W1368,"f",FALSE)</f>
        <v>48408</v>
      </c>
      <c r="Y1368" s="237">
        <f>_xll.qlCalendarAdvance(Calendar,X1368,NDays&amp;"D")</f>
        <v>48408</v>
      </c>
      <c r="Z1368" s="238">
        <v>3.8111767592871493E-2</v>
      </c>
      <c r="AA1368" s="240">
        <v>3.7676702094726622E-2</v>
      </c>
    </row>
    <row r="1369" spans="19:27" x14ac:dyDescent="0.2">
      <c r="S1369" s="199"/>
      <c r="T1369" s="200"/>
      <c r="W1369" s="233" t="str">
        <f t="shared" si="28"/>
        <v>1w</v>
      </c>
      <c r="X1369" s="234">
        <f>_xll.qlCalendarAdvance(Calendar,X1368,W1369,"f",FALSE)</f>
        <v>48415</v>
      </c>
      <c r="Y1369" s="237">
        <f>_xll.qlCalendarAdvance(Calendar,X1369,NDays&amp;"D")</f>
        <v>48415</v>
      </c>
      <c r="Z1369" s="238">
        <v>3.8100345971617378E-2</v>
      </c>
      <c r="AA1369" s="240">
        <v>3.7667311584410612E-2</v>
      </c>
    </row>
    <row r="1370" spans="19:27" x14ac:dyDescent="0.2">
      <c r="S1370" s="199"/>
      <c r="T1370" s="200"/>
      <c r="W1370" s="233" t="str">
        <f t="shared" si="28"/>
        <v>1w</v>
      </c>
      <c r="X1370" s="234">
        <f>_xll.qlCalendarAdvance(Calendar,X1369,W1370,"f",FALSE)</f>
        <v>48422</v>
      </c>
      <c r="Y1370" s="237">
        <f>_xll.qlCalendarAdvance(Calendar,X1370,NDays&amp;"D")</f>
        <v>48422</v>
      </c>
      <c r="Z1370" s="238">
        <v>3.8088859429016075E-2</v>
      </c>
      <c r="AA1370" s="240">
        <v>3.7657859066476673E-2</v>
      </c>
    </row>
    <row r="1371" spans="19:27" x14ac:dyDescent="0.2">
      <c r="S1371" s="199"/>
      <c r="T1371" s="200"/>
      <c r="W1371" s="233" t="str">
        <f t="shared" si="28"/>
        <v>1w</v>
      </c>
      <c r="X1371" s="234">
        <f>_xll.qlCalendarAdvance(Calendar,X1370,W1371,"f",FALSE)</f>
        <v>48429</v>
      </c>
      <c r="Y1371" s="237">
        <f>_xll.qlCalendarAdvance(Calendar,X1371,NDays&amp;"D")</f>
        <v>48429</v>
      </c>
      <c r="Z1371" s="238">
        <v>3.8077307759044388E-2</v>
      </c>
      <c r="AA1371" s="240">
        <v>3.7648344541005851E-2</v>
      </c>
    </row>
    <row r="1372" spans="19:27" x14ac:dyDescent="0.2">
      <c r="S1372" s="199"/>
      <c r="T1372" s="200"/>
      <c r="W1372" s="233" t="str">
        <f t="shared" si="28"/>
        <v>1w</v>
      </c>
      <c r="X1372" s="234">
        <f>_xll.qlCalendarAdvance(Calendar,X1371,W1372,"f",FALSE)</f>
        <v>48436</v>
      </c>
      <c r="Y1372" s="237">
        <f>_xll.qlCalendarAdvance(Calendar,X1372,NDays&amp;"D")</f>
        <v>48436</v>
      </c>
      <c r="Z1372" s="238">
        <v>3.8065690755699988E-2</v>
      </c>
      <c r="AA1372" s="240">
        <v>3.7638768007917101E-2</v>
      </c>
    </row>
    <row r="1373" spans="19:27" x14ac:dyDescent="0.2">
      <c r="S1373" s="199"/>
      <c r="T1373" s="200"/>
      <c r="W1373" s="233" t="str">
        <f t="shared" si="28"/>
        <v>1w</v>
      </c>
      <c r="X1373" s="234">
        <f>_xll.qlCalendarAdvance(Calendar,X1372,W1373,"f",FALSE)</f>
        <v>48443</v>
      </c>
      <c r="Y1373" s="237">
        <f>_xll.qlCalendarAdvance(Calendar,X1373,NDays&amp;"D")</f>
        <v>48443</v>
      </c>
      <c r="Z1373" s="238">
        <v>3.8054008213002755E-2</v>
      </c>
      <c r="AA1373" s="240">
        <v>3.7629129467291467E-2</v>
      </c>
    </row>
    <row r="1374" spans="19:27" x14ac:dyDescent="0.2">
      <c r="S1374" s="199"/>
      <c r="T1374" s="200"/>
      <c r="W1374" s="233" t="str">
        <f t="shared" si="28"/>
        <v>1w</v>
      </c>
      <c r="X1374" s="234">
        <f>_xll.qlCalendarAdvance(Calendar,X1373,W1374,"f",FALSE)</f>
        <v>48450</v>
      </c>
      <c r="Y1374" s="237">
        <f>_xll.qlCalendarAdvance(Calendar,X1374,NDays&amp;"D")</f>
        <v>48450</v>
      </c>
      <c r="Z1374" s="238">
        <v>3.8042259924994326E-2</v>
      </c>
      <c r="AA1374" s="240">
        <v>3.7619428919047904E-2</v>
      </c>
    </row>
    <row r="1375" spans="19:27" x14ac:dyDescent="0.2">
      <c r="S1375" s="199"/>
      <c r="T1375" s="200"/>
      <c r="W1375" s="233" t="str">
        <f t="shared" si="28"/>
        <v>1w</v>
      </c>
      <c r="X1375" s="234">
        <f>_xll.qlCalendarAdvance(Calendar,X1374,W1375,"f",FALSE)</f>
        <v>48457</v>
      </c>
      <c r="Y1375" s="237">
        <f>_xll.qlCalendarAdvance(Calendar,X1375,NDays&amp;"D")</f>
        <v>48457</v>
      </c>
      <c r="Z1375" s="238">
        <v>3.8030445685737435E-2</v>
      </c>
      <c r="AA1375" s="240">
        <v>3.760966636342955E-2</v>
      </c>
    </row>
    <row r="1376" spans="19:27" x14ac:dyDescent="0.2">
      <c r="S1376" s="199"/>
      <c r="T1376" s="200"/>
      <c r="W1376" s="233" t="str">
        <f t="shared" si="28"/>
        <v>1w</v>
      </c>
      <c r="X1376" s="234">
        <f>_xll.qlCalendarAdvance(Calendar,X1375,W1376,"f",FALSE)</f>
        <v>48464</v>
      </c>
      <c r="Y1376" s="237">
        <f>_xll.qlCalendarAdvance(Calendar,X1376,NDays&amp;"D")</f>
        <v>48464</v>
      </c>
      <c r="Z1376" s="238">
        <v>3.8018565289318129E-2</v>
      </c>
      <c r="AA1376" s="240">
        <v>3.7599841800112221E-2</v>
      </c>
    </row>
    <row r="1377" spans="19:27" x14ac:dyDescent="0.2">
      <c r="S1377" s="199"/>
      <c r="T1377" s="200"/>
      <c r="W1377" s="233" t="str">
        <f t="shared" si="28"/>
        <v>1w</v>
      </c>
      <c r="X1377" s="234">
        <f>_xll.qlCalendarAdvance(Calendar,X1376,W1377,"f",FALSE)</f>
        <v>48471</v>
      </c>
      <c r="Y1377" s="237">
        <f>_xll.qlCalendarAdvance(Calendar,X1377,NDays&amp;"D")</f>
        <v>48471</v>
      </c>
      <c r="Z1377" s="238">
        <v>3.8006618529843328E-2</v>
      </c>
      <c r="AA1377" s="240">
        <v>3.7589955229339056E-2</v>
      </c>
    </row>
    <row r="1378" spans="19:27" x14ac:dyDescent="0.2">
      <c r="S1378" s="199"/>
      <c r="T1378" s="200"/>
      <c r="W1378" s="233" t="str">
        <f t="shared" si="28"/>
        <v>1w</v>
      </c>
      <c r="X1378" s="234">
        <f>_xll.qlCalendarAdvance(Calendar,X1377,W1378,"f",FALSE)</f>
        <v>48478</v>
      </c>
      <c r="Y1378" s="237">
        <f>_xll.qlCalendarAdvance(Calendar,X1378,NDays&amp;"D")</f>
        <v>48478</v>
      </c>
      <c r="Z1378" s="238">
        <v>3.7994605201443266E-2</v>
      </c>
      <c r="AA1378" s="240">
        <v>3.7580006651110054E-2</v>
      </c>
    </row>
    <row r="1379" spans="19:27" x14ac:dyDescent="0.2">
      <c r="S1379" s="199"/>
      <c r="T1379" s="200"/>
      <c r="W1379" s="233" t="str">
        <f t="shared" si="28"/>
        <v>1w</v>
      </c>
      <c r="X1379" s="234">
        <f>_xll.qlCalendarAdvance(Calendar,X1378,W1379,"f",FALSE)</f>
        <v>48485</v>
      </c>
      <c r="Y1379" s="237">
        <f>_xll.qlCalendarAdvance(Calendar,X1379,NDays&amp;"D")</f>
        <v>48485</v>
      </c>
      <c r="Z1379" s="238">
        <v>3.7982525098269271E-2</v>
      </c>
      <c r="AA1379" s="240">
        <v>3.7569996065182076E-2</v>
      </c>
    </row>
    <row r="1380" spans="19:27" x14ac:dyDescent="0.2">
      <c r="S1380" s="199"/>
      <c r="T1380" s="200"/>
      <c r="W1380" s="233" t="str">
        <f t="shared" si="28"/>
        <v>1w</v>
      </c>
      <c r="X1380" s="234">
        <f>_xll.qlCalendarAdvance(Calendar,X1379,W1380,"f",FALSE)</f>
        <v>48492</v>
      </c>
      <c r="Y1380" s="237">
        <f>_xll.qlCalendarAdvance(Calendar,X1380,NDays&amp;"D")</f>
        <v>48492</v>
      </c>
      <c r="Z1380" s="238">
        <v>3.7970378014496875E-2</v>
      </c>
      <c r="AA1380" s="240">
        <v>3.7559923471798262E-2</v>
      </c>
    </row>
    <row r="1381" spans="19:27" x14ac:dyDescent="0.2">
      <c r="S1381" s="199"/>
      <c r="T1381" s="200"/>
      <c r="W1381" s="233" t="str">
        <f t="shared" si="28"/>
        <v>1w</v>
      </c>
      <c r="X1381" s="234">
        <f>_xll.qlCalendarAdvance(Calendar,X1380,W1381,"f",FALSE)</f>
        <v>48499</v>
      </c>
      <c r="Y1381" s="237">
        <f>_xll.qlCalendarAdvance(Calendar,X1381,NDays&amp;"D")</f>
        <v>48499</v>
      </c>
      <c r="Z1381" s="238">
        <v>3.795816374432337E-2</v>
      </c>
      <c r="AA1381" s="240">
        <v>3.7549788870877565E-2</v>
      </c>
    </row>
    <row r="1382" spans="19:27" x14ac:dyDescent="0.2">
      <c r="S1382" s="199"/>
      <c r="T1382" s="200"/>
      <c r="W1382" s="233" t="str">
        <f t="shared" si="28"/>
        <v>1w</v>
      </c>
      <c r="X1382" s="234">
        <f>_xll.qlCalendarAdvance(Calendar,X1381,W1382,"f",FALSE)</f>
        <v>48506</v>
      </c>
      <c r="Y1382" s="237">
        <f>_xll.qlCalendarAdvance(Calendar,X1382,NDays&amp;"D")</f>
        <v>48506</v>
      </c>
      <c r="Z1382" s="238">
        <v>3.7945882081968918E-2</v>
      </c>
      <c r="AA1382" s="240">
        <v>3.7539592262582078E-2</v>
      </c>
    </row>
    <row r="1383" spans="19:27" x14ac:dyDescent="0.2">
      <c r="S1383" s="199"/>
      <c r="T1383" s="200"/>
      <c r="W1383" s="233" t="str">
        <f t="shared" si="28"/>
        <v>1w</v>
      </c>
      <c r="X1383" s="234">
        <f>_xll.qlCalendarAdvance(Calendar,X1382,W1383,"f",FALSE)</f>
        <v>48513</v>
      </c>
      <c r="Y1383" s="237">
        <f>_xll.qlCalendarAdvance(Calendar,X1383,NDays&amp;"D")</f>
        <v>48513</v>
      </c>
      <c r="Z1383" s="238">
        <v>3.7933532821676774E-2</v>
      </c>
      <c r="AA1383" s="240">
        <v>3.7529333646587615E-2</v>
      </c>
    </row>
    <row r="1384" spans="19:27" x14ac:dyDescent="0.2">
      <c r="S1384" s="199"/>
      <c r="T1384" s="200"/>
      <c r="W1384" s="233" t="str">
        <f t="shared" si="28"/>
        <v>1w</v>
      </c>
      <c r="X1384" s="234">
        <f>_xll.qlCalendarAdvance(Calendar,X1383,W1384,"f",FALSE)</f>
        <v>48520</v>
      </c>
      <c r="Y1384" s="237">
        <f>_xll.qlCalendarAdvance(Calendar,X1384,NDays&amp;"D")</f>
        <v>48520</v>
      </c>
      <c r="Z1384" s="238">
        <v>3.7921115757712842E-2</v>
      </c>
      <c r="AA1384" s="240">
        <v>3.7519013023218362E-2</v>
      </c>
    </row>
    <row r="1385" spans="19:27" x14ac:dyDescent="0.2">
      <c r="S1385" s="199"/>
      <c r="T1385" s="200"/>
      <c r="W1385" s="233" t="str">
        <f t="shared" si="28"/>
        <v>1w</v>
      </c>
      <c r="X1385" s="234">
        <f>_xll.qlCalendarAdvance(Calendar,X1384,W1385,"f",FALSE)</f>
        <v>48527</v>
      </c>
      <c r="Y1385" s="237">
        <f>_xll.qlCalendarAdvance(Calendar,X1385,NDays&amp;"D")</f>
        <v>48527</v>
      </c>
      <c r="Z1385" s="238">
        <v>3.7908630684367006E-2</v>
      </c>
      <c r="AA1385" s="240">
        <v>3.7508630392393272E-2</v>
      </c>
    </row>
    <row r="1386" spans="19:27" x14ac:dyDescent="0.2">
      <c r="S1386" s="199"/>
      <c r="T1386" s="200"/>
      <c r="W1386" s="233" t="str">
        <f t="shared" si="28"/>
        <v>1w</v>
      </c>
      <c r="X1386" s="234">
        <f>_xll.qlCalendarAdvance(Calendar,X1385,W1386,"f",FALSE)</f>
        <v>48534</v>
      </c>
      <c r="Y1386" s="237">
        <f>_xll.qlCalendarAdvance(Calendar,X1386,NDays&amp;"D")</f>
        <v>48534</v>
      </c>
      <c r="Z1386" s="238">
        <v>3.7896077395952243E-2</v>
      </c>
      <c r="AA1386" s="240">
        <v>3.7498185754031299E-2</v>
      </c>
    </row>
    <row r="1387" spans="19:27" x14ac:dyDescent="0.2">
      <c r="S1387" s="199"/>
      <c r="T1387" s="200"/>
      <c r="W1387" s="233" t="str">
        <f t="shared" si="28"/>
        <v>1w</v>
      </c>
      <c r="X1387" s="234">
        <f>_xll.qlCalendarAdvance(Calendar,X1386,W1387,"f",FALSE)</f>
        <v>48541</v>
      </c>
      <c r="Y1387" s="237">
        <f>_xll.qlCalendarAdvance(Calendar,X1387,NDays&amp;"D")</f>
        <v>48541</v>
      </c>
      <c r="Z1387" s="238">
        <v>3.7883455686804179E-2</v>
      </c>
      <c r="AA1387" s="240">
        <v>3.7487679108132443E-2</v>
      </c>
    </row>
    <row r="1388" spans="19:27" x14ac:dyDescent="0.2">
      <c r="S1388" s="199"/>
      <c r="T1388" s="200"/>
      <c r="W1388" s="233" t="str">
        <f t="shared" si="28"/>
        <v>1w</v>
      </c>
      <c r="X1388" s="234">
        <f>_xll.qlCalendarAdvance(Calendar,X1387,W1388,"f",FALSE)</f>
        <v>48548</v>
      </c>
      <c r="Y1388" s="237">
        <f>_xll.qlCalendarAdvance(Calendar,X1388,NDays&amp;"D")</f>
        <v>48548</v>
      </c>
      <c r="Z1388" s="238">
        <v>3.7870765351283531E-2</v>
      </c>
      <c r="AA1388" s="240">
        <v>3.7477110454777751E-2</v>
      </c>
    </row>
    <row r="1389" spans="19:27" x14ac:dyDescent="0.2">
      <c r="S1389" s="199"/>
      <c r="T1389" s="200"/>
      <c r="W1389" s="233" t="str">
        <f t="shared" si="28"/>
        <v>1w</v>
      </c>
      <c r="X1389" s="234">
        <f>_xll.qlCalendarAdvance(Calendar,X1388,W1389,"f",FALSE)</f>
        <v>48555</v>
      </c>
      <c r="Y1389" s="237">
        <f>_xll.qlCalendarAdvance(Calendar,X1389,NDays&amp;"D")</f>
        <v>48555</v>
      </c>
      <c r="Z1389" s="238">
        <v>3.7858006183773885E-2</v>
      </c>
      <c r="AA1389" s="240">
        <v>3.7466479794048269E-2</v>
      </c>
    </row>
    <row r="1390" spans="19:27" x14ac:dyDescent="0.2">
      <c r="S1390" s="199"/>
      <c r="T1390" s="200"/>
      <c r="W1390" s="233" t="str">
        <f t="shared" si="28"/>
        <v>1w</v>
      </c>
      <c r="X1390" s="234">
        <f>_xll.qlCalendarAdvance(Calendar,X1389,W1390,"f",FALSE)</f>
        <v>48562</v>
      </c>
      <c r="Y1390" s="237">
        <f>_xll.qlCalendarAdvance(Calendar,X1390,NDays&amp;"D")</f>
        <v>48562</v>
      </c>
      <c r="Z1390" s="238">
        <v>3.7845177978682587E-2</v>
      </c>
      <c r="AA1390" s="240">
        <v>3.7455787125700857E-2</v>
      </c>
    </row>
    <row r="1391" spans="19:27" x14ac:dyDescent="0.2">
      <c r="S1391" s="199"/>
      <c r="T1391" s="200"/>
      <c r="W1391" s="233" t="str">
        <f t="shared" si="28"/>
        <v>1w</v>
      </c>
      <c r="X1391" s="234">
        <f>_xll.qlCalendarAdvance(Calendar,X1390,W1391,"f",FALSE)</f>
        <v>48569</v>
      </c>
      <c r="Y1391" s="237">
        <f>_xll.qlCalendarAdvance(Calendar,X1391,NDays&amp;"D")</f>
        <v>48569</v>
      </c>
      <c r="Z1391" s="238">
        <v>3.7832280530441631E-2</v>
      </c>
      <c r="AA1391" s="240">
        <v>3.7445032450059701E-2</v>
      </c>
    </row>
    <row r="1392" spans="19:27" x14ac:dyDescent="0.2">
      <c r="S1392" s="199"/>
      <c r="T1392" s="200"/>
      <c r="W1392" s="233" t="str">
        <f t="shared" si="28"/>
        <v>1w</v>
      </c>
      <c r="X1392" s="234">
        <f>_xll.qlCalendarAdvance(Calendar,X1391,W1392,"f",FALSE)</f>
        <v>48577</v>
      </c>
      <c r="Y1392" s="237">
        <f>_xll.qlCalendarAdvance(Calendar,X1392,NDays&amp;"D")</f>
        <v>48577</v>
      </c>
      <c r="Z1392" s="238">
        <v>3.7817455538393663E-2</v>
      </c>
      <c r="AA1392" s="240">
        <v>3.7432665464427473E-2</v>
      </c>
    </row>
    <row r="1393" spans="19:27" x14ac:dyDescent="0.2">
      <c r="S1393" s="199"/>
      <c r="T1393" s="200"/>
      <c r="W1393" s="233" t="str">
        <f t="shared" si="28"/>
        <v>1w</v>
      </c>
      <c r="X1393" s="234">
        <f>_xll.qlCalendarAdvance(Calendar,X1392,W1393,"f",FALSE)</f>
        <v>48584</v>
      </c>
      <c r="Y1393" s="237">
        <f>_xll.qlCalendarAdvance(Calendar,X1393,NDays&amp;"D")</f>
        <v>48584</v>
      </c>
      <c r="Z1393" s="238">
        <v>3.7804409019867258E-2</v>
      </c>
      <c r="AA1393" s="240">
        <v>3.7421777915597199E-2</v>
      </c>
    </row>
    <row r="1394" spans="19:27" x14ac:dyDescent="0.2">
      <c r="S1394" s="199"/>
      <c r="T1394" s="200"/>
      <c r="W1394" s="233" t="str">
        <f t="shared" si="28"/>
        <v>1w</v>
      </c>
      <c r="X1394" s="234">
        <f>_xll.qlCalendarAdvance(Calendar,X1393,W1394,"f",FALSE)</f>
        <v>48591</v>
      </c>
      <c r="Y1394" s="237">
        <f>_xll.qlCalendarAdvance(Calendar,X1394,NDays&amp;"D")</f>
        <v>48591</v>
      </c>
      <c r="Z1394" s="238">
        <v>3.7791292612277427E-2</v>
      </c>
      <c r="AA1394" s="240">
        <v>3.7410828359311088E-2</v>
      </c>
    </row>
    <row r="1395" spans="19:27" x14ac:dyDescent="0.2">
      <c r="S1395" s="199"/>
      <c r="T1395" s="200"/>
      <c r="W1395" s="233" t="str">
        <f t="shared" si="28"/>
        <v>1w</v>
      </c>
      <c r="X1395" s="234">
        <f>_xll.qlCalendarAdvance(Calendar,X1394,W1395,"f",FALSE)</f>
        <v>48598</v>
      </c>
      <c r="Y1395" s="237">
        <f>_xll.qlCalendarAdvance(Calendar,X1395,NDays&amp;"D")</f>
        <v>48598</v>
      </c>
      <c r="Z1395" s="238">
        <v>3.7778106110156751E-2</v>
      </c>
      <c r="AA1395" s="240">
        <v>3.7399816795569141E-2</v>
      </c>
    </row>
    <row r="1396" spans="19:27" x14ac:dyDescent="0.2">
      <c r="S1396" s="199"/>
      <c r="T1396" s="200"/>
      <c r="W1396" s="233" t="str">
        <f t="shared" si="28"/>
        <v>1w</v>
      </c>
      <c r="X1396" s="234">
        <f>_xll.qlCalendarAdvance(Calendar,X1395,W1396,"f",FALSE)</f>
        <v>48605</v>
      </c>
      <c r="Y1396" s="237">
        <f>_xll.qlCalendarAdvance(Calendar,X1396,NDays&amp;"D")</f>
        <v>48605</v>
      </c>
      <c r="Z1396" s="238">
        <v>3.7764849308062454E-2</v>
      </c>
      <c r="AA1396" s="240">
        <v>3.7388743224452403E-2</v>
      </c>
    </row>
    <row r="1397" spans="19:27" x14ac:dyDescent="0.2">
      <c r="S1397" s="199"/>
      <c r="T1397" s="200"/>
      <c r="W1397" s="233" t="str">
        <f t="shared" si="28"/>
        <v>1w</v>
      </c>
      <c r="X1397" s="234">
        <f>_xll.qlCalendarAdvance(Calendar,X1396,W1397,"f",FALSE)</f>
        <v>48612</v>
      </c>
      <c r="Y1397" s="237">
        <f>_xll.qlCalendarAdvance(Calendar,X1397,NDays&amp;"D")</f>
        <v>48612</v>
      </c>
      <c r="Z1397" s="238">
        <v>3.775152200057752E-2</v>
      </c>
      <c r="AA1397" s="240">
        <v>3.7377607645798783E-2</v>
      </c>
    </row>
    <row r="1398" spans="19:27" x14ac:dyDescent="0.2">
      <c r="S1398" s="199"/>
      <c r="T1398" s="200"/>
      <c r="W1398" s="233" t="str">
        <f t="shared" si="28"/>
        <v>1w</v>
      </c>
      <c r="X1398" s="234">
        <f>_xll.qlCalendarAdvance(Calendar,X1397,W1398,"f",FALSE)</f>
        <v>48619</v>
      </c>
      <c r="Y1398" s="237">
        <f>_xll.qlCalendarAdvance(Calendar,X1398,NDays&amp;"D")</f>
        <v>48619</v>
      </c>
      <c r="Z1398" s="238">
        <v>3.7738123982308691E-2</v>
      </c>
      <c r="AA1398" s="240">
        <v>3.7366410059851418E-2</v>
      </c>
    </row>
    <row r="1399" spans="19:27" x14ac:dyDescent="0.2">
      <c r="S1399" s="199"/>
      <c r="T1399" s="200"/>
      <c r="W1399" s="233" t="str">
        <f t="shared" si="28"/>
        <v>1w</v>
      </c>
      <c r="X1399" s="234">
        <f>_xll.qlCalendarAdvance(Calendar,X1398,W1399,"f",FALSE)</f>
        <v>48626</v>
      </c>
      <c r="Y1399" s="237">
        <f>_xll.qlCalendarAdvance(Calendar,X1399,NDays&amp;"D")</f>
        <v>48626</v>
      </c>
      <c r="Z1399" s="238">
        <v>3.7724655047889355E-2</v>
      </c>
      <c r="AA1399" s="240">
        <v>3.7355150466448217E-2</v>
      </c>
    </row>
    <row r="1400" spans="19:27" x14ac:dyDescent="0.2">
      <c r="S1400" s="199"/>
      <c r="T1400" s="200"/>
      <c r="W1400" s="233" t="str">
        <f t="shared" si="28"/>
        <v>1w</v>
      </c>
      <c r="X1400" s="234">
        <f>_xll.qlCalendarAdvance(Calendar,X1399,W1400,"f",FALSE)</f>
        <v>48633</v>
      </c>
      <c r="Y1400" s="237">
        <f>_xll.qlCalendarAdvance(Calendar,X1400,NDays&amp;"D")</f>
        <v>48633</v>
      </c>
      <c r="Z1400" s="238">
        <v>3.771111499197688E-2</v>
      </c>
      <c r="AA1400" s="240">
        <v>3.7343828865589179E-2</v>
      </c>
    </row>
    <row r="1401" spans="19:27" x14ac:dyDescent="0.2">
      <c r="S1401" s="199"/>
      <c r="T1401" s="200"/>
      <c r="W1401" s="233" t="str">
        <f t="shared" si="28"/>
        <v>1w</v>
      </c>
      <c r="X1401" s="234">
        <f>_xll.qlCalendarAdvance(Calendar,X1400,W1401,"f",FALSE)</f>
        <v>48640</v>
      </c>
      <c r="Y1401" s="237">
        <f>_xll.qlCalendarAdvance(Calendar,X1401,NDays&amp;"D")</f>
        <v>48640</v>
      </c>
      <c r="Z1401" s="238">
        <v>3.7697503609254612E-2</v>
      </c>
      <c r="AA1401" s="240">
        <v>3.7332445257355351E-2</v>
      </c>
    </row>
    <row r="1402" spans="19:27" x14ac:dyDescent="0.2">
      <c r="S1402" s="199"/>
      <c r="T1402" s="200"/>
      <c r="W1402" s="233" t="str">
        <f t="shared" si="28"/>
        <v>1w</v>
      </c>
      <c r="X1402" s="234">
        <f>_xll.qlCalendarAdvance(Calendar,X1401,W1402,"f",FALSE)</f>
        <v>48647</v>
      </c>
      <c r="Y1402" s="237">
        <f>_xll.qlCalendarAdvance(Calendar,X1402,NDays&amp;"D")</f>
        <v>48647</v>
      </c>
      <c r="Z1402" s="238">
        <v>3.768382069443188E-2</v>
      </c>
      <c r="AA1402" s="240">
        <v>3.7320999641665686E-2</v>
      </c>
    </row>
    <row r="1403" spans="19:27" x14ac:dyDescent="0.2">
      <c r="S1403" s="199"/>
      <c r="T1403" s="200"/>
      <c r="W1403" s="233" t="str">
        <f t="shared" si="28"/>
        <v>1w</v>
      </c>
      <c r="X1403" s="234">
        <f>_xll.qlCalendarAdvance(Calendar,X1402,W1403,"f",FALSE)</f>
        <v>48654</v>
      </c>
      <c r="Y1403" s="237">
        <f>_xll.qlCalendarAdvance(Calendar,X1403,NDays&amp;"D")</f>
        <v>48654</v>
      </c>
      <c r="Z1403" s="238">
        <v>3.7670066042242878E-2</v>
      </c>
      <c r="AA1403" s="240">
        <v>3.7309492018601231E-2</v>
      </c>
    </row>
    <row r="1404" spans="19:27" x14ac:dyDescent="0.2">
      <c r="S1404" s="199"/>
      <c r="T1404" s="200"/>
      <c r="W1404" s="233" t="str">
        <f t="shared" si="28"/>
        <v>1w</v>
      </c>
      <c r="X1404" s="234">
        <f>_xll.qlCalendarAdvance(Calendar,X1403,W1404,"f",FALSE)</f>
        <v>48661</v>
      </c>
      <c r="Y1404" s="237">
        <f>_xll.qlCalendarAdvance(Calendar,X1404,NDays&amp;"D")</f>
        <v>48661</v>
      </c>
      <c r="Z1404" s="238">
        <v>3.7656239447448669E-2</v>
      </c>
      <c r="AA1404" s="240">
        <v>3.7297922388161986E-2</v>
      </c>
    </row>
    <row r="1405" spans="19:27" x14ac:dyDescent="0.2">
      <c r="S1405" s="199"/>
      <c r="T1405" s="200"/>
      <c r="W1405" s="233" t="str">
        <f t="shared" si="28"/>
        <v>1w</v>
      </c>
      <c r="X1405" s="234">
        <f>_xll.qlCalendarAdvance(Calendar,X1404,W1405,"f",FALSE)</f>
        <v>48668</v>
      </c>
      <c r="Y1405" s="237">
        <f>_xll.qlCalendarAdvance(Calendar,X1405,NDays&amp;"D")</f>
        <v>48668</v>
      </c>
      <c r="Z1405" s="238">
        <v>3.7642340704835631E-2</v>
      </c>
      <c r="AA1405" s="240">
        <v>3.7286290750428996E-2</v>
      </c>
    </row>
    <row r="1406" spans="19:27" x14ac:dyDescent="0.2">
      <c r="S1406" s="199"/>
      <c r="T1406" s="200"/>
      <c r="W1406" s="233" t="str">
        <f t="shared" si="28"/>
        <v>1w</v>
      </c>
      <c r="X1406" s="234">
        <f>_xll.qlCalendarAdvance(Calendar,X1405,W1406,"f",FALSE)</f>
        <v>48675</v>
      </c>
      <c r="Y1406" s="237">
        <f>_xll.qlCalendarAdvance(Calendar,X1406,NDays&amp;"D")</f>
        <v>48675</v>
      </c>
      <c r="Z1406" s="238">
        <v>3.7628369609216783E-2</v>
      </c>
      <c r="AA1406" s="240">
        <v>3.7274597105159124E-2</v>
      </c>
    </row>
    <row r="1407" spans="19:27" x14ac:dyDescent="0.2">
      <c r="S1407" s="199"/>
      <c r="T1407" s="200"/>
      <c r="W1407" s="233" t="str">
        <f t="shared" si="28"/>
        <v>1w</v>
      </c>
      <c r="X1407" s="234">
        <f>_xll.qlCalendarAdvance(Calendar,X1406,W1407,"f",FALSE)</f>
        <v>48682</v>
      </c>
      <c r="Y1407" s="237">
        <f>_xll.qlCalendarAdvance(Calendar,X1407,NDays&amp;"D")</f>
        <v>48682</v>
      </c>
      <c r="Z1407" s="238">
        <v>3.7614325955431127E-2</v>
      </c>
      <c r="AA1407" s="240">
        <v>3.72628414527576E-2</v>
      </c>
    </row>
    <row r="1408" spans="19:27" x14ac:dyDescent="0.2">
      <c r="S1408" s="199"/>
      <c r="T1408" s="200"/>
      <c r="W1408" s="233" t="str">
        <f t="shared" si="28"/>
        <v>1w</v>
      </c>
      <c r="X1408" s="234">
        <f>_xll.qlCalendarAdvance(Calendar,X1407,W1408,"f",FALSE)</f>
        <v>48689</v>
      </c>
      <c r="Y1408" s="237">
        <f>_xll.qlCalendarAdvance(Calendar,X1408,NDays&amp;"D")</f>
        <v>48689</v>
      </c>
      <c r="Z1408" s="238">
        <v>3.7600209538344309E-2</v>
      </c>
      <c r="AA1408" s="240">
        <v>3.7251023792738147E-2</v>
      </c>
    </row>
    <row r="1409" spans="19:27" x14ac:dyDescent="0.2">
      <c r="S1409" s="199"/>
      <c r="T1409" s="200"/>
      <c r="W1409" s="233" t="str">
        <f t="shared" si="28"/>
        <v>1w</v>
      </c>
      <c r="X1409" s="234">
        <f>_xll.qlCalendarAdvance(Calendar,X1408,W1409,"f",FALSE)</f>
        <v>48696</v>
      </c>
      <c r="Y1409" s="237">
        <f>_xll.qlCalendarAdvance(Calendar,X1409,NDays&amp;"D")</f>
        <v>48696</v>
      </c>
      <c r="Z1409" s="238">
        <v>3.7586020152847732E-2</v>
      </c>
      <c r="AA1409" s="240">
        <v>3.723914412542495E-2</v>
      </c>
    </row>
    <row r="1410" spans="19:27" x14ac:dyDescent="0.2">
      <c r="S1410" s="199"/>
      <c r="T1410" s="200"/>
      <c r="W1410" s="233" t="str">
        <f t="shared" si="28"/>
        <v>1w</v>
      </c>
      <c r="X1410" s="234">
        <f>_xll.qlCalendarAdvance(Calendar,X1409,W1410,"f",FALSE)</f>
        <v>48703</v>
      </c>
      <c r="Y1410" s="237">
        <f>_xll.qlCalendarAdvance(Calendar,X1410,NDays&amp;"D")</f>
        <v>48703</v>
      </c>
      <c r="Z1410" s="238">
        <v>3.7571757593861443E-2</v>
      </c>
      <c r="AA1410" s="240">
        <v>3.7227202450899055E-2</v>
      </c>
    </row>
    <row r="1411" spans="19:27" x14ac:dyDescent="0.2">
      <c r="S1411" s="199"/>
      <c r="T1411" s="200"/>
      <c r="W1411" s="233" t="str">
        <f t="shared" si="28"/>
        <v>1w</v>
      </c>
      <c r="X1411" s="234">
        <f>_xll.qlCalendarAdvance(Calendar,X1410,W1411,"f",FALSE)</f>
        <v>48710</v>
      </c>
      <c r="Y1411" s="237">
        <f>_xll.qlCalendarAdvance(Calendar,X1411,NDays&amp;"D")</f>
        <v>48710</v>
      </c>
      <c r="Z1411" s="238">
        <v>3.7557421656330581E-2</v>
      </c>
      <c r="AA1411" s="240">
        <v>3.7215198768836277E-2</v>
      </c>
    </row>
    <row r="1412" spans="19:27" x14ac:dyDescent="0.2">
      <c r="S1412" s="199"/>
      <c r="T1412" s="200"/>
      <c r="W1412" s="233" t="str">
        <f t="shared" si="28"/>
        <v>1w</v>
      </c>
      <c r="X1412" s="234">
        <f>_xll.qlCalendarAdvance(Calendar,X1411,W1412,"f",FALSE)</f>
        <v>48717</v>
      </c>
      <c r="Y1412" s="237">
        <f>_xll.qlCalendarAdvance(Calendar,X1412,NDays&amp;"D")</f>
        <v>48717</v>
      </c>
      <c r="Z1412" s="238">
        <v>3.7543012135227816E-2</v>
      </c>
      <c r="AA1412" s="240">
        <v>3.7203133079560802E-2</v>
      </c>
    </row>
    <row r="1413" spans="19:27" x14ac:dyDescent="0.2">
      <c r="S1413" s="199"/>
      <c r="T1413" s="200"/>
      <c r="W1413" s="233" t="str">
        <f t="shared" si="28"/>
        <v>1w</v>
      </c>
      <c r="X1413" s="234">
        <f>_xll.qlCalendarAdvance(Calendar,X1412,W1413,"f",FALSE)</f>
        <v>48724</v>
      </c>
      <c r="Y1413" s="237">
        <f>_xll.qlCalendarAdvance(Calendar,X1413,NDays&amp;"D")</f>
        <v>48724</v>
      </c>
      <c r="Z1413" s="238">
        <v>3.7528528825554019E-2</v>
      </c>
      <c r="AA1413" s="240">
        <v>3.7191005382910536E-2</v>
      </c>
    </row>
    <row r="1414" spans="19:27" x14ac:dyDescent="0.2">
      <c r="S1414" s="199"/>
      <c r="T1414" s="200"/>
      <c r="W1414" s="233" t="str">
        <f t="shared" si="28"/>
        <v>1w</v>
      </c>
      <c r="X1414" s="234">
        <f>_xll.qlCalendarAdvance(Calendar,X1413,W1414,"f",FALSE)</f>
        <v>48731</v>
      </c>
      <c r="Y1414" s="237">
        <f>_xll.qlCalendarAdvance(Calendar,X1414,NDays&amp;"D")</f>
        <v>48731</v>
      </c>
      <c r="Z1414" s="238">
        <v>3.7513971522335821E-2</v>
      </c>
      <c r="AA1414" s="240">
        <v>3.7178815678966526E-2</v>
      </c>
    </row>
    <row r="1415" spans="19:27" x14ac:dyDescent="0.2">
      <c r="S1415" s="199"/>
      <c r="T1415" s="200"/>
      <c r="W1415" s="233" t="str">
        <f t="shared" si="28"/>
        <v>1w</v>
      </c>
      <c r="X1415" s="234">
        <f>_xll.qlCalendarAdvance(Calendar,X1414,W1415,"f",FALSE)</f>
        <v>48738</v>
      </c>
      <c r="Y1415" s="237">
        <f>_xll.qlCalendarAdvance(Calendar,X1415,NDays&amp;"D")</f>
        <v>48738</v>
      </c>
      <c r="Z1415" s="238">
        <v>3.7499340020628047E-2</v>
      </c>
      <c r="AA1415" s="240">
        <v>3.7166563967728772E-2</v>
      </c>
    </row>
    <row r="1416" spans="19:27" x14ac:dyDescent="0.2">
      <c r="S1416" s="199"/>
      <c r="T1416" s="200"/>
      <c r="W1416" s="233" t="str">
        <f t="shared" si="28"/>
        <v>1w</v>
      </c>
      <c r="X1416" s="234">
        <f>_xll.qlCalendarAdvance(Calendar,X1415,W1416,"f",FALSE)</f>
        <v>48745</v>
      </c>
      <c r="Y1416" s="237">
        <f>_xll.qlCalendarAdvance(Calendar,X1416,NDays&amp;"D")</f>
        <v>48745</v>
      </c>
      <c r="Z1416" s="238">
        <v>3.7484634115513504E-2</v>
      </c>
      <c r="AA1416" s="240">
        <v>3.7154250249197274E-2</v>
      </c>
    </row>
    <row r="1417" spans="19:27" x14ac:dyDescent="0.2">
      <c r="S1417" s="199"/>
      <c r="T1417" s="200"/>
      <c r="W1417" s="233" t="str">
        <f t="shared" si="28"/>
        <v>1w</v>
      </c>
      <c r="X1417" s="234">
        <f>_xll.qlCalendarAdvance(Calendar,X1416,W1417,"f",FALSE)</f>
        <v>48752</v>
      </c>
      <c r="Y1417" s="237">
        <f>_xll.qlCalendarAdvance(Calendar,X1417,NDays&amp;"D")</f>
        <v>48752</v>
      </c>
      <c r="Z1417" s="238">
        <v>3.7469853602102532E-2</v>
      </c>
      <c r="AA1417" s="240">
        <v>3.7141874523290985E-2</v>
      </c>
    </row>
    <row r="1418" spans="19:27" x14ac:dyDescent="0.2">
      <c r="S1418" s="199"/>
      <c r="T1418" s="200"/>
      <c r="W1418" s="233" t="str">
        <f t="shared" si="28"/>
        <v>1w</v>
      </c>
      <c r="X1418" s="234">
        <f>_xll.qlCalendarAdvance(Calendar,X1417,W1418,"f",FALSE)</f>
        <v>48759</v>
      </c>
      <c r="Y1418" s="237">
        <f>_xll.qlCalendarAdvance(Calendar,X1418,NDays&amp;"D")</f>
        <v>48759</v>
      </c>
      <c r="Z1418" s="238">
        <v>3.7454998286267527E-2</v>
      </c>
      <c r="AA1418" s="240">
        <v>3.7129436114083925E-2</v>
      </c>
    </row>
    <row r="1419" spans="19:27" x14ac:dyDescent="0.2">
      <c r="S1419" s="199"/>
      <c r="T1419" s="200"/>
      <c r="W1419" s="233" t="str">
        <f t="shared" si="28"/>
        <v>1w</v>
      </c>
      <c r="X1419" s="234">
        <f>_xll.qlCalendarAdvance(Calendar,X1418,W1419,"f",FALSE)</f>
        <v>48766</v>
      </c>
      <c r="Y1419" s="237">
        <f>_xll.qlCalendarAdvance(Calendar,X1419,NDays&amp;"D")</f>
        <v>48766</v>
      </c>
      <c r="Z1419" s="238">
        <v>3.7440068909185165E-2</v>
      </c>
      <c r="AA1419" s="240">
        <v>3.711692740946626E-2</v>
      </c>
    </row>
    <row r="1420" spans="19:27" x14ac:dyDescent="0.2">
      <c r="S1420" s="199"/>
      <c r="T1420" s="200"/>
      <c r="W1420" s="233" t="str">
        <f t="shared" si="28"/>
        <v>1w</v>
      </c>
      <c r="X1420" s="234">
        <f>_xll.qlCalendarAdvance(Calendar,X1419,W1420,"f",FALSE)</f>
        <v>48773</v>
      </c>
      <c r="Y1420" s="237">
        <f>_xll.qlCalendarAdvance(Calendar,X1420,NDays&amp;"D")</f>
        <v>48773</v>
      </c>
      <c r="Z1420" s="238">
        <v>3.7425067859782502E-2</v>
      </c>
      <c r="AA1420" s="240">
        <v>3.7104346239585917E-2</v>
      </c>
    </row>
    <row r="1421" spans="19:27" x14ac:dyDescent="0.2">
      <c r="S1421" s="199"/>
      <c r="T1421" s="200"/>
      <c r="W1421" s="233" t="str">
        <f t="shared" si="28"/>
        <v>1w</v>
      </c>
      <c r="X1421" s="234">
        <f>_xll.qlCalendarAdvance(Calendar,X1420,W1421,"f",FALSE)</f>
        <v>48780</v>
      </c>
      <c r="Y1421" s="237">
        <f>_xll.qlCalendarAdvance(Calendar,X1421,NDays&amp;"D")</f>
        <v>48780</v>
      </c>
      <c r="Z1421" s="238">
        <v>3.7409997694590968E-2</v>
      </c>
      <c r="AA1421" s="240">
        <v>3.7091692604442894E-2</v>
      </c>
    </row>
    <row r="1422" spans="19:27" x14ac:dyDescent="0.2">
      <c r="S1422" s="199"/>
      <c r="T1422" s="200"/>
      <c r="W1422" s="233" t="str">
        <f t="shared" si="28"/>
        <v>1w</v>
      </c>
      <c r="X1422" s="234">
        <f>_xll.qlCalendarAdvance(Calendar,X1421,W1422,"f",FALSE)</f>
        <v>48787</v>
      </c>
      <c r="Y1422" s="237">
        <f>_xll.qlCalendarAdvance(Calendar,X1422,NDays&amp;"D")</f>
        <v>48787</v>
      </c>
      <c r="Z1422" s="238">
        <v>3.7394860970008548E-2</v>
      </c>
      <c r="AA1422" s="240">
        <v>3.7078966503875099E-2</v>
      </c>
    </row>
    <row r="1423" spans="19:27" x14ac:dyDescent="0.2">
      <c r="S1423" s="199"/>
      <c r="T1423" s="200"/>
      <c r="W1423" s="233" t="str">
        <f t="shared" si="28"/>
        <v>1w</v>
      </c>
      <c r="X1423" s="234">
        <f>_xll.qlCalendarAdvance(Calendar,X1422,W1423,"f",FALSE)</f>
        <v>48794</v>
      </c>
      <c r="Y1423" s="237">
        <f>_xll.qlCalendarAdvance(Calendar,X1423,NDays&amp;"D")</f>
        <v>48794</v>
      </c>
      <c r="Z1423" s="238">
        <v>3.7379660242297108E-2</v>
      </c>
      <c r="AA1423" s="240">
        <v>3.7066167937963579E-2</v>
      </c>
    </row>
    <row r="1424" spans="19:27" x14ac:dyDescent="0.2">
      <c r="S1424" s="199"/>
      <c r="T1424" s="200"/>
      <c r="W1424" s="233" t="str">
        <f t="shared" si="28"/>
        <v>1w</v>
      </c>
      <c r="X1424" s="234">
        <f>_xll.qlCalendarAdvance(Calendar,X1423,W1424,"f",FALSE)</f>
        <v>48801</v>
      </c>
      <c r="Y1424" s="237">
        <f>_xll.qlCalendarAdvance(Calendar,X1424,NDays&amp;"D")</f>
        <v>48801</v>
      </c>
      <c r="Z1424" s="238">
        <v>3.7364398067580851E-2</v>
      </c>
      <c r="AA1424" s="240">
        <v>3.7053296906708333E-2</v>
      </c>
    </row>
    <row r="1425" spans="19:27" x14ac:dyDescent="0.2">
      <c r="S1425" s="199"/>
      <c r="T1425" s="200"/>
      <c r="W1425" s="233" t="str">
        <f t="shared" si="28"/>
        <v>1w</v>
      </c>
      <c r="X1425" s="234">
        <f>_xll.qlCalendarAdvance(Calendar,X1424,W1425,"f",FALSE)</f>
        <v>48808</v>
      </c>
      <c r="Y1425" s="237">
        <f>_xll.qlCalendarAdvance(Calendar,X1425,NDays&amp;"D")</f>
        <v>48808</v>
      </c>
      <c r="Z1425" s="238">
        <v>3.7349077001845199E-2</v>
      </c>
      <c r="AA1425" s="240">
        <v>3.7040353410271454E-2</v>
      </c>
    </row>
    <row r="1426" spans="19:27" x14ac:dyDescent="0.2">
      <c r="S1426" s="199"/>
      <c r="T1426" s="200"/>
      <c r="W1426" s="233" t="str">
        <f t="shared" si="28"/>
        <v>1w</v>
      </c>
      <c r="X1426" s="234">
        <f>_xll.qlCalendarAdvance(Calendar,X1425,W1426,"f",FALSE)</f>
        <v>48815</v>
      </c>
      <c r="Y1426" s="237">
        <f>_xll.qlCalendarAdvance(Calendar,X1426,NDays&amp;"D")</f>
        <v>48815</v>
      </c>
      <c r="Z1426" s="238">
        <v>3.73336996009348E-2</v>
      </c>
      <c r="AA1426" s="240">
        <v>3.7027337448409803E-2</v>
      </c>
    </row>
    <row r="1427" spans="19:27" x14ac:dyDescent="0.2">
      <c r="S1427" s="199"/>
      <c r="T1427" s="200"/>
      <c r="W1427" s="233" t="str">
        <f t="shared" si="28"/>
        <v>1w</v>
      </c>
      <c r="X1427" s="234">
        <f>_xll.qlCalendarAdvance(Calendar,X1426,W1427,"f",FALSE)</f>
        <v>48822</v>
      </c>
      <c r="Y1427" s="237">
        <f>_xll.qlCalendarAdvance(Calendar,X1427,NDays&amp;"D")</f>
        <v>48822</v>
      </c>
      <c r="Z1427" s="238">
        <v>3.7318268420552414E-2</v>
      </c>
      <c r="AA1427" s="240">
        <v>3.7014249021366519E-2</v>
      </c>
    </row>
    <row r="1428" spans="19:27" x14ac:dyDescent="0.2">
      <c r="S1428" s="199"/>
      <c r="T1428" s="200"/>
      <c r="W1428" s="233" t="str">
        <f t="shared" si="28"/>
        <v>1w</v>
      </c>
      <c r="X1428" s="234">
        <f>_xll.qlCalendarAdvance(Calendar,X1427,W1428,"f",FALSE)</f>
        <v>48829</v>
      </c>
      <c r="Y1428" s="237">
        <f>_xll.qlCalendarAdvance(Calendar,X1428,NDays&amp;"D")</f>
        <v>48829</v>
      </c>
      <c r="Z1428" s="238">
        <v>3.7302786016257361E-2</v>
      </c>
      <c r="AA1428" s="240">
        <v>3.7001088128898463E-2</v>
      </c>
    </row>
    <row r="1429" spans="19:27" x14ac:dyDescent="0.2">
      <c r="S1429" s="199"/>
      <c r="T1429" s="200"/>
      <c r="W1429" s="233" t="str">
        <f t="shared" ref="W1429:W1492" si="29">W1428</f>
        <v>1w</v>
      </c>
      <c r="X1429" s="234">
        <f>_xll.qlCalendarAdvance(Calendar,X1428,W1429,"f",FALSE)</f>
        <v>48836</v>
      </c>
      <c r="Y1429" s="237">
        <f>_xll.qlCalendarAdvance(Calendar,X1429,NDays&amp;"D")</f>
        <v>48836</v>
      </c>
      <c r="Z1429" s="238">
        <v>3.7287254943465076E-2</v>
      </c>
      <c r="AA1429" s="240">
        <v>3.6987854771248774E-2</v>
      </c>
    </row>
    <row r="1430" spans="19:27" x14ac:dyDescent="0.2">
      <c r="S1430" s="199"/>
      <c r="T1430" s="200"/>
      <c r="W1430" s="233" t="str">
        <f t="shared" si="29"/>
        <v>1w</v>
      </c>
      <c r="X1430" s="234">
        <f>_xll.qlCalendarAdvance(Calendar,X1429,W1430,"f",FALSE)</f>
        <v>48843</v>
      </c>
      <c r="Y1430" s="237">
        <f>_xll.qlCalendarAdvance(Calendar,X1430,NDays&amp;"D")</f>
        <v>48843</v>
      </c>
      <c r="Z1430" s="238">
        <v>3.7271677757444444E-2</v>
      </c>
      <c r="AA1430" s="240">
        <v>3.6974548948255359E-2</v>
      </c>
    </row>
    <row r="1431" spans="19:27" x14ac:dyDescent="0.2">
      <c r="S1431" s="199"/>
      <c r="T1431" s="200"/>
      <c r="W1431" s="233" t="str">
        <f t="shared" si="29"/>
        <v>1w</v>
      </c>
      <c r="X1431" s="234">
        <f>_xll.qlCalendarAdvance(Calendar,X1430,W1431,"f",FALSE)</f>
        <v>48850</v>
      </c>
      <c r="Y1431" s="237">
        <f>_xll.qlCalendarAdvance(Calendar,X1431,NDays&amp;"D")</f>
        <v>48850</v>
      </c>
      <c r="Z1431" s="238">
        <v>3.7256057013317578E-2</v>
      </c>
      <c r="AA1431" s="240">
        <v>3.6961170660080311E-2</v>
      </c>
    </row>
    <row r="1432" spans="19:27" x14ac:dyDescent="0.2">
      <c r="S1432" s="199"/>
      <c r="T1432" s="200"/>
      <c r="W1432" s="233" t="str">
        <f t="shared" si="29"/>
        <v>1w</v>
      </c>
      <c r="X1432" s="234">
        <f>_xll.qlCalendarAdvance(Calendar,X1431,W1432,"f",FALSE)</f>
        <v>48857</v>
      </c>
      <c r="Y1432" s="237">
        <f>_xll.qlCalendarAdvance(Calendar,X1432,NDays&amp;"D")</f>
        <v>48857</v>
      </c>
      <c r="Z1432" s="238">
        <v>3.7240395266058712E-2</v>
      </c>
      <c r="AA1432" s="240">
        <v>3.6947719906723631E-2</v>
      </c>
    </row>
    <row r="1433" spans="19:27" x14ac:dyDescent="0.2">
      <c r="S1433" s="199"/>
      <c r="T1433" s="200"/>
      <c r="W1433" s="233" t="str">
        <f t="shared" si="29"/>
        <v>1w</v>
      </c>
      <c r="X1433" s="234">
        <f>_xll.qlCalendarAdvance(Calendar,X1432,W1433,"f",FALSE)</f>
        <v>48864</v>
      </c>
      <c r="Y1433" s="237">
        <f>_xll.qlCalendarAdvance(Calendar,X1433,NDays&amp;"D")</f>
        <v>48864</v>
      </c>
      <c r="Z1433" s="238">
        <v>3.7224695070492642E-2</v>
      </c>
      <c r="AA1433" s="240">
        <v>3.6934196687942178E-2</v>
      </c>
    </row>
    <row r="1434" spans="19:27" x14ac:dyDescent="0.2">
      <c r="S1434" s="199"/>
      <c r="T1434" s="200"/>
      <c r="W1434" s="233" t="str">
        <f t="shared" si="29"/>
        <v>1w</v>
      </c>
      <c r="X1434" s="234">
        <f>_xll.qlCalendarAdvance(Calendar,X1433,W1434,"f",FALSE)</f>
        <v>48871</v>
      </c>
      <c r="Y1434" s="237">
        <f>_xll.qlCalendarAdvance(Calendar,X1434,NDays&amp;"D")</f>
        <v>48871</v>
      </c>
      <c r="Z1434" s="238">
        <v>3.7208958981294282E-2</v>
      </c>
      <c r="AA1434" s="240">
        <v>3.6920601004060138E-2</v>
      </c>
    </row>
    <row r="1435" spans="19:27" x14ac:dyDescent="0.2">
      <c r="S1435" s="199"/>
      <c r="T1435" s="200"/>
      <c r="W1435" s="233" t="str">
        <f t="shared" si="29"/>
        <v>1w</v>
      </c>
      <c r="X1435" s="234">
        <f>_xll.qlCalendarAdvance(Calendar,X1434,W1435,"f",FALSE)</f>
        <v>48878</v>
      </c>
      <c r="Y1435" s="237">
        <f>_xll.qlCalendarAdvance(Calendar,X1435,NDays&amp;"D")</f>
        <v>48878</v>
      </c>
      <c r="Z1435" s="238">
        <v>3.7193189552987116E-2</v>
      </c>
      <c r="AA1435" s="240">
        <v>3.6906932854834373E-2</v>
      </c>
    </row>
    <row r="1436" spans="19:27" x14ac:dyDescent="0.2">
      <c r="S1436" s="199"/>
      <c r="T1436" s="200"/>
      <c r="W1436" s="233" t="str">
        <f t="shared" si="29"/>
        <v>1w</v>
      </c>
      <c r="X1436" s="234">
        <f>_xll.qlCalendarAdvance(Calendar,X1435,W1436,"f",FALSE)</f>
        <v>48885</v>
      </c>
      <c r="Y1436" s="237">
        <f>_xll.qlCalendarAdvance(Calendar,X1436,NDays&amp;"D")</f>
        <v>48885</v>
      </c>
      <c r="Z1436" s="238">
        <v>3.7177389339943634E-2</v>
      </c>
      <c r="AA1436" s="240">
        <v>3.6893192240508021E-2</v>
      </c>
    </row>
    <row r="1437" spans="19:27" x14ac:dyDescent="0.2">
      <c r="S1437" s="199"/>
      <c r="T1437" s="200"/>
      <c r="W1437" s="233" t="str">
        <f t="shared" si="29"/>
        <v>1w</v>
      </c>
      <c r="X1437" s="234">
        <f>_xll.qlCalendarAdvance(Calendar,X1436,W1437,"f",FALSE)</f>
        <v>48892</v>
      </c>
      <c r="Y1437" s="237">
        <f>_xll.qlCalendarAdvance(Calendar,X1437,NDays&amp;"D")</f>
        <v>48892</v>
      </c>
      <c r="Z1437" s="238">
        <v>3.7161560896383117E-2</v>
      </c>
      <c r="AA1437" s="240">
        <v>3.687937916091899E-2</v>
      </c>
    </row>
    <row r="1438" spans="19:27" x14ac:dyDescent="0.2">
      <c r="S1438" s="199"/>
      <c r="T1438" s="200"/>
      <c r="W1438" s="233" t="str">
        <f t="shared" si="29"/>
        <v>1w</v>
      </c>
      <c r="X1438" s="234">
        <f>_xll.qlCalendarAdvance(Calendar,X1437,W1438,"f",FALSE)</f>
        <v>48899</v>
      </c>
      <c r="Y1438" s="237">
        <f>_xll.qlCalendarAdvance(Calendar,X1438,NDays&amp;"D")</f>
        <v>48899</v>
      </c>
      <c r="Z1438" s="238">
        <v>3.7145706776370968E-2</v>
      </c>
      <c r="AA1438" s="240">
        <v>3.686549361606728E-2</v>
      </c>
    </row>
    <row r="1439" spans="19:27" x14ac:dyDescent="0.2">
      <c r="S1439" s="199"/>
      <c r="T1439" s="200"/>
      <c r="W1439" s="233" t="str">
        <f t="shared" si="29"/>
        <v>1w</v>
      </c>
      <c r="X1439" s="234">
        <f>_xll.qlCalendarAdvance(Calendar,X1438,W1439,"f",FALSE)</f>
        <v>48906</v>
      </c>
      <c r="Y1439" s="237">
        <f>_xll.qlCalendarAdvance(Calendar,X1439,NDays&amp;"D")</f>
        <v>48906</v>
      </c>
      <c r="Z1439" s="238">
        <v>3.7129829533819381E-2</v>
      </c>
      <c r="AA1439" s="240">
        <v>3.6851535606033936E-2</v>
      </c>
    </row>
    <row r="1440" spans="19:27" x14ac:dyDescent="0.2">
      <c r="S1440" s="199"/>
      <c r="T1440" s="200"/>
      <c r="W1440" s="233" t="str">
        <f t="shared" si="29"/>
        <v>1w</v>
      </c>
      <c r="X1440" s="234">
        <f>_xll.qlCalendarAdvance(Calendar,X1439,W1440,"f",FALSE)</f>
        <v>48913</v>
      </c>
      <c r="Y1440" s="237">
        <f>_xll.qlCalendarAdvance(Calendar,X1440,NDays&amp;"D")</f>
        <v>48913</v>
      </c>
      <c r="Z1440" s="238">
        <v>3.7113931722485782E-2</v>
      </c>
      <c r="AA1440" s="240">
        <v>3.6837505130900006E-2</v>
      </c>
    </row>
    <row r="1441" spans="19:27" x14ac:dyDescent="0.2">
      <c r="S1441" s="199"/>
      <c r="T1441" s="200"/>
      <c r="W1441" s="233" t="str">
        <f t="shared" si="29"/>
        <v>1w</v>
      </c>
      <c r="X1441" s="234">
        <f>_xll.qlCalendarAdvance(Calendar,X1440,W1441,"f",FALSE)</f>
        <v>48920</v>
      </c>
      <c r="Y1441" s="237">
        <f>_xll.qlCalendarAdvance(Calendar,X1441,NDays&amp;"D")</f>
        <v>48920</v>
      </c>
      <c r="Z1441" s="238">
        <v>3.7098015895971281E-2</v>
      </c>
      <c r="AA1441" s="240">
        <v>3.6823402190584442E-2</v>
      </c>
    </row>
    <row r="1442" spans="19:27" x14ac:dyDescent="0.2">
      <c r="S1442" s="199"/>
      <c r="T1442" s="200"/>
      <c r="W1442" s="233" t="str">
        <f t="shared" si="29"/>
        <v>1w</v>
      </c>
      <c r="X1442" s="234">
        <f>_xll.qlCalendarAdvance(Calendar,X1441,W1442,"f",FALSE)</f>
        <v>48927</v>
      </c>
      <c r="Y1442" s="237">
        <f>_xll.qlCalendarAdvance(Calendar,X1442,NDays&amp;"D")</f>
        <v>48927</v>
      </c>
      <c r="Z1442" s="238">
        <v>3.7082084607723331E-2</v>
      </c>
      <c r="AA1442" s="240">
        <v>3.6809226785006199E-2</v>
      </c>
    </row>
    <row r="1443" spans="19:27" x14ac:dyDescent="0.2">
      <c r="S1443" s="199"/>
      <c r="T1443" s="200"/>
      <c r="W1443" s="233" t="str">
        <f t="shared" si="29"/>
        <v>1w</v>
      </c>
      <c r="X1443" s="234">
        <f>_xll.qlCalendarAdvance(Calendar,X1442,W1443,"f",FALSE)</f>
        <v>48934</v>
      </c>
      <c r="Y1443" s="237">
        <f>_xll.qlCalendarAdvance(Calendar,X1443,NDays&amp;"D")</f>
        <v>48934</v>
      </c>
      <c r="Z1443" s="238">
        <v>3.7066140411031734E-2</v>
      </c>
      <c r="AA1443" s="240">
        <v>3.6794978914408416E-2</v>
      </c>
    </row>
    <row r="1444" spans="19:27" x14ac:dyDescent="0.2">
      <c r="S1444" s="199"/>
      <c r="T1444" s="200"/>
      <c r="W1444" s="233" t="str">
        <f t="shared" si="29"/>
        <v>1w</v>
      </c>
      <c r="X1444" s="234">
        <f>_xll.qlCalendarAdvance(Calendar,X1443,W1444,"f",FALSE)</f>
        <v>48941</v>
      </c>
      <c r="Y1444" s="237">
        <f>_xll.qlCalendarAdvance(Calendar,X1444,NDays&amp;"D")</f>
        <v>48941</v>
      </c>
      <c r="Z1444" s="238">
        <v>3.7050185859030194E-2</v>
      </c>
      <c r="AA1444" s="240">
        <v>3.6780658578547953E-2</v>
      </c>
    </row>
    <row r="1445" spans="19:27" x14ac:dyDescent="0.2">
      <c r="S1445" s="199"/>
      <c r="T1445" s="200"/>
      <c r="W1445" s="233" t="str">
        <f t="shared" si="29"/>
        <v>1w</v>
      </c>
      <c r="X1445" s="234">
        <f>_xll.qlCalendarAdvance(Calendar,X1444,W1445,"f",FALSE)</f>
        <v>48948</v>
      </c>
      <c r="Y1445" s="237">
        <f>_xll.qlCalendarAdvance(Calendar,X1445,NDays&amp;"D")</f>
        <v>48948</v>
      </c>
      <c r="Z1445" s="238">
        <v>3.7034223504696318E-2</v>
      </c>
      <c r="AA1445" s="240">
        <v>3.6766265777505858E-2</v>
      </c>
    </row>
    <row r="1446" spans="19:27" x14ac:dyDescent="0.2">
      <c r="S1446" s="199"/>
      <c r="T1446" s="200"/>
      <c r="W1446" s="233" t="str">
        <f t="shared" si="29"/>
        <v>1w</v>
      </c>
      <c r="X1446" s="234">
        <f>_xll.qlCalendarAdvance(Calendar,X1445,W1446,"f",FALSE)</f>
        <v>48955</v>
      </c>
      <c r="Y1446" s="237">
        <f>_xll.qlCalendarAdvance(Calendar,X1446,NDays&amp;"D")</f>
        <v>48955</v>
      </c>
      <c r="Z1446" s="238">
        <v>3.7018255900850061E-2</v>
      </c>
      <c r="AA1446" s="240">
        <v>3.6751800511444221E-2</v>
      </c>
    </row>
    <row r="1447" spans="19:27" x14ac:dyDescent="0.2">
      <c r="S1447" s="199"/>
      <c r="T1447" s="200"/>
      <c r="W1447" s="233" t="str">
        <f t="shared" si="29"/>
        <v>1w</v>
      </c>
      <c r="X1447" s="234">
        <f>_xll.qlCalendarAdvance(Calendar,X1446,W1447,"f",FALSE)</f>
        <v>48962</v>
      </c>
      <c r="Y1447" s="237">
        <f>_xll.qlCalendarAdvance(Calendar,X1447,NDays&amp;"D")</f>
        <v>48962</v>
      </c>
      <c r="Z1447" s="238">
        <v>3.700228560015395E-2</v>
      </c>
      <c r="AA1447" s="240">
        <v>3.6737262780119906E-2</v>
      </c>
    </row>
    <row r="1448" spans="19:27" x14ac:dyDescent="0.2">
      <c r="S1448" s="199"/>
      <c r="T1448" s="200"/>
      <c r="W1448" s="233" t="str">
        <f t="shared" si="29"/>
        <v>1w</v>
      </c>
      <c r="X1448" s="234">
        <f>_xll.qlCalendarAdvance(Calendar,X1447,W1448,"f",FALSE)</f>
        <v>48969</v>
      </c>
      <c r="Y1448" s="237">
        <f>_xll.qlCalendarAdvance(Calendar,X1448,NDays&amp;"D")</f>
        <v>48969</v>
      </c>
      <c r="Z1448" s="238">
        <v>3.6986315155115079E-2</v>
      </c>
      <c r="AA1448" s="240">
        <v>3.6722652583695004E-2</v>
      </c>
    </row>
    <row r="1449" spans="19:27" x14ac:dyDescent="0.2">
      <c r="S1449" s="199"/>
      <c r="T1449" s="200"/>
      <c r="W1449" s="233" t="str">
        <f t="shared" si="29"/>
        <v>1w</v>
      </c>
      <c r="X1449" s="234">
        <f>_xll.qlCalendarAdvance(Calendar,X1448,W1449,"f",FALSE)</f>
        <v>48976</v>
      </c>
      <c r="Y1449" s="237">
        <f>_xll.qlCalendarAdvance(Calendar,X1449,NDays&amp;"D")</f>
        <v>48976</v>
      </c>
      <c r="Z1449" s="238">
        <v>3.6970347118081115E-2</v>
      </c>
      <c r="AA1449" s="240">
        <v>3.6707969922169514E-2</v>
      </c>
    </row>
    <row r="1450" spans="19:27" x14ac:dyDescent="0.2">
      <c r="S1450" s="199"/>
      <c r="T1450" s="200"/>
      <c r="W1450" s="233" t="str">
        <f t="shared" si="29"/>
        <v>1w</v>
      </c>
      <c r="X1450" s="234">
        <f>_xll.qlCalendarAdvance(Calendar,X1449,W1450,"f",FALSE)</f>
        <v>48983</v>
      </c>
      <c r="Y1450" s="237">
        <f>_xll.qlCalendarAdvance(Calendar,X1450,NDays&amp;"D")</f>
        <v>48983</v>
      </c>
      <c r="Z1450" s="238">
        <v>3.6954384041244293E-2</v>
      </c>
      <c r="AA1450" s="240">
        <v>3.6693214795543438E-2</v>
      </c>
    </row>
    <row r="1451" spans="19:27" x14ac:dyDescent="0.2">
      <c r="S1451" s="199"/>
      <c r="T1451" s="200"/>
      <c r="W1451" s="233" t="str">
        <f t="shared" si="29"/>
        <v>1w</v>
      </c>
      <c r="X1451" s="234">
        <f>_xll.qlCalendarAdvance(Calendar,X1450,W1451,"f",FALSE)</f>
        <v>48990</v>
      </c>
      <c r="Y1451" s="237">
        <f>_xll.qlCalendarAdvance(Calendar,X1451,NDays&amp;"D")</f>
        <v>48990</v>
      </c>
      <c r="Z1451" s="238">
        <v>3.6938428476638752E-2</v>
      </c>
      <c r="AA1451" s="240">
        <v>3.6678387203978868E-2</v>
      </c>
    </row>
    <row r="1452" spans="19:27" x14ac:dyDescent="0.2">
      <c r="S1452" s="199"/>
      <c r="T1452" s="200"/>
      <c r="W1452" s="233" t="str">
        <f t="shared" si="29"/>
        <v>1w</v>
      </c>
      <c r="X1452" s="234">
        <f>_xll.qlCalendarAdvance(Calendar,X1451,W1452,"f",FALSE)</f>
        <v>48997</v>
      </c>
      <c r="Y1452" s="237">
        <f>_xll.qlCalendarAdvance(Calendar,X1452,NDays&amp;"D")</f>
        <v>48997</v>
      </c>
      <c r="Z1452" s="238">
        <v>3.6922482976141424E-2</v>
      </c>
      <c r="AA1452" s="240">
        <v>3.6663487147232665E-2</v>
      </c>
    </row>
    <row r="1453" spans="19:27" x14ac:dyDescent="0.2">
      <c r="S1453" s="199"/>
      <c r="T1453" s="200"/>
      <c r="W1453" s="233" t="str">
        <f t="shared" si="29"/>
        <v>1w</v>
      </c>
      <c r="X1453" s="234">
        <f>_xll.qlCalendarAdvance(Calendar,X1452,W1453,"f",FALSE)</f>
        <v>49004</v>
      </c>
      <c r="Y1453" s="237">
        <f>_xll.qlCalendarAdvance(Calendar,X1453,NDays&amp;"D")</f>
        <v>49004</v>
      </c>
      <c r="Z1453" s="238">
        <v>3.6906550091473589E-2</v>
      </c>
      <c r="AA1453" s="240">
        <v>3.6648514625304829E-2</v>
      </c>
    </row>
    <row r="1454" spans="19:27" x14ac:dyDescent="0.2">
      <c r="S1454" s="199"/>
      <c r="T1454" s="200"/>
      <c r="W1454" s="233" t="str">
        <f t="shared" si="29"/>
        <v>1w</v>
      </c>
      <c r="X1454" s="234">
        <f>_xll.qlCalendarAdvance(Calendar,X1453,W1454,"f",FALSE)</f>
        <v>49011</v>
      </c>
      <c r="Y1454" s="237">
        <f>_xll.qlCalendarAdvance(Calendar,X1454,NDays&amp;"D")</f>
        <v>49011</v>
      </c>
      <c r="Z1454" s="238">
        <v>3.6890632374199539E-2</v>
      </c>
      <c r="AA1454" s="240">
        <v>3.6633469638438498E-2</v>
      </c>
    </row>
    <row r="1455" spans="19:27" x14ac:dyDescent="0.2">
      <c r="S1455" s="199"/>
      <c r="T1455" s="200"/>
      <c r="W1455" s="233" t="str">
        <f t="shared" si="29"/>
        <v>1w</v>
      </c>
      <c r="X1455" s="234">
        <f>_xll.qlCalendarAdvance(Calendar,X1454,W1455,"f",FALSE)</f>
        <v>49018</v>
      </c>
      <c r="Y1455" s="237">
        <f>_xll.qlCalendarAdvance(Calendar,X1455,NDays&amp;"D")</f>
        <v>49018</v>
      </c>
      <c r="Z1455" s="238">
        <v>3.6874732375727026E-2</v>
      </c>
      <c r="AA1455" s="240">
        <v>3.6618352186390535E-2</v>
      </c>
    </row>
    <row r="1456" spans="19:27" x14ac:dyDescent="0.2">
      <c r="S1456" s="199"/>
      <c r="T1456" s="200"/>
      <c r="W1456" s="233" t="str">
        <f t="shared" si="29"/>
        <v>1w</v>
      </c>
      <c r="X1456" s="234">
        <f>_xll.qlCalendarAdvance(Calendar,X1455,W1456,"f",FALSE)</f>
        <v>49025</v>
      </c>
      <c r="Y1456" s="237">
        <f>_xll.qlCalendarAdvance(Calendar,X1456,NDays&amp;"D")</f>
        <v>49025</v>
      </c>
      <c r="Z1456" s="238">
        <v>3.6858852647308371E-2</v>
      </c>
      <c r="AA1456" s="240">
        <v>3.6603162269404077E-2</v>
      </c>
    </row>
    <row r="1457" spans="19:27" x14ac:dyDescent="0.2">
      <c r="S1457" s="199"/>
      <c r="T1457" s="200"/>
      <c r="W1457" s="233" t="str">
        <f t="shared" si="29"/>
        <v>1w</v>
      </c>
      <c r="X1457" s="234">
        <f>_xll.qlCalendarAdvance(Calendar,X1456,W1457,"f",FALSE)</f>
        <v>49032</v>
      </c>
      <c r="Y1457" s="237">
        <f>_xll.qlCalendarAdvance(Calendar,X1457,NDays&amp;"D")</f>
        <v>49032</v>
      </c>
      <c r="Z1457" s="238">
        <v>3.6842995740041351E-2</v>
      </c>
      <c r="AA1457" s="240">
        <v>3.6587899887398079E-2</v>
      </c>
    </row>
    <row r="1458" spans="19:27" x14ac:dyDescent="0.2">
      <c r="S1458" s="199"/>
      <c r="T1458" s="200"/>
      <c r="W1458" s="233" t="str">
        <f t="shared" si="29"/>
        <v>1w</v>
      </c>
      <c r="X1458" s="234">
        <f>_xll.qlCalendarAdvance(Calendar,X1457,W1458,"f",FALSE)</f>
        <v>49039</v>
      </c>
      <c r="Y1458" s="237">
        <f>_xll.qlCalendarAdvance(Calendar,X1458,NDays&amp;"D")</f>
        <v>49039</v>
      </c>
      <c r="Z1458" s="238">
        <v>3.6827164204867868E-2</v>
      </c>
      <c r="AA1458" s="240">
        <v>3.6572565040291494E-2</v>
      </c>
    </row>
    <row r="1459" spans="19:27" x14ac:dyDescent="0.2">
      <c r="S1459" s="199"/>
      <c r="T1459" s="200"/>
      <c r="W1459" s="233" t="str">
        <f t="shared" si="29"/>
        <v>1w</v>
      </c>
      <c r="X1459" s="234">
        <f>_xll.qlCalendarAdvance(Calendar,X1458,W1459,"f",FALSE)</f>
        <v>49046</v>
      </c>
      <c r="Y1459" s="237">
        <f>_xll.qlCalendarAdvance(Calendar,X1459,NDays&amp;"D")</f>
        <v>49046</v>
      </c>
      <c r="Z1459" s="238">
        <v>3.681136059257617E-2</v>
      </c>
      <c r="AA1459" s="240">
        <v>3.6557157728084322E-2</v>
      </c>
    </row>
    <row r="1460" spans="19:27" x14ac:dyDescent="0.2">
      <c r="S1460" s="199"/>
      <c r="T1460" s="200"/>
      <c r="W1460" s="233" t="str">
        <f t="shared" si="29"/>
        <v>1w</v>
      </c>
      <c r="X1460" s="234">
        <f>_xll.qlCalendarAdvance(Calendar,X1459,W1460,"f",FALSE)</f>
        <v>49053</v>
      </c>
      <c r="Y1460" s="237">
        <f>_xll.qlCalendarAdvance(Calendar,X1460,NDays&amp;"D")</f>
        <v>49053</v>
      </c>
      <c r="Z1460" s="238">
        <v>3.6795587453801515E-2</v>
      </c>
      <c r="AA1460" s="240">
        <v>3.6541677951100748E-2</v>
      </c>
    </row>
    <row r="1461" spans="19:27" x14ac:dyDescent="0.2">
      <c r="S1461" s="199"/>
      <c r="T1461" s="200"/>
      <c r="W1461" s="233" t="str">
        <f t="shared" si="29"/>
        <v>1w</v>
      </c>
      <c r="X1461" s="234">
        <f>_xll.qlCalendarAdvance(Calendar,X1460,W1461,"f",FALSE)</f>
        <v>49060</v>
      </c>
      <c r="Y1461" s="237">
        <f>_xll.qlCalendarAdvance(Calendar,X1461,NDays&amp;"D")</f>
        <v>49060</v>
      </c>
      <c r="Z1461" s="238">
        <v>3.6779847339025507E-2</v>
      </c>
      <c r="AA1461" s="240">
        <v>3.6526125708935542E-2</v>
      </c>
    </row>
    <row r="1462" spans="19:27" x14ac:dyDescent="0.2">
      <c r="S1462" s="199"/>
      <c r="T1462" s="200"/>
      <c r="W1462" s="233" t="str">
        <f t="shared" si="29"/>
        <v>1w</v>
      </c>
      <c r="X1462" s="234">
        <f>_xll.qlCalendarAdvance(Calendar,X1461,W1462,"f",FALSE)</f>
        <v>49067</v>
      </c>
      <c r="Y1462" s="237">
        <f>_xll.qlCalendarAdvance(Calendar,X1462,NDays&amp;"D")</f>
        <v>49067</v>
      </c>
      <c r="Z1462" s="238">
        <v>3.6764142798578758E-2</v>
      </c>
      <c r="AA1462" s="240">
        <v>3.6510501001831841E-2</v>
      </c>
    </row>
    <row r="1463" spans="19:27" x14ac:dyDescent="0.2">
      <c r="S1463" s="199"/>
      <c r="T1463" s="200"/>
      <c r="W1463" s="233" t="str">
        <f t="shared" si="29"/>
        <v>1w</v>
      </c>
      <c r="X1463" s="234">
        <f>_xll.qlCalendarAdvance(Calendar,X1462,W1463,"f",FALSE)</f>
        <v>49074</v>
      </c>
      <c r="Y1463" s="237">
        <f>_xll.qlCalendarAdvance(Calendar,X1463,NDays&amp;"D")</f>
        <v>49074</v>
      </c>
      <c r="Z1463" s="238">
        <v>3.6748476382640005E-2</v>
      </c>
      <c r="AA1463" s="240">
        <v>3.6494803829789646E-2</v>
      </c>
    </row>
    <row r="1464" spans="19:27" x14ac:dyDescent="0.2">
      <c r="S1464" s="199"/>
      <c r="T1464" s="200"/>
      <c r="W1464" s="233" t="str">
        <f t="shared" si="29"/>
        <v>1w</v>
      </c>
      <c r="X1464" s="234">
        <f>_xll.qlCalendarAdvance(Calendar,X1463,W1464,"f",FALSE)</f>
        <v>49081</v>
      </c>
      <c r="Y1464" s="237">
        <f>_xll.qlCalendarAdvance(Calendar,X1464,NDays&amp;"D")</f>
        <v>49081</v>
      </c>
      <c r="Z1464" s="238">
        <v>3.6732850641238102E-2</v>
      </c>
      <c r="AA1464" s="240">
        <v>3.6479034192646864E-2</v>
      </c>
    </row>
    <row r="1465" spans="19:27" x14ac:dyDescent="0.2">
      <c r="S1465" s="199"/>
      <c r="T1465" s="200"/>
      <c r="W1465" s="233" t="str">
        <f t="shared" si="29"/>
        <v>1w</v>
      </c>
      <c r="X1465" s="234">
        <f>_xll.qlCalendarAdvance(Calendar,X1464,W1465,"f",FALSE)</f>
        <v>49088</v>
      </c>
      <c r="Y1465" s="237">
        <f>_xll.qlCalendarAdvance(Calendar,X1465,NDays&amp;"D")</f>
        <v>49088</v>
      </c>
      <c r="Z1465" s="238">
        <v>3.6717268124252689E-2</v>
      </c>
      <c r="AA1465" s="240">
        <v>3.6463192090565588E-2</v>
      </c>
    </row>
    <row r="1466" spans="19:27" x14ac:dyDescent="0.2">
      <c r="S1466" s="199"/>
      <c r="T1466" s="200"/>
      <c r="W1466" s="233" t="str">
        <f t="shared" si="29"/>
        <v>1w</v>
      </c>
      <c r="X1466" s="234">
        <f>_xll.qlCalendarAdvance(Calendar,X1465,W1466,"f",FALSE)</f>
        <v>49095</v>
      </c>
      <c r="Y1466" s="237">
        <f>_xll.qlCalendarAdvance(Calendar,X1466,NDays&amp;"D")</f>
        <v>49095</v>
      </c>
      <c r="Z1466" s="238">
        <v>3.6701731381414859E-2</v>
      </c>
      <c r="AA1466" s="240">
        <v>3.6447277523545818E-2</v>
      </c>
    </row>
    <row r="1467" spans="19:27" x14ac:dyDescent="0.2">
      <c r="S1467" s="199"/>
      <c r="T1467" s="200"/>
      <c r="W1467" s="233" t="str">
        <f t="shared" si="29"/>
        <v>1w</v>
      </c>
      <c r="X1467" s="234">
        <f>_xll.qlCalendarAdvance(Calendar,X1466,W1467,"f",FALSE)</f>
        <v>49102</v>
      </c>
      <c r="Y1467" s="237">
        <f>_xll.qlCalendarAdvance(Calendar,X1467,NDays&amp;"D")</f>
        <v>49102</v>
      </c>
      <c r="Z1467" s="238">
        <v>3.6686242962308935E-2</v>
      </c>
      <c r="AA1467" s="240">
        <v>3.6431290491587554E-2</v>
      </c>
    </row>
    <row r="1468" spans="19:27" x14ac:dyDescent="0.2">
      <c r="S1468" s="199"/>
      <c r="T1468" s="200"/>
      <c r="W1468" s="233" t="str">
        <f t="shared" si="29"/>
        <v>1w</v>
      </c>
      <c r="X1468" s="234">
        <f>_xll.qlCalendarAdvance(Calendar,X1467,W1468,"f",FALSE)</f>
        <v>49109</v>
      </c>
      <c r="Y1468" s="237">
        <f>_xll.qlCalendarAdvance(Calendar,X1468,NDays&amp;"D")</f>
        <v>49109</v>
      </c>
      <c r="Z1468" s="238">
        <v>3.6670805416373353E-2</v>
      </c>
      <c r="AA1468" s="240">
        <v>3.6415230994771841E-2</v>
      </c>
    </row>
    <row r="1469" spans="19:27" x14ac:dyDescent="0.2">
      <c r="S1469" s="199"/>
      <c r="T1469" s="200"/>
      <c r="W1469" s="233" t="str">
        <f t="shared" si="29"/>
        <v>1w</v>
      </c>
      <c r="X1469" s="234">
        <f>_xll.qlCalendarAdvance(Calendar,X1468,W1469,"f",FALSE)</f>
        <v>49116</v>
      </c>
      <c r="Y1469" s="237">
        <f>_xll.qlCalendarAdvance(Calendar,X1469,NDays&amp;"D")</f>
        <v>49116</v>
      </c>
      <c r="Z1469" s="238">
        <v>3.6655421292901114E-2</v>
      </c>
      <c r="AA1469" s="240">
        <v>3.6399099032936588E-2</v>
      </c>
    </row>
    <row r="1470" spans="19:27" x14ac:dyDescent="0.2">
      <c r="S1470" s="199"/>
      <c r="T1470" s="200"/>
      <c r="W1470" s="233" t="str">
        <f t="shared" si="29"/>
        <v>1w</v>
      </c>
      <c r="X1470" s="234">
        <f>_xll.qlCalendarAdvance(Calendar,X1469,W1470,"f",FALSE)</f>
        <v>49123</v>
      </c>
      <c r="Y1470" s="237">
        <f>_xll.qlCalendarAdvance(Calendar,X1470,NDays&amp;"D")</f>
        <v>49123</v>
      </c>
      <c r="Z1470" s="238">
        <v>3.6640093139835628E-2</v>
      </c>
      <c r="AA1470" s="240">
        <v>3.6382897662337044E-2</v>
      </c>
    </row>
    <row r="1471" spans="19:27" x14ac:dyDescent="0.2">
      <c r="S1471" s="199"/>
      <c r="T1471" s="200"/>
      <c r="W1471" s="233" t="str">
        <f t="shared" si="29"/>
        <v>1w</v>
      </c>
      <c r="X1471" s="234">
        <f>_xll.qlCalendarAdvance(Calendar,X1470,W1471,"f",FALSE)</f>
        <v>49130</v>
      </c>
      <c r="Y1471" s="237">
        <f>_xll.qlCalendarAdvance(Calendar,X1471,NDays&amp;"D")</f>
        <v>49130</v>
      </c>
      <c r="Z1471" s="238">
        <v>3.662482289159219E-2</v>
      </c>
      <c r="AA1471" s="240">
        <v>3.6366712452041705E-2</v>
      </c>
    </row>
    <row r="1472" spans="19:27" x14ac:dyDescent="0.2">
      <c r="S1472" s="199"/>
      <c r="T1472" s="200"/>
      <c r="W1472" s="233" t="str">
        <f t="shared" si="29"/>
        <v>1w</v>
      </c>
      <c r="X1472" s="234">
        <f>_xll.qlCalendarAdvance(Calendar,X1471,W1472,"f",FALSE)</f>
        <v>49137</v>
      </c>
      <c r="Y1472" s="237">
        <f>_xll.qlCalendarAdvance(Calendar,X1472,NDays&amp;"D")</f>
        <v>49137</v>
      </c>
      <c r="Z1472" s="238">
        <v>3.6609610872977205E-2</v>
      </c>
      <c r="AA1472" s="240">
        <v>3.6350583130937419E-2</v>
      </c>
    </row>
    <row r="1473" spans="19:27" x14ac:dyDescent="0.2">
      <c r="S1473" s="199"/>
      <c r="T1473" s="200"/>
      <c r="W1473" s="233" t="str">
        <f t="shared" si="29"/>
        <v>1w</v>
      </c>
      <c r="X1473" s="234">
        <f>_xll.qlCalendarAdvance(Calendar,X1472,W1473,"f",FALSE)</f>
        <v>49144</v>
      </c>
      <c r="Y1473" s="237">
        <f>_xll.qlCalendarAdvance(Calendar,X1473,NDays&amp;"D")</f>
        <v>49144</v>
      </c>
      <c r="Z1473" s="238">
        <v>3.659445714798526E-2</v>
      </c>
      <c r="AA1473" s="240">
        <v>3.6334509698781048E-2</v>
      </c>
    </row>
    <row r="1474" spans="19:27" x14ac:dyDescent="0.2">
      <c r="S1474" s="199"/>
      <c r="T1474" s="200"/>
      <c r="W1474" s="233" t="str">
        <f t="shared" si="29"/>
        <v>1w</v>
      </c>
      <c r="X1474" s="234">
        <f>_xll.qlCalendarAdvance(Calendar,X1473,W1474,"f",FALSE)</f>
        <v>49151</v>
      </c>
      <c r="Y1474" s="237">
        <f>_xll.qlCalendarAdvance(Calendar,X1474,NDays&amp;"D")</f>
        <v>49151</v>
      </c>
      <c r="Z1474" s="238">
        <v>3.6579361780617381E-2</v>
      </c>
      <c r="AA1474" s="240">
        <v>3.6318492155734683E-2</v>
      </c>
    </row>
    <row r="1475" spans="19:27" x14ac:dyDescent="0.2">
      <c r="S1475" s="199"/>
      <c r="T1475" s="200"/>
      <c r="W1475" s="233" t="str">
        <f t="shared" si="29"/>
        <v>1w</v>
      </c>
      <c r="X1475" s="234">
        <f>_xll.qlCalendarAdvance(Calendar,X1474,W1475,"f",FALSE)</f>
        <v>49158</v>
      </c>
      <c r="Y1475" s="237">
        <f>_xll.qlCalendarAdvance(Calendar,X1475,NDays&amp;"D")</f>
        <v>49158</v>
      </c>
      <c r="Z1475" s="238">
        <v>3.6564324834880146E-2</v>
      </c>
      <c r="AA1475" s="240">
        <v>3.6302530501798325E-2</v>
      </c>
    </row>
    <row r="1476" spans="19:27" x14ac:dyDescent="0.2">
      <c r="S1476" s="199"/>
      <c r="T1476" s="200"/>
      <c r="W1476" s="233" t="str">
        <f t="shared" si="29"/>
        <v>1w</v>
      </c>
      <c r="X1476" s="234">
        <f>_xll.qlCalendarAdvance(Calendar,X1475,W1476,"f",FALSE)</f>
        <v>49165</v>
      </c>
      <c r="Y1476" s="237">
        <f>_xll.qlCalendarAdvance(Calendar,X1476,NDays&amp;"D")</f>
        <v>49165</v>
      </c>
      <c r="Z1476" s="238">
        <v>3.6549346374786351E-2</v>
      </c>
      <c r="AA1476" s="240">
        <v>3.628662473680988E-2</v>
      </c>
    </row>
    <row r="1477" spans="19:27" x14ac:dyDescent="0.2">
      <c r="S1477" s="199"/>
      <c r="T1477" s="200"/>
      <c r="W1477" s="233" t="str">
        <f t="shared" si="29"/>
        <v>1w</v>
      </c>
      <c r="X1477" s="234">
        <f>_xll.qlCalendarAdvance(Calendar,X1476,W1477,"f",FALSE)</f>
        <v>49172</v>
      </c>
      <c r="Y1477" s="237">
        <f>_xll.qlCalendarAdvance(Calendar,X1477,NDays&amp;"D")</f>
        <v>49172</v>
      </c>
      <c r="Z1477" s="238">
        <v>3.6534426464354564E-2</v>
      </c>
      <c r="AA1477" s="240">
        <v>3.627077486076935E-2</v>
      </c>
    </row>
    <row r="1478" spans="19:27" x14ac:dyDescent="0.2">
      <c r="S1478" s="199"/>
      <c r="T1478" s="200"/>
      <c r="W1478" s="233" t="str">
        <f t="shared" si="29"/>
        <v>1w</v>
      </c>
      <c r="X1478" s="234">
        <f>_xll.qlCalendarAdvance(Calendar,X1477,W1478,"f",FALSE)</f>
        <v>49179</v>
      </c>
      <c r="Y1478" s="237">
        <f>_xll.qlCalendarAdvance(Calendar,X1478,NDays&amp;"D")</f>
        <v>49179</v>
      </c>
      <c r="Z1478" s="238">
        <v>3.6519565167610235E-2</v>
      </c>
      <c r="AA1478" s="240">
        <v>3.6254980873919873E-2</v>
      </c>
    </row>
    <row r="1479" spans="19:27" x14ac:dyDescent="0.2">
      <c r="S1479" s="199"/>
      <c r="T1479" s="200"/>
      <c r="W1479" s="233" t="str">
        <f t="shared" si="29"/>
        <v>1w</v>
      </c>
      <c r="X1479" s="234">
        <f>_xll.qlCalendarAdvance(Calendar,X1478,W1479,"f",FALSE)</f>
        <v>49186</v>
      </c>
      <c r="Y1479" s="237">
        <f>_xll.qlCalendarAdvance(Calendar,X1479,NDays&amp;"D")</f>
        <v>49186</v>
      </c>
      <c r="Z1479" s="238">
        <v>3.6504762548583924E-2</v>
      </c>
      <c r="AA1479" s="240">
        <v>3.6239242776099356E-2</v>
      </c>
    </row>
    <row r="1480" spans="19:27" x14ac:dyDescent="0.2">
      <c r="S1480" s="199"/>
      <c r="T1480" s="200"/>
      <c r="W1480" s="233" t="str">
        <f t="shared" si="29"/>
        <v>1w</v>
      </c>
      <c r="X1480" s="234">
        <f>_xll.qlCalendarAdvance(Calendar,X1479,W1480,"f",FALSE)</f>
        <v>49193</v>
      </c>
      <c r="Y1480" s="237">
        <f>_xll.qlCalendarAdvance(Calendar,X1480,NDays&amp;"D")</f>
        <v>49193</v>
      </c>
      <c r="Z1480" s="238">
        <v>3.6490018671312852E-2</v>
      </c>
      <c r="AA1480" s="240">
        <v>3.6223560567064661E-2</v>
      </c>
    </row>
    <row r="1481" spans="19:27" x14ac:dyDescent="0.2">
      <c r="S1481" s="199"/>
      <c r="T1481" s="200"/>
      <c r="W1481" s="233" t="str">
        <f t="shared" si="29"/>
        <v>1w</v>
      </c>
      <c r="X1481" s="234">
        <f>_xll.qlCalendarAdvance(Calendar,X1480,W1481,"f",FALSE)</f>
        <v>49200</v>
      </c>
      <c r="Y1481" s="237">
        <f>_xll.qlCalendarAdvance(Calendar,X1481,NDays&amp;"D")</f>
        <v>49200</v>
      </c>
      <c r="Z1481" s="238">
        <v>3.6475333599840898E-2</v>
      </c>
      <c r="AA1481" s="240">
        <v>3.6207934247383111E-2</v>
      </c>
    </row>
    <row r="1482" spans="19:27" x14ac:dyDescent="0.2">
      <c r="S1482" s="199"/>
      <c r="T1482" s="200"/>
      <c r="W1482" s="233" t="str">
        <f t="shared" si="29"/>
        <v>1w</v>
      </c>
      <c r="X1482" s="234">
        <f>_xll.qlCalendarAdvance(Calendar,X1481,W1482,"f",FALSE)</f>
        <v>49207</v>
      </c>
      <c r="Y1482" s="237">
        <f>_xll.qlCalendarAdvance(Calendar,X1482,NDays&amp;"D")</f>
        <v>49207</v>
      </c>
      <c r="Z1482" s="238">
        <v>3.6460707398216829E-2</v>
      </c>
      <c r="AA1482" s="240">
        <v>3.619236381632529E-2</v>
      </c>
    </row>
    <row r="1483" spans="19:27" x14ac:dyDescent="0.2">
      <c r="S1483" s="199"/>
      <c r="T1483" s="200"/>
      <c r="W1483" s="233" t="str">
        <f t="shared" si="29"/>
        <v>1w</v>
      </c>
      <c r="X1483" s="234">
        <f>_xll.qlCalendarAdvance(Calendar,X1482,W1483,"f",FALSE)</f>
        <v>49214</v>
      </c>
      <c r="Y1483" s="237">
        <f>_xll.qlCalendarAdvance(Calendar,X1483,NDays&amp;"D")</f>
        <v>49214</v>
      </c>
      <c r="Z1483" s="238">
        <v>3.6446140130497184E-2</v>
      </c>
      <c r="AA1483" s="240">
        <v>3.6176849274458522E-2</v>
      </c>
    </row>
    <row r="1484" spans="19:27" x14ac:dyDescent="0.2">
      <c r="S1484" s="199"/>
      <c r="T1484" s="200"/>
      <c r="W1484" s="233" t="str">
        <f t="shared" si="29"/>
        <v>1w</v>
      </c>
      <c r="X1484" s="234">
        <f>_xll.qlCalendarAdvance(Calendar,X1483,W1484,"f",FALSE)</f>
        <v>49221</v>
      </c>
      <c r="Y1484" s="237">
        <f>_xll.qlCalendarAdvance(Calendar,X1484,NDays&amp;"D")</f>
        <v>49221</v>
      </c>
      <c r="Z1484" s="238">
        <v>3.6431631860743607E-2</v>
      </c>
      <c r="AA1484" s="240">
        <v>3.6161390621539669E-2</v>
      </c>
    </row>
    <row r="1485" spans="19:27" x14ac:dyDescent="0.2">
      <c r="S1485" s="199"/>
      <c r="T1485" s="200"/>
      <c r="W1485" s="233" t="str">
        <f t="shared" si="29"/>
        <v>1w</v>
      </c>
      <c r="X1485" s="234">
        <f>_xll.qlCalendarAdvance(Calendar,X1484,W1485,"f",FALSE)</f>
        <v>49228</v>
      </c>
      <c r="Y1485" s="237">
        <f>_xll.qlCalendarAdvance(Calendar,X1485,NDays&amp;"D")</f>
        <v>49228</v>
      </c>
      <c r="Z1485" s="238">
        <v>3.6417182653025071E-2</v>
      </c>
      <c r="AA1485" s="240">
        <v>3.6145987857649775E-2</v>
      </c>
    </row>
    <row r="1486" spans="19:27" x14ac:dyDescent="0.2">
      <c r="S1486" s="199"/>
      <c r="T1486" s="200"/>
      <c r="W1486" s="233" t="str">
        <f t="shared" si="29"/>
        <v>1w</v>
      </c>
      <c r="X1486" s="234">
        <f>_xll.qlCalendarAdvance(Calendar,X1485,W1486,"f",FALSE)</f>
        <v>49235</v>
      </c>
      <c r="Y1486" s="237">
        <f>_xll.qlCalendarAdvance(Calendar,X1486,NDays&amp;"D")</f>
        <v>49235</v>
      </c>
      <c r="Z1486" s="238">
        <v>3.640279257141632E-2</v>
      </c>
      <c r="AA1486" s="240">
        <v>3.6130640982626749E-2</v>
      </c>
    </row>
    <row r="1487" spans="19:27" x14ac:dyDescent="0.2">
      <c r="S1487" s="199"/>
      <c r="T1487" s="200"/>
      <c r="W1487" s="233" t="str">
        <f t="shared" si="29"/>
        <v>1w</v>
      </c>
      <c r="X1487" s="234">
        <f>_xll.qlCalendarAdvance(Calendar,X1486,W1487,"f",FALSE)</f>
        <v>49242</v>
      </c>
      <c r="Y1487" s="237">
        <f>_xll.qlCalendarAdvance(Calendar,X1487,NDays&amp;"D")</f>
        <v>49242</v>
      </c>
      <c r="Z1487" s="238">
        <v>3.6388461679998096E-2</v>
      </c>
      <c r="AA1487" s="240">
        <v>3.6115349996632684E-2</v>
      </c>
    </row>
    <row r="1488" spans="19:27" x14ac:dyDescent="0.2">
      <c r="S1488" s="199"/>
      <c r="T1488" s="200"/>
      <c r="W1488" s="233" t="str">
        <f t="shared" si="29"/>
        <v>1w</v>
      </c>
      <c r="X1488" s="234">
        <f>_xll.qlCalendarAdvance(Calendar,X1487,W1488,"f",FALSE)</f>
        <v>49249</v>
      </c>
      <c r="Y1488" s="237">
        <f>_xll.qlCalendarAdvance(Calendar,X1488,NDays&amp;"D")</f>
        <v>49249</v>
      </c>
      <c r="Z1488" s="238">
        <v>3.6374190042859134E-2</v>
      </c>
      <c r="AA1488" s="240">
        <v>3.6100114899505487E-2</v>
      </c>
    </row>
    <row r="1489" spans="19:27" x14ac:dyDescent="0.2">
      <c r="S1489" s="199"/>
      <c r="T1489" s="200"/>
      <c r="W1489" s="233" t="str">
        <f t="shared" si="29"/>
        <v>1w</v>
      </c>
      <c r="X1489" s="234">
        <f>_xll.qlCalendarAdvance(Calendar,X1488,W1489,"f",FALSE)</f>
        <v>49256</v>
      </c>
      <c r="Y1489" s="237">
        <f>_xll.qlCalendarAdvance(Calendar,X1489,NDays&amp;"D")</f>
        <v>49256</v>
      </c>
      <c r="Z1489" s="238">
        <v>3.6359977724093273E-2</v>
      </c>
      <c r="AA1489" s="240">
        <v>3.6084935691407249E-2</v>
      </c>
    </row>
    <row r="1490" spans="19:27" x14ac:dyDescent="0.2">
      <c r="S1490" s="199"/>
      <c r="T1490" s="200"/>
      <c r="W1490" s="233" t="str">
        <f t="shared" si="29"/>
        <v>1w</v>
      </c>
      <c r="X1490" s="234">
        <f>_xll.qlCalendarAdvance(Calendar,X1489,W1490,"f",FALSE)</f>
        <v>49263</v>
      </c>
      <c r="Y1490" s="237">
        <f>_xll.qlCalendarAdvance(Calendar,X1490,NDays&amp;"D")</f>
        <v>49263</v>
      </c>
      <c r="Z1490" s="238">
        <v>3.6345824787800796E-2</v>
      </c>
      <c r="AA1490" s="240">
        <v>3.6069812372256926E-2</v>
      </c>
    </row>
    <row r="1491" spans="19:27" x14ac:dyDescent="0.2">
      <c r="S1491" s="199"/>
      <c r="T1491" s="200"/>
      <c r="W1491" s="233" t="str">
        <f t="shared" si="29"/>
        <v>1w</v>
      </c>
      <c r="X1491" s="234">
        <f>_xll.qlCalendarAdvance(Calendar,X1490,W1491,"f",FALSE)</f>
        <v>49270</v>
      </c>
      <c r="Y1491" s="237">
        <f>_xll.qlCalendarAdvance(Calendar,X1491,NDays&amp;"D")</f>
        <v>49270</v>
      </c>
      <c r="Z1491" s="238">
        <v>3.6331731298089975E-2</v>
      </c>
      <c r="AA1491" s="240">
        <v>3.6054744941892425E-2</v>
      </c>
    </row>
    <row r="1492" spans="19:27" x14ac:dyDescent="0.2">
      <c r="S1492" s="199"/>
      <c r="T1492" s="200"/>
      <c r="W1492" s="233" t="str">
        <f t="shared" si="29"/>
        <v>1w</v>
      </c>
      <c r="X1492" s="234">
        <f>_xll.qlCalendarAdvance(Calendar,X1491,W1492,"f",FALSE)</f>
        <v>49277</v>
      </c>
      <c r="Y1492" s="237">
        <f>_xll.qlCalendarAdvance(Calendar,X1492,NDays&amp;"D")</f>
        <v>49277</v>
      </c>
      <c r="Z1492" s="238">
        <v>3.6317697319073972E-2</v>
      </c>
      <c r="AA1492" s="240">
        <v>3.603973340063793E-2</v>
      </c>
    </row>
    <row r="1493" spans="19:27" x14ac:dyDescent="0.2">
      <c r="S1493" s="199"/>
      <c r="T1493" s="200"/>
      <c r="W1493" s="233" t="str">
        <f t="shared" ref="W1493:W1556" si="30">W1492</f>
        <v>1w</v>
      </c>
      <c r="X1493" s="234">
        <f>_xll.qlCalendarAdvance(Calendar,X1492,W1493,"f",FALSE)</f>
        <v>49284</v>
      </c>
      <c r="Y1493" s="237">
        <f>_xll.qlCalendarAdvance(Calendar,X1493,NDays&amp;"D")</f>
        <v>49284</v>
      </c>
      <c r="Z1493" s="238">
        <v>3.6303722914873715E-2</v>
      </c>
      <c r="AA1493" s="240">
        <v>3.6024777748169257E-2</v>
      </c>
    </row>
    <row r="1494" spans="19:27" x14ac:dyDescent="0.2">
      <c r="S1494" s="199"/>
      <c r="T1494" s="200"/>
      <c r="W1494" s="233" t="str">
        <f t="shared" si="30"/>
        <v>1w</v>
      </c>
      <c r="X1494" s="234">
        <f>_xll.qlCalendarAdvance(Calendar,X1493,W1494,"f",FALSE)</f>
        <v>49291</v>
      </c>
      <c r="Y1494" s="237">
        <f>_xll.qlCalendarAdvance(Calendar,X1494,NDays&amp;"D")</f>
        <v>49291</v>
      </c>
      <c r="Z1494" s="238">
        <v>3.6289808149616576E-2</v>
      </c>
      <c r="AA1494" s="240">
        <v>3.6009877984648497E-2</v>
      </c>
    </row>
    <row r="1495" spans="19:27" x14ac:dyDescent="0.2">
      <c r="S1495" s="199"/>
      <c r="T1495" s="200"/>
      <c r="W1495" s="233" t="str">
        <f t="shared" si="30"/>
        <v>1w</v>
      </c>
      <c r="X1495" s="234">
        <f>_xll.qlCalendarAdvance(Calendar,X1494,W1495,"f",FALSE)</f>
        <v>49298</v>
      </c>
      <c r="Y1495" s="237">
        <f>_xll.qlCalendarAdvance(Calendar,X1495,NDays&amp;"D")</f>
        <v>49298</v>
      </c>
      <c r="Z1495" s="238">
        <v>3.6275953087435919E-2</v>
      </c>
      <c r="AA1495" s="240">
        <v>3.5995034109994606E-2</v>
      </c>
    </row>
    <row r="1496" spans="19:27" x14ac:dyDescent="0.2">
      <c r="S1496" s="199"/>
      <c r="T1496" s="200"/>
      <c r="W1496" s="233" t="str">
        <f t="shared" si="30"/>
        <v>1w</v>
      </c>
      <c r="X1496" s="234">
        <f>_xll.qlCalendarAdvance(Calendar,X1495,W1496,"f",FALSE)</f>
        <v>49305</v>
      </c>
      <c r="Y1496" s="237">
        <f>_xll.qlCalendarAdvance(Calendar,X1496,NDays&amp;"D")</f>
        <v>49305</v>
      </c>
      <c r="Z1496" s="238">
        <v>3.6262157792473326E-2</v>
      </c>
      <c r="AA1496" s="240">
        <v>3.5980246124369675E-2</v>
      </c>
    </row>
    <row r="1497" spans="19:27" x14ac:dyDescent="0.2">
      <c r="S1497" s="199"/>
      <c r="T1497" s="200"/>
      <c r="W1497" s="233" t="str">
        <f t="shared" si="30"/>
        <v>1w</v>
      </c>
      <c r="X1497" s="234">
        <f>_xll.qlCalendarAdvance(Calendar,X1496,W1497,"f",FALSE)</f>
        <v>49312</v>
      </c>
      <c r="Y1497" s="237">
        <f>_xll.qlCalendarAdvance(Calendar,X1497,NDays&amp;"D")</f>
        <v>49312</v>
      </c>
      <c r="Z1497" s="238">
        <v>3.6248422328875485E-2</v>
      </c>
      <c r="AA1497" s="240">
        <v>3.5965514027530565E-2</v>
      </c>
    </row>
    <row r="1498" spans="19:27" x14ac:dyDescent="0.2">
      <c r="S1498" s="199"/>
      <c r="T1498" s="200"/>
      <c r="W1498" s="233" t="str">
        <f t="shared" si="30"/>
        <v>1w</v>
      </c>
      <c r="X1498" s="234">
        <f>_xll.qlCalendarAdvance(Calendar,X1497,W1498,"f",FALSE)</f>
        <v>49319</v>
      </c>
      <c r="Y1498" s="237">
        <f>_xll.qlCalendarAdvance(Calendar,X1498,NDays&amp;"D")</f>
        <v>49319</v>
      </c>
      <c r="Z1498" s="238">
        <v>3.6234746760797742E-2</v>
      </c>
      <c r="AA1498" s="240">
        <v>3.5950837819558323E-2</v>
      </c>
    </row>
    <row r="1499" spans="19:27" x14ac:dyDescent="0.2">
      <c r="S1499" s="199"/>
      <c r="T1499" s="200"/>
      <c r="W1499" s="233" t="str">
        <f t="shared" si="30"/>
        <v>1w</v>
      </c>
      <c r="X1499" s="234">
        <f>_xll.qlCalendarAdvance(Calendar,X1498,W1499,"f",FALSE)</f>
        <v>49326</v>
      </c>
      <c r="Y1499" s="237">
        <f>_xll.qlCalendarAdvance(Calendar,X1499,NDays&amp;"D")</f>
        <v>49326</v>
      </c>
      <c r="Z1499" s="238">
        <v>3.6221131152400332E-2</v>
      </c>
      <c r="AA1499" s="240">
        <v>3.5936217500452949E-2</v>
      </c>
    </row>
    <row r="1500" spans="19:27" x14ac:dyDescent="0.2">
      <c r="S1500" s="199"/>
      <c r="T1500" s="200"/>
      <c r="W1500" s="233" t="str">
        <f t="shared" si="30"/>
        <v>1w</v>
      </c>
      <c r="X1500" s="234">
        <f>_xll.qlCalendarAdvance(Calendar,X1499,W1500,"f",FALSE)</f>
        <v>49333</v>
      </c>
      <c r="Y1500" s="237">
        <f>_xll.qlCalendarAdvance(Calendar,X1500,NDays&amp;"D")</f>
        <v>49333</v>
      </c>
      <c r="Z1500" s="238">
        <v>3.6207575567851924E-2</v>
      </c>
      <c r="AA1500" s="240">
        <v>3.5921653070295489E-2</v>
      </c>
    </row>
    <row r="1501" spans="19:27" x14ac:dyDescent="0.2">
      <c r="S1501" s="199"/>
      <c r="T1501" s="200"/>
      <c r="W1501" s="233" t="str">
        <f t="shared" si="30"/>
        <v>1w</v>
      </c>
      <c r="X1501" s="234">
        <f>_xll.qlCalendarAdvance(Calendar,X1500,W1501,"f",FALSE)</f>
        <v>49340</v>
      </c>
      <c r="Y1501" s="237">
        <f>_xll.qlCalendarAdvance(Calendar,X1501,NDays&amp;"D")</f>
        <v>49340</v>
      </c>
      <c r="Z1501" s="238">
        <v>3.6194080071327406E-2</v>
      </c>
      <c r="AA1501" s="240">
        <v>3.5907144529004897E-2</v>
      </c>
    </row>
    <row r="1502" spans="19:27" x14ac:dyDescent="0.2">
      <c r="S1502" s="199"/>
      <c r="T1502" s="200"/>
      <c r="W1502" s="233" t="str">
        <f t="shared" si="30"/>
        <v>1w</v>
      </c>
      <c r="X1502" s="234">
        <f>_xll.qlCalendarAdvance(Calendar,X1501,W1502,"f",FALSE)</f>
        <v>49347</v>
      </c>
      <c r="Y1502" s="237">
        <f>_xll.qlCalendarAdvance(Calendar,X1502,NDays&amp;"D")</f>
        <v>49347</v>
      </c>
      <c r="Z1502" s="238">
        <v>3.6180644727008771E-2</v>
      </c>
      <c r="AA1502" s="240">
        <v>3.5892691876500127E-2</v>
      </c>
    </row>
    <row r="1503" spans="19:27" x14ac:dyDescent="0.2">
      <c r="S1503" s="199"/>
      <c r="T1503" s="200"/>
      <c r="W1503" s="233" t="str">
        <f t="shared" si="30"/>
        <v>1w</v>
      </c>
      <c r="X1503" s="234">
        <f>_xll.qlCalendarAdvance(Calendar,X1502,W1503,"f",FALSE)</f>
        <v>49354</v>
      </c>
      <c r="Y1503" s="237">
        <f>_xll.qlCalendarAdvance(Calendar,X1503,NDays&amp;"D")</f>
        <v>49354</v>
      </c>
      <c r="Z1503" s="238">
        <v>3.6167269599085339E-2</v>
      </c>
      <c r="AA1503" s="240">
        <v>3.5878295112862224E-2</v>
      </c>
    </row>
    <row r="1504" spans="19:27" x14ac:dyDescent="0.2">
      <c r="S1504" s="199"/>
      <c r="T1504" s="200"/>
      <c r="W1504" s="233" t="str">
        <f t="shared" si="30"/>
        <v>1w</v>
      </c>
      <c r="X1504" s="234">
        <f>_xll.qlCalendarAdvance(Calendar,X1503,W1504,"f",FALSE)</f>
        <v>49361</v>
      </c>
      <c r="Y1504" s="237">
        <f>_xll.qlCalendarAdvance(Calendar,X1504,NDays&amp;"D")</f>
        <v>49361</v>
      </c>
      <c r="Z1504" s="238">
        <v>3.6153954751753092E-2</v>
      </c>
      <c r="AA1504" s="240">
        <v>3.5863954238091189E-2</v>
      </c>
    </row>
    <row r="1505" spans="19:27" x14ac:dyDescent="0.2">
      <c r="S1505" s="199"/>
      <c r="T1505" s="200"/>
      <c r="W1505" s="233" t="str">
        <f t="shared" si="30"/>
        <v>1w</v>
      </c>
      <c r="X1505" s="234">
        <f>_xll.qlCalendarAdvance(Calendar,X1504,W1505,"f",FALSE)</f>
        <v>49368</v>
      </c>
      <c r="Y1505" s="237">
        <f>_xll.qlCalendarAdvance(Calendar,X1505,NDays&amp;"D")</f>
        <v>49368</v>
      </c>
      <c r="Z1505" s="238">
        <v>3.6141561465640029E-2</v>
      </c>
      <c r="AA1505" s="240">
        <v>3.5849669252187022E-2</v>
      </c>
    </row>
    <row r="1506" spans="19:27" x14ac:dyDescent="0.2">
      <c r="S1506" s="199"/>
      <c r="T1506" s="200"/>
      <c r="W1506" s="233" t="str">
        <f t="shared" si="30"/>
        <v>1w</v>
      </c>
      <c r="X1506" s="234">
        <f>_xll.qlCalendarAdvance(Calendar,X1505,W1506,"f",FALSE)</f>
        <v>49375</v>
      </c>
      <c r="Y1506" s="237">
        <f>_xll.qlCalendarAdvance(Calendar,X1506,NDays&amp;"D")</f>
        <v>49375</v>
      </c>
      <c r="Z1506" s="238">
        <v>3.6128370459752729E-2</v>
      </c>
      <c r="AA1506" s="240">
        <v>3.583544015498763E-2</v>
      </c>
    </row>
    <row r="1507" spans="19:27" x14ac:dyDescent="0.2">
      <c r="S1507" s="199"/>
      <c r="T1507" s="200"/>
      <c r="W1507" s="233" t="str">
        <f t="shared" si="30"/>
        <v>1w</v>
      </c>
      <c r="X1507" s="234">
        <f>_xll.qlCalendarAdvance(Calendar,X1506,W1507,"f",FALSE)</f>
        <v>49382</v>
      </c>
      <c r="Y1507" s="237">
        <f>_xll.qlCalendarAdvance(Calendar,X1507,NDays&amp;"D")</f>
        <v>49382</v>
      </c>
      <c r="Z1507" s="238">
        <v>3.611523993617087E-2</v>
      </c>
      <c r="AA1507" s="240">
        <v>3.5821266946736152E-2</v>
      </c>
    </row>
    <row r="1508" spans="19:27" x14ac:dyDescent="0.2">
      <c r="S1508" s="199"/>
      <c r="T1508" s="200"/>
      <c r="W1508" s="233" t="str">
        <f t="shared" si="30"/>
        <v>1w</v>
      </c>
      <c r="X1508" s="234">
        <f>_xll.qlCalendarAdvance(Calendar,X1507,W1508,"f",FALSE)</f>
        <v>49389</v>
      </c>
      <c r="Y1508" s="237">
        <f>_xll.qlCalendarAdvance(Calendar,X1508,NDays&amp;"D")</f>
        <v>49389</v>
      </c>
      <c r="Z1508" s="238">
        <v>3.6102169958937856E-2</v>
      </c>
      <c r="AA1508" s="240">
        <v>3.5807149627270496E-2</v>
      </c>
    </row>
    <row r="1509" spans="19:27" x14ac:dyDescent="0.2">
      <c r="S1509" s="199"/>
      <c r="T1509" s="200"/>
      <c r="W1509" s="233" t="str">
        <f t="shared" si="30"/>
        <v>1w</v>
      </c>
      <c r="X1509" s="234">
        <f>_xll.qlCalendarAdvance(Calendar,X1508,W1509,"f",FALSE)</f>
        <v>49396</v>
      </c>
      <c r="Y1509" s="237">
        <f>_xll.qlCalendarAdvance(Calendar,X1509,NDays&amp;"D")</f>
        <v>49396</v>
      </c>
      <c r="Z1509" s="238">
        <v>3.608916059210393E-2</v>
      </c>
      <c r="AA1509" s="240">
        <v>3.5793088196509615E-2</v>
      </c>
    </row>
    <row r="1510" spans="19:27" x14ac:dyDescent="0.2">
      <c r="S1510" s="199"/>
      <c r="T1510" s="200"/>
      <c r="W1510" s="233" t="str">
        <f t="shared" si="30"/>
        <v>1w</v>
      </c>
      <c r="X1510" s="234">
        <f>_xll.qlCalendarAdvance(Calendar,X1509,W1510,"f",FALSE)</f>
        <v>49403</v>
      </c>
      <c r="Y1510" s="237">
        <f>_xll.qlCalendarAdvance(Calendar,X1510,NDays&amp;"D")</f>
        <v>49403</v>
      </c>
      <c r="Z1510" s="238">
        <v>3.6076211899727983E-2</v>
      </c>
      <c r="AA1510" s="240">
        <v>3.5779082654777694E-2</v>
      </c>
    </row>
    <row r="1511" spans="19:27" x14ac:dyDescent="0.2">
      <c r="S1511" s="199"/>
      <c r="T1511" s="200"/>
      <c r="W1511" s="233" t="str">
        <f t="shared" si="30"/>
        <v>1w</v>
      </c>
      <c r="X1511" s="234">
        <f>_xll.qlCalendarAdvance(Calendar,X1510,W1511,"f",FALSE)</f>
        <v>49410</v>
      </c>
      <c r="Y1511" s="237">
        <f>_xll.qlCalendarAdvance(Calendar,X1511,NDays&amp;"D")</f>
        <v>49410</v>
      </c>
      <c r="Z1511" s="238">
        <v>3.6066847060396486E-2</v>
      </c>
      <c r="AA1511" s="240">
        <v>3.5765133001588456E-2</v>
      </c>
    </row>
    <row r="1512" spans="19:27" x14ac:dyDescent="0.2">
      <c r="S1512" s="199"/>
      <c r="T1512" s="200"/>
      <c r="W1512" s="233" t="str">
        <f t="shared" si="30"/>
        <v>1w</v>
      </c>
      <c r="X1512" s="234">
        <f>_xll.qlCalendarAdvance(Calendar,X1511,W1512,"f",FALSE)</f>
        <v>49417</v>
      </c>
      <c r="Y1512" s="237">
        <f>_xll.qlCalendarAdvance(Calendar,X1512,NDays&amp;"D")</f>
        <v>49417</v>
      </c>
      <c r="Z1512" s="238">
        <v>3.6050496794617061E-2</v>
      </c>
      <c r="AA1512" s="240">
        <v>3.5751239237347132E-2</v>
      </c>
    </row>
    <row r="1513" spans="19:27" x14ac:dyDescent="0.2">
      <c r="S1513" s="199"/>
      <c r="T1513" s="200"/>
      <c r="W1513" s="233" t="str">
        <f t="shared" si="30"/>
        <v>1w</v>
      </c>
      <c r="X1513" s="234">
        <f>_xll.qlCalendarAdvance(Calendar,X1512,W1513,"f",FALSE)</f>
        <v>49424</v>
      </c>
      <c r="Y1513" s="237">
        <f>_xll.qlCalendarAdvance(Calendar,X1513,NDays&amp;"D")</f>
        <v>49424</v>
      </c>
      <c r="Z1513" s="238">
        <v>3.6037730510035511E-2</v>
      </c>
      <c r="AA1513" s="240">
        <v>3.5737401361810583E-2</v>
      </c>
    </row>
    <row r="1514" spans="19:27" x14ac:dyDescent="0.2">
      <c r="S1514" s="199"/>
      <c r="T1514" s="200"/>
      <c r="W1514" s="233" t="str">
        <f t="shared" si="30"/>
        <v>1w</v>
      </c>
      <c r="X1514" s="234">
        <f>_xll.qlCalendarAdvance(Calendar,X1513,W1514,"f",FALSE)</f>
        <v>49431</v>
      </c>
      <c r="Y1514" s="237">
        <f>_xll.qlCalendarAdvance(Calendar,X1514,NDays&amp;"D")</f>
        <v>49431</v>
      </c>
      <c r="Z1514" s="238">
        <v>3.6025025156218374E-2</v>
      </c>
      <c r="AA1514" s="240">
        <v>3.5723619375140903E-2</v>
      </c>
    </row>
    <row r="1515" spans="19:27" x14ac:dyDescent="0.2">
      <c r="S1515" s="199"/>
      <c r="T1515" s="200"/>
      <c r="W1515" s="233" t="str">
        <f t="shared" si="30"/>
        <v>1w</v>
      </c>
      <c r="X1515" s="234">
        <f>_xll.qlCalendarAdvance(Calendar,X1514,W1515,"f",FALSE)</f>
        <v>49438</v>
      </c>
      <c r="Y1515" s="237">
        <f>_xll.qlCalendarAdvance(Calendar,X1515,NDays&amp;"D")</f>
        <v>49438</v>
      </c>
      <c r="Z1515" s="238">
        <v>3.6012380797259755E-2</v>
      </c>
      <c r="AA1515" s="240">
        <v>3.5709893277175997E-2</v>
      </c>
    </row>
    <row r="1516" spans="19:27" x14ac:dyDescent="0.2">
      <c r="S1516" s="199"/>
      <c r="T1516" s="200"/>
      <c r="W1516" s="233" t="str">
        <f t="shared" si="30"/>
        <v>1w</v>
      </c>
      <c r="X1516" s="234">
        <f>_xll.qlCalendarAdvance(Calendar,X1515,W1516,"f",FALSE)</f>
        <v>49445</v>
      </c>
      <c r="Y1516" s="237">
        <f>_xll.qlCalendarAdvance(Calendar,X1516,NDays&amp;"D")</f>
        <v>49445</v>
      </c>
      <c r="Z1516" s="238">
        <v>3.599979749726348E-2</v>
      </c>
      <c r="AA1516" s="240">
        <v>3.5696223067996913E-2</v>
      </c>
    </row>
    <row r="1517" spans="19:27" x14ac:dyDescent="0.2">
      <c r="S1517" s="199"/>
      <c r="T1517" s="200"/>
      <c r="W1517" s="233" t="str">
        <f t="shared" si="30"/>
        <v>1w</v>
      </c>
      <c r="X1517" s="234">
        <f>_xll.qlCalendarAdvance(Calendar,X1516,W1517,"f",FALSE)</f>
        <v>49452</v>
      </c>
      <c r="Y1517" s="237">
        <f>_xll.qlCalendarAdvance(Calendar,X1517,NDays&amp;"D")</f>
        <v>49452</v>
      </c>
      <c r="Z1517" s="238">
        <v>3.5987275320339171E-2</v>
      </c>
      <c r="AA1517" s="240">
        <v>3.568260874760365E-2</v>
      </c>
    </row>
    <row r="1518" spans="19:27" x14ac:dyDescent="0.2">
      <c r="S1518" s="199"/>
      <c r="T1518" s="200"/>
      <c r="W1518" s="233" t="str">
        <f t="shared" si="30"/>
        <v>1w</v>
      </c>
      <c r="X1518" s="234">
        <f>_xll.qlCalendarAdvance(Calendar,X1517,W1518,"f",FALSE)</f>
        <v>49459</v>
      </c>
      <c r="Y1518" s="237">
        <f>_xll.qlCalendarAdvance(Calendar,X1518,NDays&amp;"D")</f>
        <v>49459</v>
      </c>
      <c r="Z1518" s="238">
        <v>3.5974814330605273E-2</v>
      </c>
      <c r="AA1518" s="240">
        <v>3.5669050315915163E-2</v>
      </c>
    </row>
    <row r="1519" spans="19:27" x14ac:dyDescent="0.2">
      <c r="S1519" s="199"/>
      <c r="T1519" s="200"/>
      <c r="W1519" s="233" t="str">
        <f t="shared" si="30"/>
        <v>1w</v>
      </c>
      <c r="X1519" s="234">
        <f>_xll.qlCalendarAdvance(Calendar,X1518,W1519,"f",FALSE)</f>
        <v>49466</v>
      </c>
      <c r="Y1519" s="237">
        <f>_xll.qlCalendarAdvance(Calendar,X1519,NDays&amp;"D")</f>
        <v>49466</v>
      </c>
      <c r="Z1519" s="238">
        <v>3.596241459218711E-2</v>
      </c>
      <c r="AA1519" s="240">
        <v>3.5655547773093543E-2</v>
      </c>
    </row>
    <row r="1520" spans="19:27" x14ac:dyDescent="0.2">
      <c r="S1520" s="199"/>
      <c r="T1520" s="200"/>
      <c r="W1520" s="233" t="str">
        <f t="shared" si="30"/>
        <v>1w</v>
      </c>
      <c r="X1520" s="234">
        <f>_xll.qlCalendarAdvance(Calendar,X1519,W1520,"f",FALSE)</f>
        <v>49473</v>
      </c>
      <c r="Y1520" s="237">
        <f>_xll.qlCalendarAdvance(Calendar,X1520,NDays&amp;"D")</f>
        <v>49473</v>
      </c>
      <c r="Z1520" s="238">
        <v>3.5950076169218199E-2</v>
      </c>
      <c r="AA1520" s="240">
        <v>3.5642101118814606E-2</v>
      </c>
    </row>
    <row r="1521" spans="19:27" x14ac:dyDescent="0.2">
      <c r="S1521" s="199"/>
      <c r="T1521" s="200"/>
      <c r="W1521" s="233" t="str">
        <f t="shared" si="30"/>
        <v>1w</v>
      </c>
      <c r="X1521" s="234">
        <f>_xll.qlCalendarAdvance(Calendar,X1520,W1521,"f",FALSE)</f>
        <v>49480</v>
      </c>
      <c r="Y1521" s="237">
        <f>_xll.qlCalendarAdvance(Calendar,X1521,NDays&amp;"D")</f>
        <v>49480</v>
      </c>
      <c r="Z1521" s="238">
        <v>3.5937799125839817E-2</v>
      </c>
      <c r="AA1521" s="240">
        <v>3.5628710353321491E-2</v>
      </c>
    </row>
    <row r="1522" spans="19:27" x14ac:dyDescent="0.2">
      <c r="S1522" s="199"/>
      <c r="T1522" s="200"/>
      <c r="W1522" s="233" t="str">
        <f t="shared" si="30"/>
        <v>1w</v>
      </c>
      <c r="X1522" s="234">
        <f>_xll.qlCalendarAdvance(Calendar,X1521,W1522,"f",FALSE)</f>
        <v>49487</v>
      </c>
      <c r="Y1522" s="237">
        <f>_xll.qlCalendarAdvance(Calendar,X1522,NDays&amp;"D")</f>
        <v>49487</v>
      </c>
      <c r="Z1522" s="238">
        <v>3.5925583526200747E-2</v>
      </c>
      <c r="AA1522" s="240">
        <v>3.5615375488041723E-2</v>
      </c>
    </row>
    <row r="1523" spans="19:27" x14ac:dyDescent="0.2">
      <c r="S1523" s="199"/>
      <c r="T1523" s="200"/>
      <c r="W1523" s="233" t="str">
        <f t="shared" si="30"/>
        <v>1w</v>
      </c>
      <c r="X1523" s="234">
        <f>_xll.qlCalendarAdvance(Calendar,X1522,W1523,"f",FALSE)</f>
        <v>49494</v>
      </c>
      <c r="Y1523" s="237">
        <f>_xll.qlCalendarAdvance(Calendar,X1523,NDays&amp;"D")</f>
        <v>49494</v>
      </c>
      <c r="Z1523" s="238">
        <v>3.5913429412870443E-2</v>
      </c>
      <c r="AA1523" s="240">
        <v>3.5602098413136662E-2</v>
      </c>
    </row>
    <row r="1524" spans="19:27" x14ac:dyDescent="0.2">
      <c r="S1524" s="199"/>
      <c r="T1524" s="200"/>
      <c r="W1524" s="233" t="str">
        <f t="shared" si="30"/>
        <v>1w</v>
      </c>
      <c r="X1524" s="234">
        <f>_xll.qlCalendarAdvance(Calendar,X1523,W1524,"f",FALSE)</f>
        <v>49501</v>
      </c>
      <c r="Y1524" s="237">
        <f>_xll.qlCalendarAdvance(Calendar,X1524,NDays&amp;"D")</f>
        <v>49501</v>
      </c>
      <c r="Z1524" s="238">
        <v>3.590133674208125E-2</v>
      </c>
      <c r="AA1524" s="240">
        <v>3.5588880575039283E-2</v>
      </c>
    </row>
    <row r="1525" spans="19:27" x14ac:dyDescent="0.2">
      <c r="S1525" s="199"/>
      <c r="T1525" s="200"/>
      <c r="W1525" s="233" t="str">
        <f t="shared" si="30"/>
        <v>1w</v>
      </c>
      <c r="X1525" s="234">
        <f>_xll.qlCalendarAdvance(Calendar,X1524,W1525,"f",FALSE)</f>
        <v>49508</v>
      </c>
      <c r="Y1525" s="237">
        <f>_xll.qlCalendarAdvance(Calendar,X1525,NDays&amp;"D")</f>
        <v>49508</v>
      </c>
      <c r="Z1525" s="238">
        <v>3.5889305448491497E-2</v>
      </c>
      <c r="AA1525" s="240">
        <v>3.5575721973668539E-2</v>
      </c>
    </row>
    <row r="1526" spans="19:27" x14ac:dyDescent="0.2">
      <c r="S1526" s="199"/>
      <c r="T1526" s="200"/>
      <c r="W1526" s="233" t="str">
        <f t="shared" si="30"/>
        <v>1w</v>
      </c>
      <c r="X1526" s="234">
        <f>_xll.qlCalendarAdvance(Calendar,X1525,W1526,"f",FALSE)</f>
        <v>49515</v>
      </c>
      <c r="Y1526" s="237">
        <f>_xll.qlCalendarAdvance(Calendar,X1526,NDays&amp;"D")</f>
        <v>49515</v>
      </c>
      <c r="Z1526" s="238">
        <v>3.5877335466772999E-2</v>
      </c>
      <c r="AA1526" s="240">
        <v>3.556262260902443E-2</v>
      </c>
    </row>
    <row r="1527" spans="19:27" x14ac:dyDescent="0.2">
      <c r="S1527" s="199"/>
      <c r="T1527" s="200"/>
      <c r="W1527" s="233" t="str">
        <f t="shared" si="30"/>
        <v>1w</v>
      </c>
      <c r="X1527" s="234">
        <f>_xll.qlCalendarAdvance(Calendar,X1526,W1527,"f",FALSE)</f>
        <v>49522</v>
      </c>
      <c r="Y1527" s="237">
        <f>_xll.qlCalendarAdvance(Calendar,X1527,NDays&amp;"D")</f>
        <v>49522</v>
      </c>
      <c r="Z1527" s="238">
        <v>3.5865426731611985E-2</v>
      </c>
      <c r="AA1527" s="240">
        <v>3.554958248102591E-2</v>
      </c>
    </row>
    <row r="1528" spans="19:27" x14ac:dyDescent="0.2">
      <c r="S1528" s="199"/>
      <c r="T1528" s="200"/>
      <c r="W1528" s="233" t="str">
        <f t="shared" si="30"/>
        <v>1w</v>
      </c>
      <c r="X1528" s="234">
        <f>_xll.qlCalendarAdvance(Calendar,X1527,W1528,"f",FALSE)</f>
        <v>49529</v>
      </c>
      <c r="Y1528" s="237">
        <f>_xll.qlCalendarAdvance(Calendar,X1528,NDays&amp;"D")</f>
        <v>49529</v>
      </c>
      <c r="Z1528" s="238">
        <v>3.5853579177709059E-2</v>
      </c>
      <c r="AA1528" s="240">
        <v>3.5536601589916117E-2</v>
      </c>
    </row>
    <row r="1529" spans="19:27" x14ac:dyDescent="0.2">
      <c r="S1529" s="199"/>
      <c r="T1529" s="200"/>
      <c r="W1529" s="233" t="str">
        <f t="shared" si="30"/>
        <v>1w</v>
      </c>
      <c r="X1529" s="234">
        <f>_xll.qlCalendarAdvance(Calendar,X1528,W1529,"f",FALSE)</f>
        <v>49536</v>
      </c>
      <c r="Y1529" s="237">
        <f>_xll.qlCalendarAdvance(Calendar,X1529,NDays&amp;"D")</f>
        <v>49536</v>
      </c>
      <c r="Z1529" s="238">
        <v>3.5841792739776578E-2</v>
      </c>
      <c r="AA1529" s="240">
        <v>3.552367993528982E-2</v>
      </c>
    </row>
    <row r="1530" spans="19:27" x14ac:dyDescent="0.2">
      <c r="S1530" s="199"/>
      <c r="T1530" s="200"/>
      <c r="W1530" s="233" t="str">
        <f t="shared" si="30"/>
        <v>1w</v>
      </c>
      <c r="X1530" s="234">
        <f>_xll.qlCalendarAdvance(Calendar,X1529,W1530,"f",FALSE)</f>
        <v>49543</v>
      </c>
      <c r="Y1530" s="237">
        <f>_xll.qlCalendarAdvance(Calendar,X1530,NDays&amp;"D")</f>
        <v>49543</v>
      </c>
      <c r="Z1530" s="238">
        <v>3.583006735254305E-2</v>
      </c>
      <c r="AA1530" s="240">
        <v>3.5510817517390159E-2</v>
      </c>
    </row>
    <row r="1531" spans="19:27" x14ac:dyDescent="0.2">
      <c r="S1531" s="199"/>
      <c r="T1531" s="200"/>
      <c r="W1531" s="233" t="str">
        <f t="shared" si="30"/>
        <v>1w</v>
      </c>
      <c r="X1531" s="234">
        <f>_xll.qlCalendarAdvance(Calendar,X1530,W1531,"f",FALSE)</f>
        <v>49550</v>
      </c>
      <c r="Y1531" s="237">
        <f>_xll.qlCalendarAdvance(Calendar,X1531,NDays&amp;"D")</f>
        <v>49550</v>
      </c>
      <c r="Z1531" s="238">
        <v>3.5818402950749173E-2</v>
      </c>
      <c r="AA1531" s="240">
        <v>3.5498014336298178E-2</v>
      </c>
    </row>
    <row r="1532" spans="19:27" x14ac:dyDescent="0.2">
      <c r="S1532" s="199"/>
      <c r="T1532" s="200"/>
      <c r="W1532" s="233" t="str">
        <f t="shared" si="30"/>
        <v>1w</v>
      </c>
      <c r="X1532" s="234">
        <f>_xll.qlCalendarAdvance(Calendar,X1531,W1532,"f",FALSE)</f>
        <v>49557</v>
      </c>
      <c r="Y1532" s="237">
        <f>_xll.qlCalendarAdvance(Calendar,X1532,NDays&amp;"D")</f>
        <v>49557</v>
      </c>
      <c r="Z1532" s="238">
        <v>3.5806799469150254E-2</v>
      </c>
      <c r="AA1532" s="240">
        <v>3.5485270391851786E-2</v>
      </c>
    </row>
    <row r="1533" spans="19:27" x14ac:dyDescent="0.2">
      <c r="S1533" s="199"/>
      <c r="T1533" s="200"/>
      <c r="W1533" s="233" t="str">
        <f t="shared" si="30"/>
        <v>1w</v>
      </c>
      <c r="X1533" s="234">
        <f>_xll.qlCalendarAdvance(Calendar,X1532,W1533,"f",FALSE)</f>
        <v>49564</v>
      </c>
      <c r="Y1533" s="237">
        <f>_xll.qlCalendarAdvance(Calendar,X1533,NDays&amp;"D")</f>
        <v>49564</v>
      </c>
      <c r="Z1533" s="238">
        <v>3.5795256842513778E-2</v>
      </c>
      <c r="AA1533" s="240">
        <v>3.5472585684050983E-2</v>
      </c>
    </row>
    <row r="1534" spans="19:27" x14ac:dyDescent="0.2">
      <c r="S1534" s="199"/>
      <c r="T1534" s="200"/>
      <c r="W1534" s="233" t="str">
        <f t="shared" si="30"/>
        <v>1w</v>
      </c>
      <c r="X1534" s="234">
        <f>_xll.qlCalendarAdvance(Calendar,X1533,W1534,"f",FALSE)</f>
        <v>49571</v>
      </c>
      <c r="Y1534" s="237">
        <f>_xll.qlCalendarAdvance(Calendar,X1534,NDays&amp;"D")</f>
        <v>49571</v>
      </c>
      <c r="Z1534" s="238">
        <v>3.5783775005622513E-2</v>
      </c>
      <c r="AA1534" s="240">
        <v>3.5459960212895769E-2</v>
      </c>
    </row>
    <row r="1535" spans="19:27" x14ac:dyDescent="0.2">
      <c r="S1535" s="199"/>
      <c r="T1535" s="200"/>
      <c r="W1535" s="233" t="str">
        <f t="shared" si="30"/>
        <v>1w</v>
      </c>
      <c r="X1535" s="234">
        <f>_xll.qlCalendarAdvance(Calendar,X1534,W1535,"f",FALSE)</f>
        <v>49578</v>
      </c>
      <c r="Y1535" s="237">
        <f>_xll.qlCalendarAdvance(Calendar,X1535,NDays&amp;"D")</f>
        <v>49578</v>
      </c>
      <c r="Z1535" s="238">
        <v>3.577235389327163E-2</v>
      </c>
      <c r="AA1535" s="240">
        <v>3.544739397846719E-2</v>
      </c>
    </row>
    <row r="1536" spans="19:27" x14ac:dyDescent="0.2">
      <c r="S1536" s="199"/>
      <c r="T1536" s="200"/>
      <c r="W1536" s="233" t="str">
        <f t="shared" si="30"/>
        <v>1w</v>
      </c>
      <c r="X1536" s="234">
        <f>_xll.qlCalendarAdvance(Calendar,X1535,W1536,"f",FALSE)</f>
        <v>49585</v>
      </c>
      <c r="Y1536" s="237">
        <f>_xll.qlCalendarAdvance(Calendar,X1536,NDays&amp;"D")</f>
        <v>49585</v>
      </c>
      <c r="Z1536" s="238">
        <v>3.5760993440270013E-2</v>
      </c>
      <c r="AA1536" s="240">
        <v>3.5434886980603153E-2</v>
      </c>
    </row>
    <row r="1537" spans="19:27" x14ac:dyDescent="0.2">
      <c r="S1537" s="199"/>
      <c r="T1537" s="200"/>
      <c r="W1537" s="233" t="str">
        <f t="shared" si="30"/>
        <v>1w</v>
      </c>
      <c r="X1537" s="234">
        <f>_xll.qlCalendarAdvance(Calendar,X1536,W1537,"f",FALSE)</f>
        <v>49592</v>
      </c>
      <c r="Y1537" s="237">
        <f>_xll.qlCalendarAdvance(Calendar,X1537,NDays&amp;"D")</f>
        <v>49592</v>
      </c>
      <c r="Z1537" s="238">
        <v>3.5749693581440964E-2</v>
      </c>
      <c r="AA1537" s="240">
        <v>3.5422439219546797E-2</v>
      </c>
    </row>
    <row r="1538" spans="19:27" x14ac:dyDescent="0.2">
      <c r="S1538" s="199"/>
      <c r="T1538" s="200"/>
      <c r="W1538" s="233" t="str">
        <f t="shared" si="30"/>
        <v>1w</v>
      </c>
      <c r="X1538" s="234">
        <f>_xll.qlCalendarAdvance(Calendar,X1537,W1538,"f",FALSE)</f>
        <v>49599</v>
      </c>
      <c r="Y1538" s="237">
        <f>_xll.qlCalendarAdvance(Calendar,X1538,NDays&amp;"D")</f>
        <v>49599</v>
      </c>
      <c r="Z1538" s="238">
        <v>3.5738454251619284E-2</v>
      </c>
      <c r="AA1538" s="240">
        <v>3.5410050694973938E-2</v>
      </c>
    </row>
    <row r="1539" spans="19:27" x14ac:dyDescent="0.2">
      <c r="S1539" s="199"/>
      <c r="T1539" s="200"/>
      <c r="W1539" s="233" t="str">
        <f t="shared" si="30"/>
        <v>1w</v>
      </c>
      <c r="X1539" s="234">
        <f>_xll.qlCalendarAdvance(Calendar,X1538,W1539,"f",FALSE)</f>
        <v>49606</v>
      </c>
      <c r="Y1539" s="237">
        <f>_xll.qlCalendarAdvance(Calendar,X1539,NDays&amp;"D")</f>
        <v>49606</v>
      </c>
      <c r="Z1539" s="238">
        <v>3.5727275385655274E-2</v>
      </c>
      <c r="AA1539" s="240">
        <v>3.5397721407046667E-2</v>
      </c>
    </row>
    <row r="1540" spans="19:27" x14ac:dyDescent="0.2">
      <c r="S1540" s="199"/>
      <c r="T1540" s="200"/>
      <c r="W1540" s="233" t="str">
        <f t="shared" si="30"/>
        <v>1w</v>
      </c>
      <c r="X1540" s="234">
        <f>_xll.qlCalendarAdvance(Calendar,X1539,W1540,"f",FALSE)</f>
        <v>49613</v>
      </c>
      <c r="Y1540" s="237">
        <f>_xll.qlCalendarAdvance(Calendar,X1540,NDays&amp;"D")</f>
        <v>49613</v>
      </c>
      <c r="Z1540" s="238">
        <v>3.5716156918411207E-2</v>
      </c>
      <c r="AA1540" s="240">
        <v>3.5385451355764985E-2</v>
      </c>
    </row>
    <row r="1541" spans="19:27" x14ac:dyDescent="0.2">
      <c r="S1541" s="199"/>
      <c r="T1541" s="200"/>
      <c r="W1541" s="233" t="str">
        <f t="shared" si="30"/>
        <v>1w</v>
      </c>
      <c r="X1541" s="234">
        <f>_xll.qlCalendarAdvance(Calendar,X1540,W1541,"f",FALSE)</f>
        <v>49620</v>
      </c>
      <c r="Y1541" s="237">
        <f>_xll.qlCalendarAdvance(Calendar,X1541,NDays&amp;"D")</f>
        <v>49620</v>
      </c>
      <c r="Z1541" s="238">
        <v>3.570509878476328E-2</v>
      </c>
      <c r="AA1541" s="240">
        <v>3.5373240541209938E-2</v>
      </c>
    </row>
    <row r="1542" spans="19:27" x14ac:dyDescent="0.2">
      <c r="S1542" s="199"/>
      <c r="T1542" s="200"/>
      <c r="W1542" s="233" t="str">
        <f t="shared" si="30"/>
        <v>1w</v>
      </c>
      <c r="X1542" s="234">
        <f>_xll.qlCalendarAdvance(Calendar,X1541,W1542,"f",FALSE)</f>
        <v>49627</v>
      </c>
      <c r="Y1542" s="237">
        <f>_xll.qlCalendarAdvance(Calendar,X1542,NDays&amp;"D")</f>
        <v>49627</v>
      </c>
      <c r="Z1542" s="238">
        <v>3.5694100919600562E-2</v>
      </c>
      <c r="AA1542" s="240">
        <v>3.5361088963219434E-2</v>
      </c>
    </row>
    <row r="1543" spans="19:27" x14ac:dyDescent="0.2">
      <c r="S1543" s="199"/>
      <c r="T1543" s="200"/>
      <c r="W1543" s="233" t="str">
        <f t="shared" si="30"/>
        <v>1w</v>
      </c>
      <c r="X1543" s="234">
        <f>_xll.qlCalendarAdvance(Calendar,X1542,W1543,"f",FALSE)</f>
        <v>49634</v>
      </c>
      <c r="Y1543" s="237">
        <f>_xll.qlCalendarAdvance(Calendar,X1543,NDays&amp;"D")</f>
        <v>49634</v>
      </c>
      <c r="Z1543" s="238">
        <v>3.5683163257826278E-2</v>
      </c>
      <c r="AA1543" s="240">
        <v>3.5348996621955564E-2</v>
      </c>
    </row>
    <row r="1544" spans="19:27" x14ac:dyDescent="0.2">
      <c r="S1544" s="199"/>
      <c r="T1544" s="200"/>
      <c r="W1544" s="233" t="str">
        <f t="shared" si="30"/>
        <v>1w</v>
      </c>
      <c r="X1544" s="234">
        <f>_xll.qlCalendarAdvance(Calendar,X1543,W1544,"f",FALSE)</f>
        <v>49641</v>
      </c>
      <c r="Y1544" s="237">
        <f>_xll.qlCalendarAdvance(Calendar,X1544,NDays&amp;"D")</f>
        <v>49641</v>
      </c>
      <c r="Z1544" s="238">
        <v>3.5672285734355394E-2</v>
      </c>
      <c r="AA1544" s="240">
        <v>3.5336963517175191E-2</v>
      </c>
    </row>
    <row r="1545" spans="19:27" x14ac:dyDescent="0.2">
      <c r="S1545" s="199"/>
      <c r="T1545" s="200"/>
      <c r="W1545" s="233" t="str">
        <f t="shared" si="30"/>
        <v>1w</v>
      </c>
      <c r="X1545" s="234">
        <f>_xll.qlCalendarAdvance(Calendar,X1544,W1545,"f",FALSE)</f>
        <v>49648</v>
      </c>
      <c r="Y1545" s="237">
        <f>_xll.qlCalendarAdvance(Calendar,X1545,NDays&amp;"D")</f>
        <v>49648</v>
      </c>
      <c r="Z1545" s="238">
        <v>3.5661468284117266E-2</v>
      </c>
      <c r="AA1545" s="240">
        <v>3.5324989649040406E-2</v>
      </c>
    </row>
    <row r="1546" spans="19:27" x14ac:dyDescent="0.2">
      <c r="S1546" s="199"/>
      <c r="T1546" s="200"/>
      <c r="W1546" s="233" t="str">
        <f t="shared" si="30"/>
        <v>1w</v>
      </c>
      <c r="X1546" s="234">
        <f>_xll.qlCalendarAdvance(Calendar,X1545,W1546,"f",FALSE)</f>
        <v>49655</v>
      </c>
      <c r="Y1546" s="237">
        <f>_xll.qlCalendarAdvance(Calendar,X1546,NDays&amp;"D")</f>
        <v>49655</v>
      </c>
      <c r="Z1546" s="238">
        <v>3.565071084205388E-2</v>
      </c>
      <c r="AA1546" s="240">
        <v>3.5313075017470164E-2</v>
      </c>
    </row>
    <row r="1547" spans="19:27" x14ac:dyDescent="0.2">
      <c r="S1547" s="199"/>
      <c r="T1547" s="200"/>
      <c r="W1547" s="233" t="str">
        <f t="shared" si="30"/>
        <v>1w</v>
      </c>
      <c r="X1547" s="234">
        <f>_xll.qlCalendarAdvance(Calendar,X1546,W1547,"f",FALSE)</f>
        <v>49662</v>
      </c>
      <c r="Y1547" s="237">
        <f>_xll.qlCalendarAdvance(Calendar,X1547,NDays&amp;"D")</f>
        <v>49662</v>
      </c>
      <c r="Z1547" s="238">
        <v>3.5640013343120273E-2</v>
      </c>
      <c r="AA1547" s="240">
        <v>3.5301219622464464E-2</v>
      </c>
    </row>
    <row r="1548" spans="19:27" x14ac:dyDescent="0.2">
      <c r="S1548" s="199"/>
      <c r="T1548" s="200"/>
      <c r="W1548" s="233" t="str">
        <f t="shared" si="30"/>
        <v>1w</v>
      </c>
      <c r="X1548" s="234">
        <f>_xll.qlCalendarAdvance(Calendar,X1547,W1548,"f",FALSE)</f>
        <v>49670</v>
      </c>
      <c r="Y1548" s="237">
        <f>_xll.qlCalendarAdvance(Calendar,X1548,NDays&amp;"D")</f>
        <v>49670</v>
      </c>
      <c r="Z1548" s="238">
        <v>3.5629858802356008E-2</v>
      </c>
      <c r="AA1548" s="240">
        <v>3.5287743134239102E-2</v>
      </c>
    </row>
    <row r="1549" spans="19:27" x14ac:dyDescent="0.2">
      <c r="S1549" s="199"/>
      <c r="T1549" s="200"/>
      <c r="W1549" s="233" t="str">
        <f t="shared" si="30"/>
        <v>1w</v>
      </c>
      <c r="X1549" s="234">
        <f>_xll.qlCalendarAdvance(Calendar,X1548,W1549,"f",FALSE)</f>
        <v>49677</v>
      </c>
      <c r="Y1549" s="237">
        <f>_xll.qlCalendarAdvance(Calendar,X1549,NDays&amp;"D")</f>
        <v>49677</v>
      </c>
      <c r="Z1549" s="238">
        <v>3.5619295927926203E-2</v>
      </c>
      <c r="AA1549" s="240">
        <v>3.5276014674809897E-2</v>
      </c>
    </row>
    <row r="1550" spans="19:27" x14ac:dyDescent="0.2">
      <c r="S1550" s="199"/>
      <c r="T1550" s="200"/>
      <c r="W1550" s="233" t="str">
        <f t="shared" si="30"/>
        <v>1w</v>
      </c>
      <c r="X1550" s="234">
        <f>_xll.qlCalendarAdvance(Calendar,X1549,W1550,"f",FALSE)</f>
        <v>49684</v>
      </c>
      <c r="Y1550" s="237">
        <f>_xll.qlCalendarAdvance(Calendar,X1550,NDays&amp;"D")</f>
        <v>49684</v>
      </c>
      <c r="Z1550" s="238">
        <v>3.5608792795439562E-2</v>
      </c>
      <c r="AA1550" s="240">
        <v>3.5264345451945234E-2</v>
      </c>
    </row>
    <row r="1551" spans="19:27" x14ac:dyDescent="0.2">
      <c r="S1551" s="199"/>
      <c r="T1551" s="200"/>
      <c r="W1551" s="233" t="str">
        <f t="shared" si="30"/>
        <v>1w</v>
      </c>
      <c r="X1551" s="234">
        <f>_xll.qlCalendarAdvance(Calendar,X1550,W1551,"f",FALSE)</f>
        <v>49691</v>
      </c>
      <c r="Y1551" s="237">
        <f>_xll.qlCalendarAdvance(Calendar,X1551,NDays&amp;"D")</f>
        <v>49691</v>
      </c>
      <c r="Z1551" s="238">
        <v>3.5598349340228194E-2</v>
      </c>
      <c r="AA1551" s="240">
        <v>3.5252735465726159E-2</v>
      </c>
    </row>
    <row r="1552" spans="19:27" x14ac:dyDescent="0.2">
      <c r="S1552" s="199"/>
      <c r="T1552" s="200"/>
      <c r="W1552" s="233" t="str">
        <f t="shared" si="30"/>
        <v>1w</v>
      </c>
      <c r="X1552" s="234">
        <f>_xll.qlCalendarAdvance(Calendar,X1551,W1552,"f",FALSE)</f>
        <v>49698</v>
      </c>
      <c r="Y1552" s="237">
        <f>_xll.qlCalendarAdvance(Calendar,X1552,NDays&amp;"D")</f>
        <v>49698</v>
      </c>
      <c r="Z1552" s="238">
        <v>3.5587965497636549E-2</v>
      </c>
      <c r="AA1552" s="240">
        <v>3.5241184715909535E-2</v>
      </c>
    </row>
    <row r="1553" spans="19:27" x14ac:dyDescent="0.2">
      <c r="S1553" s="199"/>
      <c r="T1553" s="200"/>
      <c r="W1553" s="233" t="str">
        <f t="shared" si="30"/>
        <v>1w</v>
      </c>
      <c r="X1553" s="234">
        <f>_xll.qlCalendarAdvance(Calendar,X1552,W1553,"f",FALSE)</f>
        <v>49705</v>
      </c>
      <c r="Y1553" s="237">
        <f>_xll.qlCalendarAdvance(Calendar,X1553,NDays&amp;"D")</f>
        <v>49705</v>
      </c>
      <c r="Z1553" s="238">
        <v>3.5574596971597483E-2</v>
      </c>
      <c r="AA1553" s="240">
        <v>3.5229693202900592E-2</v>
      </c>
    </row>
    <row r="1554" spans="19:27" x14ac:dyDescent="0.2">
      <c r="S1554" s="199"/>
      <c r="T1554" s="200"/>
      <c r="W1554" s="233" t="str">
        <f t="shared" si="30"/>
        <v>1w</v>
      </c>
      <c r="X1554" s="234">
        <f>_xll.qlCalendarAdvance(Calendar,X1553,W1554,"f",FALSE)</f>
        <v>49712</v>
      </c>
      <c r="Y1554" s="237">
        <f>_xll.qlCalendarAdvance(Calendar,X1554,NDays&amp;"D")</f>
        <v>49712</v>
      </c>
      <c r="Z1554" s="238">
        <v>3.5567376391757194E-2</v>
      </c>
      <c r="AA1554" s="240">
        <v>3.5218260926213052E-2</v>
      </c>
    </row>
    <row r="1555" spans="19:27" x14ac:dyDescent="0.2">
      <c r="S1555" s="199"/>
      <c r="T1555" s="200"/>
      <c r="W1555" s="233" t="str">
        <f t="shared" si="30"/>
        <v>1w</v>
      </c>
      <c r="X1555" s="234">
        <f>_xll.qlCalendarAdvance(Calendar,X1554,W1555,"f",FALSE)</f>
        <v>49719</v>
      </c>
      <c r="Y1555" s="237">
        <f>_xll.qlCalendarAdvance(Calendar,X1555,NDays&amp;"D")</f>
        <v>49719</v>
      </c>
      <c r="Z1555" s="238">
        <v>3.555717099922312E-2</v>
      </c>
      <c r="AA1555" s="240">
        <v>3.5206887886171101E-2</v>
      </c>
    </row>
    <row r="1556" spans="19:27" x14ac:dyDescent="0.2">
      <c r="S1556" s="199"/>
      <c r="T1556" s="200"/>
      <c r="W1556" s="233" t="str">
        <f t="shared" si="30"/>
        <v>1w</v>
      </c>
      <c r="X1556" s="234">
        <f>_xll.qlCalendarAdvance(Calendar,X1555,W1556,"f",FALSE)</f>
        <v>49726</v>
      </c>
      <c r="Y1556" s="237">
        <f>_xll.qlCalendarAdvance(Calendar,X1556,NDays&amp;"D")</f>
        <v>49726</v>
      </c>
      <c r="Z1556" s="238">
        <v>3.554702496081695E-2</v>
      </c>
      <c r="AA1556" s="240">
        <v>3.5195574082693692E-2</v>
      </c>
    </row>
    <row r="1557" spans="19:27" x14ac:dyDescent="0.2">
      <c r="S1557" s="199"/>
      <c r="T1557" s="200"/>
      <c r="W1557" s="233" t="str">
        <f t="shared" ref="W1557:W1620" si="31">W1556</f>
        <v>1w</v>
      </c>
      <c r="X1557" s="234">
        <f>_xll.qlCalendarAdvance(Calendar,X1556,W1557,"f",FALSE)</f>
        <v>49733</v>
      </c>
      <c r="Y1557" s="237">
        <f>_xll.qlCalendarAdvance(Calendar,X1557,NDays&amp;"D")</f>
        <v>49733</v>
      </c>
      <c r="Z1557" s="238">
        <v>3.5533855461567176E-2</v>
      </c>
      <c r="AA1557" s="240">
        <v>3.5184319515618734E-2</v>
      </c>
    </row>
    <row r="1558" spans="19:27" x14ac:dyDescent="0.2">
      <c r="S1558" s="199"/>
      <c r="T1558" s="200"/>
      <c r="W1558" s="233" t="str">
        <f t="shared" si="31"/>
        <v>1w</v>
      </c>
      <c r="X1558" s="234">
        <f>_xll.qlCalendarAdvance(Calendar,X1557,W1558,"f",FALSE)</f>
        <v>49740</v>
      </c>
      <c r="Y1558" s="237">
        <f>_xll.qlCalendarAdvance(Calendar,X1558,NDays&amp;"D")</f>
        <v>49740</v>
      </c>
      <c r="Z1558" s="238">
        <v>3.5523818287670483E-2</v>
      </c>
      <c r="AA1558" s="240">
        <v>3.5173124185189364E-2</v>
      </c>
    </row>
    <row r="1559" spans="19:27" x14ac:dyDescent="0.2">
      <c r="S1559" s="199"/>
      <c r="T1559" s="200"/>
      <c r="W1559" s="233" t="str">
        <f t="shared" si="31"/>
        <v>1w</v>
      </c>
      <c r="X1559" s="234">
        <f>_xll.qlCalendarAdvance(Calendar,X1558,W1559,"f",FALSE)</f>
        <v>49747</v>
      </c>
      <c r="Y1559" s="237">
        <f>_xll.qlCalendarAdvance(Calendar,X1559,NDays&amp;"D")</f>
        <v>49747</v>
      </c>
      <c r="Z1559" s="238">
        <v>3.5513840265096075E-2</v>
      </c>
      <c r="AA1559" s="240">
        <v>3.516198809124349E-2</v>
      </c>
    </row>
    <row r="1560" spans="19:27" x14ac:dyDescent="0.2">
      <c r="S1560" s="199"/>
      <c r="T1560" s="200"/>
      <c r="W1560" s="233" t="str">
        <f t="shared" si="31"/>
        <v>1w</v>
      </c>
      <c r="X1560" s="234">
        <f>_xll.qlCalendarAdvance(Calendar,X1559,W1560,"f",FALSE)</f>
        <v>49754</v>
      </c>
      <c r="Y1560" s="237">
        <f>_xll.qlCalendarAdvance(Calendar,X1560,NDays&amp;"D")</f>
        <v>49754</v>
      </c>
      <c r="Z1560" s="238">
        <v>3.5503921328804422E-2</v>
      </c>
      <c r="AA1560" s="240">
        <v>3.5150911233862159E-2</v>
      </c>
    </row>
    <row r="1561" spans="19:27" x14ac:dyDescent="0.2">
      <c r="S1561" s="199"/>
      <c r="T1561" s="200"/>
      <c r="W1561" s="233" t="str">
        <f t="shared" si="31"/>
        <v>1w</v>
      </c>
      <c r="X1561" s="234">
        <f>_xll.qlCalendarAdvance(Calendar,X1560,W1561,"f",FALSE)</f>
        <v>49761</v>
      </c>
      <c r="Y1561" s="237">
        <f>_xll.qlCalendarAdvance(Calendar,X1561,NDays&amp;"D")</f>
        <v>49761</v>
      </c>
      <c r="Z1561" s="238">
        <v>3.5494061413769318E-2</v>
      </c>
      <c r="AA1561" s="240">
        <v>3.5139893612964324E-2</v>
      </c>
    </row>
    <row r="1562" spans="19:27" x14ac:dyDescent="0.2">
      <c r="S1562" s="199"/>
      <c r="T1562" s="200"/>
      <c r="W1562" s="233" t="str">
        <f t="shared" si="31"/>
        <v>1w</v>
      </c>
      <c r="X1562" s="234">
        <f>_xll.qlCalendarAdvance(Calendar,X1561,W1562,"f",FALSE)</f>
        <v>49768</v>
      </c>
      <c r="Y1562" s="237">
        <f>_xll.qlCalendarAdvance(Calendar,X1562,NDays&amp;"D")</f>
        <v>49768</v>
      </c>
      <c r="Z1562" s="238">
        <v>3.5488436005851109E-2</v>
      </c>
      <c r="AA1562" s="240">
        <v>3.5128935228631031E-2</v>
      </c>
    </row>
    <row r="1563" spans="19:27" x14ac:dyDescent="0.2">
      <c r="S1563" s="199"/>
      <c r="T1563" s="200"/>
      <c r="W1563" s="233" t="str">
        <f t="shared" si="31"/>
        <v>1w</v>
      </c>
      <c r="X1563" s="234">
        <f>_xll.qlCalendarAdvance(Calendar,X1562,W1563,"f",FALSE)</f>
        <v>49775</v>
      </c>
      <c r="Y1563" s="237">
        <f>_xll.qlCalendarAdvance(Calendar,X1563,NDays&amp;"D")</f>
        <v>49775</v>
      </c>
      <c r="Z1563" s="238">
        <v>3.5474518387424325E-2</v>
      </c>
      <c r="AA1563" s="240">
        <v>3.5121691263020338E-2</v>
      </c>
    </row>
    <row r="1564" spans="19:27" x14ac:dyDescent="0.2">
      <c r="S1564" s="199"/>
      <c r="T1564" s="200"/>
      <c r="W1564" s="233" t="str">
        <f t="shared" si="31"/>
        <v>1w</v>
      </c>
      <c r="X1564" s="234">
        <f>_xll.qlCalendarAdvance(Calendar,X1563,W1564,"f",FALSE)</f>
        <v>49782</v>
      </c>
      <c r="Y1564" s="237">
        <f>_xll.qlCalendarAdvance(Calendar,X1564,NDays&amp;"D")</f>
        <v>49782</v>
      </c>
      <c r="Z1564" s="238">
        <v>3.5464835146123752E-2</v>
      </c>
      <c r="AA1564" s="240">
        <v>3.5107196169252841E-2</v>
      </c>
    </row>
    <row r="1565" spans="19:27" x14ac:dyDescent="0.2">
      <c r="S1565" s="199"/>
      <c r="T1565" s="200"/>
      <c r="W1565" s="233" t="str">
        <f t="shared" si="31"/>
        <v>1w</v>
      </c>
      <c r="X1565" s="234">
        <f>_xll.qlCalendarAdvance(Calendar,X1564,W1565,"f",FALSE)</f>
        <v>49789</v>
      </c>
      <c r="Y1565" s="237">
        <f>_xll.qlCalendarAdvance(Calendar,X1565,NDays&amp;"D")</f>
        <v>49789</v>
      </c>
      <c r="Z1565" s="238">
        <v>3.5455210666098136E-2</v>
      </c>
      <c r="AA1565" s="240">
        <v>3.5096415494370037E-2</v>
      </c>
    </row>
    <row r="1566" spans="19:27" x14ac:dyDescent="0.2">
      <c r="S1566" s="199"/>
      <c r="T1566" s="200"/>
      <c r="W1566" s="233" t="str">
        <f t="shared" si="31"/>
        <v>1w</v>
      </c>
      <c r="X1566" s="234">
        <f>_xll.qlCalendarAdvance(Calendar,X1565,W1566,"f",FALSE)</f>
        <v>49796</v>
      </c>
      <c r="Y1566" s="237">
        <f>_xll.qlCalendarAdvance(Calendar,X1566,NDays&amp;"D")</f>
        <v>49796</v>
      </c>
      <c r="Z1566" s="238">
        <v>3.5445644882382998E-2</v>
      </c>
      <c r="AA1566" s="240">
        <v>3.5085694056051775E-2</v>
      </c>
    </row>
    <row r="1567" spans="19:27" x14ac:dyDescent="0.2">
      <c r="S1567" s="199"/>
      <c r="T1567" s="200"/>
      <c r="W1567" s="233" t="str">
        <f t="shared" si="31"/>
        <v>1w</v>
      </c>
      <c r="X1567" s="234">
        <f>_xll.qlCalendarAdvance(Calendar,X1566,W1567,"f",FALSE)</f>
        <v>49803</v>
      </c>
      <c r="Y1567" s="237">
        <f>_xll.qlCalendarAdvance(Calendar,X1567,NDays&amp;"D")</f>
        <v>49803</v>
      </c>
      <c r="Z1567" s="238">
        <v>3.5436137730026296E-2</v>
      </c>
      <c r="AA1567" s="240">
        <v>3.5075031854054917E-2</v>
      </c>
    </row>
    <row r="1568" spans="19:27" x14ac:dyDescent="0.2">
      <c r="S1568" s="199"/>
      <c r="T1568" s="200"/>
      <c r="W1568" s="233" t="str">
        <f t="shared" si="31"/>
        <v>1w</v>
      </c>
      <c r="X1568" s="234">
        <f>_xll.qlCalendarAdvance(Calendar,X1567,W1568,"f",FALSE)</f>
        <v>49810</v>
      </c>
      <c r="Y1568" s="237">
        <f>_xll.qlCalendarAdvance(Calendar,X1568,NDays&amp;"D")</f>
        <v>49810</v>
      </c>
      <c r="Z1568" s="238">
        <v>3.5426689144087975E-2</v>
      </c>
      <c r="AA1568" s="240">
        <v>3.5064428888541554E-2</v>
      </c>
    </row>
    <row r="1569" spans="19:27" x14ac:dyDescent="0.2">
      <c r="S1569" s="199"/>
      <c r="T1569" s="200"/>
      <c r="W1569" s="233" t="str">
        <f t="shared" si="31"/>
        <v>1w</v>
      </c>
      <c r="X1569" s="234">
        <f>_xll.qlCalendarAdvance(Calendar,X1568,W1569,"f",FALSE)</f>
        <v>49817</v>
      </c>
      <c r="Y1569" s="237">
        <f>_xll.qlCalendarAdvance(Calendar,X1569,NDays&amp;"D")</f>
        <v>49817</v>
      </c>
      <c r="Z1569" s="238">
        <v>3.5417299059641083E-2</v>
      </c>
      <c r="AA1569" s="240">
        <v>3.5053885159673781E-2</v>
      </c>
    </row>
    <row r="1570" spans="19:27" x14ac:dyDescent="0.2">
      <c r="S1570" s="199"/>
      <c r="T1570" s="200"/>
      <c r="W1570" s="233" t="str">
        <f t="shared" si="31"/>
        <v>1w</v>
      </c>
      <c r="X1570" s="234">
        <f>_xll.qlCalendarAdvance(Calendar,X1569,W1570,"f",FALSE)</f>
        <v>49824</v>
      </c>
      <c r="Y1570" s="237">
        <f>_xll.qlCalendarAdvance(Calendar,X1570,NDays&amp;"D")</f>
        <v>49824</v>
      </c>
      <c r="Z1570" s="238">
        <v>3.5407967411770214E-2</v>
      </c>
      <c r="AA1570" s="240">
        <v>3.5043400667127411E-2</v>
      </c>
    </row>
    <row r="1571" spans="19:27" x14ac:dyDescent="0.2">
      <c r="S1571" s="199"/>
      <c r="T1571" s="200"/>
      <c r="W1571" s="233" t="str">
        <f t="shared" si="31"/>
        <v>1w</v>
      </c>
      <c r="X1571" s="234">
        <f>_xll.qlCalendarAdvance(Calendar,X1570,W1571,"f",FALSE)</f>
        <v>49831</v>
      </c>
      <c r="Y1571" s="237">
        <f>_xll.qlCalendarAdvance(Calendar,X1571,NDays&amp;"D")</f>
        <v>49831</v>
      </c>
      <c r="Z1571" s="238">
        <v>3.5398694135571951E-2</v>
      </c>
      <c r="AA1571" s="240">
        <v>3.5032975411145584E-2</v>
      </c>
    </row>
    <row r="1572" spans="19:27" x14ac:dyDescent="0.2">
      <c r="S1572" s="199"/>
      <c r="T1572" s="200"/>
      <c r="W1572" s="233" t="str">
        <f t="shared" si="31"/>
        <v>1w</v>
      </c>
      <c r="X1572" s="234">
        <f>_xll.qlCalendarAdvance(Calendar,X1571,W1572,"f",FALSE)</f>
        <v>49838</v>
      </c>
      <c r="Y1572" s="237">
        <f>_xll.qlCalendarAdvance(Calendar,X1572,NDays&amp;"D")</f>
        <v>49838</v>
      </c>
      <c r="Z1572" s="238">
        <v>3.5389479166155535E-2</v>
      </c>
      <c r="AA1572" s="240">
        <v>3.502260939148516E-2</v>
      </c>
    </row>
    <row r="1573" spans="19:27" x14ac:dyDescent="0.2">
      <c r="S1573" s="199"/>
      <c r="T1573" s="200"/>
      <c r="W1573" s="233" t="str">
        <f t="shared" si="31"/>
        <v>1w</v>
      </c>
      <c r="X1573" s="234">
        <f>_xll.qlCalendarAdvance(Calendar,X1572,W1573,"f",FALSE)</f>
        <v>49845</v>
      </c>
      <c r="Y1573" s="237">
        <f>_xll.qlCalendarAdvance(Calendar,X1573,NDays&amp;"D")</f>
        <v>49845</v>
      </c>
      <c r="Z1573" s="238">
        <v>3.5380322438641976E-2</v>
      </c>
      <c r="AA1573" s="240">
        <v>3.5012302608308232E-2</v>
      </c>
    </row>
    <row r="1574" spans="19:27" x14ac:dyDescent="0.2">
      <c r="S1574" s="199"/>
      <c r="T1574" s="200"/>
      <c r="W1574" s="233" t="str">
        <f t="shared" si="31"/>
        <v>1w</v>
      </c>
      <c r="X1574" s="234">
        <f>_xll.qlCalendarAdvance(Calendar,X1573,W1574,"f",FALSE)</f>
        <v>49852</v>
      </c>
      <c r="Y1574" s="237">
        <f>_xll.qlCalendarAdvance(Calendar,X1574,NDays&amp;"D")</f>
        <v>49852</v>
      </c>
      <c r="Z1574" s="238">
        <v>3.537122388816516E-2</v>
      </c>
      <c r="AA1574" s="240">
        <v>3.5002055061614801E-2</v>
      </c>
    </row>
    <row r="1575" spans="19:27" x14ac:dyDescent="0.2">
      <c r="S1575" s="199"/>
      <c r="T1575" s="200"/>
      <c r="W1575" s="233" t="str">
        <f t="shared" si="31"/>
        <v>1w</v>
      </c>
      <c r="X1575" s="234">
        <f>_xll.qlCalendarAdvance(Calendar,X1574,W1575,"f",FALSE)</f>
        <v>49859</v>
      </c>
      <c r="Y1575" s="237">
        <f>_xll.qlCalendarAdvance(Calendar,X1575,NDays&amp;"D")</f>
        <v>49859</v>
      </c>
      <c r="Z1575" s="238">
        <v>3.5362183464747954E-2</v>
      </c>
      <c r="AA1575" s="240">
        <v>3.4991865373618092E-2</v>
      </c>
    </row>
    <row r="1576" spans="19:27" x14ac:dyDescent="0.2">
      <c r="S1576" s="199"/>
      <c r="T1576" s="200"/>
      <c r="W1576" s="233" t="str">
        <f t="shared" si="31"/>
        <v>1w</v>
      </c>
      <c r="X1576" s="234">
        <f>_xll.qlCalendarAdvance(Calendar,X1575,W1576,"f",FALSE)</f>
        <v>49866</v>
      </c>
      <c r="Y1576" s="237">
        <f>_xll.qlCalendarAdvance(Calendar,X1576,NDays&amp;"D")</f>
        <v>49866</v>
      </c>
      <c r="Z1576" s="238">
        <v>3.5353201297715353E-2</v>
      </c>
      <c r="AA1576" s="240">
        <v>3.4981731743712885E-2</v>
      </c>
    </row>
    <row r="1577" spans="19:27" x14ac:dyDescent="0.2">
      <c r="S1577" s="199"/>
      <c r="T1577" s="200"/>
      <c r="W1577" s="233" t="str">
        <f t="shared" si="31"/>
        <v>1w</v>
      </c>
      <c r="X1577" s="234">
        <f>_xll.qlCalendarAdvance(Calendar,X1576,W1577,"f",FALSE)</f>
        <v>49873</v>
      </c>
      <c r="Y1577" s="237">
        <f>_xll.qlCalendarAdvance(Calendar,X1577,NDays&amp;"D")</f>
        <v>49873</v>
      </c>
      <c r="Z1577" s="238">
        <v>3.5344277646762734E-2</v>
      </c>
      <c r="AA1577" s="240">
        <v>3.4971654160714793E-2</v>
      </c>
    </row>
    <row r="1578" spans="19:27" x14ac:dyDescent="0.2">
      <c r="S1578" s="199"/>
      <c r="T1578" s="200"/>
      <c r="W1578" s="233" t="str">
        <f t="shared" si="31"/>
        <v>1w</v>
      </c>
      <c r="X1578" s="234">
        <f>_xll.qlCalendarAdvance(Calendar,X1577,W1578,"f",FALSE)</f>
        <v>49880</v>
      </c>
      <c r="Y1578" s="237">
        <f>_xll.qlCalendarAdvance(Calendar,X1578,NDays&amp;"D")</f>
        <v>49880</v>
      </c>
      <c r="Z1578" s="238">
        <v>3.5335412775090225E-2</v>
      </c>
      <c r="AA1578" s="240">
        <v>3.4961632624948003E-2</v>
      </c>
    </row>
    <row r="1579" spans="19:27" x14ac:dyDescent="0.2">
      <c r="S1579" s="199"/>
      <c r="T1579" s="200"/>
      <c r="W1579" s="233" t="str">
        <f t="shared" si="31"/>
        <v>1w</v>
      </c>
      <c r="X1579" s="234">
        <f>_xll.qlCalendarAdvance(Calendar,X1578,W1579,"f",FALSE)</f>
        <v>49887</v>
      </c>
      <c r="Y1579" s="237">
        <f>_xll.qlCalendarAdvance(Calendar,X1579,NDays&amp;"D")</f>
        <v>49887</v>
      </c>
      <c r="Z1579" s="238">
        <v>3.5326606945898176E-2</v>
      </c>
      <c r="AA1579" s="240">
        <v>3.4951667136007281E-2</v>
      </c>
    </row>
    <row r="1580" spans="19:27" x14ac:dyDescent="0.2">
      <c r="S1580" s="199"/>
      <c r="T1580" s="200"/>
      <c r="W1580" s="233" t="str">
        <f t="shared" si="31"/>
        <v>1w</v>
      </c>
      <c r="X1580" s="234">
        <f>_xll.qlCalendarAdvance(Calendar,X1579,W1580,"f",FALSE)</f>
        <v>49894</v>
      </c>
      <c r="Y1580" s="237">
        <f>_xll.qlCalendarAdvance(Calendar,X1580,NDays&amp;"D")</f>
        <v>49894</v>
      </c>
      <c r="Z1580" s="238">
        <v>3.5317860422388936E-2</v>
      </c>
      <c r="AA1580" s="240">
        <v>3.4941757694378905E-2</v>
      </c>
    </row>
    <row r="1581" spans="19:27" x14ac:dyDescent="0.2">
      <c r="S1581" s="199"/>
      <c r="T1581" s="200"/>
      <c r="W1581" s="233" t="str">
        <f t="shared" si="31"/>
        <v>1w</v>
      </c>
      <c r="X1581" s="234">
        <f>_xll.qlCalendarAdvance(Calendar,X1580,W1581,"f",FALSE)</f>
        <v>49901</v>
      </c>
      <c r="Y1581" s="237">
        <f>_xll.qlCalendarAdvance(Calendar,X1581,NDays&amp;"D")</f>
        <v>49901</v>
      </c>
      <c r="Z1581" s="238">
        <v>3.5309173467765742E-2</v>
      </c>
      <c r="AA1581" s="240">
        <v>3.4931904299657646E-2</v>
      </c>
    </row>
    <row r="1582" spans="19:27" x14ac:dyDescent="0.2">
      <c r="S1582" s="199"/>
      <c r="T1582" s="200"/>
      <c r="W1582" s="233" t="str">
        <f t="shared" si="31"/>
        <v>1w</v>
      </c>
      <c r="X1582" s="234">
        <f>_xll.qlCalendarAdvance(Calendar,X1581,W1582,"f",FALSE)</f>
        <v>49908</v>
      </c>
      <c r="Y1582" s="237">
        <f>_xll.qlCalendarAdvance(Calendar,X1582,NDays&amp;"D")</f>
        <v>49908</v>
      </c>
      <c r="Z1582" s="238">
        <v>3.530054634523272E-2</v>
      </c>
      <c r="AA1582" s="240">
        <v>3.492210695208664E-2</v>
      </c>
    </row>
    <row r="1583" spans="19:27" x14ac:dyDescent="0.2">
      <c r="S1583" s="199"/>
      <c r="T1583" s="200"/>
      <c r="W1583" s="233" t="str">
        <f t="shared" si="31"/>
        <v>1w</v>
      </c>
      <c r="X1583" s="234">
        <f>_xll.qlCalendarAdvance(Calendar,X1582,W1583,"f",FALSE)</f>
        <v>49915</v>
      </c>
      <c r="Y1583" s="237">
        <f>_xll.qlCalendarAdvance(Calendar,X1583,NDays&amp;"D")</f>
        <v>49915</v>
      </c>
      <c r="Z1583" s="238">
        <v>3.5291979317996214E-2</v>
      </c>
      <c r="AA1583" s="240">
        <v>3.4912365651584842E-2</v>
      </c>
    </row>
    <row r="1584" spans="19:27" x14ac:dyDescent="0.2">
      <c r="S1584" s="199"/>
      <c r="T1584" s="200"/>
      <c r="W1584" s="233" t="str">
        <f t="shared" si="31"/>
        <v>1w</v>
      </c>
      <c r="X1584" s="234">
        <f>_xll.qlCalendarAdvance(Calendar,X1583,W1584,"f",FALSE)</f>
        <v>49922</v>
      </c>
      <c r="Y1584" s="237">
        <f>_xll.qlCalendarAdvance(Calendar,X1584,NDays&amp;"D")</f>
        <v>49922</v>
      </c>
      <c r="Z1584" s="238">
        <v>3.5283472649263681E-2</v>
      </c>
      <c r="AA1584" s="240">
        <v>3.4902680398071206E-2</v>
      </c>
    </row>
    <row r="1585" spans="19:27" x14ac:dyDescent="0.2">
      <c r="S1585" s="199"/>
      <c r="T1585" s="200"/>
      <c r="W1585" s="233" t="str">
        <f t="shared" si="31"/>
        <v>1w</v>
      </c>
      <c r="X1585" s="234">
        <f>_xll.qlCalendarAdvance(Calendar,X1584,W1585,"f",FALSE)</f>
        <v>49929</v>
      </c>
      <c r="Y1585" s="237">
        <f>_xll.qlCalendarAdvance(Calendar,X1585,NDays&amp;"D")</f>
        <v>49929</v>
      </c>
      <c r="Z1585" s="238">
        <v>3.5275026602244797E-2</v>
      </c>
      <c r="AA1585" s="240">
        <v>3.4893051191626778E-2</v>
      </c>
    </row>
    <row r="1586" spans="19:27" x14ac:dyDescent="0.2">
      <c r="S1586" s="199"/>
      <c r="T1586" s="200"/>
      <c r="W1586" s="233" t="str">
        <f t="shared" si="31"/>
        <v>1w</v>
      </c>
      <c r="X1586" s="234">
        <f>_xll.qlCalendarAdvance(Calendar,X1585,W1586,"f",FALSE)</f>
        <v>49936</v>
      </c>
      <c r="Y1586" s="237">
        <f>_xll.qlCalendarAdvance(Calendar,X1586,NDays&amp;"D")</f>
        <v>49936</v>
      </c>
      <c r="Z1586" s="238">
        <v>3.5266641440151236E-2</v>
      </c>
      <c r="AA1586" s="240">
        <v>3.4883478032251558E-2</v>
      </c>
    </row>
    <row r="1587" spans="19:27" x14ac:dyDescent="0.2">
      <c r="S1587" s="199"/>
      <c r="T1587" s="200"/>
      <c r="W1587" s="233" t="str">
        <f t="shared" si="31"/>
        <v>1w</v>
      </c>
      <c r="X1587" s="234">
        <f>_xll.qlCalendarAdvance(Calendar,X1586,W1587,"f",FALSE)</f>
        <v>49943</v>
      </c>
      <c r="Y1587" s="237">
        <f>_xll.qlCalendarAdvance(Calendar,X1587,NDays&amp;"D")</f>
        <v>49943</v>
      </c>
      <c r="Z1587" s="238">
        <v>3.525831742619645E-2</v>
      </c>
      <c r="AA1587" s="240">
        <v>3.4873960920026592E-2</v>
      </c>
    </row>
    <row r="1588" spans="19:27" x14ac:dyDescent="0.2">
      <c r="S1588" s="199"/>
      <c r="T1588" s="200"/>
      <c r="W1588" s="233" t="str">
        <f t="shared" si="31"/>
        <v>1w</v>
      </c>
      <c r="X1588" s="234">
        <f>_xll.qlCalendarAdvance(Calendar,X1587,W1588,"f",FALSE)</f>
        <v>49950</v>
      </c>
      <c r="Y1588" s="237">
        <f>_xll.qlCalendarAdvance(Calendar,X1588,NDays&amp;"D")</f>
        <v>49950</v>
      </c>
      <c r="Z1588" s="238">
        <v>3.5250054823596333E-2</v>
      </c>
      <c r="AA1588" s="240">
        <v>3.4864499854708741E-2</v>
      </c>
    </row>
    <row r="1589" spans="19:27" x14ac:dyDescent="0.2">
      <c r="S1589" s="199"/>
      <c r="T1589" s="200"/>
      <c r="W1589" s="233" t="str">
        <f t="shared" si="31"/>
        <v>1w</v>
      </c>
      <c r="X1589" s="234">
        <f>_xll.qlCalendarAdvance(Calendar,X1588,W1589,"f",FALSE)</f>
        <v>49957</v>
      </c>
      <c r="Y1589" s="237">
        <f>_xll.qlCalendarAdvance(Calendar,X1589,NDays&amp;"D")</f>
        <v>49957</v>
      </c>
      <c r="Z1589" s="238">
        <v>3.524185389556922E-2</v>
      </c>
      <c r="AA1589" s="240">
        <v>3.4855094836460099E-2</v>
      </c>
    </row>
    <row r="1590" spans="19:27" x14ac:dyDescent="0.2">
      <c r="S1590" s="199"/>
      <c r="T1590" s="200"/>
      <c r="W1590" s="233" t="str">
        <f t="shared" si="31"/>
        <v>1w</v>
      </c>
      <c r="X1590" s="234">
        <f>_xll.qlCalendarAdvance(Calendar,X1589,W1590,"f",FALSE)</f>
        <v>49964</v>
      </c>
      <c r="Y1590" s="237">
        <f>_xll.qlCalendarAdvance(Calendar,X1590,NDays&amp;"D")</f>
        <v>49964</v>
      </c>
      <c r="Z1590" s="238">
        <v>3.5233714905336111E-2</v>
      </c>
      <c r="AA1590" s="240">
        <v>3.4845745865118571E-2</v>
      </c>
    </row>
    <row r="1591" spans="19:27" x14ac:dyDescent="0.2">
      <c r="S1591" s="199"/>
      <c r="T1591" s="200"/>
      <c r="W1591" s="233" t="str">
        <f t="shared" si="31"/>
        <v>1w</v>
      </c>
      <c r="X1591" s="234">
        <f>_xll.qlCalendarAdvance(Calendar,X1590,W1591,"f",FALSE)</f>
        <v>49971</v>
      </c>
      <c r="Y1591" s="237">
        <f>_xll.qlCalendarAdvance(Calendar,X1591,NDays&amp;"D")</f>
        <v>49971</v>
      </c>
      <c r="Z1591" s="238">
        <v>3.5225638116120894E-2</v>
      </c>
      <c r="AA1591" s="240">
        <v>3.4836452940927298E-2</v>
      </c>
    </row>
    <row r="1592" spans="19:27" x14ac:dyDescent="0.2">
      <c r="S1592" s="199"/>
      <c r="T1592" s="200"/>
      <c r="W1592" s="233" t="str">
        <f t="shared" si="31"/>
        <v>1w</v>
      </c>
      <c r="X1592" s="234">
        <f>_xll.qlCalendarAdvance(Calendar,X1591,W1592,"f",FALSE)</f>
        <v>49978</v>
      </c>
      <c r="Y1592" s="237">
        <f>_xll.qlCalendarAdvance(Calendar,X1592,NDays&amp;"D")</f>
        <v>49978</v>
      </c>
      <c r="Z1592" s="238">
        <v>3.5217623791150121E-2</v>
      </c>
      <c r="AA1592" s="240">
        <v>3.4827216063724187E-2</v>
      </c>
    </row>
    <row r="1593" spans="19:27" x14ac:dyDescent="0.2">
      <c r="S1593" s="199"/>
      <c r="T1593" s="200"/>
      <c r="W1593" s="233" t="str">
        <f t="shared" si="31"/>
        <v>1w</v>
      </c>
      <c r="X1593" s="234">
        <f>_xll.qlCalendarAdvance(Calendar,X1592,W1593,"f",FALSE)</f>
        <v>49985</v>
      </c>
      <c r="Y1593" s="237">
        <f>_xll.qlCalendarAdvance(Calendar,X1593,NDays&amp;"D")</f>
        <v>49985</v>
      </c>
      <c r="Z1593" s="238">
        <v>3.5209672193653674E-2</v>
      </c>
      <c r="AA1593" s="240">
        <v>3.4818035233509237E-2</v>
      </c>
    </row>
    <row r="1594" spans="19:27" x14ac:dyDescent="0.2">
      <c r="S1594" s="199"/>
      <c r="T1594" s="200"/>
      <c r="W1594" s="233" t="str">
        <f t="shared" si="31"/>
        <v>1w</v>
      </c>
      <c r="X1594" s="234">
        <f>_xll.qlCalendarAdvance(Calendar,X1593,W1594,"f",FALSE)</f>
        <v>49992</v>
      </c>
      <c r="Y1594" s="237">
        <f>_xll.qlCalendarAdvance(Calendar,X1594,NDays&amp;"D")</f>
        <v>49992</v>
      </c>
      <c r="Z1594" s="238">
        <v>3.5201783586864543E-2</v>
      </c>
      <c r="AA1594" s="240">
        <v>3.4808910450363495E-2</v>
      </c>
    </row>
    <row r="1595" spans="19:27" x14ac:dyDescent="0.2">
      <c r="S1595" s="199"/>
      <c r="T1595" s="200"/>
      <c r="W1595" s="233" t="str">
        <f t="shared" si="31"/>
        <v>1w</v>
      </c>
      <c r="X1595" s="234">
        <f>_xll.qlCalendarAdvance(Calendar,X1594,W1595,"f",FALSE)</f>
        <v>49999</v>
      </c>
      <c r="Y1595" s="237">
        <f>_xll.qlCalendarAdvance(Calendar,X1595,NDays&amp;"D")</f>
        <v>49999</v>
      </c>
      <c r="Z1595" s="238">
        <v>3.519395823401883E-2</v>
      </c>
      <c r="AA1595" s="240">
        <v>3.4799841714205915E-2</v>
      </c>
    </row>
    <row r="1596" spans="19:27" x14ac:dyDescent="0.2">
      <c r="S1596" s="199"/>
      <c r="T1596" s="200"/>
      <c r="W1596" s="233" t="str">
        <f t="shared" si="31"/>
        <v>1w</v>
      </c>
      <c r="X1596" s="234">
        <f>_xll.qlCalendarAdvance(Calendar,X1595,W1596,"f",FALSE)</f>
        <v>50006</v>
      </c>
      <c r="Y1596" s="237">
        <f>_xll.qlCalendarAdvance(Calendar,X1596,NDays&amp;"D")</f>
        <v>50006</v>
      </c>
      <c r="Z1596" s="238">
        <v>3.518619639835685E-2</v>
      </c>
      <c r="AA1596" s="240">
        <v>3.4790829025036496E-2</v>
      </c>
    </row>
    <row r="1597" spans="19:27" x14ac:dyDescent="0.2">
      <c r="S1597" s="199"/>
      <c r="T1597" s="200"/>
      <c r="W1597" s="233" t="str">
        <f t="shared" si="31"/>
        <v>1w</v>
      </c>
      <c r="X1597" s="234">
        <f>_xll.qlCalendarAdvance(Calendar,X1596,W1597,"f",FALSE)</f>
        <v>50013</v>
      </c>
      <c r="Y1597" s="237">
        <f>_xll.qlCalendarAdvance(Calendar,X1597,NDays&amp;"D")</f>
        <v>50013</v>
      </c>
      <c r="Z1597" s="238">
        <v>3.5178498343122033E-2</v>
      </c>
      <c r="AA1597" s="240">
        <v>3.4781872382855239E-2</v>
      </c>
    </row>
    <row r="1598" spans="19:27" x14ac:dyDescent="0.2">
      <c r="S1598" s="199"/>
      <c r="T1598" s="200"/>
      <c r="W1598" s="233" t="str">
        <f t="shared" si="31"/>
        <v>1w</v>
      </c>
      <c r="X1598" s="234">
        <f>_xll.qlCalendarAdvance(Calendar,X1597,W1598,"f",FALSE)</f>
        <v>50020</v>
      </c>
      <c r="Y1598" s="237">
        <f>_xll.qlCalendarAdvance(Calendar,X1598,NDays&amp;"D")</f>
        <v>50020</v>
      </c>
      <c r="Z1598" s="238">
        <v>3.5170864331561802E-2</v>
      </c>
      <c r="AA1598" s="240">
        <v>3.477297178774319E-2</v>
      </c>
    </row>
    <row r="1599" spans="19:27" x14ac:dyDescent="0.2">
      <c r="S1599" s="199"/>
      <c r="T1599" s="200"/>
      <c r="W1599" s="233" t="str">
        <f t="shared" si="31"/>
        <v>1w</v>
      </c>
      <c r="X1599" s="234">
        <f>_xll.qlCalendarAdvance(Calendar,X1598,W1599,"f",FALSE)</f>
        <v>50027</v>
      </c>
      <c r="Y1599" s="237">
        <f>_xll.qlCalendarAdvance(Calendar,X1599,NDays&amp;"D")</f>
        <v>50027</v>
      </c>
      <c r="Z1599" s="238">
        <v>3.5163294626928021E-2</v>
      </c>
      <c r="AA1599" s="240">
        <v>3.4764127239538256E-2</v>
      </c>
    </row>
    <row r="1600" spans="19:27" x14ac:dyDescent="0.2">
      <c r="S1600" s="199"/>
      <c r="T1600" s="200"/>
      <c r="W1600" s="233" t="str">
        <f t="shared" si="31"/>
        <v>1w</v>
      </c>
      <c r="X1600" s="234">
        <f>_xll.qlCalendarAdvance(Calendar,X1599,W1600,"f",FALSE)</f>
        <v>50038</v>
      </c>
      <c r="Y1600" s="237">
        <f>_xll.qlCalendarAdvance(Calendar,X1600,NDays&amp;"D")</f>
        <v>50038</v>
      </c>
      <c r="Z1600" s="238">
        <v>3.5151529936225279E-2</v>
      </c>
      <c r="AA1600" s="240">
        <v>3.4750341901604864E-2</v>
      </c>
    </row>
    <row r="1601" spans="19:27" x14ac:dyDescent="0.2">
      <c r="S1601" s="199"/>
      <c r="T1601" s="200"/>
      <c r="W1601" s="233" t="str">
        <f t="shared" si="31"/>
        <v>1w</v>
      </c>
      <c r="X1601" s="234">
        <f>_xll.qlCalendarAdvance(Calendar,X1600,W1601,"f",FALSE)</f>
        <v>50045</v>
      </c>
      <c r="Y1601" s="237">
        <f>_xll.qlCalendarAdvance(Calendar,X1601,NDays&amp;"D")</f>
        <v>50045</v>
      </c>
      <c r="Z1601" s="238">
        <v>3.5144126801097686E-2</v>
      </c>
      <c r="AA1601" s="240">
        <v>3.4741641474191898E-2</v>
      </c>
    </row>
    <row r="1602" spans="19:27" x14ac:dyDescent="0.2">
      <c r="S1602" s="199"/>
      <c r="T1602" s="200"/>
      <c r="W1602" s="233" t="str">
        <f t="shared" si="31"/>
        <v>1w</v>
      </c>
      <c r="X1602" s="234">
        <f>_xll.qlCalendarAdvance(Calendar,X1601,W1602,"f",FALSE)</f>
        <v>50052</v>
      </c>
      <c r="Y1602" s="237">
        <f>_xll.qlCalendarAdvance(Calendar,X1602,NDays&amp;"D")</f>
        <v>50052</v>
      </c>
      <c r="Z1602" s="238">
        <v>3.5136788913116002E-2</v>
      </c>
      <c r="AA1602" s="240">
        <v>3.4732997093767093E-2</v>
      </c>
    </row>
    <row r="1603" spans="19:27" x14ac:dyDescent="0.2">
      <c r="S1603" s="199"/>
      <c r="T1603" s="200"/>
      <c r="W1603" s="233" t="str">
        <f t="shared" si="31"/>
        <v>1w</v>
      </c>
      <c r="X1603" s="234">
        <f>_xll.qlCalendarAdvance(Calendar,X1602,W1603,"f",FALSE)</f>
        <v>50059</v>
      </c>
      <c r="Y1603" s="237">
        <f>_xll.qlCalendarAdvance(Calendar,X1603,NDays&amp;"D")</f>
        <v>50059</v>
      </c>
      <c r="Z1603" s="238">
        <v>3.5129516535552741E-2</v>
      </c>
      <c r="AA1603" s="240">
        <v>3.4724408760411496E-2</v>
      </c>
    </row>
    <row r="1604" spans="19:27" x14ac:dyDescent="0.2">
      <c r="S1604" s="199"/>
      <c r="T1604" s="200"/>
      <c r="W1604" s="233" t="str">
        <f t="shared" si="31"/>
        <v>1w</v>
      </c>
      <c r="X1604" s="234">
        <f>_xll.qlCalendarAdvance(Calendar,X1603,W1604,"f",FALSE)</f>
        <v>50066</v>
      </c>
      <c r="Y1604" s="237">
        <f>_xll.qlCalendarAdvance(Calendar,X1604,NDays&amp;"D")</f>
        <v>50066</v>
      </c>
      <c r="Z1604" s="238">
        <v>3.5122309931685303E-2</v>
      </c>
      <c r="AA1604" s="240">
        <v>3.4715876473881968E-2</v>
      </c>
    </row>
    <row r="1605" spans="19:27" x14ac:dyDescent="0.2">
      <c r="S1605" s="199"/>
      <c r="T1605" s="200"/>
      <c r="W1605" s="233" t="str">
        <f t="shared" si="31"/>
        <v>1w</v>
      </c>
      <c r="X1605" s="234">
        <f>_xll.qlCalendarAdvance(Calendar,X1604,W1605,"f",FALSE)</f>
        <v>50073</v>
      </c>
      <c r="Y1605" s="237">
        <f>_xll.qlCalendarAdvance(Calendar,X1605,NDays&amp;"D")</f>
        <v>50073</v>
      </c>
      <c r="Z1605" s="238">
        <v>3.5115169364795085E-2</v>
      </c>
      <c r="AA1605" s="240">
        <v>3.4707400234421648E-2</v>
      </c>
    </row>
    <row r="1606" spans="19:27" x14ac:dyDescent="0.2">
      <c r="S1606" s="199"/>
      <c r="T1606" s="200"/>
      <c r="W1606" s="233" t="str">
        <f t="shared" si="31"/>
        <v>1w</v>
      </c>
      <c r="X1606" s="234">
        <f>_xll.qlCalendarAdvance(Calendar,X1605,W1606,"f",FALSE)</f>
        <v>50080</v>
      </c>
      <c r="Y1606" s="237">
        <f>_xll.qlCalendarAdvance(Calendar,X1606,NDays&amp;"D")</f>
        <v>50080</v>
      </c>
      <c r="Z1606" s="238">
        <v>3.5108095098170589E-2</v>
      </c>
      <c r="AA1606" s="240">
        <v>3.4698980041868444E-2</v>
      </c>
    </row>
    <row r="1607" spans="19:27" x14ac:dyDescent="0.2">
      <c r="S1607" s="199"/>
      <c r="T1607" s="200"/>
      <c r="W1607" s="233" t="str">
        <f t="shared" si="31"/>
        <v>1w</v>
      </c>
      <c r="X1607" s="234">
        <f>_xll.qlCalendarAdvance(Calendar,X1606,W1607,"f",FALSE)</f>
        <v>50087</v>
      </c>
      <c r="Y1607" s="237">
        <f>_xll.qlCalendarAdvance(Calendar,X1607,NDays&amp;"D")</f>
        <v>50087</v>
      </c>
      <c r="Z1607" s="238">
        <v>3.5101087395104313E-2</v>
      </c>
      <c r="AA1607" s="240">
        <v>3.4690615896222354E-2</v>
      </c>
    </row>
    <row r="1608" spans="19:27" x14ac:dyDescent="0.2">
      <c r="S1608" s="199"/>
      <c r="T1608" s="200"/>
      <c r="W1608" s="233" t="str">
        <f t="shared" si="31"/>
        <v>1w</v>
      </c>
      <c r="X1608" s="234">
        <f>_xll.qlCalendarAdvance(Calendar,X1607,W1608,"f",FALSE)</f>
        <v>50094</v>
      </c>
      <c r="Y1608" s="237">
        <f>_xll.qlCalendarAdvance(Calendar,X1608,NDays&amp;"D")</f>
        <v>50094</v>
      </c>
      <c r="Z1608" s="238">
        <v>3.5094146518895419E-2</v>
      </c>
      <c r="AA1608" s="240">
        <v>3.4682307797645473E-2</v>
      </c>
    </row>
    <row r="1609" spans="19:27" x14ac:dyDescent="0.2">
      <c r="S1609" s="199"/>
      <c r="T1609" s="200"/>
      <c r="W1609" s="233" t="str">
        <f t="shared" si="31"/>
        <v>1w</v>
      </c>
      <c r="X1609" s="234">
        <f>_xll.qlCalendarAdvance(Calendar,X1608,W1609,"f",FALSE)</f>
        <v>50101</v>
      </c>
      <c r="Y1609" s="237">
        <f>_xll.qlCalendarAdvance(Calendar,X1609,NDays&amp;"D")</f>
        <v>50101</v>
      </c>
      <c r="Z1609" s="238">
        <v>3.5087272732847952E-2</v>
      </c>
      <c r="AA1609" s="240">
        <v>3.4674055745975707E-2</v>
      </c>
    </row>
    <row r="1610" spans="19:27" x14ac:dyDescent="0.2">
      <c r="S1610" s="199"/>
      <c r="T1610" s="200"/>
      <c r="W1610" s="233" t="str">
        <f t="shared" si="31"/>
        <v>1w</v>
      </c>
      <c r="X1610" s="234">
        <f>_xll.qlCalendarAdvance(Calendar,X1609,W1610,"f",FALSE)</f>
        <v>50108</v>
      </c>
      <c r="Y1610" s="237">
        <f>_xll.qlCalendarAdvance(Calendar,X1610,NDays&amp;"D")</f>
        <v>50108</v>
      </c>
      <c r="Z1610" s="238">
        <v>3.5080466300272617E-2</v>
      </c>
      <c r="AA1610" s="240">
        <v>3.4665859741213056E-2</v>
      </c>
    </row>
    <row r="1611" spans="19:27" x14ac:dyDescent="0.2">
      <c r="S1611" s="199"/>
      <c r="T1611" s="200"/>
      <c r="W1611" s="233" t="str">
        <f t="shared" si="31"/>
        <v>1w</v>
      </c>
      <c r="X1611" s="234">
        <f>_xll.qlCalendarAdvance(Calendar,X1610,W1611,"f",FALSE)</f>
        <v>50115</v>
      </c>
      <c r="Y1611" s="237">
        <f>_xll.qlCalendarAdvance(Calendar,X1611,NDays&amp;"D")</f>
        <v>50115</v>
      </c>
      <c r="Z1611" s="238">
        <v>3.5073727484486117E-2</v>
      </c>
      <c r="AA1611" s="240">
        <v>3.4657719783438568E-2</v>
      </c>
    </row>
    <row r="1612" spans="19:27" x14ac:dyDescent="0.2">
      <c r="S1612" s="199"/>
      <c r="T1612" s="200"/>
      <c r="W1612" s="233" t="str">
        <f t="shared" si="31"/>
        <v>1w</v>
      </c>
      <c r="X1612" s="234">
        <f>_xll.qlCalendarAdvance(Calendar,X1611,W1612,"f",FALSE)</f>
        <v>50122</v>
      </c>
      <c r="Y1612" s="237">
        <f>_xll.qlCalendarAdvance(Calendar,X1612,NDays&amp;"D")</f>
        <v>50122</v>
      </c>
      <c r="Z1612" s="238">
        <v>3.5067056548811371E-2</v>
      </c>
      <c r="AA1612" s="240">
        <v>3.4649635872490148E-2</v>
      </c>
    </row>
    <row r="1613" spans="19:27" x14ac:dyDescent="0.2">
      <c r="S1613" s="199"/>
      <c r="T1613" s="200"/>
      <c r="W1613" s="233" t="str">
        <f t="shared" si="31"/>
        <v>1w</v>
      </c>
      <c r="X1613" s="234">
        <f>_xll.qlCalendarAdvance(Calendar,X1612,W1613,"f",FALSE)</f>
        <v>50129</v>
      </c>
      <c r="Y1613" s="237">
        <f>_xll.qlCalendarAdvance(Calendar,X1613,NDays&amp;"D")</f>
        <v>50129</v>
      </c>
      <c r="Z1613" s="238">
        <v>3.506045375657818E-2</v>
      </c>
      <c r="AA1613" s="240">
        <v>3.4641608008691982E-2</v>
      </c>
    </row>
    <row r="1614" spans="19:27" x14ac:dyDescent="0.2">
      <c r="S1614" s="199"/>
      <c r="T1614" s="200"/>
      <c r="W1614" s="233" t="str">
        <f t="shared" si="31"/>
        <v>1w</v>
      </c>
      <c r="X1614" s="234">
        <f>_xll.qlCalendarAdvance(Calendar,X1613,W1614,"f",FALSE)</f>
        <v>50137</v>
      </c>
      <c r="Y1614" s="237">
        <f>_xll.qlCalendarAdvance(Calendar,X1614,NDays&amp;"D")</f>
        <v>50137</v>
      </c>
      <c r="Z1614" s="238">
        <v>3.5052991487067198E-2</v>
      </c>
      <c r="AA1614" s="240">
        <v>3.4632501935971671E-2</v>
      </c>
    </row>
    <row r="1615" spans="19:27" x14ac:dyDescent="0.2">
      <c r="S1615" s="199"/>
      <c r="T1615" s="200"/>
      <c r="W1615" s="233" t="str">
        <f t="shared" si="31"/>
        <v>1w</v>
      </c>
      <c r="X1615" s="234">
        <f>_xll.qlCalendarAdvance(Calendar,X1614,W1615,"f",FALSE)</f>
        <v>50144</v>
      </c>
      <c r="Y1615" s="237">
        <f>_xll.qlCalendarAdvance(Calendar,X1615,NDays&amp;"D")</f>
        <v>50144</v>
      </c>
      <c r="Z1615" s="238">
        <v>3.5046535603246332E-2</v>
      </c>
      <c r="AA1615" s="240">
        <v>3.462459417246877E-2</v>
      </c>
    </row>
    <row r="1616" spans="19:27" x14ac:dyDescent="0.2">
      <c r="S1616" s="199"/>
      <c r="T1616" s="200"/>
      <c r="W1616" s="233" t="str">
        <f t="shared" si="31"/>
        <v>1w</v>
      </c>
      <c r="X1616" s="234">
        <f>_xll.qlCalendarAdvance(Calendar,X1615,W1616,"f",FALSE)</f>
        <v>50151</v>
      </c>
      <c r="Y1616" s="237">
        <f>_xll.qlCalendarAdvance(Calendar,X1616,NDays&amp;"D")</f>
        <v>50151</v>
      </c>
      <c r="Z1616" s="238">
        <v>3.5040148690517858E-2</v>
      </c>
      <c r="AA1616" s="240">
        <v>3.4616742456035077E-2</v>
      </c>
    </row>
    <row r="1617" spans="19:27" x14ac:dyDescent="0.2">
      <c r="S1617" s="199"/>
      <c r="T1617" s="200"/>
      <c r="W1617" s="233" t="str">
        <f t="shared" si="31"/>
        <v>1w</v>
      </c>
      <c r="X1617" s="234">
        <f>_xll.qlCalendarAdvance(Calendar,X1616,W1617,"f",FALSE)</f>
        <v>50158</v>
      </c>
      <c r="Y1617" s="237">
        <f>_xll.qlCalendarAdvance(Calendar,X1617,NDays&amp;"D")</f>
        <v>50158</v>
      </c>
      <c r="Z1617" s="238">
        <v>3.5033831012240002E-2</v>
      </c>
      <c r="AA1617" s="240">
        <v>3.4608946786508499E-2</v>
      </c>
    </row>
    <row r="1618" spans="19:27" x14ac:dyDescent="0.2">
      <c r="S1618" s="199"/>
      <c r="T1618" s="200"/>
      <c r="W1618" s="233" t="str">
        <f t="shared" si="31"/>
        <v>1w</v>
      </c>
      <c r="X1618" s="234">
        <f>_xll.qlCalendarAdvance(Calendar,X1617,W1618,"f",FALSE)</f>
        <v>50165</v>
      </c>
      <c r="Y1618" s="237">
        <f>_xll.qlCalendarAdvance(Calendar,X1618,NDays&amp;"D")</f>
        <v>50165</v>
      </c>
      <c r="Z1618" s="238">
        <v>3.5027582831778536E-2</v>
      </c>
      <c r="AA1618" s="240">
        <v>3.4601207163889036E-2</v>
      </c>
    </row>
    <row r="1619" spans="19:27" x14ac:dyDescent="0.2">
      <c r="S1619" s="199"/>
      <c r="T1619" s="200"/>
      <c r="W1619" s="233" t="str">
        <f t="shared" si="31"/>
        <v>1w</v>
      </c>
      <c r="X1619" s="234">
        <f>_xll.qlCalendarAdvance(Calendar,X1618,W1619,"f",FALSE)</f>
        <v>50172</v>
      </c>
      <c r="Y1619" s="237">
        <f>_xll.qlCalendarAdvance(Calendar,X1619,NDays&amp;"D")</f>
        <v>50172</v>
      </c>
      <c r="Z1619" s="238">
        <v>3.5021404412506341E-2</v>
      </c>
      <c r="AA1619" s="240">
        <v>3.4593523588095643E-2</v>
      </c>
    </row>
    <row r="1620" spans="19:27" x14ac:dyDescent="0.2">
      <c r="S1620" s="199"/>
      <c r="T1620" s="200"/>
      <c r="W1620" s="233" t="str">
        <f t="shared" si="31"/>
        <v>1w</v>
      </c>
      <c r="X1620" s="234">
        <f>_xll.qlCalendarAdvance(Calendar,X1619,W1620,"f",FALSE)</f>
        <v>50179</v>
      </c>
      <c r="Y1620" s="237">
        <f>_xll.qlCalendarAdvance(Calendar,X1620,NDays&amp;"D")</f>
        <v>50179</v>
      </c>
      <c r="Z1620" s="238">
        <v>3.5015296017804731E-2</v>
      </c>
      <c r="AA1620" s="240">
        <v>3.4585896059371457E-2</v>
      </c>
    </row>
    <row r="1621" spans="19:27" x14ac:dyDescent="0.2">
      <c r="S1621" s="199"/>
      <c r="T1621" s="200"/>
      <c r="W1621" s="233" t="str">
        <f t="shared" ref="W1621:W1684" si="32">W1620</f>
        <v>1w</v>
      </c>
      <c r="X1621" s="234">
        <f>_xll.qlCalendarAdvance(Calendar,X1620,W1621,"f",FALSE)</f>
        <v>50186</v>
      </c>
      <c r="Y1621" s="237">
        <f>_xll.qlCalendarAdvance(Calendar,X1621,NDays&amp;"D")</f>
        <v>50186</v>
      </c>
      <c r="Z1621" s="238">
        <v>3.5009257911062353E-2</v>
      </c>
      <c r="AA1621" s="240">
        <v>3.4578324577473341E-2</v>
      </c>
    </row>
    <row r="1622" spans="19:27" x14ac:dyDescent="0.2">
      <c r="S1622" s="199"/>
      <c r="T1622" s="200"/>
      <c r="W1622" s="233" t="str">
        <f t="shared" si="32"/>
        <v>1w</v>
      </c>
      <c r="X1622" s="234">
        <f>_xll.qlCalendarAdvance(Calendar,X1621,W1622,"f",FALSE)</f>
        <v>50193</v>
      </c>
      <c r="Y1622" s="237">
        <f>_xll.qlCalendarAdvance(Calendar,X1622,NDays&amp;"D")</f>
        <v>50193</v>
      </c>
      <c r="Z1622" s="238">
        <v>3.5003290355676286E-2</v>
      </c>
      <c r="AA1622" s="240">
        <v>3.4570809142482339E-2</v>
      </c>
    </row>
    <row r="1623" spans="19:27" x14ac:dyDescent="0.2">
      <c r="S1623" s="199"/>
      <c r="T1623" s="200"/>
      <c r="W1623" s="233" t="str">
        <f t="shared" si="32"/>
        <v>1w</v>
      </c>
      <c r="X1623" s="234">
        <f>_xll.qlCalendarAdvance(Calendar,X1622,W1623,"f",FALSE)</f>
        <v>50200</v>
      </c>
      <c r="Y1623" s="237">
        <f>_xll.qlCalendarAdvance(Calendar,X1623,NDays&amp;"D")</f>
        <v>50200</v>
      </c>
      <c r="Z1623" s="238">
        <v>3.4997393615051831E-2</v>
      </c>
      <c r="AA1623" s="240">
        <v>3.4563349754398454E-2</v>
      </c>
    </row>
    <row r="1624" spans="19:27" x14ac:dyDescent="0.2">
      <c r="S1624" s="199"/>
      <c r="T1624" s="200"/>
      <c r="W1624" s="233" t="str">
        <f t="shared" si="32"/>
        <v>1w</v>
      </c>
      <c r="X1624" s="234">
        <f>_xll.qlCalendarAdvance(Calendar,X1623,W1624,"f",FALSE)</f>
        <v>50207</v>
      </c>
      <c r="Y1624" s="237">
        <f>_xll.qlCalendarAdvance(Calendar,X1624,NDays&amp;"D")</f>
        <v>50207</v>
      </c>
      <c r="Z1624" s="238">
        <v>3.4991567952602942E-2</v>
      </c>
      <c r="AA1624" s="240">
        <v>3.4555946413140637E-2</v>
      </c>
    </row>
    <row r="1625" spans="19:27" x14ac:dyDescent="0.2">
      <c r="S1625" s="199"/>
      <c r="T1625" s="200"/>
      <c r="W1625" s="233" t="str">
        <f t="shared" si="32"/>
        <v>1w</v>
      </c>
      <c r="X1625" s="234">
        <f>_xll.qlCalendarAdvance(Calendar,X1624,W1625,"f",FALSE)</f>
        <v>50214</v>
      </c>
      <c r="Y1625" s="237">
        <f>_xll.qlCalendarAdvance(Calendar,X1625,NDays&amp;"D")</f>
        <v>50214</v>
      </c>
      <c r="Z1625" s="238">
        <v>3.4985813631751794E-2</v>
      </c>
      <c r="AA1625" s="240">
        <v>3.4548599118789936E-2</v>
      </c>
    </row>
    <row r="1626" spans="19:27" x14ac:dyDescent="0.2">
      <c r="S1626" s="199"/>
      <c r="T1626" s="200"/>
      <c r="W1626" s="233" t="str">
        <f t="shared" si="32"/>
        <v>1w</v>
      </c>
      <c r="X1626" s="234">
        <f>_xll.qlCalendarAdvance(Calendar,X1625,W1626,"f",FALSE)</f>
        <v>50221</v>
      </c>
      <c r="Y1626" s="237">
        <f>_xll.qlCalendarAdvance(Calendar,X1626,NDays&amp;"D")</f>
        <v>50221</v>
      </c>
      <c r="Z1626" s="238">
        <v>3.4980130915797325E-2</v>
      </c>
      <c r="AA1626" s="240">
        <v>3.4541308188804631E-2</v>
      </c>
    </row>
    <row r="1627" spans="19:27" x14ac:dyDescent="0.2">
      <c r="S1627" s="199"/>
      <c r="T1627" s="200"/>
      <c r="W1627" s="233" t="str">
        <f t="shared" si="32"/>
        <v>1w</v>
      </c>
      <c r="X1627" s="234">
        <f>_xll.qlCalendarAdvance(Calendar,X1626,W1627,"f",FALSE)</f>
        <v>50228</v>
      </c>
      <c r="Y1627" s="237">
        <f>_xll.qlCalendarAdvance(Calendar,X1627,NDays&amp;"D")</f>
        <v>50228</v>
      </c>
      <c r="Z1627" s="238">
        <v>3.4974520002409637E-2</v>
      </c>
      <c r="AA1627" s="240">
        <v>3.4534082511854525E-2</v>
      </c>
    </row>
    <row r="1628" spans="19:27" x14ac:dyDescent="0.2">
      <c r="S1628" s="199"/>
      <c r="T1628" s="200"/>
      <c r="W1628" s="233" t="str">
        <f t="shared" si="32"/>
        <v>1w</v>
      </c>
      <c r="X1628" s="234">
        <f>_xll.qlCalendarAdvance(Calendar,X1627,W1628,"f",FALSE)</f>
        <v>50235</v>
      </c>
      <c r="Y1628" s="237">
        <f>_xll.qlCalendarAdvance(Calendar,X1628,NDays&amp;"D")</f>
        <v>50235</v>
      </c>
      <c r="Z1628" s="238">
        <v>3.4968980917308823E-2</v>
      </c>
      <c r="AA1628" s="240">
        <v>3.4526926214735187E-2</v>
      </c>
    </row>
    <row r="1629" spans="19:27" x14ac:dyDescent="0.2">
      <c r="S1629" s="199"/>
      <c r="T1629" s="200"/>
      <c r="W1629" s="233" t="str">
        <f t="shared" si="32"/>
        <v>1w</v>
      </c>
      <c r="X1629" s="234">
        <f>_xll.qlCalendarAdvance(Calendar,X1628,W1629,"f",FALSE)</f>
        <v>50242</v>
      </c>
      <c r="Y1629" s="237">
        <f>_xll.qlCalendarAdvance(Calendar,X1629,NDays&amp;"D")</f>
        <v>50242</v>
      </c>
      <c r="Z1629" s="238">
        <v>3.496351365839967E-2</v>
      </c>
      <c r="AA1629" s="240">
        <v>3.4519839297527666E-2</v>
      </c>
    </row>
    <row r="1630" spans="19:27" x14ac:dyDescent="0.2">
      <c r="S1630" s="199"/>
      <c r="T1630" s="200"/>
      <c r="W1630" s="233" t="str">
        <f t="shared" si="32"/>
        <v>1w</v>
      </c>
      <c r="X1630" s="234">
        <f>_xll.qlCalendarAdvance(Calendar,X1629,W1630,"f",FALSE)</f>
        <v>50249</v>
      </c>
      <c r="Y1630" s="237">
        <f>_xll.qlCalendarAdvance(Calendar,X1630,NDays&amp;"D")</f>
        <v>50249</v>
      </c>
      <c r="Z1630" s="238">
        <v>3.4958118223602064E-2</v>
      </c>
      <c r="AA1630" s="240">
        <v>3.451282176023196E-2</v>
      </c>
    </row>
    <row r="1631" spans="19:27" x14ac:dyDescent="0.2">
      <c r="S1631" s="199"/>
      <c r="T1631" s="200"/>
      <c r="W1631" s="233" t="str">
        <f t="shared" si="32"/>
        <v>1w</v>
      </c>
      <c r="X1631" s="234">
        <f>_xll.qlCalendarAdvance(Calendar,X1630,W1631,"f",FALSE)</f>
        <v>50256</v>
      </c>
      <c r="Y1631" s="237">
        <f>_xll.qlCalendarAdvance(Calendar,X1631,NDays&amp;"D")</f>
        <v>50256</v>
      </c>
      <c r="Z1631" s="238">
        <v>3.4952794610850324E-2</v>
      </c>
      <c r="AA1631" s="240">
        <v>3.4505873602685977E-2</v>
      </c>
    </row>
    <row r="1632" spans="19:27" x14ac:dyDescent="0.2">
      <c r="S1632" s="199"/>
      <c r="T1632" s="200"/>
      <c r="W1632" s="233" t="str">
        <f t="shared" si="32"/>
        <v>1w</v>
      </c>
      <c r="X1632" s="234">
        <f>_xll.qlCalendarAdvance(Calendar,X1631,W1632,"f",FALSE)</f>
        <v>50263</v>
      </c>
      <c r="Y1632" s="237">
        <f>_xll.qlCalendarAdvance(Calendar,X1632,NDays&amp;"D")</f>
        <v>50263</v>
      </c>
      <c r="Z1632" s="238">
        <v>3.4947542818093646E-2</v>
      </c>
      <c r="AA1632" s="240">
        <v>3.449899482505181E-2</v>
      </c>
    </row>
    <row r="1633" spans="19:27" x14ac:dyDescent="0.2">
      <c r="S1633" s="199"/>
      <c r="T1633" s="200"/>
      <c r="W1633" s="233" t="str">
        <f t="shared" si="32"/>
        <v>1w</v>
      </c>
      <c r="X1633" s="234">
        <f>_xll.qlCalendarAdvance(Calendar,X1632,W1633,"f",FALSE)</f>
        <v>50270</v>
      </c>
      <c r="Y1633" s="237">
        <f>_xll.qlCalendarAdvance(Calendar,X1633,NDays&amp;"D")</f>
        <v>50270</v>
      </c>
      <c r="Z1633" s="238">
        <v>3.4942362843296326E-2</v>
      </c>
      <c r="AA1633" s="240">
        <v>3.4492185427248412E-2</v>
      </c>
    </row>
    <row r="1634" spans="19:27" x14ac:dyDescent="0.2">
      <c r="S1634" s="199"/>
      <c r="T1634" s="200"/>
      <c r="W1634" s="233" t="str">
        <f t="shared" si="32"/>
        <v>1w</v>
      </c>
      <c r="X1634" s="234">
        <f>_xll.qlCalendarAdvance(Calendar,X1633,W1634,"f",FALSE)</f>
        <v>50277</v>
      </c>
      <c r="Y1634" s="237">
        <f>_xll.qlCalendarAdvance(Calendar,X1634,NDays&amp;"D")</f>
        <v>50277</v>
      </c>
      <c r="Z1634" s="238">
        <v>3.4937254684438868E-2</v>
      </c>
      <c r="AA1634" s="240">
        <v>3.448544540935683E-2</v>
      </c>
    </row>
    <row r="1635" spans="19:27" x14ac:dyDescent="0.2">
      <c r="S1635" s="199"/>
      <c r="T1635" s="200"/>
      <c r="W1635" s="233" t="str">
        <f t="shared" si="32"/>
        <v>1w</v>
      </c>
      <c r="X1635" s="234">
        <f>_xll.qlCalendarAdvance(Calendar,X1634,W1635,"f",FALSE)</f>
        <v>50284</v>
      </c>
      <c r="Y1635" s="237">
        <f>_xll.qlCalendarAdvance(Calendar,X1635,NDays&amp;"D")</f>
        <v>50284</v>
      </c>
      <c r="Z1635" s="238">
        <v>3.4932218339514653E-2</v>
      </c>
      <c r="AA1635" s="240">
        <v>3.4478774771296017E-2</v>
      </c>
    </row>
    <row r="1636" spans="19:27" x14ac:dyDescent="0.2">
      <c r="S1636" s="199"/>
      <c r="T1636" s="200"/>
      <c r="W1636" s="233" t="str">
        <f t="shared" si="32"/>
        <v>1w</v>
      </c>
      <c r="X1636" s="234">
        <f>_xll.qlCalendarAdvance(Calendar,X1635,W1636,"f",FALSE)</f>
        <v>50291</v>
      </c>
      <c r="Y1636" s="237">
        <f>_xll.qlCalendarAdvance(Calendar,X1636,NDays&amp;"D")</f>
        <v>50291</v>
      </c>
      <c r="Z1636" s="238">
        <v>3.4927253806533498E-2</v>
      </c>
      <c r="AA1636" s="240">
        <v>3.4472173513065973E-2</v>
      </c>
    </row>
    <row r="1637" spans="19:27" x14ac:dyDescent="0.2">
      <c r="S1637" s="199"/>
      <c r="T1637" s="200"/>
      <c r="W1637" s="233" t="str">
        <f t="shared" si="32"/>
        <v>1w</v>
      </c>
      <c r="X1637" s="234">
        <f>_xll.qlCalendarAdvance(Calendar,X1636,W1637,"f",FALSE)</f>
        <v>50298</v>
      </c>
      <c r="Y1637" s="237">
        <f>_xll.qlCalendarAdvance(Calendar,X1637,NDays&amp;"D")</f>
        <v>50298</v>
      </c>
      <c r="Z1637" s="238">
        <v>3.4922361083519426E-2</v>
      </c>
      <c r="AA1637" s="240">
        <v>3.4465641634666699E-2</v>
      </c>
    </row>
    <row r="1638" spans="19:27" x14ac:dyDescent="0.2">
      <c r="S1638" s="199"/>
      <c r="T1638" s="200"/>
      <c r="W1638" s="233" t="str">
        <f t="shared" si="32"/>
        <v>1w</v>
      </c>
      <c r="X1638" s="234">
        <f>_xll.qlCalendarAdvance(Calendar,X1637,W1638,"f",FALSE)</f>
        <v>50305</v>
      </c>
      <c r="Y1638" s="237">
        <f>_xll.qlCalendarAdvance(Calendar,X1638,NDays&amp;"D")</f>
        <v>50305</v>
      </c>
      <c r="Z1638" s="238">
        <v>3.4917540168512229E-2</v>
      </c>
      <c r="AA1638" s="240">
        <v>3.4459179136098195E-2</v>
      </c>
    </row>
    <row r="1639" spans="19:27" x14ac:dyDescent="0.2">
      <c r="S1639" s="199"/>
      <c r="T1639" s="200"/>
      <c r="W1639" s="233" t="str">
        <f t="shared" si="32"/>
        <v>1w</v>
      </c>
      <c r="X1639" s="234">
        <f>_xll.qlCalendarAdvance(Calendar,X1638,W1639,"f",FALSE)</f>
        <v>50312</v>
      </c>
      <c r="Y1639" s="237">
        <f>_xll.qlCalendarAdvance(Calendar,X1639,NDays&amp;"D")</f>
        <v>50312</v>
      </c>
      <c r="Z1639" s="238">
        <v>3.4912791059565684E-2</v>
      </c>
      <c r="AA1639" s="240">
        <v>3.4452786017441506E-2</v>
      </c>
    </row>
    <row r="1640" spans="19:27" x14ac:dyDescent="0.2">
      <c r="S1640" s="199"/>
      <c r="T1640" s="200"/>
      <c r="W1640" s="233" t="str">
        <f t="shared" si="32"/>
        <v>1w</v>
      </c>
      <c r="X1640" s="234">
        <f>_xll.qlCalendarAdvance(Calendar,X1639,W1640,"f",FALSE)</f>
        <v>50319</v>
      </c>
      <c r="Y1640" s="237">
        <f>_xll.qlCalendarAdvance(Calendar,X1640,NDays&amp;"D")</f>
        <v>50319</v>
      </c>
      <c r="Z1640" s="238">
        <v>3.4908113754749559E-2</v>
      </c>
      <c r="AA1640" s="240">
        <v>3.4446462278696632E-2</v>
      </c>
    </row>
    <row r="1641" spans="19:27" x14ac:dyDescent="0.2">
      <c r="S1641" s="199"/>
      <c r="T1641" s="200"/>
      <c r="W1641" s="233" t="str">
        <f t="shared" si="32"/>
        <v>1w</v>
      </c>
      <c r="X1641" s="234">
        <f>_xll.qlCalendarAdvance(Calendar,X1640,W1641,"f",FALSE)</f>
        <v>50326</v>
      </c>
      <c r="Y1641" s="237">
        <f>_xll.qlCalendarAdvance(Calendar,X1641,NDays&amp;"D")</f>
        <v>50326</v>
      </c>
      <c r="Z1641" s="238">
        <v>3.4903508252147386E-2</v>
      </c>
      <c r="AA1641" s="240">
        <v>3.4440207919620436E-2</v>
      </c>
    </row>
    <row r="1642" spans="19:27" x14ac:dyDescent="0.2">
      <c r="S1642" s="199"/>
      <c r="T1642" s="200"/>
      <c r="W1642" s="233" t="str">
        <f t="shared" si="32"/>
        <v>1w</v>
      </c>
      <c r="X1642" s="234">
        <f>_xll.qlCalendarAdvance(Calendar,X1641,W1642,"f",FALSE)</f>
        <v>50333</v>
      </c>
      <c r="Y1642" s="237">
        <f>_xll.qlCalendarAdvance(Calendar,X1642,NDays&amp;"D")</f>
        <v>50333</v>
      </c>
      <c r="Z1642" s="238">
        <v>3.4898974549858686E-2</v>
      </c>
      <c r="AA1642" s="240">
        <v>3.4434022940375009E-2</v>
      </c>
    </row>
    <row r="1643" spans="19:27" x14ac:dyDescent="0.2">
      <c r="S1643" s="199"/>
      <c r="T1643" s="200"/>
      <c r="W1643" s="233" t="str">
        <f t="shared" si="32"/>
        <v>1w</v>
      </c>
      <c r="X1643" s="234">
        <f>_xll.qlCalendarAdvance(Calendar,X1642,W1643,"f",FALSE)</f>
        <v>50340</v>
      </c>
      <c r="Y1643" s="237">
        <f>_xll.qlCalendarAdvance(Calendar,X1643,NDays&amp;"D")</f>
        <v>50340</v>
      </c>
      <c r="Z1643" s="238">
        <v>3.4894512645997855E-2</v>
      </c>
      <c r="AA1643" s="240">
        <v>3.4427907341041397E-2</v>
      </c>
    </row>
    <row r="1644" spans="19:27" x14ac:dyDescent="0.2">
      <c r="S1644" s="199"/>
      <c r="T1644" s="200"/>
      <c r="W1644" s="233" t="str">
        <f t="shared" si="32"/>
        <v>1w</v>
      </c>
      <c r="X1644" s="234">
        <f>_xll.qlCalendarAdvance(Calendar,X1643,W1644,"f",FALSE)</f>
        <v>50347</v>
      </c>
      <c r="Y1644" s="237">
        <f>_xll.qlCalendarAdvance(Calendar,X1644,NDays&amp;"D")</f>
        <v>50347</v>
      </c>
      <c r="Z1644" s="238">
        <v>3.4890122538693502E-2</v>
      </c>
      <c r="AA1644" s="240">
        <v>3.4421861121457509E-2</v>
      </c>
    </row>
    <row r="1645" spans="19:27" x14ac:dyDescent="0.2">
      <c r="S1645" s="199"/>
      <c r="T1645" s="200"/>
      <c r="W1645" s="233" t="str">
        <f t="shared" si="32"/>
        <v>1w</v>
      </c>
      <c r="X1645" s="234">
        <f>_xll.qlCalendarAdvance(Calendar,X1644,W1645,"f",FALSE)</f>
        <v>50354</v>
      </c>
      <c r="Y1645" s="237">
        <f>_xll.qlCalendarAdvance(Calendar,X1645,NDays&amp;"D")</f>
        <v>50354</v>
      </c>
      <c r="Z1645" s="238">
        <v>3.4885804226089778E-2</v>
      </c>
      <c r="AA1645" s="240">
        <v>3.441588428170439E-2</v>
      </c>
    </row>
    <row r="1646" spans="19:27" x14ac:dyDescent="0.2">
      <c r="S1646" s="199"/>
      <c r="T1646" s="200"/>
      <c r="W1646" s="233" t="str">
        <f t="shared" si="32"/>
        <v>1w</v>
      </c>
      <c r="X1646" s="234">
        <f>_xll.qlCalendarAdvance(Calendar,X1645,W1646,"f",FALSE)</f>
        <v>50361</v>
      </c>
      <c r="Y1646" s="237">
        <f>_xll.qlCalendarAdvance(Calendar,X1646,NDays&amp;"D")</f>
        <v>50361</v>
      </c>
      <c r="Z1646" s="238">
        <v>3.4881557706345712E-2</v>
      </c>
      <c r="AA1646" s="240">
        <v>3.4409976821700994E-2</v>
      </c>
    </row>
    <row r="1647" spans="19:27" x14ac:dyDescent="0.2">
      <c r="S1647" s="199"/>
      <c r="T1647" s="200"/>
      <c r="W1647" s="233" t="str">
        <f t="shared" si="32"/>
        <v>1w</v>
      </c>
      <c r="X1647" s="234">
        <f>_xll.qlCalendarAdvance(Calendar,X1646,W1647,"f",FALSE)</f>
        <v>50368</v>
      </c>
      <c r="Y1647" s="237">
        <f>_xll.qlCalendarAdvance(Calendar,X1647,NDays&amp;"D")</f>
        <v>50368</v>
      </c>
      <c r="Z1647" s="238">
        <v>3.4877382977635429E-2</v>
      </c>
      <c r="AA1647" s="240">
        <v>3.440413874169046E-2</v>
      </c>
    </row>
    <row r="1648" spans="19:27" x14ac:dyDescent="0.2">
      <c r="S1648" s="199"/>
      <c r="T1648" s="200"/>
      <c r="W1648" s="233" t="str">
        <f t="shared" si="32"/>
        <v>1w</v>
      </c>
      <c r="X1648" s="234">
        <f>_xll.qlCalendarAdvance(Calendar,X1647,W1648,"f",FALSE)</f>
        <v>50375</v>
      </c>
      <c r="Y1648" s="237">
        <f>_xll.qlCalendarAdvance(Calendar,X1648,NDays&amp;"D")</f>
        <v>50375</v>
      </c>
      <c r="Z1648" s="238">
        <v>3.4873280038147714E-2</v>
      </c>
      <c r="AA1648" s="240">
        <v>3.4398370041348603E-2</v>
      </c>
    </row>
    <row r="1649" spans="19:27" x14ac:dyDescent="0.2">
      <c r="S1649" s="199"/>
      <c r="T1649" s="200"/>
      <c r="W1649" s="233" t="str">
        <f t="shared" si="32"/>
        <v>1w</v>
      </c>
      <c r="X1649" s="234">
        <f>_xll.qlCalendarAdvance(Calendar,X1648,W1649,"f",FALSE)</f>
        <v>50382</v>
      </c>
      <c r="Y1649" s="237">
        <f>_xll.qlCalendarAdvance(Calendar,X1649,NDays&amp;"D")</f>
        <v>50382</v>
      </c>
      <c r="Z1649" s="238">
        <v>3.4869248886086224E-2</v>
      </c>
      <c r="AA1649" s="240">
        <v>3.4392670720837515E-2</v>
      </c>
    </row>
    <row r="1650" spans="19:27" x14ac:dyDescent="0.2">
      <c r="S1650" s="199"/>
      <c r="T1650" s="200"/>
      <c r="W1650" s="233" t="str">
        <f t="shared" si="32"/>
        <v>1w</v>
      </c>
      <c r="X1650" s="234">
        <f>_xll.qlCalendarAdvance(Calendar,X1649,W1650,"f",FALSE)</f>
        <v>50389</v>
      </c>
      <c r="Y1650" s="237">
        <f>_xll.qlCalendarAdvance(Calendar,X1650,NDays&amp;"D")</f>
        <v>50389</v>
      </c>
      <c r="Z1650" s="238">
        <v>3.4865289519670162E-2</v>
      </c>
      <c r="AA1650" s="240">
        <v>3.4387040780157196E-2</v>
      </c>
    </row>
    <row r="1651" spans="19:27" x14ac:dyDescent="0.2">
      <c r="S1651" s="199"/>
      <c r="T1651" s="200"/>
      <c r="W1651" s="233" t="str">
        <f t="shared" si="32"/>
        <v>1w</v>
      </c>
      <c r="X1651" s="234">
        <f>_xll.qlCalendarAdvance(Calendar,X1650,W1651,"f",FALSE)</f>
        <v>50396</v>
      </c>
      <c r="Y1651" s="237">
        <f>_xll.qlCalendarAdvance(Calendar,X1651,NDays&amp;"D")</f>
        <v>50396</v>
      </c>
      <c r="Z1651" s="238">
        <v>3.4861401937132941E-2</v>
      </c>
      <c r="AA1651" s="240">
        <v>3.4381480219145555E-2</v>
      </c>
    </row>
    <row r="1652" spans="19:27" x14ac:dyDescent="0.2">
      <c r="S1652" s="199"/>
      <c r="T1652" s="200"/>
      <c r="W1652" s="233" t="str">
        <f t="shared" si="32"/>
        <v>1w</v>
      </c>
      <c r="X1652" s="234">
        <f>_xll.qlCalendarAdvance(Calendar,X1651,W1652,"f",FALSE)</f>
        <v>50403</v>
      </c>
      <c r="Y1652" s="237">
        <f>_xll.qlCalendarAdvance(Calendar,X1652,NDays&amp;"D")</f>
        <v>50403</v>
      </c>
      <c r="Z1652" s="238">
        <v>3.4857586136723295E-2</v>
      </c>
      <c r="AA1652" s="240">
        <v>3.4375989038045729E-2</v>
      </c>
    </row>
    <row r="1653" spans="19:27" x14ac:dyDescent="0.2">
      <c r="S1653" s="199"/>
      <c r="T1653" s="200"/>
      <c r="W1653" s="233" t="str">
        <f t="shared" si="32"/>
        <v>1w</v>
      </c>
      <c r="X1653" s="234">
        <f>_xll.qlCalendarAdvance(Calendar,X1652,W1653,"f",FALSE)</f>
        <v>50410</v>
      </c>
      <c r="Y1653" s="237">
        <f>_xll.qlCalendarAdvance(Calendar,X1653,NDays&amp;"D")</f>
        <v>50410</v>
      </c>
      <c r="Z1653" s="238">
        <v>3.485384211670528E-2</v>
      </c>
      <c r="AA1653" s="240">
        <v>3.437056723661458E-2</v>
      </c>
    </row>
    <row r="1654" spans="19:27" x14ac:dyDescent="0.2">
      <c r="S1654" s="199"/>
      <c r="T1654" s="200"/>
      <c r="W1654" s="233" t="str">
        <f t="shared" si="32"/>
        <v>1w</v>
      </c>
      <c r="X1654" s="234">
        <f>_xll.qlCalendarAdvance(Calendar,X1653,W1654,"f",FALSE)</f>
        <v>50417</v>
      </c>
      <c r="Y1654" s="237">
        <f>_xll.qlCalendarAdvance(Calendar,X1654,NDays&amp;"D")</f>
        <v>50417</v>
      </c>
      <c r="Z1654" s="238">
        <v>3.4850169875357162E-2</v>
      </c>
      <c r="AA1654" s="240">
        <v>3.4365214815176293E-2</v>
      </c>
    </row>
    <row r="1655" spans="19:27" x14ac:dyDescent="0.2">
      <c r="S1655" s="199"/>
      <c r="T1655" s="200"/>
      <c r="W1655" s="233" t="str">
        <f t="shared" si="32"/>
        <v>1w</v>
      </c>
      <c r="X1655" s="234">
        <f>_xll.qlCalendarAdvance(Calendar,X1654,W1655,"f",FALSE)</f>
        <v>50424</v>
      </c>
      <c r="Y1655" s="237">
        <f>_xll.qlCalendarAdvance(Calendar,X1655,NDays&amp;"D")</f>
        <v>50424</v>
      </c>
      <c r="Z1655" s="238">
        <v>3.484656941097275E-2</v>
      </c>
      <c r="AA1655" s="240">
        <v>3.4359931773325636E-2</v>
      </c>
    </row>
    <row r="1656" spans="19:27" x14ac:dyDescent="0.2">
      <c r="S1656" s="199"/>
      <c r="T1656" s="200"/>
      <c r="W1656" s="233" t="str">
        <f t="shared" si="32"/>
        <v>1w</v>
      </c>
      <c r="X1656" s="234">
        <f>_xll.qlCalendarAdvance(Calendar,X1655,W1656,"f",FALSE)</f>
        <v>50431</v>
      </c>
      <c r="Y1656" s="237">
        <f>_xll.qlCalendarAdvance(Calendar,X1656,NDays&amp;"D")</f>
        <v>50431</v>
      </c>
      <c r="Z1656" s="238">
        <v>3.4843040721860508E-2</v>
      </c>
      <c r="AA1656" s="240">
        <v>3.4354718111224702E-2</v>
      </c>
    </row>
    <row r="1657" spans="19:27" x14ac:dyDescent="0.2">
      <c r="S1657" s="199"/>
      <c r="T1657" s="200"/>
      <c r="W1657" s="233" t="str">
        <f t="shared" si="32"/>
        <v>1w</v>
      </c>
      <c r="X1657" s="234">
        <f>_xll.qlCalendarAdvance(Calendar,X1656,W1657,"f",FALSE)</f>
        <v>50438</v>
      </c>
      <c r="Y1657" s="237">
        <f>_xll.qlCalendarAdvance(Calendar,X1657,NDays&amp;"D")</f>
        <v>50438</v>
      </c>
      <c r="Z1657" s="238">
        <v>3.4839583806343777E-2</v>
      </c>
      <c r="AA1657" s="240">
        <v>3.4349573829116631E-2</v>
      </c>
    </row>
    <row r="1658" spans="19:27" x14ac:dyDescent="0.2">
      <c r="S1658" s="199"/>
      <c r="T1658" s="200"/>
      <c r="W1658" s="233" t="str">
        <f t="shared" si="32"/>
        <v>1w</v>
      </c>
      <c r="X1658" s="234">
        <f>_xll.qlCalendarAdvance(Calendar,X1657,W1658,"f",FALSE)</f>
        <v>50445</v>
      </c>
      <c r="Y1658" s="237">
        <f>_xll.qlCalendarAdvance(Calendar,X1658,NDays&amp;"D")</f>
        <v>50445</v>
      </c>
      <c r="Z1658" s="238">
        <v>3.4836198662760998E-2</v>
      </c>
      <c r="AA1658" s="240">
        <v>3.4344498926677236E-2</v>
      </c>
    </row>
    <row r="1659" spans="19:27" x14ac:dyDescent="0.2">
      <c r="S1659" s="199"/>
      <c r="T1659" s="200"/>
      <c r="W1659" s="233" t="str">
        <f t="shared" si="32"/>
        <v>1w</v>
      </c>
      <c r="X1659" s="234">
        <f>_xll.qlCalendarAdvance(Calendar,X1658,W1659,"f",FALSE)</f>
        <v>50452</v>
      </c>
      <c r="Y1659" s="237">
        <f>_xll.qlCalendarAdvance(Calendar,X1659,NDays&amp;"D")</f>
        <v>50452</v>
      </c>
      <c r="Z1659" s="238">
        <v>3.4832885289465487E-2</v>
      </c>
      <c r="AA1659" s="240">
        <v>3.4339493403906518E-2</v>
      </c>
    </row>
    <row r="1660" spans="19:27" x14ac:dyDescent="0.2">
      <c r="S1660" s="199"/>
      <c r="T1660" s="200"/>
      <c r="W1660" s="233" t="str">
        <f t="shared" si="32"/>
        <v>1w</v>
      </c>
      <c r="X1660" s="234">
        <f>_xll.qlCalendarAdvance(Calendar,X1659,W1660,"f",FALSE)</f>
        <v>50459</v>
      </c>
      <c r="Y1660" s="237">
        <f>_xll.qlCalendarAdvance(Calendar,X1660,NDays&amp;"D")</f>
        <v>50459</v>
      </c>
      <c r="Z1660" s="238">
        <v>3.4829643684825884E-2</v>
      </c>
      <c r="AA1660" s="240">
        <v>3.4334557261128662E-2</v>
      </c>
    </row>
    <row r="1661" spans="19:27" x14ac:dyDescent="0.2">
      <c r="S1661" s="199"/>
      <c r="T1661" s="200"/>
      <c r="W1661" s="233" t="str">
        <f t="shared" si="32"/>
        <v>1w</v>
      </c>
      <c r="X1661" s="234">
        <f>_xll.qlCalendarAdvance(Calendar,X1660,W1661,"f",FALSE)</f>
        <v>50466</v>
      </c>
      <c r="Y1661" s="237">
        <f>_xll.qlCalendarAdvance(Calendar,X1661,NDays&amp;"D")</f>
        <v>50466</v>
      </c>
      <c r="Z1661" s="238">
        <v>3.4826473847225037E-2</v>
      </c>
      <c r="AA1661" s="240">
        <v>3.4329690498019483E-2</v>
      </c>
    </row>
    <row r="1662" spans="19:27" x14ac:dyDescent="0.2">
      <c r="S1662" s="199"/>
      <c r="T1662" s="200"/>
      <c r="W1662" s="233" t="str">
        <f t="shared" si="32"/>
        <v>1w</v>
      </c>
      <c r="X1662" s="234">
        <f>_xll.qlCalendarAdvance(Calendar,X1661,W1662,"f",FALSE)</f>
        <v>50473</v>
      </c>
      <c r="Y1662" s="237">
        <f>_xll.qlCalendarAdvance(Calendar,X1662,NDays&amp;"D")</f>
        <v>50473</v>
      </c>
      <c r="Z1662" s="238">
        <v>3.4823375775061338E-2</v>
      </c>
      <c r="AA1662" s="240">
        <v>3.432489311457898E-2</v>
      </c>
    </row>
    <row r="1663" spans="19:27" x14ac:dyDescent="0.2">
      <c r="S1663" s="199"/>
      <c r="T1663" s="200"/>
      <c r="W1663" s="233" t="str">
        <f t="shared" si="32"/>
        <v>1w</v>
      </c>
      <c r="X1663" s="234">
        <f>_xll.qlCalendarAdvance(Calendar,X1662,W1663,"f",FALSE)</f>
        <v>50480</v>
      </c>
      <c r="Y1663" s="237">
        <f>_xll.qlCalendarAdvance(Calendar,X1663,NDays&amp;"D")</f>
        <v>50480</v>
      </c>
      <c r="Z1663" s="238">
        <v>3.4820349466747835E-2</v>
      </c>
      <c r="AA1663" s="240">
        <v>3.4320165110969247E-2</v>
      </c>
    </row>
    <row r="1664" spans="19:27" x14ac:dyDescent="0.2">
      <c r="S1664" s="199"/>
      <c r="T1664" s="200"/>
      <c r="W1664" s="233" t="str">
        <f t="shared" si="32"/>
        <v>1w</v>
      </c>
      <c r="X1664" s="234">
        <f>_xll.qlCalendarAdvance(Calendar,X1663,W1664,"f",FALSE)</f>
        <v>50487</v>
      </c>
      <c r="Y1664" s="237">
        <f>_xll.qlCalendarAdvance(Calendar,X1664,NDays&amp;"D")</f>
        <v>50487</v>
      </c>
      <c r="Z1664" s="238">
        <v>3.4817394920713118E-2</v>
      </c>
      <c r="AA1664" s="240">
        <v>3.4315506487109237E-2</v>
      </c>
    </row>
    <row r="1665" spans="19:27" x14ac:dyDescent="0.2">
      <c r="S1665" s="199"/>
      <c r="T1665" s="200"/>
      <c r="W1665" s="233" t="str">
        <f t="shared" si="32"/>
        <v>1w</v>
      </c>
      <c r="X1665" s="234">
        <f>_xll.qlCalendarAdvance(Calendar,X1664,W1665,"f",FALSE)</f>
        <v>50494</v>
      </c>
      <c r="Y1665" s="237">
        <f>_xll.qlCalendarAdvance(Calendar,X1665,NDays&amp;"D")</f>
        <v>50494</v>
      </c>
      <c r="Z1665" s="238">
        <v>3.4814512135399101E-2</v>
      </c>
      <c r="AA1665" s="240">
        <v>3.4310917242917904E-2</v>
      </c>
    </row>
    <row r="1666" spans="19:27" x14ac:dyDescent="0.2">
      <c r="S1666" s="199"/>
      <c r="T1666" s="200"/>
      <c r="W1666" s="233" t="str">
        <f t="shared" si="32"/>
        <v>1w</v>
      </c>
      <c r="X1666" s="234">
        <f>_xll.qlCalendarAdvance(Calendar,X1665,W1666,"f",FALSE)</f>
        <v>50501</v>
      </c>
      <c r="Y1666" s="237">
        <f>_xll.qlCalendarAdvance(Calendar,X1666,NDays&amp;"D")</f>
        <v>50501</v>
      </c>
      <c r="Z1666" s="238">
        <v>3.4811701109264792E-2</v>
      </c>
      <c r="AA1666" s="240">
        <v>3.4306397378638387E-2</v>
      </c>
    </row>
    <row r="1667" spans="19:27" x14ac:dyDescent="0.2">
      <c r="S1667" s="199"/>
      <c r="T1667" s="200"/>
      <c r="W1667" s="233" t="str">
        <f t="shared" si="32"/>
        <v>1w</v>
      </c>
      <c r="X1667" s="234">
        <f>_xll.qlCalendarAdvance(Calendar,X1666,W1667,"f",FALSE)</f>
        <v>50508</v>
      </c>
      <c r="Y1667" s="237">
        <f>_xll.qlCalendarAdvance(Calendar,X1667,NDays&amp;"D")</f>
        <v>50508</v>
      </c>
      <c r="Z1667" s="238">
        <v>3.4808961840782526E-2</v>
      </c>
      <c r="AA1667" s="240">
        <v>3.4301946894027546E-2</v>
      </c>
    </row>
    <row r="1668" spans="19:27" x14ac:dyDescent="0.2">
      <c r="S1668" s="199"/>
      <c r="T1668" s="200"/>
      <c r="W1668" s="233" t="str">
        <f t="shared" si="32"/>
        <v>1w</v>
      </c>
      <c r="X1668" s="234">
        <f>_xll.qlCalendarAdvance(Calendar,X1667,W1668,"f",FALSE)</f>
        <v>50515</v>
      </c>
      <c r="Y1668" s="237">
        <f>_xll.qlCalendarAdvance(Calendar,X1668,NDays&amp;"D")</f>
        <v>50515</v>
      </c>
      <c r="Z1668" s="238">
        <v>3.4806294328440401E-2</v>
      </c>
      <c r="AA1668" s="240">
        <v>3.4297565789166429E-2</v>
      </c>
    </row>
    <row r="1669" spans="19:27" x14ac:dyDescent="0.2">
      <c r="S1669" s="199"/>
      <c r="T1669" s="200"/>
      <c r="W1669" s="233" t="str">
        <f t="shared" si="32"/>
        <v>1w</v>
      </c>
      <c r="X1669" s="234">
        <f>_xll.qlCalendarAdvance(Calendar,X1668,W1669,"f",FALSE)</f>
        <v>50522</v>
      </c>
      <c r="Y1669" s="237">
        <f>_xll.qlCalendarAdvance(Calendar,X1669,NDays&amp;"D")</f>
        <v>50522</v>
      </c>
      <c r="Z1669" s="238">
        <v>3.4803698570740949E-2</v>
      </c>
      <c r="AA1669" s="240">
        <v>3.4293254064055034E-2</v>
      </c>
    </row>
    <row r="1670" spans="19:27" x14ac:dyDescent="0.2">
      <c r="S1670" s="199"/>
      <c r="T1670" s="200"/>
      <c r="W1670" s="233" t="str">
        <f t="shared" si="32"/>
        <v>1w</v>
      </c>
      <c r="X1670" s="234">
        <f>_xll.qlCalendarAdvance(Calendar,X1669,W1670,"f",FALSE)</f>
        <v>50529</v>
      </c>
      <c r="Y1670" s="237">
        <f>_xll.qlCalendarAdvance(Calendar,X1670,NDays&amp;"D")</f>
        <v>50529</v>
      </c>
      <c r="Z1670" s="238">
        <v>3.4801174566202242E-2</v>
      </c>
      <c r="AA1670" s="240">
        <v>3.4289011718693363E-2</v>
      </c>
    </row>
    <row r="1671" spans="19:27" x14ac:dyDescent="0.2">
      <c r="S1671" s="199"/>
      <c r="T1671" s="200"/>
      <c r="W1671" s="233" t="str">
        <f t="shared" si="32"/>
        <v>1w</v>
      </c>
      <c r="X1671" s="234">
        <f>_xll.qlCalendarAdvance(Calendar,X1670,W1671,"f",FALSE)</f>
        <v>50536</v>
      </c>
      <c r="Y1671" s="237">
        <f>_xll.qlCalendarAdvance(Calendar,X1671,NDays&amp;"D")</f>
        <v>50536</v>
      </c>
      <c r="Z1671" s="238">
        <v>3.4798722313356567E-2</v>
      </c>
      <c r="AA1671" s="240">
        <v>3.4284838753000368E-2</v>
      </c>
    </row>
    <row r="1672" spans="19:27" x14ac:dyDescent="0.2">
      <c r="S1672" s="199"/>
      <c r="T1672" s="200"/>
      <c r="W1672" s="233" t="str">
        <f t="shared" si="32"/>
        <v>1w</v>
      </c>
      <c r="X1672" s="234">
        <f>_xll.qlCalendarAdvance(Calendar,X1671,W1672,"f",FALSE)</f>
        <v>50543</v>
      </c>
      <c r="Y1672" s="237">
        <f>_xll.qlCalendarAdvance(Calendar,X1672,NDays&amp;"D")</f>
        <v>50543</v>
      </c>
      <c r="Z1672" s="238">
        <v>3.4796341810751752E-2</v>
      </c>
      <c r="AA1672" s="240">
        <v>3.428073516721919E-2</v>
      </c>
    </row>
    <row r="1673" spans="19:27" x14ac:dyDescent="0.2">
      <c r="S1673" s="199"/>
      <c r="T1673" s="200"/>
      <c r="W1673" s="233" t="str">
        <f t="shared" si="32"/>
        <v>1w</v>
      </c>
      <c r="X1673" s="234">
        <f>_xll.qlCalendarAdvance(Calendar,X1672,W1673,"f",FALSE)</f>
        <v>50550</v>
      </c>
      <c r="Y1673" s="237">
        <f>_xll.qlCalendarAdvance(Calendar,X1673,NDays&amp;"D")</f>
        <v>50550</v>
      </c>
      <c r="Z1673" s="238">
        <v>3.4794033056950058E-2</v>
      </c>
      <c r="AA1673" s="240">
        <v>3.4276700961025641E-2</v>
      </c>
    </row>
    <row r="1674" spans="19:27" x14ac:dyDescent="0.2">
      <c r="S1674" s="199"/>
      <c r="T1674" s="200"/>
      <c r="W1674" s="233" t="str">
        <f t="shared" si="32"/>
        <v>1w</v>
      </c>
      <c r="X1674" s="234">
        <f>_xll.qlCalendarAdvance(Calendar,X1673,W1674,"f",FALSE)</f>
        <v>50557</v>
      </c>
      <c r="Y1674" s="237">
        <f>_xll.qlCalendarAdvance(Calendar,X1674,NDays&amp;"D")</f>
        <v>50557</v>
      </c>
      <c r="Z1674" s="238">
        <v>3.4791796050529289E-2</v>
      </c>
      <c r="AA1674" s="240">
        <v>3.4272736134581816E-2</v>
      </c>
    </row>
    <row r="1675" spans="19:27" x14ac:dyDescent="0.2">
      <c r="S1675" s="199"/>
      <c r="T1675" s="200"/>
      <c r="W1675" s="233" t="str">
        <f t="shared" si="32"/>
        <v>1w</v>
      </c>
      <c r="X1675" s="234">
        <f>_xll.qlCalendarAdvance(Calendar,X1674,W1675,"f",FALSE)</f>
        <v>50564</v>
      </c>
      <c r="Y1675" s="237">
        <f>_xll.qlCalendarAdvance(Calendar,X1675,NDays&amp;"D")</f>
        <v>50564</v>
      </c>
      <c r="Z1675" s="238">
        <v>3.4789630790081461E-2</v>
      </c>
      <c r="AA1675" s="240">
        <v>3.4268840687806668E-2</v>
      </c>
    </row>
    <row r="1676" spans="19:27" x14ac:dyDescent="0.2">
      <c r="S1676" s="199"/>
      <c r="T1676" s="200"/>
      <c r="W1676" s="233" t="str">
        <f t="shared" si="32"/>
        <v>1w</v>
      </c>
      <c r="X1676" s="234">
        <f>_xll.qlCalendarAdvance(Calendar,X1675,W1676,"f",FALSE)</f>
        <v>50571</v>
      </c>
      <c r="Y1676" s="237">
        <f>_xll.qlCalendarAdvance(Calendar,X1676,NDays&amp;"D")</f>
        <v>50571</v>
      </c>
      <c r="Z1676" s="238">
        <v>3.4787537274214131E-2</v>
      </c>
      <c r="AA1676" s="240">
        <v>3.4265014620862289E-2</v>
      </c>
    </row>
    <row r="1677" spans="19:27" x14ac:dyDescent="0.2">
      <c r="S1677" s="199"/>
      <c r="T1677" s="200"/>
      <c r="W1677" s="233" t="str">
        <f t="shared" si="32"/>
        <v>1w</v>
      </c>
      <c r="X1677" s="234">
        <f>_xll.qlCalendarAdvance(Calendar,X1676,W1677,"f",FALSE)</f>
        <v>50578</v>
      </c>
      <c r="Y1677" s="237">
        <f>_xll.qlCalendarAdvance(Calendar,X1677,NDays&amp;"D")</f>
        <v>50578</v>
      </c>
      <c r="Z1677" s="238">
        <v>3.4785515501549291E-2</v>
      </c>
      <c r="AA1677" s="240">
        <v>3.4261257933667633E-2</v>
      </c>
    </row>
    <row r="1678" spans="19:27" x14ac:dyDescent="0.2">
      <c r="S1678" s="199"/>
      <c r="T1678" s="200"/>
      <c r="W1678" s="233" t="str">
        <f t="shared" si="32"/>
        <v>1w</v>
      </c>
      <c r="X1678" s="234">
        <f>_xll.qlCalendarAdvance(Calendar,X1677,W1678,"f",FALSE)</f>
        <v>50585</v>
      </c>
      <c r="Y1678" s="237">
        <f>_xll.qlCalendarAdvance(Calendar,X1678,NDays&amp;"D")</f>
        <v>50585</v>
      </c>
      <c r="Z1678" s="238">
        <v>3.4783565461166788E-2</v>
      </c>
      <c r="AA1678" s="240">
        <v>3.4257570624925959E-2</v>
      </c>
    </row>
    <row r="1679" spans="19:27" x14ac:dyDescent="0.2">
      <c r="S1679" s="199"/>
      <c r="T1679" s="200"/>
      <c r="W1679" s="233" t="str">
        <f t="shared" si="32"/>
        <v>1w</v>
      </c>
      <c r="X1679" s="234">
        <f>_xll.qlCalendarAdvance(Calendar,X1678,W1679,"f",FALSE)</f>
        <v>50592</v>
      </c>
      <c r="Y1679" s="237">
        <f>_xll.qlCalendarAdvance(Calendar,X1679,NDays&amp;"D")</f>
        <v>50592</v>
      </c>
      <c r="Z1679" s="238">
        <v>3.4781686309663717E-2</v>
      </c>
      <c r="AA1679" s="240">
        <v>3.4253952663353404E-2</v>
      </c>
    </row>
    <row r="1680" spans="19:27" x14ac:dyDescent="0.2">
      <c r="S1680" s="199"/>
      <c r="T1680" s="200"/>
      <c r="W1680" s="233" t="str">
        <f t="shared" si="32"/>
        <v>1w</v>
      </c>
      <c r="X1680" s="234">
        <f>_xll.qlCalendarAdvance(Calendar,X1679,W1680,"f",FALSE)</f>
        <v>50599</v>
      </c>
      <c r="Y1680" s="237">
        <f>_xll.qlCalendarAdvance(Calendar,X1680,NDays&amp;"D")</f>
        <v>50599</v>
      </c>
      <c r="Z1680" s="238">
        <v>3.477987573713559E-2</v>
      </c>
      <c r="AA1680" s="240">
        <v>3.4250404033794313E-2</v>
      </c>
    </row>
    <row r="1681" spans="19:27" x14ac:dyDescent="0.2">
      <c r="S1681" s="199"/>
      <c r="T1681" s="200"/>
      <c r="W1681" s="233" t="str">
        <f t="shared" si="32"/>
        <v>1w</v>
      </c>
      <c r="X1681" s="234">
        <f>_xll.qlCalendarAdvance(Calendar,X1680,W1681,"f",FALSE)</f>
        <v>50606</v>
      </c>
      <c r="Y1681" s="237">
        <f>_xll.qlCalendarAdvance(Calendar,X1681,NDays&amp;"D")</f>
        <v>50606</v>
      </c>
      <c r="Z1681" s="238">
        <v>3.4778131284466163E-2</v>
      </c>
      <c r="AA1681" s="240">
        <v>3.424692473657287E-2</v>
      </c>
    </row>
    <row r="1682" spans="19:27" x14ac:dyDescent="0.2">
      <c r="S1682" s="199"/>
      <c r="T1682" s="200"/>
      <c r="W1682" s="233" t="str">
        <f t="shared" si="32"/>
        <v>1w</v>
      </c>
      <c r="X1682" s="234">
        <f>_xll.qlCalendarAdvance(Calendar,X1681,W1682,"f",FALSE)</f>
        <v>50613</v>
      </c>
      <c r="Y1682" s="237">
        <f>_xll.qlCalendarAdvance(Calendar,X1682,NDays&amp;"D")</f>
        <v>50613</v>
      </c>
      <c r="Z1682" s="238">
        <v>3.47764504925685E-2</v>
      </c>
      <c r="AA1682" s="240">
        <v>3.4243514771445938E-2</v>
      </c>
    </row>
    <row r="1683" spans="19:27" x14ac:dyDescent="0.2">
      <c r="S1683" s="199"/>
      <c r="T1683" s="200"/>
      <c r="W1683" s="233" t="str">
        <f t="shared" si="32"/>
        <v>1w</v>
      </c>
      <c r="X1683" s="234">
        <f>_xll.qlCalendarAdvance(Calendar,X1682,W1683,"f",FALSE)</f>
        <v>50620</v>
      </c>
      <c r="Y1683" s="237">
        <f>_xll.qlCalendarAdvance(Calendar,X1683,NDays&amp;"D")</f>
        <v>50620</v>
      </c>
      <c r="Z1683" s="238">
        <v>3.4774830902383203E-2</v>
      </c>
      <c r="AA1683" s="240">
        <v>3.42401741387377E-2</v>
      </c>
    </row>
    <row r="1684" spans="19:27" x14ac:dyDescent="0.2">
      <c r="S1684" s="199"/>
      <c r="T1684" s="200"/>
      <c r="W1684" s="233" t="str">
        <f t="shared" si="32"/>
        <v>1w</v>
      </c>
      <c r="X1684" s="234">
        <f>_xll.qlCalendarAdvance(Calendar,X1683,W1684,"f",FALSE)</f>
        <v>50627</v>
      </c>
      <c r="Y1684" s="237">
        <f>_xll.qlCalendarAdvance(Calendar,X1684,NDays&amp;"D")</f>
        <v>50627</v>
      </c>
      <c r="Z1684" s="238">
        <v>3.4773270054878402E-2</v>
      </c>
      <c r="AA1684" s="240">
        <v>3.4236902838123973E-2</v>
      </c>
    </row>
    <row r="1685" spans="19:27" x14ac:dyDescent="0.2">
      <c r="S1685" s="199"/>
      <c r="T1685" s="200"/>
      <c r="W1685" s="233" t="str">
        <f t="shared" ref="W1685:W1748" si="33">W1684</f>
        <v>1w</v>
      </c>
      <c r="X1685" s="234">
        <f>_xll.qlCalendarAdvance(Calendar,X1684,W1685,"f",FALSE)</f>
        <v>50634</v>
      </c>
      <c r="Y1685" s="237">
        <f>_xll.qlCalendarAdvance(Calendar,X1685,NDays&amp;"D")</f>
        <v>50634</v>
      </c>
      <c r="Z1685" s="238">
        <v>3.4771765491046436E-2</v>
      </c>
      <c r="AA1685" s="240">
        <v>3.4233700869685801E-2</v>
      </c>
    </row>
    <row r="1686" spans="19:27" x14ac:dyDescent="0.2">
      <c r="S1686" s="199"/>
      <c r="T1686" s="200"/>
      <c r="W1686" s="233" t="str">
        <f t="shared" si="33"/>
        <v>1w</v>
      </c>
      <c r="X1686" s="234">
        <f>_xll.qlCalendarAdvance(Calendar,X1685,W1686,"f",FALSE)</f>
        <v>50641</v>
      </c>
      <c r="Y1686" s="237">
        <f>_xll.qlCalendarAdvance(Calendar,X1686,NDays&amp;"D")</f>
        <v>50641</v>
      </c>
      <c r="Z1686" s="238">
        <v>3.4770314751904285E-2</v>
      </c>
      <c r="AA1686" s="240">
        <v>3.4230568233585279E-2</v>
      </c>
    </row>
    <row r="1687" spans="19:27" x14ac:dyDescent="0.2">
      <c r="S1687" s="199"/>
      <c r="T1687" s="200"/>
      <c r="W1687" s="233" t="str">
        <f t="shared" si="33"/>
        <v>1w</v>
      </c>
      <c r="X1687" s="234">
        <f>_xll.qlCalendarAdvance(Calendar,X1686,W1687,"f",FALSE)</f>
        <v>50648</v>
      </c>
      <c r="Y1687" s="237">
        <f>_xll.qlCalendarAdvance(Calendar,X1687,NDays&amp;"D")</f>
        <v>50648</v>
      </c>
      <c r="Z1687" s="238">
        <v>3.4768915378490695E-2</v>
      </c>
      <c r="AA1687" s="240">
        <v>3.4227504929660313E-2</v>
      </c>
    </row>
    <row r="1688" spans="19:27" x14ac:dyDescent="0.2">
      <c r="S1688" s="199"/>
      <c r="T1688" s="200"/>
      <c r="W1688" s="233" t="str">
        <f t="shared" si="33"/>
        <v>1w</v>
      </c>
      <c r="X1688" s="234">
        <f>_xll.qlCalendarAdvance(Calendar,X1687,W1688,"f",FALSE)</f>
        <v>50655</v>
      </c>
      <c r="Y1688" s="237">
        <f>_xll.qlCalendarAdvance(Calendar,X1688,NDays&amp;"D")</f>
        <v>50655</v>
      </c>
      <c r="Z1688" s="238">
        <v>3.4767564911865501E-2</v>
      </c>
      <c r="AA1688" s="240">
        <v>3.4224510957991949E-2</v>
      </c>
    </row>
    <row r="1689" spans="19:27" x14ac:dyDescent="0.2">
      <c r="S1689" s="199"/>
      <c r="T1689" s="200"/>
      <c r="W1689" s="233" t="str">
        <f t="shared" si="33"/>
        <v>1w</v>
      </c>
      <c r="X1689" s="234">
        <f>_xll.qlCalendarAdvance(Calendar,X1688,W1689,"f",FALSE)</f>
        <v>50662</v>
      </c>
      <c r="Y1689" s="237">
        <f>_xll.qlCalendarAdvance(Calendar,X1689,NDays&amp;"D")</f>
        <v>50662</v>
      </c>
      <c r="Z1689" s="238">
        <v>3.4766260893109191E-2</v>
      </c>
      <c r="AA1689" s="240">
        <v>3.4221586318499142E-2</v>
      </c>
    </row>
    <row r="1690" spans="19:27" x14ac:dyDescent="0.2">
      <c r="S1690" s="199"/>
      <c r="T1690" s="200"/>
      <c r="W1690" s="233" t="str">
        <f t="shared" si="33"/>
        <v>1w</v>
      </c>
      <c r="X1690" s="234">
        <f>_xll.qlCalendarAdvance(Calendar,X1689,W1690,"f",FALSE)</f>
        <v>50669</v>
      </c>
      <c r="Y1690" s="237">
        <f>_xll.qlCalendarAdvance(Calendar,X1690,NDays&amp;"D")</f>
        <v>50669</v>
      </c>
      <c r="Z1690" s="238">
        <v>3.4765000863321127E-2</v>
      </c>
      <c r="AA1690" s="240">
        <v>3.4218731011262937E-2</v>
      </c>
    </row>
    <row r="1691" spans="19:27" x14ac:dyDescent="0.2">
      <c r="S1691" s="199"/>
      <c r="T1691" s="200"/>
      <c r="W1691" s="233" t="str">
        <f t="shared" si="33"/>
        <v>1w</v>
      </c>
      <c r="X1691" s="234">
        <f>_xll.qlCalendarAdvance(Calendar,X1690,W1691,"f",FALSE)</f>
        <v>50676</v>
      </c>
      <c r="Y1691" s="237">
        <f>_xll.qlCalendarAdvance(Calendar,X1691,NDays&amp;"D")</f>
        <v>50676</v>
      </c>
      <c r="Z1691" s="238">
        <v>3.4763782363617102E-2</v>
      </c>
      <c r="AA1691" s="240">
        <v>3.4215945036040196E-2</v>
      </c>
    </row>
    <row r="1692" spans="19:27" x14ac:dyDescent="0.2">
      <c r="S1692" s="199"/>
      <c r="T1692" s="200"/>
      <c r="W1692" s="233" t="str">
        <f t="shared" si="33"/>
        <v>1w</v>
      </c>
      <c r="X1692" s="234">
        <f>_xll.qlCalendarAdvance(Calendar,X1691,W1692,"f",FALSE)</f>
        <v>50683</v>
      </c>
      <c r="Y1692" s="237">
        <f>_xll.qlCalendarAdvance(Calendar,X1692,NDays&amp;"D")</f>
        <v>50683</v>
      </c>
      <c r="Z1692" s="238">
        <v>3.4762602935132003E-2</v>
      </c>
      <c r="AA1692" s="240">
        <v>3.421322839323615E-2</v>
      </c>
    </row>
    <row r="1693" spans="19:27" x14ac:dyDescent="0.2">
      <c r="S1693" s="199"/>
      <c r="T1693" s="200"/>
      <c r="W1693" s="233" t="str">
        <f t="shared" si="33"/>
        <v>1w</v>
      </c>
      <c r="X1693" s="234">
        <f>_xll.qlCalendarAdvance(Calendar,X1692,W1693,"f",FALSE)</f>
        <v>50690</v>
      </c>
      <c r="Y1693" s="237">
        <f>_xll.qlCalendarAdvance(Calendar,X1693,NDays&amp;"D")</f>
        <v>50690</v>
      </c>
      <c r="Z1693" s="238">
        <v>3.4761460119014265E-2</v>
      </c>
      <c r="AA1693" s="240">
        <v>3.4210581082526614E-2</v>
      </c>
    </row>
    <row r="1694" spans="19:27" x14ac:dyDescent="0.2">
      <c r="S1694" s="199"/>
      <c r="T1694" s="200"/>
      <c r="W1694" s="233" t="str">
        <f t="shared" si="33"/>
        <v>1w</v>
      </c>
      <c r="X1694" s="234">
        <f>_xll.qlCalendarAdvance(Calendar,X1693,W1694,"f",FALSE)</f>
        <v>50697</v>
      </c>
      <c r="Y1694" s="237">
        <f>_xll.qlCalendarAdvance(Calendar,X1694,NDays&amp;"D")</f>
        <v>50697</v>
      </c>
      <c r="Z1694" s="238">
        <v>3.4760351456428973E-2</v>
      </c>
      <c r="AA1694" s="240">
        <v>3.4208003104154727E-2</v>
      </c>
    </row>
    <row r="1695" spans="19:27" x14ac:dyDescent="0.2">
      <c r="S1695" s="199"/>
      <c r="T1695" s="200"/>
      <c r="W1695" s="233" t="str">
        <f t="shared" si="33"/>
        <v>1w</v>
      </c>
      <c r="X1695" s="234">
        <f>_xll.qlCalendarAdvance(Calendar,X1694,W1695,"f",FALSE)</f>
        <v>50704</v>
      </c>
      <c r="Y1695" s="237">
        <f>_xll.qlCalendarAdvance(Calendar,X1695,NDays&amp;"D")</f>
        <v>50704</v>
      </c>
      <c r="Z1695" s="238">
        <v>3.4759274488554093E-2</v>
      </c>
      <c r="AA1695" s="240">
        <v>3.4205494457796304E-2</v>
      </c>
    </row>
    <row r="1696" spans="19:27" x14ac:dyDescent="0.2">
      <c r="S1696" s="199"/>
      <c r="T1696" s="200"/>
      <c r="W1696" s="233" t="str">
        <f t="shared" si="33"/>
        <v>1w</v>
      </c>
      <c r="X1696" s="234">
        <f>_xll.qlCalendarAdvance(Calendar,X1695,W1696,"f",FALSE)</f>
        <v>50711</v>
      </c>
      <c r="Y1696" s="237">
        <f>_xll.qlCalendarAdvance(Calendar,X1696,NDays&amp;"D")</f>
        <v>50711</v>
      </c>
      <c r="Z1696" s="238">
        <v>3.47582267565818E-2</v>
      </c>
      <c r="AA1696" s="240">
        <v>3.4203055143856576E-2</v>
      </c>
    </row>
    <row r="1697" spans="19:27" x14ac:dyDescent="0.2">
      <c r="S1697" s="199"/>
      <c r="T1697" s="200"/>
      <c r="W1697" s="233" t="str">
        <f t="shared" si="33"/>
        <v>1w</v>
      </c>
      <c r="X1697" s="234">
        <f>_xll.qlCalendarAdvance(Calendar,X1696,W1697,"f",FALSE)</f>
        <v>50718</v>
      </c>
      <c r="Y1697" s="237">
        <f>_xll.qlCalendarAdvance(Calendar,X1697,NDays&amp;"D")</f>
        <v>50718</v>
      </c>
      <c r="Z1697" s="238">
        <v>3.475720580171604E-2</v>
      </c>
      <c r="AA1697" s="240">
        <v>3.4200685162011357E-2</v>
      </c>
    </row>
    <row r="1698" spans="19:27" x14ac:dyDescent="0.2">
      <c r="S1698" s="199"/>
      <c r="T1698" s="200"/>
      <c r="W1698" s="233" t="str">
        <f t="shared" si="33"/>
        <v>1w</v>
      </c>
      <c r="X1698" s="234">
        <f>_xll.qlCalendarAdvance(Calendar,X1697,W1698,"f",FALSE)</f>
        <v>50725</v>
      </c>
      <c r="Y1698" s="237">
        <f>_xll.qlCalendarAdvance(Calendar,X1698,NDays&amp;"D")</f>
        <v>50725</v>
      </c>
      <c r="Z1698" s="238">
        <v>3.4756209165173635E-2</v>
      </c>
      <c r="AA1698" s="240">
        <v>3.4198384512341695E-2</v>
      </c>
    </row>
    <row r="1699" spans="19:27" x14ac:dyDescent="0.2">
      <c r="S1699" s="199"/>
      <c r="T1699" s="200"/>
      <c r="W1699" s="233" t="str">
        <f t="shared" si="33"/>
        <v>1w</v>
      </c>
      <c r="X1699" s="234">
        <f>_xll.qlCalendarAdvance(Calendar,X1698,W1699,"f",FALSE)</f>
        <v>50732</v>
      </c>
      <c r="Y1699" s="237">
        <f>_xll.qlCalendarAdvance(Calendar,X1699,NDays&amp;"D")</f>
        <v>50732</v>
      </c>
      <c r="Z1699" s="238">
        <v>3.4755234388181622E-2</v>
      </c>
      <c r="AA1699" s="240">
        <v>3.4196153194928636E-2</v>
      </c>
    </row>
    <row r="1700" spans="19:27" x14ac:dyDescent="0.2">
      <c r="S1700" s="199"/>
      <c r="T1700" s="200"/>
      <c r="W1700" s="233" t="str">
        <f t="shared" si="33"/>
        <v>1w</v>
      </c>
      <c r="X1700" s="234">
        <f>_xll.qlCalendarAdvance(Calendar,X1699,W1700,"f",FALSE)</f>
        <v>50739</v>
      </c>
      <c r="Y1700" s="237">
        <f>_xll.qlCalendarAdvance(Calendar,X1700,NDays&amp;"D")</f>
        <v>50739</v>
      </c>
      <c r="Z1700" s="238">
        <v>3.4754279011978584E-2</v>
      </c>
      <c r="AA1700" s="240">
        <v>3.4193991209691132E-2</v>
      </c>
    </row>
    <row r="1701" spans="19:27" x14ac:dyDescent="0.2">
      <c r="S1701" s="199"/>
      <c r="T1701" s="200"/>
      <c r="W1701" s="233" t="str">
        <f t="shared" si="33"/>
        <v>1w</v>
      </c>
      <c r="X1701" s="234">
        <f>_xll.qlCalendarAdvance(Calendar,X1700,W1701,"f",FALSE)</f>
        <v>50746</v>
      </c>
      <c r="Y1701" s="237">
        <f>_xll.qlCalendarAdvance(Calendar,X1701,NDays&amp;"D")</f>
        <v>50746</v>
      </c>
      <c r="Z1701" s="238">
        <v>3.4753340577812653E-2</v>
      </c>
      <c r="AA1701" s="240">
        <v>3.4191898556629186E-2</v>
      </c>
    </row>
    <row r="1702" spans="19:27" x14ac:dyDescent="0.2">
      <c r="S1702" s="199"/>
      <c r="T1702" s="200"/>
      <c r="W1702" s="233" t="str">
        <f t="shared" si="33"/>
        <v>1w</v>
      </c>
      <c r="X1702" s="234">
        <f>_xll.qlCalendarAdvance(Calendar,X1701,W1702,"f",FALSE)</f>
        <v>50753</v>
      </c>
      <c r="Y1702" s="237">
        <f>_xll.qlCalendarAdvance(Calendar,X1702,NDays&amp;"D")</f>
        <v>50753</v>
      </c>
      <c r="Z1702" s="238">
        <v>3.4752416626943061E-2</v>
      </c>
      <c r="AA1702" s="240">
        <v>3.4189875235823841E-2</v>
      </c>
    </row>
    <row r="1703" spans="19:27" x14ac:dyDescent="0.2">
      <c r="S1703" s="199"/>
      <c r="T1703" s="200"/>
      <c r="W1703" s="233" t="str">
        <f t="shared" si="33"/>
        <v>1w</v>
      </c>
      <c r="X1703" s="234">
        <f>_xll.qlCalendarAdvance(Calendar,X1702,W1703,"f",FALSE)</f>
        <v>50760</v>
      </c>
      <c r="Y1703" s="237">
        <f>_xll.qlCalendarAdvance(Calendar,X1703,NDays&amp;"D")</f>
        <v>50760</v>
      </c>
      <c r="Z1703" s="238">
        <v>3.4751504700637259E-2</v>
      </c>
      <c r="AA1703" s="240">
        <v>3.4187921247194053E-2</v>
      </c>
    </row>
    <row r="1704" spans="19:27" x14ac:dyDescent="0.2">
      <c r="S1704" s="199"/>
      <c r="T1704" s="200"/>
      <c r="W1704" s="233" t="str">
        <f t="shared" si="33"/>
        <v>1w</v>
      </c>
      <c r="X1704" s="234">
        <f>_xll.qlCalendarAdvance(Calendar,X1703,W1704,"f",FALSE)</f>
        <v>50768</v>
      </c>
      <c r="Y1704" s="237">
        <f>_xll.qlCalendarAdvance(Calendar,X1704,NDays&amp;"D")</f>
        <v>50768</v>
      </c>
      <c r="Z1704" s="238">
        <v>3.4750474069054293E-2</v>
      </c>
      <c r="AA1704" s="240">
        <v>3.4185773013808429E-2</v>
      </c>
    </row>
    <row r="1705" spans="19:27" x14ac:dyDescent="0.2">
      <c r="S1705" s="199"/>
      <c r="T1705" s="200"/>
      <c r="W1705" s="233" t="str">
        <f t="shared" si="33"/>
        <v>1w</v>
      </c>
      <c r="X1705" s="234">
        <f>_xll.qlCalendarAdvance(Calendar,X1704,W1705,"f",FALSE)</f>
        <v>50775</v>
      </c>
      <c r="Y1705" s="237">
        <f>_xll.qlCalendarAdvance(Calendar,X1705,NDays&amp;"D")</f>
        <v>50775</v>
      </c>
      <c r="Z1705" s="238">
        <v>3.4749579630309224E-2</v>
      </c>
      <c r="AA1705" s="240">
        <v>3.4183967594114684E-2</v>
      </c>
    </row>
    <row r="1706" spans="19:27" x14ac:dyDescent="0.2">
      <c r="S1706" s="199"/>
      <c r="T1706" s="200"/>
      <c r="W1706" s="233" t="str">
        <f t="shared" si="33"/>
        <v>1w</v>
      </c>
      <c r="X1706" s="234">
        <f>_xll.qlCalendarAdvance(Calendar,X1705,W1706,"f",FALSE)</f>
        <v>50782</v>
      </c>
      <c r="Y1706" s="237">
        <f>_xll.qlCalendarAdvance(Calendar,X1706,NDays&amp;"D")</f>
        <v>50782</v>
      </c>
      <c r="Z1706" s="238">
        <v>3.4748689488742768E-2</v>
      </c>
      <c r="AA1706" s="240">
        <v>3.4182231506758587E-2</v>
      </c>
    </row>
    <row r="1707" spans="19:27" x14ac:dyDescent="0.2">
      <c r="S1707" s="199"/>
      <c r="T1707" s="200"/>
      <c r="W1707" s="233" t="str">
        <f t="shared" si="33"/>
        <v>1w</v>
      </c>
      <c r="X1707" s="234">
        <f>_xll.qlCalendarAdvance(Calendar,X1706,W1707,"f",FALSE)</f>
        <v>50789</v>
      </c>
      <c r="Y1707" s="237">
        <f>_xll.qlCalendarAdvance(Calendar,X1707,NDays&amp;"D")</f>
        <v>50789</v>
      </c>
      <c r="Z1707" s="238">
        <v>3.4747801185659455E-2</v>
      </c>
      <c r="AA1707" s="240">
        <v>3.4180564751334908E-2</v>
      </c>
    </row>
    <row r="1708" spans="19:27" x14ac:dyDescent="0.2">
      <c r="S1708" s="199"/>
      <c r="T1708" s="200"/>
      <c r="W1708" s="233" t="str">
        <f t="shared" si="33"/>
        <v>1w</v>
      </c>
      <c r="X1708" s="234">
        <f>_xll.qlCalendarAdvance(Calendar,X1707,W1708,"f",FALSE)</f>
        <v>50796</v>
      </c>
      <c r="Y1708" s="237">
        <f>_xll.qlCalendarAdvance(Calendar,X1708,NDays&amp;"D")</f>
        <v>50796</v>
      </c>
      <c r="Z1708" s="238">
        <v>3.474691226237181E-2</v>
      </c>
      <c r="AA1708" s="240">
        <v>3.4178967328248877E-2</v>
      </c>
    </row>
    <row r="1709" spans="19:27" x14ac:dyDescent="0.2">
      <c r="S1709" s="199"/>
      <c r="T1709" s="200"/>
      <c r="W1709" s="233" t="str">
        <f t="shared" si="33"/>
        <v>1w</v>
      </c>
      <c r="X1709" s="234">
        <f>_xll.qlCalendarAdvance(Calendar,X1708,W1709,"f",FALSE)</f>
        <v>50803</v>
      </c>
      <c r="Y1709" s="237">
        <f>_xll.qlCalendarAdvance(Calendar,X1709,NDays&amp;"D")</f>
        <v>50803</v>
      </c>
      <c r="Z1709" s="238">
        <v>3.4746020260201682E-2</v>
      </c>
      <c r="AA1709" s="240">
        <v>3.4177439237338403E-2</v>
      </c>
    </row>
    <row r="1710" spans="19:27" x14ac:dyDescent="0.2">
      <c r="S1710" s="199"/>
      <c r="T1710" s="200"/>
      <c r="W1710" s="233" t="str">
        <f t="shared" si="33"/>
        <v>1w</v>
      </c>
      <c r="X1710" s="234">
        <f>_xll.qlCalendarAdvance(Calendar,X1709,W1710,"f",FALSE)</f>
        <v>50810</v>
      </c>
      <c r="Y1710" s="237">
        <f>_xll.qlCalendarAdvance(Calendar,X1710,NDays&amp;"D")</f>
        <v>50810</v>
      </c>
      <c r="Z1710" s="238">
        <v>3.4745122720478472E-2</v>
      </c>
      <c r="AA1710" s="240">
        <v>3.4175980478603485E-2</v>
      </c>
    </row>
    <row r="1711" spans="19:27" x14ac:dyDescent="0.2">
      <c r="S1711" s="199"/>
      <c r="T1711" s="200"/>
      <c r="W1711" s="233" t="str">
        <f t="shared" si="33"/>
        <v>1w</v>
      </c>
      <c r="X1711" s="234">
        <f>_xll.qlCalendarAdvance(Calendar,X1710,W1711,"f",FALSE)</f>
        <v>50817</v>
      </c>
      <c r="Y1711" s="237">
        <f>_xll.qlCalendarAdvance(Calendar,X1711,NDays&amp;"D")</f>
        <v>50817</v>
      </c>
      <c r="Z1711" s="238">
        <v>3.4744217184540904E-2</v>
      </c>
      <c r="AA1711" s="240">
        <v>3.4174591052044123E-2</v>
      </c>
    </row>
    <row r="1712" spans="19:27" x14ac:dyDescent="0.2">
      <c r="S1712" s="199"/>
      <c r="T1712" s="200"/>
      <c r="W1712" s="233" t="str">
        <f t="shared" si="33"/>
        <v>1w</v>
      </c>
      <c r="X1712" s="234">
        <f>_xll.qlCalendarAdvance(Calendar,X1711,W1712,"f",FALSE)</f>
        <v>50824</v>
      </c>
      <c r="Y1712" s="237">
        <f>_xll.qlCalendarAdvance(Calendar,X1712,NDays&amp;"D")</f>
        <v>50824</v>
      </c>
      <c r="Z1712" s="238">
        <v>3.474330119373592E-2</v>
      </c>
      <c r="AA1712" s="240">
        <v>3.4173270957741364E-2</v>
      </c>
    </row>
    <row r="1713" spans="19:27" x14ac:dyDescent="0.2">
      <c r="S1713" s="199"/>
      <c r="T1713" s="200"/>
      <c r="W1713" s="233" t="str">
        <f t="shared" si="33"/>
        <v>1w</v>
      </c>
      <c r="X1713" s="234">
        <f>_xll.qlCalendarAdvance(Calendar,X1712,W1713,"f",FALSE)</f>
        <v>50831</v>
      </c>
      <c r="Y1713" s="237">
        <f>_xll.qlCalendarAdvance(Calendar,X1713,NDays&amp;"D")</f>
        <v>50831</v>
      </c>
      <c r="Z1713" s="238">
        <v>3.4743924167988958E-2</v>
      </c>
      <c r="AA1713" s="240">
        <v>3.4172020195614161E-2</v>
      </c>
    </row>
    <row r="1714" spans="19:27" x14ac:dyDescent="0.2">
      <c r="S1714" s="199"/>
      <c r="T1714" s="200"/>
      <c r="W1714" s="233" t="str">
        <f t="shared" si="33"/>
        <v>1w</v>
      </c>
      <c r="X1714" s="234">
        <f>_xll.qlCalendarAdvance(Calendar,X1713,W1714,"f",FALSE)</f>
        <v>50838</v>
      </c>
      <c r="Y1714" s="237">
        <f>_xll.qlCalendarAdvance(Calendar,X1714,NDays&amp;"D")</f>
        <v>50838</v>
      </c>
      <c r="Z1714" s="238">
        <v>3.4742976652859657E-2</v>
      </c>
      <c r="AA1714" s="240">
        <v>3.4170838765581468E-2</v>
      </c>
    </row>
    <row r="1715" spans="19:27" x14ac:dyDescent="0.2">
      <c r="S1715" s="199"/>
      <c r="T1715" s="200"/>
      <c r="W1715" s="233" t="str">
        <f t="shared" si="33"/>
        <v>1w</v>
      </c>
      <c r="X1715" s="234">
        <f>_xll.qlCalendarAdvance(Calendar,X1714,W1715,"f",FALSE)</f>
        <v>50845</v>
      </c>
      <c r="Y1715" s="237">
        <f>_xll.qlCalendarAdvance(Calendar,X1715,NDays&amp;"D")</f>
        <v>50845</v>
      </c>
      <c r="Z1715" s="238">
        <v>3.4742011199727578E-2</v>
      </c>
      <c r="AA1715" s="240">
        <v>3.4169726667805378E-2</v>
      </c>
    </row>
    <row r="1716" spans="19:27" x14ac:dyDescent="0.2">
      <c r="S1716" s="199"/>
      <c r="T1716" s="200"/>
      <c r="W1716" s="233" t="str">
        <f t="shared" si="33"/>
        <v>1w</v>
      </c>
      <c r="X1716" s="234">
        <f>_xll.qlCalendarAdvance(Calendar,X1715,W1716,"f",FALSE)</f>
        <v>50852</v>
      </c>
      <c r="Y1716" s="237">
        <f>_xll.qlCalendarAdvance(Calendar,X1716,NDays&amp;"D")</f>
        <v>50852</v>
      </c>
      <c r="Z1716" s="238">
        <v>3.4741025356466414E-2</v>
      </c>
      <c r="AA1716" s="240">
        <v>3.4168683902123798E-2</v>
      </c>
    </row>
    <row r="1717" spans="19:27" x14ac:dyDescent="0.2">
      <c r="S1717" s="199"/>
      <c r="T1717" s="200"/>
      <c r="W1717" s="233" t="str">
        <f t="shared" si="33"/>
        <v>1w</v>
      </c>
      <c r="X1717" s="234">
        <f>_xll.qlCalendarAdvance(Calendar,X1716,W1717,"f",FALSE)</f>
        <v>50859</v>
      </c>
      <c r="Y1717" s="237">
        <f>_xll.qlCalendarAdvance(Calendar,X1717,NDays&amp;"D")</f>
        <v>50859</v>
      </c>
      <c r="Z1717" s="238">
        <v>3.4738478364498171E-2</v>
      </c>
      <c r="AA1717" s="240">
        <v>3.416771046869882E-2</v>
      </c>
    </row>
    <row r="1718" spans="19:27" x14ac:dyDescent="0.2">
      <c r="S1718" s="199"/>
      <c r="T1718" s="200"/>
      <c r="W1718" s="233" t="str">
        <f t="shared" si="33"/>
        <v>1w</v>
      </c>
      <c r="X1718" s="234">
        <f>_xll.qlCalendarAdvance(Calendar,X1717,W1718,"f",FALSE)</f>
        <v>50866</v>
      </c>
      <c r="Y1718" s="237">
        <f>_xll.qlCalendarAdvance(Calendar,X1718,NDays&amp;"D")</f>
        <v>50866</v>
      </c>
      <c r="Z1718" s="238">
        <v>3.473898269110872E-2</v>
      </c>
      <c r="AA1718" s="240">
        <v>3.4166806367449398E-2</v>
      </c>
    </row>
    <row r="1719" spans="19:27" x14ac:dyDescent="0.2">
      <c r="S1719" s="199"/>
      <c r="T1719" s="200"/>
      <c r="W1719" s="233" t="str">
        <f t="shared" si="33"/>
        <v>1w</v>
      </c>
      <c r="X1719" s="234">
        <f>_xll.qlCalendarAdvance(Calendar,X1718,W1719,"f",FALSE)</f>
        <v>50873</v>
      </c>
      <c r="Y1719" s="237">
        <f>_xll.qlCalendarAdvance(Calendar,X1719,NDays&amp;"D")</f>
        <v>50873</v>
      </c>
      <c r="Z1719" s="238">
        <v>3.4737920964814054E-2</v>
      </c>
      <c r="AA1719" s="240">
        <v>3.4165971598375533E-2</v>
      </c>
    </row>
    <row r="1720" spans="19:27" x14ac:dyDescent="0.2">
      <c r="S1720" s="199"/>
      <c r="T1720" s="200"/>
      <c r="W1720" s="233" t="str">
        <f t="shared" si="33"/>
        <v>1w</v>
      </c>
      <c r="X1720" s="234">
        <f>_xll.qlCalendarAdvance(Calendar,X1719,W1720,"f",FALSE)</f>
        <v>50880</v>
      </c>
      <c r="Y1720" s="237">
        <f>_xll.qlCalendarAdvance(Calendar,X1720,NDays&amp;"D")</f>
        <v>50880</v>
      </c>
      <c r="Z1720" s="238">
        <v>3.4736829039997565E-2</v>
      </c>
      <c r="AA1720" s="240">
        <v>3.4165206161477224E-2</v>
      </c>
    </row>
    <row r="1721" spans="19:27" x14ac:dyDescent="0.2">
      <c r="S1721" s="199"/>
      <c r="T1721" s="200"/>
      <c r="W1721" s="233" t="str">
        <f t="shared" si="33"/>
        <v>1w</v>
      </c>
      <c r="X1721" s="234">
        <f>_xll.qlCalendarAdvance(Calendar,X1720,W1721,"f",FALSE)</f>
        <v>50887</v>
      </c>
      <c r="Y1721" s="237">
        <f>_xll.qlCalendarAdvance(Calendar,X1721,NDays&amp;"D")</f>
        <v>50887</v>
      </c>
      <c r="Z1721" s="238">
        <v>3.4735704464591399E-2</v>
      </c>
      <c r="AA1721" s="240">
        <v>3.4164510056835518E-2</v>
      </c>
    </row>
    <row r="1722" spans="19:27" x14ac:dyDescent="0.2">
      <c r="S1722" s="199"/>
      <c r="T1722" s="200"/>
      <c r="W1722" s="233" t="str">
        <f t="shared" si="33"/>
        <v>1w</v>
      </c>
      <c r="X1722" s="234">
        <f>_xll.qlCalendarAdvance(Calendar,X1721,W1722,"f",FALSE)</f>
        <v>50894</v>
      </c>
      <c r="Y1722" s="237">
        <f>_xll.qlCalendarAdvance(Calendar,X1722,NDays&amp;"D")</f>
        <v>50894</v>
      </c>
      <c r="Z1722" s="238">
        <v>3.4734544786541442E-2</v>
      </c>
      <c r="AA1722" s="240">
        <v>3.4163883284288321E-2</v>
      </c>
    </row>
    <row r="1723" spans="19:27" x14ac:dyDescent="0.2">
      <c r="S1723" s="199"/>
      <c r="T1723" s="200"/>
      <c r="W1723" s="233" t="str">
        <f t="shared" si="33"/>
        <v>1w</v>
      </c>
      <c r="X1723" s="234">
        <f>_xll.qlCalendarAdvance(Calendar,X1722,W1723,"f",FALSE)</f>
        <v>50901</v>
      </c>
      <c r="Y1723" s="237">
        <f>_xll.qlCalendarAdvance(Calendar,X1723,NDays&amp;"D")</f>
        <v>50901</v>
      </c>
      <c r="Z1723" s="238">
        <v>3.4733347553807532E-2</v>
      </c>
      <c r="AA1723" s="240">
        <v>3.4163325843916681E-2</v>
      </c>
    </row>
    <row r="1724" spans="19:27" x14ac:dyDescent="0.2">
      <c r="S1724" s="199"/>
      <c r="T1724" s="200"/>
      <c r="W1724" s="233" t="str">
        <f t="shared" si="33"/>
        <v>1w</v>
      </c>
      <c r="X1724" s="234">
        <f>_xll.qlCalendarAdvance(Calendar,X1723,W1724,"f",FALSE)</f>
        <v>50908</v>
      </c>
      <c r="Y1724" s="237">
        <f>_xll.qlCalendarAdvance(Calendar,X1724,NDays&amp;"D")</f>
        <v>50908</v>
      </c>
      <c r="Z1724" s="238">
        <v>3.4732110314366099E-2</v>
      </c>
      <c r="AA1724" s="240">
        <v>3.4162837735801643E-2</v>
      </c>
    </row>
    <row r="1725" spans="19:27" x14ac:dyDescent="0.2">
      <c r="S1725" s="199"/>
      <c r="T1725" s="200"/>
      <c r="W1725" s="233" t="str">
        <f t="shared" si="33"/>
        <v>1w</v>
      </c>
      <c r="X1725" s="234">
        <f>_xll.qlCalendarAdvance(Calendar,X1724,W1725,"f",FALSE)</f>
        <v>50915</v>
      </c>
      <c r="Y1725" s="237">
        <f>_xll.qlCalendarAdvance(Calendar,X1725,NDays&amp;"D")</f>
        <v>50915</v>
      </c>
      <c r="Z1725" s="238">
        <v>3.47308306162082E-2</v>
      </c>
      <c r="AA1725" s="240">
        <v>3.4162418959781116E-2</v>
      </c>
    </row>
    <row r="1726" spans="19:27" x14ac:dyDescent="0.2">
      <c r="S1726" s="199"/>
      <c r="T1726" s="200"/>
      <c r="W1726" s="233" t="str">
        <f t="shared" si="33"/>
        <v>1w</v>
      </c>
      <c r="X1726" s="234">
        <f>_xll.qlCalendarAdvance(Calendar,X1725,W1726,"f",FALSE)</f>
        <v>50922</v>
      </c>
      <c r="Y1726" s="237">
        <f>_xll.qlCalendarAdvance(Calendar,X1726,NDays&amp;"D")</f>
        <v>50922</v>
      </c>
      <c r="Z1726" s="238">
        <v>3.4729506007343494E-2</v>
      </c>
      <c r="AA1726" s="240">
        <v>3.4162069515936144E-2</v>
      </c>
    </row>
    <row r="1727" spans="19:27" x14ac:dyDescent="0.2">
      <c r="S1727" s="199"/>
      <c r="T1727" s="200"/>
      <c r="W1727" s="233" t="str">
        <f t="shared" si="33"/>
        <v>1w</v>
      </c>
      <c r="X1727" s="234">
        <f>_xll.qlCalendarAdvance(Calendar,X1726,W1727,"f",FALSE)</f>
        <v>50929</v>
      </c>
      <c r="Y1727" s="237">
        <f>_xll.qlCalendarAdvance(Calendar,X1727,NDays&amp;"D")</f>
        <v>50929</v>
      </c>
      <c r="Z1727" s="238">
        <v>3.4728134035798913E-2</v>
      </c>
      <c r="AA1727" s="240">
        <v>3.4161789404266729E-2</v>
      </c>
    </row>
    <row r="1728" spans="19:27" x14ac:dyDescent="0.2">
      <c r="S1728" s="199"/>
      <c r="T1728" s="200"/>
      <c r="W1728" s="233" t="str">
        <f t="shared" si="33"/>
        <v>1w</v>
      </c>
      <c r="X1728" s="234">
        <f>_xll.qlCalendarAdvance(Calendar,X1727,W1728,"f",FALSE)</f>
        <v>50936</v>
      </c>
      <c r="Y1728" s="237">
        <f>_xll.qlCalendarAdvance(Calendar,X1728,NDays&amp;"D")</f>
        <v>50936</v>
      </c>
      <c r="Z1728" s="238">
        <v>3.4726712249621303E-2</v>
      </c>
      <c r="AA1728" s="240">
        <v>3.416157862477287E-2</v>
      </c>
    </row>
    <row r="1729" spans="19:27" x14ac:dyDescent="0.2">
      <c r="S1729" s="199"/>
      <c r="T1729" s="200"/>
      <c r="W1729" s="233" t="str">
        <f t="shared" si="33"/>
        <v>1w</v>
      </c>
      <c r="X1729" s="234">
        <f>_xll.qlCalendarAdvance(Calendar,X1728,W1729,"f",FALSE)</f>
        <v>50943</v>
      </c>
      <c r="Y1729" s="237">
        <f>_xll.qlCalendarAdvance(Calendar,X1729,NDays&amp;"D")</f>
        <v>50943</v>
      </c>
      <c r="Z1729" s="238">
        <v>3.4725238196877908E-2</v>
      </c>
      <c r="AA1729" s="240">
        <v>3.4161437177535614E-2</v>
      </c>
    </row>
    <row r="1730" spans="19:27" x14ac:dyDescent="0.2">
      <c r="S1730" s="199"/>
      <c r="T1730" s="200"/>
      <c r="W1730" s="233" t="str">
        <f t="shared" si="33"/>
        <v>1w</v>
      </c>
      <c r="X1730" s="234">
        <f>_xll.qlCalendarAdvance(Calendar,X1729,W1730,"f",FALSE)</f>
        <v>50950</v>
      </c>
      <c r="Y1730" s="237">
        <f>_xll.qlCalendarAdvance(Calendar,X1730,NDays&amp;"D")</f>
        <v>50950</v>
      </c>
      <c r="Z1730" s="238">
        <v>3.472370943393787E-2</v>
      </c>
      <c r="AA1730" s="240">
        <v>3.416135705469614E-2</v>
      </c>
    </row>
    <row r="1731" spans="19:27" x14ac:dyDescent="0.2">
      <c r="S1731" s="199"/>
      <c r="T1731" s="200"/>
      <c r="W1731" s="233" t="str">
        <f t="shared" si="33"/>
        <v>1w</v>
      </c>
      <c r="X1731" s="234">
        <f>_xll.qlCalendarAdvance(Calendar,X1730,W1731,"f",FALSE)</f>
        <v>50957</v>
      </c>
      <c r="Y1731" s="237">
        <f>_xll.qlCalendarAdvance(Calendar,X1731,NDays&amp;"D")</f>
        <v>50957</v>
      </c>
      <c r="Z1731" s="238">
        <v>3.4722124238646124E-2</v>
      </c>
      <c r="AA1731" s="240">
        <v>3.4161248063900862E-2</v>
      </c>
    </row>
    <row r="1732" spans="19:27" x14ac:dyDescent="0.2">
      <c r="S1732" s="199"/>
      <c r="T1732" s="200"/>
      <c r="W1732" s="233" t="str">
        <f t="shared" si="33"/>
        <v>1w</v>
      </c>
      <c r="X1732" s="234">
        <f>_xll.qlCalendarAdvance(Calendar,X1731,W1732,"f",FALSE)</f>
        <v>50964</v>
      </c>
      <c r="Y1732" s="237">
        <f>_xll.qlCalendarAdvance(Calendar,X1732,NDays&amp;"D")</f>
        <v>50964</v>
      </c>
      <c r="Z1732" s="238">
        <v>3.4720482159945346E-2</v>
      </c>
      <c r="AA1732" s="240">
        <v>3.4161084495972771E-2</v>
      </c>
    </row>
    <row r="1733" spans="19:27" x14ac:dyDescent="0.2">
      <c r="S1733" s="199"/>
      <c r="T1733" s="200"/>
      <c r="W1733" s="233" t="str">
        <f t="shared" si="33"/>
        <v>1w</v>
      </c>
      <c r="X1733" s="234">
        <f>_xll.qlCalendarAdvance(Calendar,X1732,W1733,"f",FALSE)</f>
        <v>50971</v>
      </c>
      <c r="Y1733" s="237">
        <f>_xll.qlCalendarAdvance(Calendar,X1733,NDays&amp;"D")</f>
        <v>50971</v>
      </c>
      <c r="Z1733" s="238">
        <v>3.4718782876175698E-2</v>
      </c>
      <c r="AA1733" s="240">
        <v>3.4160866350992913E-2</v>
      </c>
    </row>
    <row r="1734" spans="19:27" x14ac:dyDescent="0.2">
      <c r="S1734" s="199"/>
      <c r="T1734" s="200"/>
      <c r="W1734" s="233" t="str">
        <f t="shared" si="33"/>
        <v>1w</v>
      </c>
      <c r="X1734" s="234">
        <f>_xll.qlCalendarAdvance(Calendar,X1733,W1734,"f",FALSE)</f>
        <v>50978</v>
      </c>
      <c r="Y1734" s="237">
        <f>_xll.qlCalendarAdvance(Calendar,X1734,NDays&amp;"D")</f>
        <v>50978</v>
      </c>
      <c r="Z1734" s="238">
        <v>3.4717026065687953E-2</v>
      </c>
      <c r="AA1734" s="240">
        <v>3.4160593628799196E-2</v>
      </c>
    </row>
    <row r="1735" spans="19:27" x14ac:dyDescent="0.2">
      <c r="S1735" s="199"/>
      <c r="T1735" s="200"/>
      <c r="W1735" s="233" t="str">
        <f t="shared" si="33"/>
        <v>1w</v>
      </c>
      <c r="X1735" s="234">
        <f>_xll.qlCalendarAdvance(Calendar,X1734,W1735,"f",FALSE)</f>
        <v>50985</v>
      </c>
      <c r="Y1735" s="237">
        <f>_xll.qlCalendarAdvance(Calendar,X1735,NDays&amp;"D")</f>
        <v>50985</v>
      </c>
      <c r="Z1735" s="238">
        <v>3.4715211406846407E-2</v>
      </c>
      <c r="AA1735" s="240">
        <v>3.4160266329634759E-2</v>
      </c>
    </row>
    <row r="1736" spans="19:27" x14ac:dyDescent="0.2">
      <c r="S1736" s="199"/>
      <c r="T1736" s="200"/>
      <c r="W1736" s="233" t="str">
        <f t="shared" si="33"/>
        <v>1w</v>
      </c>
      <c r="X1736" s="234">
        <f>_xll.qlCalendarAdvance(Calendar,X1735,W1736,"f",FALSE)</f>
        <v>50992</v>
      </c>
      <c r="Y1736" s="237">
        <f>_xll.qlCalendarAdvance(Calendar,X1736,NDays&amp;"D")</f>
        <v>50992</v>
      </c>
      <c r="Z1736" s="238">
        <v>3.471333857802554E-2</v>
      </c>
      <c r="AA1736" s="240">
        <v>3.4159884453337508E-2</v>
      </c>
    </row>
    <row r="1737" spans="19:27" x14ac:dyDescent="0.2">
      <c r="S1737" s="199"/>
      <c r="T1737" s="200"/>
      <c r="W1737" s="233" t="str">
        <f t="shared" si="33"/>
        <v>1w</v>
      </c>
      <c r="X1737" s="234">
        <f>_xll.qlCalendarAdvance(Calendar,X1736,W1737,"f",FALSE)</f>
        <v>50999</v>
      </c>
      <c r="Y1737" s="237">
        <f>_xll.qlCalendarAdvance(Calendar,X1737,NDays&amp;"D")</f>
        <v>50999</v>
      </c>
      <c r="Z1737" s="238">
        <v>3.471140725761334E-2</v>
      </c>
      <c r="AA1737" s="240">
        <v>3.415944799998849E-2</v>
      </c>
    </row>
    <row r="1738" spans="19:27" x14ac:dyDescent="0.2">
      <c r="S1738" s="199"/>
      <c r="T1738" s="200"/>
      <c r="W1738" s="233" t="str">
        <f t="shared" si="33"/>
        <v>1w</v>
      </c>
      <c r="X1738" s="234">
        <f>_xll.qlCalendarAdvance(Calendar,X1737,W1738,"f",FALSE)</f>
        <v>51006</v>
      </c>
      <c r="Y1738" s="237">
        <f>_xll.qlCalendarAdvance(Calendar,X1738,NDays&amp;"D")</f>
        <v>51006</v>
      </c>
      <c r="Z1738" s="238">
        <v>3.470941712400908E-2</v>
      </c>
      <c r="AA1738" s="240">
        <v>3.4158956969587706E-2</v>
      </c>
    </row>
    <row r="1739" spans="19:27" x14ac:dyDescent="0.2">
      <c r="S1739" s="199"/>
      <c r="T1739" s="200"/>
      <c r="W1739" s="233" t="str">
        <f t="shared" si="33"/>
        <v>1w</v>
      </c>
      <c r="X1739" s="234">
        <f>_xll.qlCalendarAdvance(Calendar,X1738,W1739,"f",FALSE)</f>
        <v>51013</v>
      </c>
      <c r="Y1739" s="237">
        <f>_xll.qlCalendarAdvance(Calendar,X1739,NDays&amp;"D")</f>
        <v>51013</v>
      </c>
      <c r="Z1739" s="238">
        <v>3.4707367855624879E-2</v>
      </c>
      <c r="AA1739" s="240">
        <v>3.4158411362054109E-2</v>
      </c>
    </row>
    <row r="1740" spans="19:27" x14ac:dyDescent="0.2">
      <c r="S1740" s="199"/>
      <c r="T1740" s="200"/>
      <c r="W1740" s="233" t="str">
        <f t="shared" si="33"/>
        <v>1w</v>
      </c>
      <c r="X1740" s="234">
        <f>_xll.qlCalendarAdvance(Calendar,X1739,W1740,"f",FALSE)</f>
        <v>51020</v>
      </c>
      <c r="Y1740" s="237">
        <f>_xll.qlCalendarAdvance(Calendar,X1740,NDays&amp;"D")</f>
        <v>51020</v>
      </c>
      <c r="Z1740" s="238">
        <v>3.470525913088638E-2</v>
      </c>
      <c r="AA1740" s="240">
        <v>3.4157811177549791E-2</v>
      </c>
    </row>
    <row r="1741" spans="19:27" x14ac:dyDescent="0.2">
      <c r="S1741" s="199"/>
      <c r="T1741" s="200"/>
      <c r="W1741" s="233" t="str">
        <f t="shared" si="33"/>
        <v>1w</v>
      </c>
      <c r="X1741" s="234">
        <f>_xll.qlCalendarAdvance(Calendar,X1740,W1741,"f",FALSE)</f>
        <v>51027</v>
      </c>
      <c r="Y1741" s="237">
        <f>_xll.qlCalendarAdvance(Calendar,X1741,NDays&amp;"D")</f>
        <v>51027</v>
      </c>
      <c r="Z1741" s="238">
        <v>3.4703090628230494E-2</v>
      </c>
      <c r="AA1741" s="240">
        <v>3.4157156415831613E-2</v>
      </c>
    </row>
    <row r="1742" spans="19:27" x14ac:dyDescent="0.2">
      <c r="S1742" s="199"/>
      <c r="T1742" s="200"/>
      <c r="W1742" s="233" t="str">
        <f t="shared" si="33"/>
        <v>1w</v>
      </c>
      <c r="X1742" s="234">
        <f>_xll.qlCalendarAdvance(Calendar,X1741,W1742,"f",FALSE)</f>
        <v>51034</v>
      </c>
      <c r="Y1742" s="237">
        <f>_xll.qlCalendarAdvance(Calendar,X1742,NDays&amp;"D")</f>
        <v>51034</v>
      </c>
      <c r="Z1742" s="238">
        <v>3.4700862026108323E-2</v>
      </c>
      <c r="AA1742" s="240">
        <v>3.4156447077142715E-2</v>
      </c>
    </row>
    <row r="1743" spans="19:27" x14ac:dyDescent="0.2">
      <c r="S1743" s="199"/>
      <c r="T1743" s="200"/>
      <c r="W1743" s="233" t="str">
        <f t="shared" si="33"/>
        <v>1w</v>
      </c>
      <c r="X1743" s="234">
        <f>_xll.qlCalendarAdvance(Calendar,X1742,W1743,"f",FALSE)</f>
        <v>51041</v>
      </c>
      <c r="Y1743" s="237">
        <f>_xll.qlCalendarAdvance(Calendar,X1743,NDays&amp;"D")</f>
        <v>51041</v>
      </c>
      <c r="Z1743" s="238">
        <v>3.4698573002984026E-2</v>
      </c>
      <c r="AA1743" s="240">
        <v>3.4155683161321004E-2</v>
      </c>
    </row>
    <row r="1744" spans="19:27" x14ac:dyDescent="0.2">
      <c r="S1744" s="199"/>
      <c r="T1744" s="200"/>
      <c r="W1744" s="233" t="str">
        <f t="shared" si="33"/>
        <v>1w</v>
      </c>
      <c r="X1744" s="234">
        <f>_xll.qlCalendarAdvance(Calendar,X1743,W1744,"f",FALSE)</f>
        <v>51048</v>
      </c>
      <c r="Y1744" s="237">
        <f>_xll.qlCalendarAdvance(Calendar,X1744,NDays&amp;"D")</f>
        <v>51048</v>
      </c>
      <c r="Z1744" s="238">
        <v>3.4696223237334824E-2</v>
      </c>
      <c r="AA1744" s="240">
        <v>3.415486466836648E-2</v>
      </c>
    </row>
    <row r="1745" spans="19:27" x14ac:dyDescent="0.2">
      <c r="S1745" s="199"/>
      <c r="T1745" s="200"/>
      <c r="W1745" s="233" t="str">
        <f t="shared" si="33"/>
        <v>1w</v>
      </c>
      <c r="X1745" s="234">
        <f>_xll.qlCalendarAdvance(Calendar,X1744,W1745,"f",FALSE)</f>
        <v>51055</v>
      </c>
      <c r="Y1745" s="237">
        <f>_xll.qlCalendarAdvance(Calendar,X1745,NDays&amp;"D")</f>
        <v>51055</v>
      </c>
      <c r="Z1745" s="238">
        <v>3.4693812407652125E-2</v>
      </c>
      <c r="AA1745" s="240">
        <v>3.4153991598360189E-2</v>
      </c>
    </row>
    <row r="1746" spans="19:27" x14ac:dyDescent="0.2">
      <c r="S1746" s="199"/>
      <c r="T1746" s="200"/>
      <c r="W1746" s="233" t="str">
        <f t="shared" si="33"/>
        <v>1w</v>
      </c>
      <c r="X1746" s="234">
        <f>_xll.qlCalendarAdvance(Calendar,X1745,W1746,"f",FALSE)</f>
        <v>51062</v>
      </c>
      <c r="Y1746" s="237">
        <f>_xll.qlCalendarAdvance(Calendar,X1746,NDays&amp;"D")</f>
        <v>51062</v>
      </c>
      <c r="Z1746" s="238">
        <v>3.4691340192440814E-2</v>
      </c>
      <c r="AA1746" s="240">
        <v>3.4153063951302132E-2</v>
      </c>
    </row>
    <row r="1747" spans="19:27" x14ac:dyDescent="0.2">
      <c r="S1747" s="199"/>
      <c r="T1747" s="200"/>
      <c r="W1747" s="233" t="str">
        <f t="shared" si="33"/>
        <v>1w</v>
      </c>
      <c r="X1747" s="234">
        <f>_xll.qlCalendarAdvance(Calendar,X1746,W1747,"f",FALSE)</f>
        <v>51069</v>
      </c>
      <c r="Y1747" s="237">
        <f>_xll.qlCalendarAdvance(Calendar,X1747,NDays&amp;"D")</f>
        <v>51069</v>
      </c>
      <c r="Z1747" s="238">
        <v>3.4688806270219988E-2</v>
      </c>
      <c r="AA1747" s="240">
        <v>3.4152081727192307E-2</v>
      </c>
    </row>
    <row r="1748" spans="19:27" x14ac:dyDescent="0.2">
      <c r="S1748" s="199"/>
      <c r="T1748" s="200"/>
      <c r="W1748" s="233" t="str">
        <f t="shared" si="33"/>
        <v>1w</v>
      </c>
      <c r="X1748" s="234">
        <f>_xll.qlCalendarAdvance(Calendar,X1747,W1748,"f",FALSE)</f>
        <v>51076</v>
      </c>
      <c r="Y1748" s="237">
        <f>_xll.qlCalendarAdvance(Calendar,X1748,NDays&amp;"D")</f>
        <v>51076</v>
      </c>
      <c r="Z1748" s="238">
        <v>3.4686210319522445E-2</v>
      </c>
      <c r="AA1748" s="240">
        <v>3.4151044926030716E-2</v>
      </c>
    </row>
    <row r="1749" spans="19:27" x14ac:dyDescent="0.2">
      <c r="S1749" s="199"/>
      <c r="T1749" s="200"/>
      <c r="W1749" s="233" t="str">
        <f t="shared" ref="W1749:W1812" si="34">W1748</f>
        <v>1w</v>
      </c>
      <c r="X1749" s="234">
        <f>_xll.qlCalendarAdvance(Calendar,X1748,W1749,"f",FALSE)</f>
        <v>51083</v>
      </c>
      <c r="Y1749" s="237">
        <f>_xll.qlCalendarAdvance(Calendar,X1749,NDays&amp;"D")</f>
        <v>51083</v>
      </c>
      <c r="Z1749" s="238">
        <v>3.4683552018896044E-2</v>
      </c>
      <c r="AA1749" s="240">
        <v>3.4149953547817358E-2</v>
      </c>
    </row>
    <row r="1750" spans="19:27" x14ac:dyDescent="0.2">
      <c r="S1750" s="199"/>
      <c r="T1750" s="200"/>
      <c r="W1750" s="233" t="str">
        <f t="shared" si="34"/>
        <v>1w</v>
      </c>
      <c r="X1750" s="234">
        <f>_xll.qlCalendarAdvance(Calendar,X1749,W1750,"f",FALSE)</f>
        <v>51090</v>
      </c>
      <c r="Y1750" s="237">
        <f>_xll.qlCalendarAdvance(Calendar,X1750,NDays&amp;"D")</f>
        <v>51090</v>
      </c>
      <c r="Z1750" s="238">
        <v>3.4680831046901943E-2</v>
      </c>
      <c r="AA1750" s="240">
        <v>3.4148807592309094E-2</v>
      </c>
    </row>
    <row r="1751" spans="19:27" x14ac:dyDescent="0.2">
      <c r="S1751" s="199"/>
      <c r="T1751" s="200"/>
      <c r="W1751" s="233" t="str">
        <f t="shared" si="34"/>
        <v>1w</v>
      </c>
      <c r="X1751" s="234">
        <f>_xll.qlCalendarAdvance(Calendar,X1750,W1751,"f",FALSE)</f>
        <v>51097</v>
      </c>
      <c r="Y1751" s="237">
        <f>_xll.qlCalendarAdvance(Calendar,X1751,NDays&amp;"D")</f>
        <v>51097</v>
      </c>
      <c r="Z1751" s="238">
        <v>3.4678047082118336E-2</v>
      </c>
      <c r="AA1751" s="240">
        <v>3.4147607059992202E-2</v>
      </c>
    </row>
    <row r="1752" spans="19:27" x14ac:dyDescent="0.2">
      <c r="S1752" s="199"/>
      <c r="T1752" s="200"/>
      <c r="W1752" s="233" t="str">
        <f t="shared" si="34"/>
        <v>1w</v>
      </c>
      <c r="X1752" s="234">
        <f>_xll.qlCalendarAdvance(Calendar,X1751,W1752,"f",FALSE)</f>
        <v>51104</v>
      </c>
      <c r="Y1752" s="237">
        <f>_xll.qlCalendarAdvance(Calendar,X1752,NDays&amp;"D")</f>
        <v>51104</v>
      </c>
      <c r="Z1752" s="238">
        <v>3.467519980313627E-2</v>
      </c>
      <c r="AA1752" s="240">
        <v>3.4146351950380405E-2</v>
      </c>
    </row>
    <row r="1753" spans="19:27" x14ac:dyDescent="0.2">
      <c r="S1753" s="199"/>
      <c r="T1753" s="200"/>
      <c r="W1753" s="233" t="str">
        <f t="shared" si="34"/>
        <v>1w</v>
      </c>
      <c r="X1753" s="234">
        <f>_xll.qlCalendarAdvance(Calendar,X1752,W1753,"f",FALSE)</f>
        <v>51111</v>
      </c>
      <c r="Y1753" s="237">
        <f>_xll.qlCalendarAdvance(Calendar,X1753,NDays&amp;"D")</f>
        <v>51111</v>
      </c>
      <c r="Z1753" s="238">
        <v>3.4672288888562733E-2</v>
      </c>
      <c r="AA1753" s="240">
        <v>3.4145042263878933E-2</v>
      </c>
    </row>
    <row r="1754" spans="19:27" x14ac:dyDescent="0.2">
      <c r="S1754" s="199"/>
      <c r="T1754" s="200"/>
      <c r="W1754" s="233" t="str">
        <f t="shared" si="34"/>
        <v>1w</v>
      </c>
      <c r="X1754" s="234">
        <f>_xll.qlCalendarAdvance(Calendar,X1753,W1754,"f",FALSE)</f>
        <v>51118</v>
      </c>
      <c r="Y1754" s="237">
        <f>_xll.qlCalendarAdvance(Calendar,X1754,NDays&amp;"D")</f>
        <v>51118</v>
      </c>
      <c r="Z1754" s="238">
        <v>3.4669314017020211E-2</v>
      </c>
      <c r="AA1754" s="240">
        <v>3.4143678000163602E-2</v>
      </c>
    </row>
    <row r="1755" spans="19:27" x14ac:dyDescent="0.2">
      <c r="S1755" s="199"/>
      <c r="T1755" s="200"/>
      <c r="W1755" s="233" t="str">
        <f t="shared" si="34"/>
        <v>1w</v>
      </c>
      <c r="X1755" s="234">
        <f>_xll.qlCalendarAdvance(Calendar,X1754,W1755,"f",FALSE)</f>
        <v>51125</v>
      </c>
      <c r="Y1755" s="237">
        <f>_xll.qlCalendarAdvance(Calendar,X1755,NDays&amp;"D")</f>
        <v>51125</v>
      </c>
      <c r="Z1755" s="238">
        <v>3.4666274867146699E-2</v>
      </c>
      <c r="AA1755" s="240">
        <v>3.414225915947755E-2</v>
      </c>
    </row>
    <row r="1756" spans="19:27" x14ac:dyDescent="0.2">
      <c r="S1756" s="199"/>
      <c r="T1756" s="200"/>
      <c r="W1756" s="233" t="str">
        <f t="shared" si="34"/>
        <v>1w</v>
      </c>
      <c r="X1756" s="234">
        <f>_xll.qlCalendarAdvance(Calendar,X1755,W1756,"f",FALSE)</f>
        <v>51132</v>
      </c>
      <c r="Y1756" s="237">
        <f>_xll.qlCalendarAdvance(Calendar,X1756,NDays&amp;"D")</f>
        <v>51132</v>
      </c>
      <c r="Z1756" s="238">
        <v>3.466317111759612E-2</v>
      </c>
      <c r="AA1756" s="240">
        <v>3.4140785741739732E-2</v>
      </c>
    </row>
    <row r="1757" spans="19:27" x14ac:dyDescent="0.2">
      <c r="S1757" s="199"/>
      <c r="T1757" s="200"/>
      <c r="W1757" s="233" t="str">
        <f t="shared" si="34"/>
        <v>1w</v>
      </c>
      <c r="X1757" s="234">
        <f>_xll.qlCalendarAdvance(Calendar,X1756,W1757,"f",FALSE)</f>
        <v>51139</v>
      </c>
      <c r="Y1757" s="237">
        <f>_xll.qlCalendarAdvance(Calendar,X1757,NDays&amp;"D")</f>
        <v>51139</v>
      </c>
      <c r="Z1757" s="238">
        <v>3.4660002447037694E-2</v>
      </c>
      <c r="AA1757" s="240">
        <v>3.4139257746788054E-2</v>
      </c>
    </row>
    <row r="1758" spans="19:27" x14ac:dyDescent="0.2">
      <c r="S1758" s="199"/>
      <c r="T1758" s="200"/>
      <c r="W1758" s="233" t="str">
        <f t="shared" si="34"/>
        <v>1w</v>
      </c>
      <c r="X1758" s="234">
        <f>_xll.qlCalendarAdvance(Calendar,X1757,W1758,"f",FALSE)</f>
        <v>51146</v>
      </c>
      <c r="Y1758" s="237">
        <f>_xll.qlCalendarAdvance(Calendar,X1758,NDays&amp;"D")</f>
        <v>51146</v>
      </c>
      <c r="Z1758" s="238">
        <v>3.4656768534157459E-2</v>
      </c>
      <c r="AA1758" s="240">
        <v>3.4137675174865656E-2</v>
      </c>
    </row>
    <row r="1759" spans="19:27" x14ac:dyDescent="0.2">
      <c r="S1759" s="199"/>
      <c r="T1759" s="200"/>
      <c r="W1759" s="233" t="str">
        <f t="shared" si="34"/>
        <v>1w</v>
      </c>
      <c r="X1759" s="234">
        <f>_xll.qlCalendarAdvance(Calendar,X1758,W1759,"f",FALSE)</f>
        <v>51153</v>
      </c>
      <c r="Y1759" s="237">
        <f>_xll.qlCalendarAdvance(Calendar,X1759,NDays&amp;"D")</f>
        <v>51153</v>
      </c>
      <c r="Z1759" s="238">
        <v>3.4653469057657399E-2</v>
      </c>
      <c r="AA1759" s="240">
        <v>3.4136038025891491E-2</v>
      </c>
    </row>
    <row r="1760" spans="19:27" x14ac:dyDescent="0.2">
      <c r="S1760" s="199"/>
      <c r="T1760" s="200"/>
      <c r="W1760" s="233" t="str">
        <f t="shared" si="34"/>
        <v>1w</v>
      </c>
      <c r="X1760" s="234">
        <f>_xll.qlCalendarAdvance(Calendar,X1759,W1760,"f",FALSE)</f>
        <v>51160</v>
      </c>
      <c r="Y1760" s="237">
        <f>_xll.qlCalendarAdvance(Calendar,X1760,NDays&amp;"D")</f>
        <v>51160</v>
      </c>
      <c r="Z1760" s="238">
        <v>3.4650103696256769E-2</v>
      </c>
      <c r="AA1760" s="240">
        <v>3.4134346299865559E-2</v>
      </c>
    </row>
    <row r="1761" spans="19:27" x14ac:dyDescent="0.2">
      <c r="S1761" s="199"/>
      <c r="T1761" s="200"/>
      <c r="W1761" s="233" t="str">
        <f t="shared" si="34"/>
        <v>1w</v>
      </c>
      <c r="X1761" s="234">
        <f>_xll.qlCalendarAdvance(Calendar,X1760,W1761,"f",FALSE)</f>
        <v>51167</v>
      </c>
      <c r="Y1761" s="237">
        <f>_xll.qlCalendarAdvance(Calendar,X1761,NDays&amp;"D")</f>
        <v>51167</v>
      </c>
      <c r="Z1761" s="238">
        <v>3.4646672128690111E-2</v>
      </c>
      <c r="AA1761" s="240">
        <v>3.4132599996625768E-2</v>
      </c>
    </row>
    <row r="1762" spans="19:27" x14ac:dyDescent="0.2">
      <c r="S1762" s="199"/>
      <c r="T1762" s="200"/>
      <c r="W1762" s="233" t="str">
        <f t="shared" si="34"/>
        <v>1w</v>
      </c>
      <c r="X1762" s="234">
        <f>_xll.qlCalendarAdvance(Calendar,X1761,W1762,"f",FALSE)</f>
        <v>51174</v>
      </c>
      <c r="Y1762" s="237">
        <f>_xll.qlCalendarAdvance(Calendar,X1762,NDays&amp;"D")</f>
        <v>51174</v>
      </c>
      <c r="Z1762" s="238">
        <v>3.4643174033710998E-2</v>
      </c>
      <c r="AA1762" s="240">
        <v>3.4130799116415256E-2</v>
      </c>
    </row>
    <row r="1763" spans="19:27" x14ac:dyDescent="0.2">
      <c r="S1763" s="199"/>
      <c r="T1763" s="200"/>
      <c r="W1763" s="233" t="str">
        <f t="shared" si="34"/>
        <v>1w</v>
      </c>
      <c r="X1763" s="234">
        <f>_xll.qlCalendarAdvance(Calendar,X1762,W1763,"f",FALSE)</f>
        <v>51181</v>
      </c>
      <c r="Y1763" s="237">
        <f>_xll.qlCalendarAdvance(Calendar,X1763,NDays&amp;"D")</f>
        <v>51181</v>
      </c>
      <c r="Z1763" s="238">
        <v>3.463960909008873E-2</v>
      </c>
      <c r="AA1763" s="240">
        <v>3.4128943659152977E-2</v>
      </c>
    </row>
    <row r="1764" spans="19:27" x14ac:dyDescent="0.2">
      <c r="S1764" s="199"/>
      <c r="T1764" s="200"/>
      <c r="W1764" s="233" t="str">
        <f t="shared" si="34"/>
        <v>1w</v>
      </c>
      <c r="X1764" s="234">
        <f>_xll.qlCalendarAdvance(Calendar,X1763,W1764,"f",FALSE)</f>
        <v>51188</v>
      </c>
      <c r="Y1764" s="237">
        <f>_xll.qlCalendarAdvance(Calendar,X1764,NDays&amp;"D")</f>
        <v>51188</v>
      </c>
      <c r="Z1764" s="238">
        <v>3.4635976976610333E-2</v>
      </c>
      <c r="AA1764" s="240">
        <v>3.4127033624757885E-2</v>
      </c>
    </row>
    <row r="1765" spans="19:27" x14ac:dyDescent="0.2">
      <c r="S1765" s="199"/>
      <c r="T1765" s="200"/>
      <c r="W1765" s="233" t="str">
        <f t="shared" si="34"/>
        <v>1w</v>
      </c>
      <c r="X1765" s="234">
        <f>_xll.qlCalendarAdvance(Calendar,X1764,W1765,"f",FALSE)</f>
        <v>51195</v>
      </c>
      <c r="Y1765" s="237">
        <f>_xll.qlCalendarAdvance(Calendar,X1765,NDays&amp;"D")</f>
        <v>51195</v>
      </c>
      <c r="Z1765" s="238">
        <v>3.4630962533199083E-2</v>
      </c>
      <c r="AA1765" s="240">
        <v>3.4125069013392073E-2</v>
      </c>
    </row>
    <row r="1766" spans="19:27" x14ac:dyDescent="0.2">
      <c r="S1766" s="199"/>
      <c r="T1766" s="200"/>
      <c r="W1766" s="233" t="str">
        <f t="shared" si="34"/>
        <v>1w</v>
      </c>
      <c r="X1766" s="234">
        <f>_xll.qlCalendarAdvance(Calendar,X1765,W1766,"f",FALSE)</f>
        <v>51202</v>
      </c>
      <c r="Y1766" s="237">
        <f>_xll.qlCalendarAdvance(Calendar,X1766,NDays&amp;"D")</f>
        <v>51202</v>
      </c>
      <c r="Z1766" s="238">
        <v>3.4627200581671902E-2</v>
      </c>
      <c r="AA1766" s="240">
        <v>3.4123049824812401E-2</v>
      </c>
    </row>
    <row r="1767" spans="19:27" x14ac:dyDescent="0.2">
      <c r="S1767" s="199"/>
      <c r="T1767" s="200"/>
      <c r="W1767" s="233" t="str">
        <f t="shared" si="34"/>
        <v>1w</v>
      </c>
      <c r="X1767" s="234">
        <f>_xll.qlCalendarAdvance(Calendar,X1766,W1767,"f",FALSE)</f>
        <v>51209</v>
      </c>
      <c r="Y1767" s="237">
        <f>_xll.qlCalendarAdvance(Calendar,X1767,NDays&amp;"D")</f>
        <v>51209</v>
      </c>
      <c r="Z1767" s="238">
        <v>3.4623370517123275E-2</v>
      </c>
      <c r="AA1767" s="240">
        <v>3.4120976059343056E-2</v>
      </c>
    </row>
    <row r="1768" spans="19:27" x14ac:dyDescent="0.2">
      <c r="S1768" s="199"/>
      <c r="T1768" s="200"/>
      <c r="W1768" s="233" t="str">
        <f t="shared" si="34"/>
        <v>1w</v>
      </c>
      <c r="X1768" s="234">
        <f>_xll.qlCalendarAdvance(Calendar,X1767,W1768,"f",FALSE)</f>
        <v>51216</v>
      </c>
      <c r="Y1768" s="237">
        <f>_xll.qlCalendarAdvance(Calendar,X1768,NDays&amp;"D")</f>
        <v>51216</v>
      </c>
      <c r="Z1768" s="238">
        <v>3.4619472017557218E-2</v>
      </c>
      <c r="AA1768" s="240">
        <v>3.4118847716740897E-2</v>
      </c>
    </row>
    <row r="1769" spans="19:27" x14ac:dyDescent="0.2">
      <c r="S1769" s="199"/>
      <c r="T1769" s="200"/>
      <c r="W1769" s="233" t="str">
        <f t="shared" si="34"/>
        <v>1w</v>
      </c>
      <c r="X1769" s="234">
        <f>_xll.qlCalendarAdvance(Calendar,X1768,W1769,"f",FALSE)</f>
        <v>51223</v>
      </c>
      <c r="Y1769" s="237">
        <f>_xll.qlCalendarAdvance(Calendar,X1769,NDays&amp;"D")</f>
        <v>51223</v>
      </c>
      <c r="Z1769" s="238">
        <v>3.4615504760995508E-2</v>
      </c>
      <c r="AA1769" s="240">
        <v>3.4116664797086971E-2</v>
      </c>
    </row>
    <row r="1770" spans="19:27" x14ac:dyDescent="0.2">
      <c r="S1770" s="199"/>
      <c r="T1770" s="200"/>
      <c r="W1770" s="233" t="str">
        <f t="shared" si="34"/>
        <v>1w</v>
      </c>
      <c r="X1770" s="234">
        <f>_xll.qlCalendarAdvance(Calendar,X1769,W1770,"f",FALSE)</f>
        <v>51230</v>
      </c>
      <c r="Y1770" s="237">
        <f>_xll.qlCalendarAdvance(Calendar,X1770,NDays&amp;"D")</f>
        <v>51230</v>
      </c>
      <c r="Z1770" s="238">
        <v>3.4611468425478575E-2</v>
      </c>
      <c r="AA1770" s="240">
        <v>3.4114427300381278E-2</v>
      </c>
    </row>
    <row r="1771" spans="19:27" x14ac:dyDescent="0.2">
      <c r="S1771" s="199"/>
      <c r="T1771" s="200"/>
      <c r="W1771" s="233" t="str">
        <f t="shared" si="34"/>
        <v>1w</v>
      </c>
      <c r="X1771" s="234">
        <f>_xll.qlCalendarAdvance(Calendar,X1770,W1771,"f",FALSE)</f>
        <v>51237</v>
      </c>
      <c r="Y1771" s="237">
        <f>_xll.qlCalendarAdvance(Calendar,X1771,NDays&amp;"D")</f>
        <v>51237</v>
      </c>
      <c r="Z1771" s="238">
        <v>3.4607362689065946E-2</v>
      </c>
      <c r="AA1771" s="240">
        <v>3.4112135226623819E-2</v>
      </c>
    </row>
    <row r="1772" spans="19:27" x14ac:dyDescent="0.2">
      <c r="S1772" s="199"/>
      <c r="T1772" s="200"/>
      <c r="W1772" s="233" t="str">
        <f t="shared" si="34"/>
        <v>1w</v>
      </c>
      <c r="X1772" s="234">
        <f>_xll.qlCalendarAdvance(Calendar,X1771,W1772,"f",FALSE)</f>
        <v>51244</v>
      </c>
      <c r="Y1772" s="237">
        <f>_xll.qlCalendarAdvance(Calendar,X1772,NDays&amp;"D")</f>
        <v>51244</v>
      </c>
      <c r="Z1772" s="238">
        <v>3.4603187229836019E-2</v>
      </c>
      <c r="AA1772" s="240">
        <v>3.4109788575733546E-2</v>
      </c>
    </row>
    <row r="1773" spans="19:27" x14ac:dyDescent="0.2">
      <c r="S1773" s="199"/>
      <c r="T1773" s="200"/>
      <c r="W1773" s="233" t="str">
        <f t="shared" si="34"/>
        <v>1w</v>
      </c>
      <c r="X1773" s="234">
        <f>_xll.qlCalendarAdvance(Calendar,X1772,W1773,"f",FALSE)</f>
        <v>51251</v>
      </c>
      <c r="Y1773" s="237">
        <f>_xll.qlCalendarAdvance(Calendar,X1773,NDays&amp;"D")</f>
        <v>51251</v>
      </c>
      <c r="Z1773" s="238">
        <v>3.4598941725886512E-2</v>
      </c>
      <c r="AA1773" s="240">
        <v>3.4107387347791507E-2</v>
      </c>
    </row>
    <row r="1774" spans="19:27" x14ac:dyDescent="0.2">
      <c r="S1774" s="199"/>
      <c r="T1774" s="200"/>
      <c r="W1774" s="233" t="str">
        <f t="shared" si="34"/>
        <v>1w</v>
      </c>
      <c r="X1774" s="234">
        <f>_xll.qlCalendarAdvance(Calendar,X1773,W1774,"f",FALSE)</f>
        <v>51258</v>
      </c>
      <c r="Y1774" s="237">
        <f>_xll.qlCalendarAdvance(Calendar,X1774,NDays&amp;"D")</f>
        <v>51258</v>
      </c>
      <c r="Z1774" s="238">
        <v>3.4594625855334682E-2</v>
      </c>
      <c r="AA1774" s="240">
        <v>3.4104931542797701E-2</v>
      </c>
    </row>
    <row r="1775" spans="19:27" x14ac:dyDescent="0.2">
      <c r="S1775" s="199"/>
      <c r="T1775" s="200"/>
      <c r="W1775" s="233" t="str">
        <f t="shared" si="34"/>
        <v>1w</v>
      </c>
      <c r="X1775" s="234">
        <f>_xll.qlCalendarAdvance(Calendar,X1774,W1775,"f",FALSE)</f>
        <v>51265</v>
      </c>
      <c r="Y1775" s="237">
        <f>_xll.qlCalendarAdvance(Calendar,X1775,NDays&amp;"D")</f>
        <v>51265</v>
      </c>
      <c r="Z1775" s="238">
        <v>3.4590239296317549E-2</v>
      </c>
      <c r="AA1775" s="240">
        <v>3.4102421160833174E-2</v>
      </c>
    </row>
    <row r="1776" spans="19:27" x14ac:dyDescent="0.2">
      <c r="S1776" s="199"/>
      <c r="T1776" s="200"/>
      <c r="W1776" s="233" t="str">
        <f t="shared" si="34"/>
        <v>1w</v>
      </c>
      <c r="X1776" s="234">
        <f>_xll.qlCalendarAdvance(Calendar,X1775,W1776,"f",FALSE)</f>
        <v>51272</v>
      </c>
      <c r="Y1776" s="237">
        <f>_xll.qlCalendarAdvance(Calendar,X1776,NDays&amp;"D")</f>
        <v>51272</v>
      </c>
      <c r="Z1776" s="238">
        <v>3.4585781726991671E-2</v>
      </c>
      <c r="AA1776" s="240">
        <v>3.4099856201735834E-2</v>
      </c>
    </row>
    <row r="1777" spans="19:27" x14ac:dyDescent="0.2">
      <c r="S1777" s="199"/>
      <c r="T1777" s="200"/>
      <c r="W1777" s="233" t="str">
        <f t="shared" si="34"/>
        <v>1w</v>
      </c>
      <c r="X1777" s="234">
        <f>_xll.qlCalendarAdvance(Calendar,X1776,W1777,"f",FALSE)</f>
        <v>51279</v>
      </c>
      <c r="Y1777" s="237">
        <f>_xll.qlCalendarAdvance(Calendar,X1777,NDays&amp;"D")</f>
        <v>51279</v>
      </c>
      <c r="Z1777" s="238">
        <v>3.4581252825534259E-2</v>
      </c>
      <c r="AA1777" s="240">
        <v>3.4097236665667774E-2</v>
      </c>
    </row>
    <row r="1778" spans="19:27" x14ac:dyDescent="0.2">
      <c r="S1778" s="199"/>
      <c r="T1778" s="200"/>
      <c r="W1778" s="233" t="str">
        <f t="shared" si="34"/>
        <v>1w</v>
      </c>
      <c r="X1778" s="234">
        <f>_xll.qlCalendarAdvance(Calendar,X1777,W1778,"f",FALSE)</f>
        <v>51286</v>
      </c>
      <c r="Y1778" s="237">
        <f>_xll.qlCalendarAdvance(Calendar,X1778,NDays&amp;"D")</f>
        <v>51286</v>
      </c>
      <c r="Z1778" s="238">
        <v>3.4576652270142283E-2</v>
      </c>
      <c r="AA1778" s="240">
        <v>3.40945625524669E-2</v>
      </c>
    </row>
    <row r="1779" spans="19:27" x14ac:dyDescent="0.2">
      <c r="S1779" s="199"/>
      <c r="T1779" s="200"/>
      <c r="W1779" s="233" t="str">
        <f t="shared" si="34"/>
        <v>1w</v>
      </c>
      <c r="X1779" s="234">
        <f>_xll.qlCalendarAdvance(Calendar,X1778,W1779,"f",FALSE)</f>
        <v>51293</v>
      </c>
      <c r="Y1779" s="237">
        <f>_xll.qlCalendarAdvance(Calendar,X1779,NDays&amp;"D")</f>
        <v>51293</v>
      </c>
      <c r="Z1779" s="238">
        <v>3.4571979739034253E-2</v>
      </c>
      <c r="AA1779" s="240">
        <v>3.409183386221426E-2</v>
      </c>
    </row>
    <row r="1780" spans="19:27" x14ac:dyDescent="0.2">
      <c r="S1780" s="199"/>
      <c r="T1780" s="200"/>
      <c r="W1780" s="233" t="str">
        <f t="shared" si="34"/>
        <v>1w</v>
      </c>
      <c r="X1780" s="234">
        <f>_xll.qlCalendarAdvance(Calendar,X1779,W1780,"f",FALSE)</f>
        <v>51300</v>
      </c>
      <c r="Y1780" s="237">
        <f>_xll.qlCalendarAdvance(Calendar,X1780,NDays&amp;"D")</f>
        <v>51300</v>
      </c>
      <c r="Z1780" s="238">
        <v>3.4567234910448219E-2</v>
      </c>
      <c r="AA1780" s="240">
        <v>3.40890505949909E-2</v>
      </c>
    </row>
    <row r="1781" spans="19:27" x14ac:dyDescent="0.2">
      <c r="S1781" s="199"/>
      <c r="T1781" s="200"/>
      <c r="W1781" s="233" t="str">
        <f t="shared" si="34"/>
        <v>1w</v>
      </c>
      <c r="X1781" s="234">
        <f>_xll.qlCalendarAdvance(Calendar,X1780,W1781,"f",FALSE)</f>
        <v>51307</v>
      </c>
      <c r="Y1781" s="237">
        <f>_xll.qlCalendarAdvance(Calendar,X1781,NDays&amp;"D")</f>
        <v>51307</v>
      </c>
      <c r="Z1781" s="238">
        <v>3.4562417462644213E-2</v>
      </c>
      <c r="AA1781" s="240">
        <v>3.4086212750634726E-2</v>
      </c>
    </row>
    <row r="1782" spans="19:27" x14ac:dyDescent="0.2">
      <c r="S1782" s="199"/>
      <c r="T1782" s="200"/>
      <c r="W1782" s="233" t="str">
        <f t="shared" si="34"/>
        <v>1w</v>
      </c>
      <c r="X1782" s="234">
        <f>_xll.qlCalendarAdvance(Calendar,X1781,W1782,"f",FALSE)</f>
        <v>51314</v>
      </c>
      <c r="Y1782" s="237">
        <f>_xll.qlCalendarAdvance(Calendar,X1782,NDays&amp;"D")</f>
        <v>51314</v>
      </c>
      <c r="Z1782" s="238">
        <v>3.4557527073903138E-2</v>
      </c>
      <c r="AA1782" s="240">
        <v>3.4083320273872175E-2</v>
      </c>
    </row>
    <row r="1783" spans="19:27" x14ac:dyDescent="0.2">
      <c r="S1783" s="199"/>
      <c r="T1783" s="200"/>
      <c r="W1783" s="233" t="str">
        <f t="shared" si="34"/>
        <v>1w</v>
      </c>
      <c r="X1783" s="234">
        <f>_xll.qlCalendarAdvance(Calendar,X1782,W1783,"f",FALSE)</f>
        <v>51321</v>
      </c>
      <c r="Y1783" s="237">
        <f>_xll.qlCalendarAdvance(Calendar,X1783,NDays&amp;"D")</f>
        <v>51321</v>
      </c>
      <c r="Z1783" s="238">
        <v>3.4552563604796749E-2</v>
      </c>
      <c r="AA1783" s="240">
        <v>3.4080363979647199E-2</v>
      </c>
    </row>
    <row r="1784" spans="19:27" x14ac:dyDescent="0.2">
      <c r="S1784" s="199"/>
      <c r="T1784" s="200"/>
      <c r="W1784" s="233" t="str">
        <f t="shared" si="34"/>
        <v>1w</v>
      </c>
      <c r="X1784" s="234">
        <f>_xll.qlCalendarAdvance(Calendar,X1783,W1784,"f",FALSE)</f>
        <v>51328</v>
      </c>
      <c r="Y1784" s="237">
        <f>_xll.qlCalendarAdvance(Calendar,X1784,NDays&amp;"D")</f>
        <v>51328</v>
      </c>
      <c r="Z1784" s="238">
        <v>3.4547527644987586E-2</v>
      </c>
      <c r="AA1784" s="240">
        <v>3.4077336840760974E-2</v>
      </c>
    </row>
    <row r="1785" spans="19:27" x14ac:dyDescent="0.2">
      <c r="S1785" s="199"/>
      <c r="T1785" s="200"/>
      <c r="W1785" s="233" t="str">
        <f t="shared" si="34"/>
        <v>1w</v>
      </c>
      <c r="X1785" s="234">
        <f>_xll.qlCalendarAdvance(Calendar,X1784,W1785,"f",FALSE)</f>
        <v>51335</v>
      </c>
      <c r="Y1785" s="237">
        <f>_xll.qlCalendarAdvance(Calendar,X1785,NDays&amp;"D")</f>
        <v>51335</v>
      </c>
      <c r="Z1785" s="238">
        <v>3.4542419966409277E-2</v>
      </c>
      <c r="AA1785" s="240">
        <v>3.4074238857132455E-2</v>
      </c>
    </row>
    <row r="1786" spans="19:27" x14ac:dyDescent="0.2">
      <c r="S1786" s="199"/>
      <c r="T1786" s="200"/>
      <c r="W1786" s="233" t="str">
        <f t="shared" si="34"/>
        <v>1w</v>
      </c>
      <c r="X1786" s="234">
        <f>_xll.qlCalendarAdvance(Calendar,X1785,W1786,"f",FALSE)</f>
        <v>51342</v>
      </c>
      <c r="Y1786" s="237">
        <f>_xll.qlCalendarAdvance(Calendar,X1786,NDays&amp;"D")</f>
        <v>51342</v>
      </c>
      <c r="Z1786" s="238">
        <v>3.4537241340995228E-2</v>
      </c>
      <c r="AA1786" s="240">
        <v>3.4071070028842687E-2</v>
      </c>
    </row>
    <row r="1787" spans="19:27" x14ac:dyDescent="0.2">
      <c r="S1787" s="199"/>
      <c r="T1787" s="200"/>
      <c r="W1787" s="233" t="str">
        <f t="shared" si="34"/>
        <v>1w</v>
      </c>
      <c r="X1787" s="234">
        <f>_xll.qlCalendarAdvance(Calendar,X1786,W1787,"f",FALSE)</f>
        <v>51349</v>
      </c>
      <c r="Y1787" s="237">
        <f>_xll.qlCalendarAdvance(Calendar,X1787,NDays&amp;"D")</f>
        <v>51349</v>
      </c>
      <c r="Z1787" s="238">
        <v>3.4531992540678402E-2</v>
      </c>
      <c r="AA1787" s="240">
        <v>3.4067830355810624E-2</v>
      </c>
    </row>
    <row r="1788" spans="19:27" x14ac:dyDescent="0.2">
      <c r="S1788" s="199"/>
      <c r="T1788" s="200"/>
      <c r="W1788" s="233" t="str">
        <f t="shared" si="34"/>
        <v>1w</v>
      </c>
      <c r="X1788" s="234">
        <f>_xll.qlCalendarAdvance(Calendar,X1787,W1788,"f",FALSE)</f>
        <v>51356</v>
      </c>
      <c r="Y1788" s="237">
        <f>_xll.qlCalendarAdvance(Calendar,X1788,NDays&amp;"D")</f>
        <v>51356</v>
      </c>
      <c r="Z1788" s="238">
        <v>3.4526674337390206E-2</v>
      </c>
      <c r="AA1788" s="240">
        <v>3.4064519838117313E-2</v>
      </c>
    </row>
    <row r="1789" spans="19:27" x14ac:dyDescent="0.2">
      <c r="S1789" s="199"/>
      <c r="T1789" s="200"/>
      <c r="W1789" s="233" t="str">
        <f t="shared" si="34"/>
        <v>1w</v>
      </c>
      <c r="X1789" s="234">
        <f>_xll.qlCalendarAdvance(Calendar,X1788,W1789,"f",FALSE)</f>
        <v>51363</v>
      </c>
      <c r="Y1789" s="237">
        <f>_xll.qlCalendarAdvance(Calendar,X1789,NDays&amp;"D")</f>
        <v>51363</v>
      </c>
      <c r="Z1789" s="238">
        <v>3.4521287503060494E-2</v>
      </c>
      <c r="AA1789" s="240">
        <v>3.4061138475762753E-2</v>
      </c>
    </row>
    <row r="1790" spans="19:27" x14ac:dyDescent="0.2">
      <c r="S1790" s="199"/>
      <c r="T1790" s="200"/>
      <c r="W1790" s="233" t="str">
        <f t="shared" si="34"/>
        <v>1w</v>
      </c>
      <c r="X1790" s="234">
        <f>_xll.qlCalendarAdvance(Calendar,X1789,W1790,"f",FALSE)</f>
        <v>51370</v>
      </c>
      <c r="Y1790" s="237">
        <f>_xll.qlCalendarAdvance(Calendar,X1790,NDays&amp;"D")</f>
        <v>51370</v>
      </c>
      <c r="Z1790" s="238">
        <v>3.4515832809616454E-2</v>
      </c>
      <c r="AA1790" s="240">
        <v>3.4057686268584852E-2</v>
      </c>
    </row>
    <row r="1791" spans="19:27" x14ac:dyDescent="0.2">
      <c r="S1791" s="199"/>
      <c r="T1791" s="200"/>
      <c r="W1791" s="233" t="str">
        <f t="shared" si="34"/>
        <v>1w</v>
      </c>
      <c r="X1791" s="234">
        <f>_xll.qlCalendarAdvance(Calendar,X1790,W1791,"f",FALSE)</f>
        <v>51377</v>
      </c>
      <c r="Y1791" s="237">
        <f>_xll.qlCalendarAdvance(Calendar,X1791,NDays&amp;"D")</f>
        <v>51377</v>
      </c>
      <c r="Z1791" s="238">
        <v>3.4510311028983054E-2</v>
      </c>
      <c r="AA1791" s="240">
        <v>3.4054163216826749E-2</v>
      </c>
    </row>
    <row r="1792" spans="19:27" x14ac:dyDescent="0.2">
      <c r="S1792" s="199"/>
      <c r="T1792" s="200"/>
      <c r="W1792" s="233" t="str">
        <f t="shared" si="34"/>
        <v>1w</v>
      </c>
      <c r="X1792" s="234">
        <f>_xll.qlCalendarAdvance(Calendar,X1791,W1792,"f",FALSE)</f>
        <v>51384</v>
      </c>
      <c r="Y1792" s="237">
        <f>_xll.qlCalendarAdvance(Calendar,X1792,NDays&amp;"D")</f>
        <v>51384</v>
      </c>
      <c r="Z1792" s="238">
        <v>3.4504722933081489E-2</v>
      </c>
      <c r="AA1792" s="240">
        <v>3.4050569320407398E-2</v>
      </c>
    </row>
    <row r="1793" spans="19:27" x14ac:dyDescent="0.2">
      <c r="S1793" s="199"/>
      <c r="T1793" s="200"/>
      <c r="W1793" s="233" t="str">
        <f t="shared" si="34"/>
        <v>1w</v>
      </c>
      <c r="X1793" s="234">
        <f>_xll.qlCalendarAdvance(Calendar,X1792,W1793,"f",FALSE)</f>
        <v>51391</v>
      </c>
      <c r="Y1793" s="237">
        <f>_xll.qlCalendarAdvance(Calendar,X1793,NDays&amp;"D")</f>
        <v>51391</v>
      </c>
      <c r="Z1793" s="238">
        <v>3.4499069293828954E-2</v>
      </c>
      <c r="AA1793" s="240">
        <v>3.4046904579245751E-2</v>
      </c>
    </row>
    <row r="1794" spans="19:27" x14ac:dyDescent="0.2">
      <c r="S1794" s="199"/>
      <c r="T1794" s="200"/>
      <c r="W1794" s="233" t="str">
        <f t="shared" si="34"/>
        <v>1w</v>
      </c>
      <c r="X1794" s="234">
        <f>_xll.qlCalendarAdvance(Calendar,X1793,W1794,"f",FALSE)</f>
        <v>51398</v>
      </c>
      <c r="Y1794" s="237">
        <f>_xll.qlCalendarAdvance(Calendar,X1794,NDays&amp;"D")</f>
        <v>51398</v>
      </c>
      <c r="Z1794" s="238">
        <v>3.4493350883139318E-2</v>
      </c>
      <c r="AA1794" s="240">
        <v>3.4043168993422857E-2</v>
      </c>
    </row>
    <row r="1795" spans="19:27" x14ac:dyDescent="0.2">
      <c r="S1795" s="199"/>
      <c r="T1795" s="200"/>
      <c r="W1795" s="233" t="str">
        <f t="shared" si="34"/>
        <v>1w</v>
      </c>
      <c r="X1795" s="234">
        <f>_xll.qlCalendarAdvance(Calendar,X1794,W1795,"f",FALSE)</f>
        <v>51405</v>
      </c>
      <c r="Y1795" s="237">
        <f>_xll.qlCalendarAdvance(Calendar,X1795,NDays&amp;"D")</f>
        <v>51405</v>
      </c>
      <c r="Z1795" s="238">
        <v>3.4487568472920671E-2</v>
      </c>
      <c r="AA1795" s="240">
        <v>3.4039362563019759E-2</v>
      </c>
    </row>
    <row r="1796" spans="19:27" x14ac:dyDescent="0.2">
      <c r="S1796" s="199"/>
      <c r="T1796" s="200"/>
      <c r="W1796" s="233" t="str">
        <f t="shared" si="34"/>
        <v>1w</v>
      </c>
      <c r="X1796" s="234">
        <f>_xll.qlCalendarAdvance(Calendar,X1795,W1796,"f",FALSE)</f>
        <v>51412</v>
      </c>
      <c r="Y1796" s="237">
        <f>_xll.qlCalendarAdvance(Calendar,X1796,NDays&amp;"D")</f>
        <v>51412</v>
      </c>
      <c r="Z1796" s="238">
        <v>3.4481722835076223E-2</v>
      </c>
      <c r="AA1796" s="240">
        <v>3.4035485287793321E-2</v>
      </c>
    </row>
    <row r="1797" spans="19:27" x14ac:dyDescent="0.2">
      <c r="S1797" s="199"/>
      <c r="T1797" s="200"/>
      <c r="W1797" s="233" t="str">
        <f t="shared" si="34"/>
        <v>1w</v>
      </c>
      <c r="X1797" s="234">
        <f>_xll.qlCalendarAdvance(Calendar,X1796,W1797,"f",FALSE)</f>
        <v>51419</v>
      </c>
      <c r="Y1797" s="237">
        <f>_xll.qlCalendarAdvance(Calendar,X1797,NDays&amp;"D")</f>
        <v>51419</v>
      </c>
      <c r="Z1797" s="238">
        <v>3.4475814741503408E-2</v>
      </c>
      <c r="AA1797" s="240">
        <v>3.4031537167905634E-2</v>
      </c>
    </row>
    <row r="1798" spans="19:27" x14ac:dyDescent="0.2">
      <c r="S1798" s="199"/>
      <c r="T1798" s="200"/>
      <c r="W1798" s="233" t="str">
        <f t="shared" si="34"/>
        <v>1w</v>
      </c>
      <c r="X1798" s="234">
        <f>_xll.qlCalendarAdvance(Calendar,X1797,W1798,"f",FALSE)</f>
        <v>51426</v>
      </c>
      <c r="Y1798" s="237">
        <f>_xll.qlCalendarAdvance(Calendar,X1798,NDays&amp;"D")</f>
        <v>51426</v>
      </c>
      <c r="Z1798" s="238">
        <v>3.4469844964093443E-2</v>
      </c>
      <c r="AA1798" s="240">
        <v>3.4027518203437745E-2</v>
      </c>
    </row>
    <row r="1799" spans="19:27" x14ac:dyDescent="0.2">
      <c r="S1799" s="199"/>
      <c r="T1799" s="200"/>
      <c r="W1799" s="233" t="str">
        <f t="shared" si="34"/>
        <v>1w</v>
      </c>
      <c r="X1799" s="234">
        <f>_xll.qlCalendarAdvance(Calendar,X1798,W1799,"f",FALSE)</f>
        <v>51433</v>
      </c>
      <c r="Y1799" s="237">
        <f>_xll.qlCalendarAdvance(Calendar,X1799,NDays&amp;"D")</f>
        <v>51433</v>
      </c>
      <c r="Z1799" s="238">
        <v>3.4463814274731108E-2</v>
      </c>
      <c r="AA1799" s="240">
        <v>3.4023428394227562E-2</v>
      </c>
    </row>
    <row r="1800" spans="19:27" x14ac:dyDescent="0.2">
      <c r="S1800" s="199"/>
      <c r="T1800" s="200"/>
      <c r="W1800" s="233" t="str">
        <f t="shared" si="34"/>
        <v>1w</v>
      </c>
      <c r="X1800" s="234">
        <f>_xll.qlCalendarAdvance(Calendar,X1799,W1800,"f",FALSE)</f>
        <v>51440</v>
      </c>
      <c r="Y1800" s="237">
        <f>_xll.qlCalendarAdvance(Calendar,X1800,NDays&amp;"D")</f>
        <v>51440</v>
      </c>
      <c r="Z1800" s="238">
        <v>3.4457723445293853E-2</v>
      </c>
      <c r="AA1800" s="240">
        <v>3.4019267740275083E-2</v>
      </c>
    </row>
    <row r="1801" spans="19:27" x14ac:dyDescent="0.2">
      <c r="S1801" s="199"/>
      <c r="T1801" s="200"/>
      <c r="W1801" s="233" t="str">
        <f t="shared" si="34"/>
        <v>1w</v>
      </c>
      <c r="X1801" s="234">
        <f>_xll.qlCalendarAdvance(Calendar,X1800,W1801,"f",FALSE)</f>
        <v>51447</v>
      </c>
      <c r="Y1801" s="237">
        <f>_xll.qlCalendarAdvance(Calendar,X1801,NDays&amp;"D")</f>
        <v>51447</v>
      </c>
      <c r="Z1801" s="238">
        <v>3.4451573247651801E-2</v>
      </c>
      <c r="AA1801" s="240">
        <v>3.4015036241823449E-2</v>
      </c>
    </row>
    <row r="1802" spans="19:27" x14ac:dyDescent="0.2">
      <c r="S1802" s="199"/>
      <c r="T1802" s="200"/>
      <c r="W1802" s="233" t="str">
        <f t="shared" si="34"/>
        <v>1w</v>
      </c>
      <c r="X1802" s="234">
        <f>_xll.qlCalendarAdvance(Calendar,X1801,W1802,"f",FALSE)</f>
        <v>51454</v>
      </c>
      <c r="Y1802" s="237">
        <f>_xll.qlCalendarAdvance(Calendar,X1802,NDays&amp;"D")</f>
        <v>51454</v>
      </c>
      <c r="Z1802" s="238">
        <v>3.4445364453665972E-2</v>
      </c>
      <c r="AA1802" s="240">
        <v>3.4010733898710566E-2</v>
      </c>
    </row>
    <row r="1803" spans="19:27" x14ac:dyDescent="0.2">
      <c r="S1803" s="199"/>
      <c r="T1803" s="200"/>
      <c r="W1803" s="233" t="str">
        <f t="shared" si="34"/>
        <v>1w</v>
      </c>
      <c r="X1803" s="234">
        <f>_xll.qlCalendarAdvance(Calendar,X1802,W1803,"f",FALSE)</f>
        <v>51461</v>
      </c>
      <c r="Y1803" s="237">
        <f>_xll.qlCalendarAdvance(Calendar,X1803,NDays&amp;"D")</f>
        <v>51461</v>
      </c>
      <c r="Z1803" s="238">
        <v>3.4439097835190724E-2</v>
      </c>
      <c r="AA1803" s="240">
        <v>3.4006360710774342E-2</v>
      </c>
    </row>
    <row r="1804" spans="19:27" x14ac:dyDescent="0.2">
      <c r="S1804" s="199"/>
      <c r="T1804" s="200"/>
      <c r="W1804" s="233" t="str">
        <f t="shared" si="34"/>
        <v>1w</v>
      </c>
      <c r="X1804" s="234">
        <f>_xll.qlCalendarAdvance(Calendar,X1803,W1804,"f",FALSE)</f>
        <v>51468</v>
      </c>
      <c r="Y1804" s="237">
        <f>_xll.qlCalendarAdvance(Calendar,X1804,NDays&amp;"D")</f>
        <v>51468</v>
      </c>
      <c r="Z1804" s="238">
        <v>3.4432774164069979E-2</v>
      </c>
      <c r="AA1804" s="240">
        <v>3.4001916678257915E-2</v>
      </c>
    </row>
    <row r="1805" spans="19:27" x14ac:dyDescent="0.2">
      <c r="S1805" s="199"/>
      <c r="T1805" s="200"/>
      <c r="W1805" s="233" t="str">
        <f t="shared" si="34"/>
        <v>1w</v>
      </c>
      <c r="X1805" s="234">
        <f>_xll.qlCalendarAdvance(Calendar,X1804,W1805,"f",FALSE)</f>
        <v>51475</v>
      </c>
      <c r="Y1805" s="237">
        <f>_xll.qlCalendarAdvance(Calendar,X1805,NDays&amp;"D")</f>
        <v>51475</v>
      </c>
      <c r="Z1805" s="238">
        <v>3.4426394212139222E-2</v>
      </c>
      <c r="AA1805" s="240">
        <v>3.3997401801242333E-2</v>
      </c>
    </row>
    <row r="1806" spans="19:27" x14ac:dyDescent="0.2">
      <c r="S1806" s="199"/>
      <c r="T1806" s="200"/>
      <c r="W1806" s="233" t="str">
        <f t="shared" si="34"/>
        <v>1w</v>
      </c>
      <c r="X1806" s="234">
        <f>_xll.qlCalendarAdvance(Calendar,X1805,W1806,"f",FALSE)</f>
        <v>51482</v>
      </c>
      <c r="Y1806" s="237">
        <f>_xll.qlCalendarAdvance(Calendar,X1806,NDays&amp;"D")</f>
        <v>51482</v>
      </c>
      <c r="Z1806" s="238">
        <v>3.4419958751223723E-2</v>
      </c>
      <c r="AA1806" s="240">
        <v>3.3992816079322363E-2</v>
      </c>
    </row>
    <row r="1807" spans="19:27" x14ac:dyDescent="0.2">
      <c r="S1807" s="199"/>
      <c r="T1807" s="200"/>
      <c r="W1807" s="233" t="str">
        <f t="shared" si="34"/>
        <v>1w</v>
      </c>
      <c r="X1807" s="234">
        <f>_xll.qlCalendarAdvance(Calendar,X1806,W1807,"f",FALSE)</f>
        <v>51489</v>
      </c>
      <c r="Y1807" s="237">
        <f>_xll.qlCalendarAdvance(Calendar,X1807,NDays&amp;"D")</f>
        <v>51489</v>
      </c>
      <c r="Z1807" s="238">
        <v>3.441346855313876E-2</v>
      </c>
      <c r="AA1807" s="240">
        <v>3.3988159512903238E-2</v>
      </c>
    </row>
    <row r="1808" spans="19:27" x14ac:dyDescent="0.2">
      <c r="S1808" s="199"/>
      <c r="T1808" s="200"/>
      <c r="W1808" s="233" t="str">
        <f t="shared" si="34"/>
        <v>1w</v>
      </c>
      <c r="X1808" s="234">
        <f>_xll.qlCalendarAdvance(Calendar,X1807,W1808,"f",FALSE)</f>
        <v>51497</v>
      </c>
      <c r="Y1808" s="237">
        <f>_xll.qlCalendarAdvance(Calendar,X1808,NDays&amp;"D")</f>
        <v>51497</v>
      </c>
      <c r="Z1808" s="238">
        <v>3.4405985148863394E-2</v>
      </c>
      <c r="AA1808" s="240">
        <v>3.3982750974047571E-2</v>
      </c>
    </row>
    <row r="1809" spans="19:27" x14ac:dyDescent="0.2">
      <c r="S1809" s="199"/>
      <c r="T1809" s="200"/>
      <c r="W1809" s="233" t="str">
        <f t="shared" si="34"/>
        <v>1w</v>
      </c>
      <c r="X1809" s="234">
        <f>_xll.qlCalendarAdvance(Calendar,X1808,W1809,"f",FALSE)</f>
        <v>51504</v>
      </c>
      <c r="Y1809" s="237">
        <f>_xll.qlCalendarAdvance(Calendar,X1809,NDays&amp;"D")</f>
        <v>51504</v>
      </c>
      <c r="Z1809" s="238">
        <v>3.4399380255764278E-2</v>
      </c>
      <c r="AA1809" s="240">
        <v>3.3977942597651634E-2</v>
      </c>
    </row>
    <row r="1810" spans="19:27" x14ac:dyDescent="0.2">
      <c r="S1810" s="199"/>
      <c r="T1810" s="200"/>
      <c r="W1810" s="233" t="str">
        <f t="shared" si="34"/>
        <v>1w</v>
      </c>
      <c r="X1810" s="234">
        <f>_xll.qlCalendarAdvance(Calendar,X1809,W1810,"f",FALSE)</f>
        <v>51511</v>
      </c>
      <c r="Y1810" s="237">
        <f>_xll.qlCalendarAdvance(Calendar,X1810,NDays&amp;"D")</f>
        <v>51511</v>
      </c>
      <c r="Z1810" s="238">
        <v>3.4392723051130503E-2</v>
      </c>
      <c r="AA1810" s="240">
        <v>3.3973063376675494E-2</v>
      </c>
    </row>
    <row r="1811" spans="19:27" x14ac:dyDescent="0.2">
      <c r="S1811" s="199"/>
      <c r="T1811" s="200"/>
      <c r="W1811" s="233" t="str">
        <f t="shared" si="34"/>
        <v>1w</v>
      </c>
      <c r="X1811" s="234">
        <f>_xll.qlCalendarAdvance(Calendar,X1810,W1811,"f",FALSE)</f>
        <v>51518</v>
      </c>
      <c r="Y1811" s="237">
        <f>_xll.qlCalendarAdvance(Calendar,X1811,NDays&amp;"D")</f>
        <v>51518</v>
      </c>
      <c r="Z1811" s="238">
        <v>3.4386014306730495E-2</v>
      </c>
      <c r="AA1811" s="240">
        <v>3.396811331095706E-2</v>
      </c>
    </row>
    <row r="1812" spans="19:27" x14ac:dyDescent="0.2">
      <c r="S1812" s="199"/>
      <c r="T1812" s="200"/>
      <c r="W1812" s="233" t="str">
        <f t="shared" si="34"/>
        <v>1w</v>
      </c>
      <c r="X1812" s="234">
        <f>_xll.qlCalendarAdvance(Calendar,X1811,W1812,"f",FALSE)</f>
        <v>51525</v>
      </c>
      <c r="Y1812" s="237">
        <f>_xll.qlCalendarAdvance(Calendar,X1812,NDays&amp;"D")</f>
        <v>51525</v>
      </c>
      <c r="Z1812" s="238">
        <v>3.4379254794321357E-2</v>
      </c>
      <c r="AA1812" s="240">
        <v>3.3963092400658423E-2</v>
      </c>
    </row>
    <row r="1813" spans="19:27" x14ac:dyDescent="0.2">
      <c r="S1813" s="199"/>
      <c r="T1813" s="200"/>
      <c r="W1813" s="233" t="str">
        <f t="shared" ref="W1813:W1876" si="35">W1812</f>
        <v>1w</v>
      </c>
      <c r="X1813" s="234">
        <f>_xll.qlCalendarAdvance(Calendar,X1812,W1813,"f",FALSE)</f>
        <v>51532</v>
      </c>
      <c r="Y1813" s="237">
        <f>_xll.qlCalendarAdvance(Calendar,X1813,NDays&amp;"D")</f>
        <v>51532</v>
      </c>
      <c r="Z1813" s="238">
        <v>3.4372445285646869E-2</v>
      </c>
      <c r="AA1813" s="240">
        <v>3.3958000645698538E-2</v>
      </c>
    </row>
    <row r="1814" spans="19:27" x14ac:dyDescent="0.2">
      <c r="S1814" s="199"/>
      <c r="T1814" s="200"/>
      <c r="W1814" s="233" t="str">
        <f t="shared" si="35"/>
        <v>1w</v>
      </c>
      <c r="X1814" s="234">
        <f>_xll.qlCalendarAdvance(Calendar,X1813,W1814,"f",FALSE)</f>
        <v>51539</v>
      </c>
      <c r="Y1814" s="237">
        <f>_xll.qlCalendarAdvance(Calendar,X1814,NDays&amp;"D")</f>
        <v>51539</v>
      </c>
      <c r="Z1814" s="238">
        <v>3.4365586552438154E-2</v>
      </c>
      <c r="AA1814" s="240">
        <v>3.3952838046077405E-2</v>
      </c>
    </row>
    <row r="1815" spans="19:27" x14ac:dyDescent="0.2">
      <c r="S1815" s="199"/>
      <c r="T1815" s="200"/>
      <c r="W1815" s="233" t="str">
        <f t="shared" si="35"/>
        <v>1w</v>
      </c>
      <c r="X1815" s="234">
        <f>_xll.qlCalendarAdvance(Calendar,X1814,W1815,"f",FALSE)</f>
        <v>51546</v>
      </c>
      <c r="Y1815" s="237">
        <f>_xll.qlCalendarAdvance(Calendar,X1815,NDays&amp;"D")</f>
        <v>51546</v>
      </c>
      <c r="Z1815" s="238">
        <v>3.4358679366413236E-2</v>
      </c>
      <c r="AA1815" s="240">
        <v>3.3947604601876069E-2</v>
      </c>
    </row>
    <row r="1816" spans="19:27" x14ac:dyDescent="0.2">
      <c r="S1816" s="199"/>
      <c r="T1816" s="200"/>
      <c r="W1816" s="233" t="str">
        <f t="shared" si="35"/>
        <v>1w</v>
      </c>
      <c r="X1816" s="234">
        <f>_xll.qlCalendarAdvance(Calendar,X1815,W1816,"f",FALSE)</f>
        <v>51553</v>
      </c>
      <c r="Y1816" s="237">
        <f>_xll.qlCalendarAdvance(Calendar,X1816,NDays&amp;"D")</f>
        <v>51553</v>
      </c>
      <c r="Z1816" s="238">
        <v>3.4351724499275704E-2</v>
      </c>
      <c r="AA1816" s="240">
        <v>3.3942300313013485E-2</v>
      </c>
    </row>
    <row r="1817" spans="19:27" x14ac:dyDescent="0.2">
      <c r="S1817" s="199"/>
      <c r="T1817" s="200"/>
      <c r="W1817" s="233" t="str">
        <f t="shared" si="35"/>
        <v>1w</v>
      </c>
      <c r="X1817" s="234">
        <f>_xll.qlCalendarAdvance(Calendar,X1816,W1817,"f",FALSE)</f>
        <v>51560</v>
      </c>
      <c r="Y1817" s="237">
        <f>_xll.qlCalendarAdvance(Calendar,X1817,NDays&amp;"D")</f>
        <v>51560</v>
      </c>
      <c r="Z1817" s="238">
        <v>3.4344722722715826E-2</v>
      </c>
      <c r="AA1817" s="240">
        <v>3.3936925179570698E-2</v>
      </c>
    </row>
    <row r="1818" spans="19:27" x14ac:dyDescent="0.2">
      <c r="S1818" s="199"/>
      <c r="T1818" s="200"/>
      <c r="W1818" s="233" t="str">
        <f t="shared" si="35"/>
        <v>1w</v>
      </c>
      <c r="X1818" s="234">
        <f>_xll.qlCalendarAdvance(Calendar,X1817,W1818,"f",FALSE)</f>
        <v>51567</v>
      </c>
      <c r="Y1818" s="237">
        <f>_xll.qlCalendarAdvance(Calendar,X1818,NDays&amp;"D")</f>
        <v>51567</v>
      </c>
      <c r="Z1818" s="238">
        <v>3.4337674808409213E-2</v>
      </c>
      <c r="AA1818" s="240">
        <v>3.393147920154771E-2</v>
      </c>
    </row>
    <row r="1819" spans="19:27" x14ac:dyDescent="0.2">
      <c r="S1819" s="199"/>
      <c r="T1819" s="200"/>
      <c r="W1819" s="233" t="str">
        <f t="shared" si="35"/>
        <v>1w</v>
      </c>
      <c r="X1819" s="234">
        <f>_xll.qlCalendarAdvance(Calendar,X1818,W1819,"f",FALSE)</f>
        <v>51574</v>
      </c>
      <c r="Y1819" s="237">
        <f>_xll.qlCalendarAdvance(Calendar,X1819,NDays&amp;"D")</f>
        <v>51574</v>
      </c>
      <c r="Z1819" s="238">
        <v>3.4330581528016602E-2</v>
      </c>
      <c r="AA1819" s="240">
        <v>3.3925962378863472E-2</v>
      </c>
    </row>
    <row r="1820" spans="19:27" x14ac:dyDescent="0.2">
      <c r="S1820" s="199"/>
      <c r="T1820" s="200"/>
      <c r="W1820" s="233" t="str">
        <f t="shared" si="35"/>
        <v>1w</v>
      </c>
      <c r="X1820" s="234">
        <f>_xll.qlCalendarAdvance(Calendar,X1819,W1820,"f",FALSE)</f>
        <v>51581</v>
      </c>
      <c r="Y1820" s="237">
        <f>_xll.qlCalendarAdvance(Calendar,X1820,NDays&amp;"D")</f>
        <v>51581</v>
      </c>
      <c r="Z1820" s="238">
        <v>3.4323443653183405E-2</v>
      </c>
      <c r="AA1820" s="240">
        <v>3.3920374711517987E-2</v>
      </c>
    </row>
    <row r="1821" spans="19:27" x14ac:dyDescent="0.2">
      <c r="S1821" s="199"/>
      <c r="T1821" s="200"/>
      <c r="W1821" s="233" t="str">
        <f t="shared" si="35"/>
        <v>1w</v>
      </c>
      <c r="X1821" s="234">
        <f>_xll.qlCalendarAdvance(Calendar,X1820,W1821,"f",FALSE)</f>
        <v>51588</v>
      </c>
      <c r="Y1821" s="237">
        <f>_xll.qlCalendarAdvance(Calendar,X1821,NDays&amp;"D")</f>
        <v>51588</v>
      </c>
      <c r="Z1821" s="238">
        <v>3.4316261955540384E-2</v>
      </c>
      <c r="AA1821" s="240">
        <v>3.3914716199754391E-2</v>
      </c>
    </row>
    <row r="1822" spans="19:27" x14ac:dyDescent="0.2">
      <c r="S1822" s="199"/>
      <c r="T1822" s="200"/>
      <c r="W1822" s="233" t="str">
        <f t="shared" si="35"/>
        <v>1w</v>
      </c>
      <c r="X1822" s="234">
        <f>_xll.qlCalendarAdvance(Calendar,X1821,W1822,"f",FALSE)</f>
        <v>51595</v>
      </c>
      <c r="Y1822" s="237">
        <f>_xll.qlCalendarAdvance(Calendar,X1822,NDays&amp;"D")</f>
        <v>51595</v>
      </c>
      <c r="Z1822" s="238">
        <v>3.4313246908461402E-2</v>
      </c>
      <c r="AA1822" s="240">
        <v>3.3908986843167455E-2</v>
      </c>
    </row>
    <row r="1823" spans="19:27" x14ac:dyDescent="0.2">
      <c r="S1823" s="199"/>
      <c r="T1823" s="200"/>
      <c r="W1823" s="233" t="str">
        <f t="shared" si="35"/>
        <v>1w</v>
      </c>
      <c r="X1823" s="234">
        <f>_xll.qlCalendarAdvance(Calendar,X1822,W1823,"f",FALSE)</f>
        <v>51602</v>
      </c>
      <c r="Y1823" s="237">
        <f>_xll.qlCalendarAdvance(Calendar,X1823,NDays&amp;"D")</f>
        <v>51602</v>
      </c>
      <c r="Z1823" s="238">
        <v>3.4301770178265967E-2</v>
      </c>
      <c r="AA1823" s="240">
        <v>3.3903186642081362E-2</v>
      </c>
    </row>
    <row r="1824" spans="19:27" x14ac:dyDescent="0.2">
      <c r="S1824" s="199"/>
      <c r="T1824" s="200"/>
      <c r="W1824" s="233" t="str">
        <f t="shared" si="35"/>
        <v>1w</v>
      </c>
      <c r="X1824" s="234">
        <f>_xll.qlCalendarAdvance(Calendar,X1823,W1824,"f",FALSE)</f>
        <v>51609</v>
      </c>
      <c r="Y1824" s="237">
        <f>_xll.qlCalendarAdvance(Calendar,X1824,NDays&amp;"D")</f>
        <v>51609</v>
      </c>
      <c r="Z1824" s="238">
        <v>3.4294461641814822E-2</v>
      </c>
      <c r="AA1824" s="240">
        <v>3.3901919696649019E-2</v>
      </c>
    </row>
    <row r="1825" spans="19:27" x14ac:dyDescent="0.2">
      <c r="S1825" s="199"/>
      <c r="T1825" s="200"/>
      <c r="W1825" s="233" t="str">
        <f t="shared" si="35"/>
        <v>1w</v>
      </c>
      <c r="X1825" s="234">
        <f>_xll.qlCalendarAdvance(Calendar,X1824,W1825,"f",FALSE)</f>
        <v>51616</v>
      </c>
      <c r="Y1825" s="237">
        <f>_xll.qlCalendarAdvance(Calendar,X1825,NDays&amp;"D")</f>
        <v>51616</v>
      </c>
      <c r="Z1825" s="238">
        <v>3.4287112368913686E-2</v>
      </c>
      <c r="AA1825" s="240">
        <v>3.3891373706006478E-2</v>
      </c>
    </row>
    <row r="1826" spans="19:27" x14ac:dyDescent="0.2">
      <c r="S1826" s="199"/>
      <c r="T1826" s="200"/>
      <c r="W1826" s="233" t="str">
        <f t="shared" si="35"/>
        <v>1w</v>
      </c>
      <c r="X1826" s="234">
        <f>_xll.qlCalendarAdvance(Calendar,X1825,W1826,"f",FALSE)</f>
        <v>51623</v>
      </c>
      <c r="Y1826" s="237">
        <f>_xll.qlCalendarAdvance(Calendar,X1826,NDays&amp;"D")</f>
        <v>51623</v>
      </c>
      <c r="Z1826" s="238">
        <v>3.4279723131111384E-2</v>
      </c>
      <c r="AA1826" s="240">
        <v>3.3885360971179779E-2</v>
      </c>
    </row>
    <row r="1827" spans="19:27" x14ac:dyDescent="0.2">
      <c r="S1827" s="199"/>
      <c r="T1827" s="200"/>
      <c r="W1827" s="233" t="str">
        <f t="shared" si="35"/>
        <v>1w</v>
      </c>
      <c r="X1827" s="234">
        <f>_xll.qlCalendarAdvance(Calendar,X1826,W1827,"f",FALSE)</f>
        <v>51630</v>
      </c>
      <c r="Y1827" s="237">
        <f>_xll.qlCalendarAdvance(Calendar,X1827,NDays&amp;"D")</f>
        <v>51630</v>
      </c>
      <c r="Z1827" s="238">
        <v>3.4272294699937866E-2</v>
      </c>
      <c r="AA1827" s="240">
        <v>3.3879277391691831E-2</v>
      </c>
    </row>
    <row r="1828" spans="19:27" x14ac:dyDescent="0.2">
      <c r="S1828" s="199"/>
      <c r="T1828" s="200"/>
      <c r="W1828" s="233" t="str">
        <f t="shared" si="35"/>
        <v>1w</v>
      </c>
      <c r="X1828" s="234">
        <f>_xll.qlCalendarAdvance(Calendar,X1827,W1828,"f",FALSE)</f>
        <v>51637</v>
      </c>
      <c r="Y1828" s="237">
        <f>_xll.qlCalendarAdvance(Calendar,X1828,NDays&amp;"D")</f>
        <v>51637</v>
      </c>
      <c r="Z1828" s="238">
        <v>3.4264827846906876E-2</v>
      </c>
      <c r="AA1828" s="240">
        <v>3.3873122967704727E-2</v>
      </c>
    </row>
    <row r="1829" spans="19:27" x14ac:dyDescent="0.2">
      <c r="S1829" s="199"/>
      <c r="T1829" s="200"/>
      <c r="W1829" s="233" t="str">
        <f t="shared" si="35"/>
        <v>1w</v>
      </c>
      <c r="X1829" s="234">
        <f>_xll.qlCalendarAdvance(Calendar,X1828,W1829,"f",FALSE)</f>
        <v>51644</v>
      </c>
      <c r="Y1829" s="237">
        <f>_xll.qlCalendarAdvance(Calendar,X1829,NDays&amp;"D")</f>
        <v>51644</v>
      </c>
      <c r="Z1829" s="238">
        <v>3.4257323343513946E-2</v>
      </c>
      <c r="AA1829" s="240">
        <v>3.3866897698975329E-2</v>
      </c>
    </row>
    <row r="1830" spans="19:27" x14ac:dyDescent="0.2">
      <c r="S1830" s="199"/>
      <c r="T1830" s="200"/>
      <c r="W1830" s="233" t="str">
        <f t="shared" si="35"/>
        <v>1w</v>
      </c>
      <c r="X1830" s="234">
        <f>_xll.qlCalendarAdvance(Calendar,X1829,W1830,"f",FALSE)</f>
        <v>51651</v>
      </c>
      <c r="Y1830" s="237">
        <f>_xll.qlCalendarAdvance(Calendar,X1830,NDays&amp;"D")</f>
        <v>51651</v>
      </c>
      <c r="Z1830" s="238">
        <v>3.4249781961235737E-2</v>
      </c>
      <c r="AA1830" s="240">
        <v>3.3860601585827821E-2</v>
      </c>
    </row>
    <row r="1831" spans="19:27" x14ac:dyDescent="0.2">
      <c r="S1831" s="199"/>
      <c r="T1831" s="200"/>
      <c r="W1831" s="233" t="str">
        <f t="shared" si="35"/>
        <v>1w</v>
      </c>
      <c r="X1831" s="234">
        <f>_xll.qlCalendarAdvance(Calendar,X1830,W1831,"f",FALSE)</f>
        <v>51658</v>
      </c>
      <c r="Y1831" s="237">
        <f>_xll.qlCalendarAdvance(Calendar,X1831,NDays&amp;"D")</f>
        <v>51658</v>
      </c>
      <c r="Z1831" s="238">
        <v>3.4242204471531368E-2</v>
      </c>
      <c r="AA1831" s="240">
        <v>3.3854234628019064E-2</v>
      </c>
    </row>
    <row r="1832" spans="19:27" x14ac:dyDescent="0.2">
      <c r="S1832" s="199"/>
      <c r="T1832" s="200"/>
      <c r="W1832" s="233" t="str">
        <f t="shared" si="35"/>
        <v>1w</v>
      </c>
      <c r="X1832" s="234">
        <f>_xll.qlCalendarAdvance(Calendar,X1831,W1832,"f",FALSE)</f>
        <v>51665</v>
      </c>
      <c r="Y1832" s="237">
        <f>_xll.qlCalendarAdvance(Calendar,X1832,NDays&amp;"D")</f>
        <v>51665</v>
      </c>
      <c r="Z1832" s="238">
        <v>3.423459164584064E-2</v>
      </c>
      <c r="AA1832" s="240">
        <v>3.3847796825711152E-2</v>
      </c>
    </row>
    <row r="1833" spans="19:27" x14ac:dyDescent="0.2">
      <c r="S1833" s="199"/>
      <c r="T1833" s="200"/>
      <c r="W1833" s="233" t="str">
        <f t="shared" si="35"/>
        <v>1w</v>
      </c>
      <c r="X1833" s="234">
        <f>_xll.qlCalendarAdvance(Calendar,X1832,W1833,"f",FALSE)</f>
        <v>51672</v>
      </c>
      <c r="Y1833" s="237">
        <f>_xll.qlCalendarAdvance(Calendar,X1833,NDays&amp;"D")</f>
        <v>51672</v>
      </c>
      <c r="Z1833" s="238">
        <v>3.4226944255584479E-2</v>
      </c>
      <c r="AA1833" s="240">
        <v>3.3841288178741991E-2</v>
      </c>
    </row>
    <row r="1834" spans="19:27" x14ac:dyDescent="0.2">
      <c r="S1834" s="199"/>
      <c r="T1834" s="200"/>
      <c r="W1834" s="233" t="str">
        <f t="shared" si="35"/>
        <v>1w</v>
      </c>
      <c r="X1834" s="234">
        <f>_xll.qlCalendarAdvance(Calendar,X1833,W1834,"f",FALSE)</f>
        <v>51679</v>
      </c>
      <c r="Y1834" s="237">
        <f>_xll.qlCalendarAdvance(Calendar,X1834,NDays&amp;"D")</f>
        <v>51679</v>
      </c>
      <c r="Z1834" s="238">
        <v>3.4219263072164274E-2</v>
      </c>
      <c r="AA1834" s="240">
        <v>3.3834708819460158E-2</v>
      </c>
    </row>
    <row r="1835" spans="19:27" x14ac:dyDescent="0.2">
      <c r="S1835" s="199"/>
      <c r="T1835" s="200"/>
      <c r="W1835" s="233" t="str">
        <f t="shared" si="35"/>
        <v>1w</v>
      </c>
      <c r="X1835" s="234">
        <f>_xll.qlCalendarAdvance(Calendar,X1834,W1835,"f",FALSE)</f>
        <v>51686</v>
      </c>
      <c r="Y1835" s="237">
        <f>_xll.qlCalendarAdvance(Calendar,X1835,NDays&amp;"D")</f>
        <v>51686</v>
      </c>
      <c r="Z1835" s="238">
        <v>3.4211548154351457E-2</v>
      </c>
      <c r="AA1835" s="240">
        <v>3.3828080687499096E-2</v>
      </c>
    </row>
    <row r="1836" spans="19:27" x14ac:dyDescent="0.2">
      <c r="S1836" s="199"/>
      <c r="T1836" s="200"/>
      <c r="W1836" s="233" t="str">
        <f t="shared" si="35"/>
        <v>1w</v>
      </c>
      <c r="X1836" s="234">
        <f>_xll.qlCalendarAdvance(Calendar,X1835,W1836,"f",FALSE)</f>
        <v>51693</v>
      </c>
      <c r="Y1836" s="237">
        <f>_xll.qlCalendarAdvance(Calendar,X1836,NDays&amp;"D")</f>
        <v>51693</v>
      </c>
      <c r="Z1836" s="238">
        <v>3.4203796710495338E-2</v>
      </c>
      <c r="AA1836" s="240">
        <v>3.3821420568029836E-2</v>
      </c>
    </row>
    <row r="1837" spans="19:27" x14ac:dyDescent="0.2">
      <c r="S1837" s="199"/>
      <c r="T1837" s="200"/>
      <c r="W1837" s="233" t="str">
        <f t="shared" si="35"/>
        <v>1w</v>
      </c>
      <c r="X1837" s="234">
        <f>_xll.qlCalendarAdvance(Calendar,X1836,W1837,"f",FALSE)</f>
        <v>51700</v>
      </c>
      <c r="Y1837" s="237">
        <f>_xll.qlCalendarAdvance(Calendar,X1837,NDays&amp;"D")</f>
        <v>51700</v>
      </c>
      <c r="Z1837" s="238">
        <v>3.4196005236432736E-2</v>
      </c>
      <c r="AA1837" s="240">
        <v>3.3814728461214472E-2</v>
      </c>
    </row>
    <row r="1838" spans="19:27" x14ac:dyDescent="0.2">
      <c r="S1838" s="199"/>
      <c r="T1838" s="200"/>
      <c r="W1838" s="233" t="str">
        <f t="shared" si="35"/>
        <v>1w</v>
      </c>
      <c r="X1838" s="234">
        <f>_xll.qlCalendarAdvance(Calendar,X1837,W1838,"f",FALSE)</f>
        <v>51707</v>
      </c>
      <c r="Y1838" s="237">
        <f>_xll.qlCalendarAdvance(Calendar,X1838,NDays&amp;"D")</f>
        <v>51707</v>
      </c>
      <c r="Z1838" s="238">
        <v>3.4188170228109938E-2</v>
      </c>
      <c r="AA1838" s="240">
        <v>3.3808004367053002E-2</v>
      </c>
    </row>
    <row r="1839" spans="19:27" x14ac:dyDescent="0.2">
      <c r="S1839" s="199"/>
      <c r="T1839" s="200"/>
      <c r="W1839" s="233" t="str">
        <f t="shared" si="35"/>
        <v>1w</v>
      </c>
      <c r="X1839" s="234">
        <f>_xll.qlCalendarAdvance(Calendar,X1838,W1839,"f",FALSE)</f>
        <v>51714</v>
      </c>
      <c r="Y1839" s="237">
        <f>_xll.qlCalendarAdvance(Calendar,X1839,NDays&amp;"D")</f>
        <v>51714</v>
      </c>
      <c r="Z1839" s="238">
        <v>3.4180288181585139E-2</v>
      </c>
      <c r="AA1839" s="240">
        <v>3.3801248285302288E-2</v>
      </c>
    </row>
    <row r="1840" spans="19:27" x14ac:dyDescent="0.2">
      <c r="S1840" s="199"/>
      <c r="T1840" s="200"/>
      <c r="W1840" s="233" t="str">
        <f t="shared" si="35"/>
        <v>1w</v>
      </c>
      <c r="X1840" s="234">
        <f>_xll.qlCalendarAdvance(Calendar,X1839,W1840,"f",FALSE)</f>
        <v>51721</v>
      </c>
      <c r="Y1840" s="237">
        <f>_xll.qlCalendarAdvance(Calendar,X1840,NDays&amp;"D")</f>
        <v>51721</v>
      </c>
      <c r="Z1840" s="238">
        <v>3.4172355593029335E-2</v>
      </c>
      <c r="AA1840" s="240">
        <v>3.3794460216286515E-2</v>
      </c>
    </row>
    <row r="1841" spans="19:27" x14ac:dyDescent="0.2">
      <c r="S1841" s="199"/>
      <c r="T1841" s="200"/>
      <c r="W1841" s="233" t="str">
        <f t="shared" si="35"/>
        <v>1w</v>
      </c>
      <c r="X1841" s="234">
        <f>_xll.qlCalendarAdvance(Calendar,X1840,W1841,"f",FALSE)</f>
        <v>51728</v>
      </c>
      <c r="Y1841" s="237">
        <f>_xll.qlCalendarAdvance(Calendar,X1841,NDays&amp;"D")</f>
        <v>51728</v>
      </c>
      <c r="Z1841" s="238">
        <v>3.4164368958728097E-2</v>
      </c>
      <c r="AA1841" s="240">
        <v>3.3787640159762544E-2</v>
      </c>
    </row>
    <row r="1842" spans="19:27" x14ac:dyDescent="0.2">
      <c r="S1842" s="199"/>
      <c r="T1842" s="200"/>
      <c r="W1842" s="233" t="str">
        <f t="shared" si="35"/>
        <v>1w</v>
      </c>
      <c r="X1842" s="234">
        <f>_xll.qlCalendarAdvance(Calendar,X1841,W1842,"f",FALSE)</f>
        <v>51735</v>
      </c>
      <c r="Y1842" s="237">
        <f>_xll.qlCalendarAdvance(Calendar,X1842,NDays&amp;"D")</f>
        <v>51735</v>
      </c>
      <c r="Z1842" s="238">
        <v>3.4156324775083347E-2</v>
      </c>
      <c r="AA1842" s="240">
        <v>3.3780788115811422E-2</v>
      </c>
    </row>
    <row r="1843" spans="19:27" x14ac:dyDescent="0.2">
      <c r="S1843" s="199"/>
      <c r="T1843" s="200"/>
      <c r="W1843" s="233" t="str">
        <f t="shared" si="35"/>
        <v>1w</v>
      </c>
      <c r="X1843" s="234">
        <f>_xll.qlCalendarAdvance(Calendar,X1842,W1843,"f",FALSE)</f>
        <v>51742</v>
      </c>
      <c r="Y1843" s="237">
        <f>_xll.qlCalendarAdvance(Calendar,X1843,NDays&amp;"D")</f>
        <v>51742</v>
      </c>
      <c r="Z1843" s="238">
        <v>3.4148219538615354E-2</v>
      </c>
      <c r="AA1843" s="240">
        <v>3.3773904084433148E-2</v>
      </c>
    </row>
    <row r="1844" spans="19:27" x14ac:dyDescent="0.2">
      <c r="S1844" s="199"/>
      <c r="T1844" s="200"/>
      <c r="W1844" s="233" t="str">
        <f t="shared" si="35"/>
        <v>1w</v>
      </c>
      <c r="X1844" s="234">
        <f>_xll.qlCalendarAdvance(Calendar,X1843,W1844,"f",FALSE)</f>
        <v>51749</v>
      </c>
      <c r="Y1844" s="237">
        <f>_xll.qlCalendarAdvance(Calendar,X1844,NDays&amp;"D")</f>
        <v>51749</v>
      </c>
      <c r="Z1844" s="238">
        <v>3.414004974596474E-2</v>
      </c>
      <c r="AA1844" s="240">
        <v>3.3766988065627723E-2</v>
      </c>
    </row>
    <row r="1845" spans="19:27" x14ac:dyDescent="0.2">
      <c r="S1845" s="199"/>
      <c r="T1845" s="200"/>
      <c r="W1845" s="233" t="str">
        <f t="shared" si="35"/>
        <v>1w</v>
      </c>
      <c r="X1845" s="234">
        <f>_xll.qlCalendarAdvance(Calendar,X1844,W1845,"f",FALSE)</f>
        <v>51756</v>
      </c>
      <c r="Y1845" s="237">
        <f>_xll.qlCalendarAdvance(Calendar,X1845,NDays&amp;"D")</f>
        <v>51756</v>
      </c>
      <c r="Z1845" s="238">
        <v>3.4131811893894692E-2</v>
      </c>
      <c r="AA1845" s="240">
        <v>3.3760040059476193E-2</v>
      </c>
    </row>
    <row r="1846" spans="19:27" x14ac:dyDescent="0.2">
      <c r="S1846" s="199"/>
      <c r="T1846" s="200"/>
      <c r="W1846" s="233" t="str">
        <f t="shared" si="35"/>
        <v>1w</v>
      </c>
      <c r="X1846" s="234">
        <f>_xll.qlCalendarAdvance(Calendar,X1845,W1846,"f",FALSE)</f>
        <v>51763</v>
      </c>
      <c r="Y1846" s="237">
        <f>_xll.qlCalendarAdvance(Calendar,X1846,NDays&amp;"D")</f>
        <v>51763</v>
      </c>
      <c r="Z1846" s="238">
        <v>3.41235024792923E-2</v>
      </c>
      <c r="AA1846" s="240">
        <v>3.3753060065816465E-2</v>
      </c>
    </row>
    <row r="1847" spans="19:27" x14ac:dyDescent="0.2">
      <c r="S1847" s="199"/>
      <c r="T1847" s="200"/>
      <c r="W1847" s="233" t="str">
        <f t="shared" si="35"/>
        <v>1w</v>
      </c>
      <c r="X1847" s="234">
        <f>_xll.qlCalendarAdvance(Calendar,X1846,W1847,"f",FALSE)</f>
        <v>51770</v>
      </c>
      <c r="Y1847" s="237">
        <f>_xll.qlCalendarAdvance(Calendar,X1847,NDays&amp;"D")</f>
        <v>51770</v>
      </c>
      <c r="Z1847" s="238">
        <v>3.4115117999172551E-2</v>
      </c>
      <c r="AA1847" s="240">
        <v>3.3746048084810631E-2</v>
      </c>
    </row>
    <row r="1848" spans="19:27" x14ac:dyDescent="0.2">
      <c r="S1848" s="199"/>
      <c r="T1848" s="200"/>
      <c r="W1848" s="233" t="str">
        <f t="shared" si="35"/>
        <v>1w</v>
      </c>
      <c r="X1848" s="234">
        <f>_xll.qlCalendarAdvance(Calendar,X1847,W1848,"f",FALSE)</f>
        <v>51777</v>
      </c>
      <c r="Y1848" s="237">
        <f>_xll.qlCalendarAdvance(Calendar,X1848,NDays&amp;"D")</f>
        <v>51777</v>
      </c>
      <c r="Z1848" s="238">
        <v>3.4106654950679882E-2</v>
      </c>
      <c r="AA1848" s="240">
        <v>3.3739004116458693E-2</v>
      </c>
    </row>
    <row r="1849" spans="19:27" x14ac:dyDescent="0.2">
      <c r="S1849" s="199"/>
      <c r="T1849" s="200"/>
      <c r="W1849" s="233" t="str">
        <f t="shared" si="35"/>
        <v>1w</v>
      </c>
      <c r="X1849" s="234">
        <f>_xll.qlCalendarAdvance(Calendar,X1848,W1849,"f",FALSE)</f>
        <v>51784</v>
      </c>
      <c r="Y1849" s="237">
        <f>_xll.qlCalendarAdvance(Calendar,X1849,NDays&amp;"D")</f>
        <v>51784</v>
      </c>
      <c r="Z1849" s="238">
        <v>3.4098109831089962E-2</v>
      </c>
      <c r="AA1849" s="240">
        <v>3.3731928160598557E-2</v>
      </c>
    </row>
    <row r="1850" spans="19:27" x14ac:dyDescent="0.2">
      <c r="S1850" s="199"/>
      <c r="T1850" s="200"/>
      <c r="W1850" s="233" t="str">
        <f t="shared" si="35"/>
        <v>1w</v>
      </c>
      <c r="X1850" s="234">
        <f>_xll.qlCalendarAdvance(Calendar,X1849,W1850,"f",FALSE)</f>
        <v>51791</v>
      </c>
      <c r="Y1850" s="237">
        <f>_xll.qlCalendarAdvance(Calendar,X1850,NDays&amp;"D")</f>
        <v>51791</v>
      </c>
      <c r="Z1850" s="238">
        <v>3.4089479137814571E-2</v>
      </c>
      <c r="AA1850" s="240">
        <v>3.3724820217392315E-2</v>
      </c>
    </row>
    <row r="1851" spans="19:27" x14ac:dyDescent="0.2">
      <c r="S1851" s="199"/>
      <c r="T1851" s="200"/>
      <c r="W1851" s="233" t="str">
        <f t="shared" si="35"/>
        <v>1w</v>
      </c>
      <c r="X1851" s="234">
        <f>_xll.qlCalendarAdvance(Calendar,X1850,W1851,"f",FALSE)</f>
        <v>51798</v>
      </c>
      <c r="Y1851" s="237">
        <f>_xll.qlCalendarAdvance(Calendar,X1851,NDays&amp;"D")</f>
        <v>51798</v>
      </c>
      <c r="Z1851" s="238">
        <v>3.4080759368402269E-2</v>
      </c>
      <c r="AA1851" s="240">
        <v>3.3717680286758922E-2</v>
      </c>
    </row>
    <row r="1852" spans="19:27" x14ac:dyDescent="0.2">
      <c r="S1852" s="199"/>
      <c r="T1852" s="200"/>
      <c r="W1852" s="233" t="str">
        <f t="shared" si="35"/>
        <v>1w</v>
      </c>
      <c r="X1852" s="234">
        <f>_xll.qlCalendarAdvance(Calendar,X1851,W1852,"f",FALSE)</f>
        <v>51805</v>
      </c>
      <c r="Y1852" s="237">
        <f>_xll.qlCalendarAdvance(Calendar,X1852,NDays&amp;"D")</f>
        <v>51805</v>
      </c>
      <c r="Z1852" s="238">
        <v>3.4071947020542392E-2</v>
      </c>
      <c r="AA1852" s="240">
        <v>3.3710508368698378E-2</v>
      </c>
    </row>
    <row r="1853" spans="19:27" x14ac:dyDescent="0.2">
      <c r="S1853" s="199"/>
      <c r="T1853" s="200"/>
      <c r="W1853" s="233" t="str">
        <f t="shared" si="35"/>
        <v>1w</v>
      </c>
      <c r="X1853" s="234">
        <f>_xll.qlCalendarAdvance(Calendar,X1852,W1853,"f",FALSE)</f>
        <v>51812</v>
      </c>
      <c r="Y1853" s="237">
        <f>_xll.qlCalendarAdvance(Calendar,X1853,NDays&amp;"D")</f>
        <v>51812</v>
      </c>
      <c r="Z1853" s="238">
        <v>3.406303859206794E-2</v>
      </c>
      <c r="AA1853" s="240">
        <v>3.3703304463210682E-2</v>
      </c>
    </row>
    <row r="1854" spans="19:27" x14ac:dyDescent="0.2">
      <c r="S1854" s="199"/>
      <c r="T1854" s="200"/>
      <c r="W1854" s="233" t="str">
        <f t="shared" si="35"/>
        <v>1w</v>
      </c>
      <c r="X1854" s="234">
        <f>_xll.qlCalendarAdvance(Calendar,X1853,W1854,"f",FALSE)</f>
        <v>51819</v>
      </c>
      <c r="Y1854" s="237">
        <f>_xll.qlCalendarAdvance(Calendar,X1854,NDays&amp;"D")</f>
        <v>51819</v>
      </c>
      <c r="Z1854" s="238">
        <v>3.4054030580959571E-2</v>
      </c>
      <c r="AA1854" s="240">
        <v>3.3696068570457927E-2</v>
      </c>
    </row>
    <row r="1855" spans="19:27" x14ac:dyDescent="0.2">
      <c r="S1855" s="199"/>
      <c r="T1855" s="200"/>
      <c r="W1855" s="233" t="str">
        <f t="shared" si="35"/>
        <v>1w</v>
      </c>
      <c r="X1855" s="234">
        <f>_xll.qlCalendarAdvance(Calendar,X1854,W1855,"f",FALSE)</f>
        <v>51826</v>
      </c>
      <c r="Y1855" s="237">
        <f>_xll.qlCalendarAdvance(Calendar,X1855,NDays&amp;"D")</f>
        <v>51826</v>
      </c>
      <c r="Z1855" s="238">
        <v>3.4044919485346936E-2</v>
      </c>
      <c r="AA1855" s="240">
        <v>3.3688800690196974E-2</v>
      </c>
    </row>
    <row r="1856" spans="19:27" x14ac:dyDescent="0.2">
      <c r="S1856" s="199"/>
      <c r="T1856" s="200"/>
      <c r="W1856" s="233" t="str">
        <f t="shared" si="35"/>
        <v>1w</v>
      </c>
      <c r="X1856" s="234">
        <f>_xll.qlCalendarAdvance(Calendar,X1855,W1856,"f",FALSE)</f>
        <v>51833</v>
      </c>
      <c r="Y1856" s="237">
        <f>_xll.qlCalendarAdvance(Calendar,X1856,NDays&amp;"D")</f>
        <v>51833</v>
      </c>
      <c r="Z1856" s="238">
        <v>3.4035701803514673E-2</v>
      </c>
      <c r="AA1856" s="240">
        <v>3.3681500822589916E-2</v>
      </c>
    </row>
    <row r="1857" spans="19:27" x14ac:dyDescent="0.2">
      <c r="S1857" s="199"/>
      <c r="T1857" s="200"/>
      <c r="W1857" s="233" t="str">
        <f t="shared" si="35"/>
        <v>1w</v>
      </c>
      <c r="X1857" s="234">
        <f>_xll.qlCalendarAdvance(Calendar,X1856,W1857,"f",FALSE)</f>
        <v>51840</v>
      </c>
      <c r="Y1857" s="237">
        <f>_xll.qlCalendarAdvance(Calendar,X1857,NDays&amp;"D")</f>
        <v>51840</v>
      </c>
      <c r="Z1857" s="238">
        <v>3.4026374033903073E-2</v>
      </c>
      <c r="AA1857" s="240">
        <v>3.3674168967636753E-2</v>
      </c>
    </row>
    <row r="1858" spans="19:27" x14ac:dyDescent="0.2">
      <c r="S1858" s="199"/>
      <c r="T1858" s="200"/>
      <c r="W1858" s="233" t="str">
        <f t="shared" si="35"/>
        <v>1w</v>
      </c>
      <c r="X1858" s="234">
        <f>_xll.qlCalendarAdvance(Calendar,X1857,W1858,"f",FALSE)</f>
        <v>51847</v>
      </c>
      <c r="Y1858" s="237">
        <f>_xll.qlCalendarAdvance(Calendar,X1858,NDays&amp;"D")</f>
        <v>51847</v>
      </c>
      <c r="Z1858" s="238">
        <v>3.4016932675114742E-2</v>
      </c>
      <c r="AA1858" s="240">
        <v>3.3666805125175392E-2</v>
      </c>
    </row>
    <row r="1859" spans="19:27" x14ac:dyDescent="0.2">
      <c r="S1859" s="199"/>
      <c r="T1859" s="200"/>
      <c r="W1859" s="233" t="str">
        <f t="shared" si="35"/>
        <v>1w</v>
      </c>
      <c r="X1859" s="234">
        <f>_xll.qlCalendarAdvance(Calendar,X1858,W1859,"f",FALSE)</f>
        <v>51854</v>
      </c>
      <c r="Y1859" s="237">
        <f>_xll.qlCalendarAdvance(Calendar,X1859,NDays&amp;"D")</f>
        <v>51854</v>
      </c>
      <c r="Z1859" s="238">
        <v>3.4007374225916154E-2</v>
      </c>
      <c r="AA1859" s="240">
        <v>3.3659409295367926E-2</v>
      </c>
    </row>
    <row r="1860" spans="19:27" x14ac:dyDescent="0.2">
      <c r="S1860" s="199"/>
      <c r="T1860" s="200"/>
      <c r="W1860" s="233" t="str">
        <f t="shared" si="35"/>
        <v>1w</v>
      </c>
      <c r="X1860" s="234">
        <f>_xll.qlCalendarAdvance(Calendar,X1859,W1860,"f",FALSE)</f>
        <v>51862</v>
      </c>
      <c r="Y1860" s="237">
        <f>_xll.qlCalendarAdvance(Calendar,X1860,NDays&amp;"D")</f>
        <v>51862</v>
      </c>
      <c r="Z1860" s="238">
        <v>3.3997881856895049E-2</v>
      </c>
      <c r="AA1860" s="240">
        <v>3.3652955473614243E-2</v>
      </c>
    </row>
    <row r="1861" spans="19:27" x14ac:dyDescent="0.2">
      <c r="S1861" s="199"/>
      <c r="T1861" s="200"/>
      <c r="W1861" s="233" t="str">
        <f t="shared" si="35"/>
        <v>1w</v>
      </c>
      <c r="X1861" s="234">
        <f>_xll.qlCalendarAdvance(Calendar,X1860,W1861,"f",FALSE)</f>
        <v>51869</v>
      </c>
      <c r="Y1861" s="237">
        <f>_xll.qlCalendarAdvance(Calendar,X1861,NDays&amp;"D")</f>
        <v>51869</v>
      </c>
      <c r="Z1861" s="238">
        <v>3.3988034303823862E-2</v>
      </c>
      <c r="AA1861" s="240">
        <v>3.3645485152738283E-2</v>
      </c>
    </row>
    <row r="1862" spans="19:27" x14ac:dyDescent="0.2">
      <c r="S1862" s="199"/>
      <c r="T1862" s="200"/>
      <c r="W1862" s="233" t="str">
        <f t="shared" si="35"/>
        <v>1w</v>
      </c>
      <c r="X1862" s="234">
        <f>_xll.qlCalendarAdvance(Calendar,X1861,W1862,"f",FALSE)</f>
        <v>51876</v>
      </c>
      <c r="Y1862" s="237">
        <f>_xll.qlCalendarAdvance(Calendar,X1862,NDays&amp;"D")</f>
        <v>51876</v>
      </c>
      <c r="Z1862" s="238">
        <v>3.3978058157807342E-2</v>
      </c>
      <c r="AA1862" s="240">
        <v>3.3637982838897004E-2</v>
      </c>
    </row>
    <row r="1863" spans="19:27" x14ac:dyDescent="0.2">
      <c r="S1863" s="199"/>
      <c r="T1863" s="200"/>
      <c r="W1863" s="233" t="str">
        <f t="shared" si="35"/>
        <v>1w</v>
      </c>
      <c r="X1863" s="234">
        <f>_xll.qlCalendarAdvance(Calendar,X1862,W1863,"f",FALSE)</f>
        <v>51883</v>
      </c>
      <c r="Y1863" s="237">
        <f>_xll.qlCalendarAdvance(Calendar,X1863,NDays&amp;"D")</f>
        <v>51883</v>
      </c>
      <c r="Z1863" s="238">
        <v>3.3967949936845078E-2</v>
      </c>
      <c r="AA1863" s="240">
        <v>3.3630448532063394E-2</v>
      </c>
    </row>
    <row r="1864" spans="19:27" x14ac:dyDescent="0.2">
      <c r="S1864" s="199"/>
      <c r="T1864" s="200"/>
      <c r="W1864" s="233" t="str">
        <f t="shared" si="35"/>
        <v>1w</v>
      </c>
      <c r="X1864" s="234">
        <f>_xll.qlCalendarAdvance(Calendar,X1863,W1864,"f",FALSE)</f>
        <v>51890</v>
      </c>
      <c r="Y1864" s="237">
        <f>_xll.qlCalendarAdvance(Calendar,X1864,NDays&amp;"D")</f>
        <v>51890</v>
      </c>
      <c r="Z1864" s="238">
        <v>3.3957706159124794E-2</v>
      </c>
      <c r="AA1864" s="240">
        <v>3.3622882232318504E-2</v>
      </c>
    </row>
    <row r="1865" spans="19:27" x14ac:dyDescent="0.2">
      <c r="S1865" s="199"/>
      <c r="T1865" s="200"/>
      <c r="W1865" s="233" t="str">
        <f t="shared" si="35"/>
        <v>1w</v>
      </c>
      <c r="X1865" s="234">
        <f>_xll.qlCalendarAdvance(Calendar,X1864,W1865,"f",FALSE)</f>
        <v>51897</v>
      </c>
      <c r="Y1865" s="237">
        <f>_xll.qlCalendarAdvance(Calendar,X1865,NDays&amp;"D")</f>
        <v>51897</v>
      </c>
      <c r="Z1865" s="238">
        <v>3.3945157286255738E-2</v>
      </c>
      <c r="AA1865" s="240">
        <v>3.3615283939608297E-2</v>
      </c>
    </row>
    <row r="1866" spans="19:27" x14ac:dyDescent="0.2">
      <c r="S1866" s="199"/>
      <c r="T1866" s="200"/>
      <c r="W1866" s="233" t="str">
        <f t="shared" si="35"/>
        <v>1w</v>
      </c>
      <c r="X1866" s="234">
        <f>_xll.qlCalendarAdvance(Calendar,X1865,W1866,"f",FALSE)</f>
        <v>51904</v>
      </c>
      <c r="Y1866" s="237">
        <f>_xll.qlCalendarAdvance(Calendar,X1866,NDays&amp;"D")</f>
        <v>51904</v>
      </c>
      <c r="Z1866" s="238">
        <v>3.3936798007119774E-2</v>
      </c>
      <c r="AA1866" s="240">
        <v>3.360765365395979E-2</v>
      </c>
    </row>
    <row r="1867" spans="19:27" x14ac:dyDescent="0.2">
      <c r="S1867" s="199"/>
      <c r="T1867" s="200"/>
      <c r="W1867" s="233" t="str">
        <f t="shared" si="35"/>
        <v>1w</v>
      </c>
      <c r="X1867" s="234">
        <f>_xll.qlCalendarAdvance(Calendar,X1866,W1867,"f",FALSE)</f>
        <v>51911</v>
      </c>
      <c r="Y1867" s="237">
        <f>_xll.qlCalendarAdvance(Calendar,X1867,NDays&amp;"D")</f>
        <v>51911</v>
      </c>
      <c r="Z1867" s="238">
        <v>3.3926126670186151E-2</v>
      </c>
      <c r="AA1867" s="240">
        <v>3.3599991375318959E-2</v>
      </c>
    </row>
    <row r="1868" spans="19:27" x14ac:dyDescent="0.2">
      <c r="S1868" s="199"/>
      <c r="T1868" s="200"/>
      <c r="W1868" s="233" t="str">
        <f t="shared" si="35"/>
        <v>1w</v>
      </c>
      <c r="X1868" s="234">
        <f>_xll.qlCalendarAdvance(Calendar,X1867,W1868,"f",FALSE)</f>
        <v>51918</v>
      </c>
      <c r="Y1868" s="237">
        <f>_xll.qlCalendarAdvance(Calendar,X1868,NDays&amp;"D")</f>
        <v>51918</v>
      </c>
      <c r="Z1868" s="238">
        <v>3.3915305851205363E-2</v>
      </c>
      <c r="AA1868" s="240">
        <v>3.3592297103766842E-2</v>
      </c>
    </row>
    <row r="1869" spans="19:27" x14ac:dyDescent="0.2">
      <c r="S1869" s="199"/>
      <c r="T1869" s="200"/>
      <c r="W1869" s="233" t="str">
        <f t="shared" si="35"/>
        <v>1w</v>
      </c>
      <c r="X1869" s="234">
        <f>_xll.qlCalendarAdvance(Calendar,X1868,W1869,"f",FALSE)</f>
        <v>51925</v>
      </c>
      <c r="Y1869" s="237">
        <f>_xll.qlCalendarAdvance(Calendar,X1869,NDays&amp;"D")</f>
        <v>51925</v>
      </c>
      <c r="Z1869" s="238">
        <v>3.390234181784748E-2</v>
      </c>
      <c r="AA1869" s="240">
        <v>3.358457083933046E-2</v>
      </c>
    </row>
    <row r="1870" spans="19:27" x14ac:dyDescent="0.2">
      <c r="S1870" s="199"/>
      <c r="T1870" s="200"/>
      <c r="W1870" s="233" t="str">
        <f t="shared" si="35"/>
        <v>1w</v>
      </c>
      <c r="X1870" s="234">
        <f>_xll.qlCalendarAdvance(Calendar,X1869,W1870,"f",FALSE)</f>
        <v>51932</v>
      </c>
      <c r="Y1870" s="237">
        <f>_xll.qlCalendarAdvance(Calendar,X1870,NDays&amp;"D")</f>
        <v>51932</v>
      </c>
      <c r="Z1870" s="238">
        <v>3.3893201844089713E-2</v>
      </c>
      <c r="AA1870" s="240">
        <v>3.3576812581901747E-2</v>
      </c>
    </row>
    <row r="1871" spans="19:27" x14ac:dyDescent="0.2">
      <c r="S1871" s="199"/>
      <c r="T1871" s="200"/>
      <c r="W1871" s="233" t="str">
        <f t="shared" si="35"/>
        <v>1w</v>
      </c>
      <c r="X1871" s="234">
        <f>_xll.qlCalendarAdvance(Calendar,X1870,W1871,"f",FALSE)</f>
        <v>51939</v>
      </c>
      <c r="Y1871" s="237">
        <f>_xll.qlCalendarAdvance(Calendar,X1871,NDays&amp;"D")</f>
        <v>51939</v>
      </c>
      <c r="Z1871" s="238">
        <v>3.3881911694993147E-2</v>
      </c>
      <c r="AA1871" s="240">
        <v>3.356902233161578E-2</v>
      </c>
    </row>
    <row r="1872" spans="19:27" x14ac:dyDescent="0.2">
      <c r="S1872" s="199"/>
      <c r="T1872" s="200"/>
      <c r="W1872" s="233" t="str">
        <f t="shared" si="35"/>
        <v>1w</v>
      </c>
      <c r="X1872" s="234">
        <f>_xll.qlCalendarAdvance(Calendar,X1871,W1872,"f",FALSE)</f>
        <v>51946</v>
      </c>
      <c r="Y1872" s="237">
        <f>_xll.qlCalendarAdvance(Calendar,X1872,NDays&amp;"D")</f>
        <v>51946</v>
      </c>
      <c r="Z1872" s="238">
        <v>3.3870458141937038E-2</v>
      </c>
      <c r="AA1872" s="240">
        <v>3.3561200088391516E-2</v>
      </c>
    </row>
    <row r="1873" spans="19:27" x14ac:dyDescent="0.2">
      <c r="S1873" s="199"/>
      <c r="T1873" s="200"/>
      <c r="W1873" s="233" t="str">
        <f t="shared" si="35"/>
        <v>1w</v>
      </c>
      <c r="X1873" s="234">
        <f>_xll.qlCalendarAdvance(Calendar,X1872,W1873,"f",FALSE)</f>
        <v>51953</v>
      </c>
      <c r="Y1873" s="237">
        <f>_xll.qlCalendarAdvance(Calendar,X1873,NDays&amp;"D")</f>
        <v>51953</v>
      </c>
      <c r="Z1873" s="238">
        <v>3.3859436645952631E-2</v>
      </c>
      <c r="AA1873" s="240">
        <v>3.3553345852255965E-2</v>
      </c>
    </row>
    <row r="1874" spans="19:27" x14ac:dyDescent="0.2">
      <c r="S1874" s="199"/>
      <c r="T1874" s="200"/>
      <c r="W1874" s="233" t="str">
        <f t="shared" si="35"/>
        <v>1w</v>
      </c>
      <c r="X1874" s="234">
        <f>_xll.qlCalendarAdvance(Calendar,X1873,W1874,"f",FALSE)</f>
        <v>51964</v>
      </c>
      <c r="Y1874" s="237">
        <f>_xll.qlCalendarAdvance(Calendar,X1874,NDays&amp;"D")</f>
        <v>51964</v>
      </c>
      <c r="Z1874" s="238">
        <v>3.3839078566346048E-2</v>
      </c>
      <c r="AA1874" s="240">
        <v>3.3538988321852869E-2</v>
      </c>
    </row>
    <row r="1875" spans="19:27" x14ac:dyDescent="0.2">
      <c r="S1875" s="199"/>
      <c r="T1875" s="200"/>
      <c r="W1875" s="233" t="str">
        <f t="shared" si="35"/>
        <v>1w</v>
      </c>
      <c r="X1875" s="234">
        <f>_xll.qlCalendarAdvance(Calendar,X1874,W1875,"f",FALSE)</f>
        <v>51971</v>
      </c>
      <c r="Y1875" s="237">
        <f>_xll.qlCalendarAdvance(Calendar,X1875,NDays&amp;"D")</f>
        <v>51971</v>
      </c>
      <c r="Z1875" s="238">
        <v>3.382704488068744E-2</v>
      </c>
      <c r="AA1875" s="240">
        <v>3.3531057846021284E-2</v>
      </c>
    </row>
    <row r="1876" spans="19:27" x14ac:dyDescent="0.2">
      <c r="S1876" s="199"/>
      <c r="T1876" s="200"/>
      <c r="W1876" s="233" t="str">
        <f t="shared" si="35"/>
        <v>1w</v>
      </c>
      <c r="X1876" s="234">
        <f>_xll.qlCalendarAdvance(Calendar,X1875,W1876,"f",FALSE)</f>
        <v>51978</v>
      </c>
      <c r="Y1876" s="237">
        <f>_xll.qlCalendarAdvance(Calendar,X1876,NDays&amp;"D")</f>
        <v>51978</v>
      </c>
      <c r="Z1876" s="238">
        <v>3.3814832114861249E-2</v>
      </c>
      <c r="AA1876" s="240">
        <v>3.3523095382843593E-2</v>
      </c>
    </row>
    <row r="1877" spans="19:27" x14ac:dyDescent="0.2">
      <c r="S1877" s="199"/>
      <c r="T1877" s="200"/>
      <c r="W1877" s="233" t="str">
        <f t="shared" ref="W1877:W1940" si="36">W1876</f>
        <v>1w</v>
      </c>
      <c r="X1877" s="234">
        <f>_xll.qlCalendarAdvance(Calendar,X1876,W1877,"f",FALSE)</f>
        <v>51985</v>
      </c>
      <c r="Y1877" s="237">
        <f>_xll.qlCalendarAdvance(Calendar,X1877,NDays&amp;"D")</f>
        <v>51985</v>
      </c>
      <c r="Z1877" s="238">
        <v>3.3802436771565025E-2</v>
      </c>
      <c r="AA1877" s="240">
        <v>3.3515100932400843E-2</v>
      </c>
    </row>
    <row r="1878" spans="19:27" x14ac:dyDescent="0.2">
      <c r="S1878" s="199"/>
      <c r="T1878" s="200"/>
      <c r="W1878" s="233" t="str">
        <f t="shared" si="36"/>
        <v>1w</v>
      </c>
      <c r="X1878" s="234">
        <f>_xll.qlCalendarAdvance(Calendar,X1877,W1878,"f",FALSE)</f>
        <v>51992</v>
      </c>
      <c r="Y1878" s="237">
        <f>_xll.qlCalendarAdvance(Calendar,X1878,NDays&amp;"D")</f>
        <v>51992</v>
      </c>
      <c r="Z1878" s="238">
        <v>3.3789855353760778E-2</v>
      </c>
      <c r="AA1878" s="240">
        <v>3.3507074494368849E-2</v>
      </c>
    </row>
    <row r="1879" spans="19:27" x14ac:dyDescent="0.2">
      <c r="S1879" s="199"/>
      <c r="T1879" s="200"/>
      <c r="W1879" s="233" t="str">
        <f t="shared" si="36"/>
        <v>1w</v>
      </c>
      <c r="X1879" s="234">
        <f>_xll.qlCalendarAdvance(Calendar,X1878,W1879,"f",FALSE)</f>
        <v>51999</v>
      </c>
      <c r="Y1879" s="237">
        <f>_xll.qlCalendarAdvance(Calendar,X1879,NDays&amp;"D")</f>
        <v>51999</v>
      </c>
      <c r="Z1879" s="238">
        <v>3.3777084364680077E-2</v>
      </c>
      <c r="AA1879" s="240">
        <v>3.3499016069152843E-2</v>
      </c>
    </row>
    <row r="1880" spans="19:27" x14ac:dyDescent="0.2">
      <c r="S1880" s="199"/>
      <c r="T1880" s="200"/>
      <c r="W1880" s="233" t="str">
        <f t="shared" si="36"/>
        <v>1w</v>
      </c>
      <c r="X1880" s="234">
        <f>_xll.qlCalendarAdvance(Calendar,X1879,W1880,"f",FALSE)</f>
        <v>52006</v>
      </c>
      <c r="Y1880" s="237">
        <f>_xll.qlCalendarAdvance(Calendar,X1880,NDays&amp;"D")</f>
        <v>52006</v>
      </c>
      <c r="Z1880" s="238">
        <v>3.3764120307829826E-2</v>
      </c>
      <c r="AA1880" s="240">
        <v>3.3490925656590731E-2</v>
      </c>
    </row>
    <row r="1881" spans="19:27" x14ac:dyDescent="0.2">
      <c r="S1881" s="199"/>
      <c r="T1881" s="200"/>
      <c r="W1881" s="233" t="str">
        <f t="shared" si="36"/>
        <v>1w</v>
      </c>
      <c r="X1881" s="234">
        <f>_xll.qlCalendarAdvance(Calendar,X1880,W1881,"f",FALSE)</f>
        <v>52013</v>
      </c>
      <c r="Y1881" s="237">
        <f>_xll.qlCalendarAdvance(Calendar,X1881,NDays&amp;"D")</f>
        <v>52013</v>
      </c>
      <c r="Z1881" s="238">
        <v>3.3750959687000925E-2</v>
      </c>
      <c r="AA1881" s="240">
        <v>3.3482803256682514E-2</v>
      </c>
    </row>
    <row r="1882" spans="19:27" x14ac:dyDescent="0.2">
      <c r="S1882" s="199"/>
      <c r="T1882" s="200"/>
      <c r="W1882" s="233" t="str">
        <f t="shared" si="36"/>
        <v>1w</v>
      </c>
      <c r="X1882" s="234">
        <f>_xll.qlCalendarAdvance(Calendar,X1881,W1882,"f",FALSE)</f>
        <v>52020</v>
      </c>
      <c r="Y1882" s="237">
        <f>_xll.qlCalendarAdvance(Calendar,X1882,NDays&amp;"D")</f>
        <v>52020</v>
      </c>
      <c r="Z1882" s="238">
        <v>3.3737599006272934E-2</v>
      </c>
      <c r="AA1882" s="240">
        <v>3.3474648869428192E-2</v>
      </c>
    </row>
    <row r="1883" spans="19:27" x14ac:dyDescent="0.2">
      <c r="S1883" s="199"/>
      <c r="T1883" s="200"/>
      <c r="W1883" s="233" t="str">
        <f t="shared" si="36"/>
        <v>1w</v>
      </c>
      <c r="X1883" s="234">
        <f>_xll.qlCalendarAdvance(Calendar,X1882,W1883,"f",FALSE)</f>
        <v>52027</v>
      </c>
      <c r="Y1883" s="237">
        <f>_xll.qlCalendarAdvance(Calendar,X1883,NDays&amp;"D")</f>
        <v>52027</v>
      </c>
      <c r="Z1883" s="238">
        <v>3.3724034770020284E-2</v>
      </c>
      <c r="AA1883" s="240">
        <v>3.3466462494827764E-2</v>
      </c>
    </row>
    <row r="1884" spans="19:27" x14ac:dyDescent="0.2">
      <c r="S1884" s="199"/>
      <c r="T1884" s="200"/>
      <c r="W1884" s="233" t="str">
        <f t="shared" si="36"/>
        <v>1w</v>
      </c>
      <c r="X1884" s="234">
        <f>_xll.qlCalendarAdvance(Calendar,X1883,W1884,"f",FALSE)</f>
        <v>52034</v>
      </c>
      <c r="Y1884" s="237">
        <f>_xll.qlCalendarAdvance(Calendar,X1884,NDays&amp;"D")</f>
        <v>52034</v>
      </c>
      <c r="Z1884" s="238">
        <v>3.3710263482921832E-2</v>
      </c>
      <c r="AA1884" s="240">
        <v>3.3458244132962278E-2</v>
      </c>
    </row>
    <row r="1885" spans="19:27" x14ac:dyDescent="0.2">
      <c r="S1885" s="199"/>
      <c r="T1885" s="200"/>
      <c r="W1885" s="233" t="str">
        <f t="shared" si="36"/>
        <v>1w</v>
      </c>
      <c r="X1885" s="234">
        <f>_xll.qlCalendarAdvance(Calendar,X1884,W1885,"f",FALSE)</f>
        <v>52041</v>
      </c>
      <c r="Y1885" s="237">
        <f>_xll.qlCalendarAdvance(Calendar,X1885,NDays&amp;"D")</f>
        <v>52041</v>
      </c>
      <c r="Z1885" s="238">
        <v>3.3696281649965076E-2</v>
      </c>
      <c r="AA1885" s="240">
        <v>3.3449993783588594E-2</v>
      </c>
    </row>
    <row r="1886" spans="19:27" x14ac:dyDescent="0.2">
      <c r="S1886" s="199"/>
      <c r="T1886" s="200"/>
      <c r="W1886" s="233" t="str">
        <f t="shared" si="36"/>
        <v>1w</v>
      </c>
      <c r="X1886" s="234">
        <f>_xll.qlCalendarAdvance(Calendar,X1885,W1886,"f",FALSE)</f>
        <v>52048</v>
      </c>
      <c r="Y1886" s="237">
        <f>_xll.qlCalendarAdvance(Calendar,X1886,NDays&amp;"D")</f>
        <v>52048</v>
      </c>
      <c r="Z1886" s="238">
        <v>3.3682085931621364E-2</v>
      </c>
      <c r="AA1886" s="240">
        <v>3.3441674777965336E-2</v>
      </c>
    </row>
    <row r="1887" spans="19:27" x14ac:dyDescent="0.2">
      <c r="S1887" s="199"/>
      <c r="T1887" s="200"/>
      <c r="W1887" s="233" t="str">
        <f t="shared" si="36"/>
        <v>1w</v>
      </c>
      <c r="X1887" s="234">
        <f>_xll.qlCalendarAdvance(Calendar,X1886,W1887,"f",FALSE)</f>
        <v>52055</v>
      </c>
      <c r="Y1887" s="237">
        <f>_xll.qlCalendarAdvance(Calendar,X1887,NDays&amp;"D")</f>
        <v>52055</v>
      </c>
      <c r="Z1887" s="238">
        <v>3.3667678845640925E-2</v>
      </c>
      <c r="AA1887" s="240">
        <v>3.3433158473276103E-2</v>
      </c>
    </row>
    <row r="1888" spans="19:27" x14ac:dyDescent="0.2">
      <c r="S1888" s="199"/>
      <c r="T1888" s="200"/>
      <c r="W1888" s="233" t="str">
        <f t="shared" si="36"/>
        <v>1w</v>
      </c>
      <c r="X1888" s="234">
        <f>_xll.qlCalendarAdvance(Calendar,X1887,W1888,"f",FALSE)</f>
        <v>52062</v>
      </c>
      <c r="Y1888" s="237">
        <f>_xll.qlCalendarAdvance(Calendar,X1888,NDays&amp;"D")</f>
        <v>52062</v>
      </c>
      <c r="Z1888" s="238">
        <v>3.365307152306074E-2</v>
      </c>
      <c r="AA1888" s="240">
        <v>3.3424433448154822E-2</v>
      </c>
    </row>
    <row r="1889" spans="19:27" x14ac:dyDescent="0.2">
      <c r="S1889" s="199"/>
      <c r="T1889" s="200"/>
      <c r="W1889" s="233" t="str">
        <f t="shared" si="36"/>
        <v>1w</v>
      </c>
      <c r="X1889" s="234">
        <f>_xll.qlCalendarAdvance(Calendar,X1888,W1889,"f",FALSE)</f>
        <v>52069</v>
      </c>
      <c r="Y1889" s="237">
        <f>_xll.qlCalendarAdvance(Calendar,X1889,NDays&amp;"D")</f>
        <v>52069</v>
      </c>
      <c r="Z1889" s="238">
        <v>3.3638275862562184E-2</v>
      </c>
      <c r="AA1889" s="240">
        <v>3.3415499702601492E-2</v>
      </c>
    </row>
    <row r="1890" spans="19:27" x14ac:dyDescent="0.2">
      <c r="S1890" s="199"/>
      <c r="T1890" s="200"/>
      <c r="W1890" s="233" t="str">
        <f t="shared" si="36"/>
        <v>1w</v>
      </c>
      <c r="X1890" s="234">
        <f>_xll.qlCalendarAdvance(Calendar,X1889,W1890,"f",FALSE)</f>
        <v>52076</v>
      </c>
      <c r="Y1890" s="237">
        <f>_xll.qlCalendarAdvance(Calendar,X1890,NDays&amp;"D")</f>
        <v>52076</v>
      </c>
      <c r="Z1890" s="238">
        <v>3.3623303762253531E-2</v>
      </c>
      <c r="AA1890" s="240">
        <v>3.340635723669716E-2</v>
      </c>
    </row>
    <row r="1891" spans="19:27" x14ac:dyDescent="0.2">
      <c r="S1891" s="199"/>
      <c r="T1891" s="200"/>
      <c r="W1891" s="233" t="str">
        <f t="shared" si="36"/>
        <v>1w</v>
      </c>
      <c r="X1891" s="234">
        <f>_xll.qlCalendarAdvance(Calendar,X1890,W1891,"f",FALSE)</f>
        <v>52083</v>
      </c>
      <c r="Y1891" s="237">
        <f>_xll.qlCalendarAdvance(Calendar,X1891,NDays&amp;"D")</f>
        <v>52083</v>
      </c>
      <c r="Z1891" s="238">
        <v>3.3608167119648202E-2</v>
      </c>
      <c r="AA1891" s="240">
        <v>3.3397006050279732E-2</v>
      </c>
    </row>
    <row r="1892" spans="19:27" x14ac:dyDescent="0.2">
      <c r="S1892" s="199"/>
      <c r="T1892" s="200"/>
      <c r="W1892" s="233" t="str">
        <f t="shared" si="36"/>
        <v>1w</v>
      </c>
      <c r="X1892" s="234">
        <f>_xll.qlCalendarAdvance(Calendar,X1891,W1892,"f",FALSE)</f>
        <v>52090</v>
      </c>
      <c r="Y1892" s="237">
        <f>_xll.qlCalendarAdvance(Calendar,X1892,NDays&amp;"D")</f>
        <v>52090</v>
      </c>
      <c r="Z1892" s="238">
        <v>3.3592877831645884E-2</v>
      </c>
      <c r="AA1892" s="240">
        <v>3.3387446143511301E-2</v>
      </c>
    </row>
    <row r="1893" spans="19:27" x14ac:dyDescent="0.2">
      <c r="S1893" s="199"/>
      <c r="T1893" s="200"/>
      <c r="W1893" s="233" t="str">
        <f t="shared" si="36"/>
        <v>1w</v>
      </c>
      <c r="X1893" s="234">
        <f>_xll.qlCalendarAdvance(Calendar,X1892,W1893,"f",FALSE)</f>
        <v>52097</v>
      </c>
      <c r="Y1893" s="237">
        <f>_xll.qlCalendarAdvance(Calendar,X1893,NDays&amp;"D")</f>
        <v>52097</v>
      </c>
      <c r="Z1893" s="238">
        <v>3.3577447794514326E-2</v>
      </c>
      <c r="AA1893" s="240">
        <v>3.3377677516553961E-2</v>
      </c>
    </row>
    <row r="1894" spans="19:27" x14ac:dyDescent="0.2">
      <c r="S1894" s="199"/>
      <c r="T1894" s="200"/>
      <c r="W1894" s="233" t="str">
        <f t="shared" si="36"/>
        <v>1w</v>
      </c>
      <c r="X1894" s="234">
        <f>_xll.qlCalendarAdvance(Calendar,X1893,W1894,"f",FALSE)</f>
        <v>52104</v>
      </c>
      <c r="Y1894" s="237">
        <f>_xll.qlCalendarAdvance(Calendar,X1894,NDays&amp;"D")</f>
        <v>52104</v>
      </c>
      <c r="Z1894" s="238">
        <v>3.3561888903871573E-2</v>
      </c>
      <c r="AA1894" s="240">
        <v>3.3367700169083525E-2</v>
      </c>
    </row>
    <row r="1895" spans="19:27" x14ac:dyDescent="0.2">
      <c r="S1895" s="199"/>
      <c r="T1895" s="200"/>
      <c r="W1895" s="233" t="str">
        <f t="shared" si="36"/>
        <v>1w</v>
      </c>
      <c r="X1895" s="234">
        <f>_xll.qlCalendarAdvance(Calendar,X1894,W1895,"f",FALSE)</f>
        <v>52111</v>
      </c>
      <c r="Y1895" s="237">
        <f>_xll.qlCalendarAdvance(Calendar,X1895,NDays&amp;"D")</f>
        <v>52111</v>
      </c>
      <c r="Z1895" s="238">
        <v>3.3546213054671314E-2</v>
      </c>
      <c r="AA1895" s="240">
        <v>3.3357514101262087E-2</v>
      </c>
    </row>
    <row r="1896" spans="19:27" x14ac:dyDescent="0.2">
      <c r="S1896" s="199"/>
      <c r="T1896" s="200"/>
      <c r="W1896" s="233" t="str">
        <f t="shared" si="36"/>
        <v>1w</v>
      </c>
      <c r="X1896" s="234">
        <f>_xll.qlCalendarAdvance(Calendar,X1895,W1896,"f",FALSE)</f>
        <v>52118</v>
      </c>
      <c r="Y1896" s="237">
        <f>_xll.qlCalendarAdvance(Calendar,X1896,NDays&amp;"D")</f>
        <v>52118</v>
      </c>
      <c r="Z1896" s="238">
        <v>3.3530432141188671E-2</v>
      </c>
      <c r="AA1896" s="240">
        <v>3.3347119313170692E-2</v>
      </c>
    </row>
    <row r="1897" spans="19:27" x14ac:dyDescent="0.2">
      <c r="S1897" s="199"/>
      <c r="T1897" s="200"/>
      <c r="W1897" s="233" t="str">
        <f t="shared" si="36"/>
        <v>1w</v>
      </c>
      <c r="X1897" s="234">
        <f>_xll.qlCalendarAdvance(Calendar,X1896,W1897,"f",FALSE)</f>
        <v>52125</v>
      </c>
      <c r="Y1897" s="237">
        <f>_xll.qlCalendarAdvance(Calendar,X1897,NDays&amp;"D")</f>
        <v>52125</v>
      </c>
      <c r="Z1897" s="238">
        <v>3.3514558057007093E-2</v>
      </c>
      <c r="AA1897" s="240">
        <v>3.3336515804728295E-2</v>
      </c>
    </row>
    <row r="1898" spans="19:27" x14ac:dyDescent="0.2">
      <c r="S1898" s="199"/>
      <c r="T1898" s="200"/>
      <c r="W1898" s="233" t="str">
        <f t="shared" si="36"/>
        <v>1w</v>
      </c>
      <c r="X1898" s="234">
        <f>_xll.qlCalendarAdvance(Calendar,X1897,W1898,"f",FALSE)</f>
        <v>52132</v>
      </c>
      <c r="Y1898" s="237">
        <f>_xll.qlCalendarAdvance(Calendar,X1898,NDays&amp;"D")</f>
        <v>52132</v>
      </c>
      <c r="Z1898" s="238">
        <v>3.3498602695006818E-2</v>
      </c>
      <c r="AA1898" s="240">
        <v>3.3325703576015941E-2</v>
      </c>
    </row>
    <row r="1899" spans="19:27" x14ac:dyDescent="0.2">
      <c r="S1899" s="199"/>
      <c r="T1899" s="200"/>
      <c r="W1899" s="233" t="str">
        <f t="shared" si="36"/>
        <v>1w</v>
      </c>
      <c r="X1899" s="234">
        <f>_xll.qlCalendarAdvance(Calendar,X1898,W1899,"f",FALSE)</f>
        <v>52139</v>
      </c>
      <c r="Y1899" s="237">
        <f>_xll.qlCalendarAdvance(Calendar,X1899,NDays&amp;"D")</f>
        <v>52139</v>
      </c>
      <c r="Z1899" s="238">
        <v>3.3482577947355763E-2</v>
      </c>
      <c r="AA1899" s="240">
        <v>3.3314682627114678E-2</v>
      </c>
    </row>
    <row r="1900" spans="19:27" x14ac:dyDescent="0.2">
      <c r="S1900" s="199"/>
      <c r="T1900" s="200"/>
      <c r="W1900" s="233" t="str">
        <f t="shared" si="36"/>
        <v>1w</v>
      </c>
      <c r="X1900" s="234">
        <f>_xll.qlCalendarAdvance(Calendar,X1899,W1900,"f",FALSE)</f>
        <v>52146</v>
      </c>
      <c r="Y1900" s="237">
        <f>_xll.qlCalendarAdvance(Calendar,X1900,NDays&amp;"D")</f>
        <v>52146</v>
      </c>
      <c r="Z1900" s="238">
        <v>3.3466495705499533E-2</v>
      </c>
      <c r="AA1900" s="240">
        <v>3.3303452957862412E-2</v>
      </c>
    </row>
    <row r="1901" spans="19:27" x14ac:dyDescent="0.2">
      <c r="S1901" s="199"/>
      <c r="T1901" s="200"/>
      <c r="W1901" s="233" t="str">
        <f t="shared" si="36"/>
        <v>1w</v>
      </c>
      <c r="X1901" s="234">
        <f>_xll.qlCalendarAdvance(Calendar,X1900,W1901,"f",FALSE)</f>
        <v>52153</v>
      </c>
      <c r="Y1901" s="237">
        <f>_xll.qlCalendarAdvance(Calendar,X1901,NDays&amp;"D")</f>
        <v>52153</v>
      </c>
      <c r="Z1901" s="238">
        <v>3.3450367860155428E-2</v>
      </c>
      <c r="AA1901" s="240">
        <v>3.3292014568421235E-2</v>
      </c>
    </row>
    <row r="1902" spans="19:27" x14ac:dyDescent="0.2">
      <c r="S1902" s="199"/>
      <c r="T1902" s="200"/>
      <c r="W1902" s="233" t="str">
        <f t="shared" si="36"/>
        <v>1w</v>
      </c>
      <c r="X1902" s="234">
        <f>_xll.qlCalendarAdvance(Calendar,X1901,W1902,"f",FALSE)</f>
        <v>52160</v>
      </c>
      <c r="Y1902" s="237">
        <f>_xll.qlCalendarAdvance(Calendar,X1902,NDays&amp;"D")</f>
        <v>52160</v>
      </c>
      <c r="Z1902" s="238">
        <v>3.3434206301305114E-2</v>
      </c>
      <c r="AA1902" s="240">
        <v>3.3280367458791149E-2</v>
      </c>
    </row>
    <row r="1903" spans="19:27" x14ac:dyDescent="0.2">
      <c r="S1903" s="199"/>
      <c r="T1903" s="200"/>
      <c r="W1903" s="233" t="str">
        <f t="shared" si="36"/>
        <v>1w</v>
      </c>
      <c r="X1903" s="234">
        <f>_xll.qlCalendarAdvance(Calendar,X1902,W1903,"f",FALSE)</f>
        <v>52167</v>
      </c>
      <c r="Y1903" s="237">
        <f>_xll.qlCalendarAdvance(Calendar,X1903,NDays&amp;"D")</f>
        <v>52167</v>
      </c>
      <c r="Z1903" s="238">
        <v>3.3418022918191737E-2</v>
      </c>
      <c r="AA1903" s="240">
        <v>3.3268511628972153E-2</v>
      </c>
    </row>
    <row r="1904" spans="19:27" x14ac:dyDescent="0.2">
      <c r="S1904" s="199"/>
      <c r="T1904" s="200"/>
      <c r="W1904" s="233" t="str">
        <f t="shared" si="36"/>
        <v>1w</v>
      </c>
      <c r="X1904" s="234">
        <f>_xll.qlCalendarAdvance(Calendar,X1903,W1904,"f",FALSE)</f>
        <v>52174</v>
      </c>
      <c r="Y1904" s="237">
        <f>_xll.qlCalendarAdvance(Calendar,X1904,NDays&amp;"D")</f>
        <v>52174</v>
      </c>
      <c r="Z1904" s="238">
        <v>3.3401829599314814E-2</v>
      </c>
      <c r="AA1904" s="240">
        <v>3.3256447079045293E-2</v>
      </c>
    </row>
    <row r="1905" spans="19:27" x14ac:dyDescent="0.2">
      <c r="S1905" s="199"/>
      <c r="T1905" s="200"/>
      <c r="W1905" s="233" t="str">
        <f t="shared" si="36"/>
        <v>1w</v>
      </c>
      <c r="X1905" s="234">
        <f>_xll.qlCalendarAdvance(Calendar,X1904,W1905,"f",FALSE)</f>
        <v>52181</v>
      </c>
      <c r="Y1905" s="237">
        <f>_xll.qlCalendarAdvance(Calendar,X1905,NDays&amp;"D")</f>
        <v>52181</v>
      </c>
      <c r="Z1905" s="238">
        <v>3.3385638232430237E-2</v>
      </c>
      <c r="AA1905" s="240">
        <v>3.3244173808848476E-2</v>
      </c>
    </row>
    <row r="1906" spans="19:27" x14ac:dyDescent="0.2">
      <c r="S1906" s="199"/>
      <c r="T1906" s="200"/>
      <c r="W1906" s="233" t="str">
        <f t="shared" si="36"/>
        <v>1w</v>
      </c>
      <c r="X1906" s="234">
        <f>_xll.qlCalendarAdvance(Calendar,X1905,W1906,"f",FALSE)</f>
        <v>52188</v>
      </c>
      <c r="Y1906" s="237">
        <f>_xll.qlCalendarAdvance(Calendar,X1906,NDays&amp;"D")</f>
        <v>52188</v>
      </c>
      <c r="Z1906" s="238">
        <v>3.3369460704548493E-2</v>
      </c>
      <c r="AA1906" s="240">
        <v>3.3231691818624842E-2</v>
      </c>
    </row>
    <row r="1907" spans="19:27" x14ac:dyDescent="0.2">
      <c r="S1907" s="199"/>
      <c r="T1907" s="200"/>
      <c r="W1907" s="233" t="str">
        <f t="shared" si="36"/>
        <v>1w</v>
      </c>
      <c r="X1907" s="234">
        <f>_xll.qlCalendarAdvance(Calendar,X1906,W1907,"f",FALSE)</f>
        <v>52195</v>
      </c>
      <c r="Y1907" s="237">
        <f>_xll.qlCalendarAdvance(Calendar,X1907,NDays&amp;"D")</f>
        <v>52195</v>
      </c>
      <c r="Z1907" s="238">
        <v>3.335330890193644E-2</v>
      </c>
      <c r="AA1907" s="240">
        <v>3.3219001108293345E-2</v>
      </c>
    </row>
    <row r="1908" spans="19:27" x14ac:dyDescent="0.2">
      <c r="S1908" s="199"/>
      <c r="T1908" s="200"/>
      <c r="W1908" s="233" t="str">
        <f t="shared" si="36"/>
        <v>1w</v>
      </c>
      <c r="X1908" s="234">
        <f>_xll.qlCalendarAdvance(Calendar,X1907,W1908,"f",FALSE)</f>
        <v>52202</v>
      </c>
      <c r="Y1908" s="237">
        <f>_xll.qlCalendarAdvance(Calendar,X1908,NDays&amp;"D")</f>
        <v>52202</v>
      </c>
      <c r="Z1908" s="238">
        <v>3.3337194710118423E-2</v>
      </c>
      <c r="AA1908" s="240">
        <v>3.3206101677772937E-2</v>
      </c>
    </row>
    <row r="1909" spans="19:27" x14ac:dyDescent="0.2">
      <c r="S1909" s="199"/>
      <c r="T1909" s="200"/>
      <c r="W1909" s="233" t="str">
        <f t="shared" si="36"/>
        <v>1w</v>
      </c>
      <c r="X1909" s="234">
        <f>_xll.qlCalendarAdvance(Calendar,X1908,W1909,"f",FALSE)</f>
        <v>52209</v>
      </c>
      <c r="Y1909" s="237">
        <f>_xll.qlCalendarAdvance(Calendar,X1909,NDays&amp;"D")</f>
        <v>52209</v>
      </c>
      <c r="Z1909" s="238">
        <v>3.3321130013882705E-2</v>
      </c>
      <c r="AA1909" s="240">
        <v>3.3192993527306758E-2</v>
      </c>
    </row>
    <row r="1910" spans="19:27" x14ac:dyDescent="0.2">
      <c r="S1910" s="199"/>
      <c r="T1910" s="200"/>
      <c r="W1910" s="233" t="str">
        <f t="shared" si="36"/>
        <v>1w</v>
      </c>
      <c r="X1910" s="234">
        <f>_xll.qlCalendarAdvance(Calendar,X1909,W1910,"f",FALSE)</f>
        <v>52216</v>
      </c>
      <c r="Y1910" s="237">
        <f>_xll.qlCalendarAdvance(Calendar,X1910,NDays&amp;"D")</f>
        <v>52216</v>
      </c>
      <c r="Z1910" s="238">
        <v>3.3305126697281473E-2</v>
      </c>
      <c r="AA1910" s="240">
        <v>3.3179676656813761E-2</v>
      </c>
    </row>
    <row r="1911" spans="19:27" x14ac:dyDescent="0.2">
      <c r="S1911" s="199"/>
      <c r="T1911" s="200"/>
      <c r="W1911" s="233" t="str">
        <f t="shared" si="36"/>
        <v>1w</v>
      </c>
      <c r="X1911" s="234">
        <f>_xll.qlCalendarAdvance(Calendar,X1910,W1911,"f",FALSE)</f>
        <v>52223</v>
      </c>
      <c r="Y1911" s="237">
        <f>_xll.qlCalendarAdvance(Calendar,X1911,NDays&amp;"D")</f>
        <v>52223</v>
      </c>
      <c r="Z1911" s="238">
        <v>3.3289196643642827E-2</v>
      </c>
      <c r="AA1911" s="240">
        <v>3.3166151066212901E-2</v>
      </c>
    </row>
    <row r="1912" spans="19:27" x14ac:dyDescent="0.2">
      <c r="S1912" s="199"/>
      <c r="T1912" s="200"/>
      <c r="W1912" s="233" t="str">
        <f t="shared" si="36"/>
        <v>1w</v>
      </c>
      <c r="X1912" s="234">
        <f>_xll.qlCalendarAdvance(Calendar,X1911,W1912,"f",FALSE)</f>
        <v>52230</v>
      </c>
      <c r="Y1912" s="237">
        <f>_xll.qlCalendarAdvance(Calendar,X1912,NDays&amp;"D")</f>
        <v>52230</v>
      </c>
      <c r="Z1912" s="238">
        <v>3.3273351735574774E-2</v>
      </c>
      <c r="AA1912" s="240">
        <v>3.315241675566627E-2</v>
      </c>
    </row>
    <row r="1913" spans="19:27" x14ac:dyDescent="0.2">
      <c r="S1913" s="199"/>
      <c r="T1913" s="200"/>
      <c r="W1913" s="233" t="str">
        <f t="shared" si="36"/>
        <v>1w</v>
      </c>
      <c r="X1913" s="234">
        <f>_xll.qlCalendarAdvance(Calendar,X1912,W1913,"f",FALSE)</f>
        <v>52237</v>
      </c>
      <c r="Y1913" s="237">
        <f>_xll.qlCalendarAdvance(Calendar,X1913,NDays&amp;"D")</f>
        <v>52237</v>
      </c>
      <c r="Z1913" s="238">
        <v>3.3257603854975226E-2</v>
      </c>
      <c r="AA1913" s="240">
        <v>3.3138473725254913E-2</v>
      </c>
    </row>
    <row r="1914" spans="19:27" x14ac:dyDescent="0.2">
      <c r="S1914" s="199"/>
      <c r="T1914" s="200"/>
      <c r="W1914" s="233" t="str">
        <f t="shared" si="36"/>
        <v>1w</v>
      </c>
      <c r="X1914" s="234">
        <f>_xll.qlCalendarAdvance(Calendar,X1913,W1914,"f",FALSE)</f>
        <v>52244</v>
      </c>
      <c r="Y1914" s="237">
        <f>_xll.qlCalendarAdvance(Calendar,X1914,NDays&amp;"D")</f>
        <v>52244</v>
      </c>
      <c r="Z1914" s="238">
        <v>3.324196488304354E-2</v>
      </c>
      <c r="AA1914" s="240">
        <v>3.3124321974735693E-2</v>
      </c>
    </row>
    <row r="1915" spans="19:27" x14ac:dyDescent="0.2">
      <c r="S1915" s="199"/>
      <c r="T1915" s="200"/>
      <c r="W1915" s="233" t="str">
        <f t="shared" si="36"/>
        <v>1w</v>
      </c>
      <c r="X1915" s="234">
        <f>_xll.qlCalendarAdvance(Calendar,X1914,W1915,"f",FALSE)</f>
        <v>52251</v>
      </c>
      <c r="Y1915" s="237">
        <f>_xll.qlCalendarAdvance(Calendar,X1915,NDays&amp;"D")</f>
        <v>52251</v>
      </c>
      <c r="Z1915" s="238">
        <v>3.3226446700290735E-2</v>
      </c>
      <c r="AA1915" s="240">
        <v>3.3109961504432794E-2</v>
      </c>
    </row>
    <row r="1916" spans="19:27" x14ac:dyDescent="0.2">
      <c r="S1916" s="199"/>
      <c r="T1916" s="200"/>
      <c r="W1916" s="233" t="str">
        <f t="shared" si="36"/>
        <v>1w</v>
      </c>
      <c r="X1916" s="234">
        <f>_xll.qlCalendarAdvance(Calendar,X1915,W1916,"f",FALSE)</f>
        <v>52258</v>
      </c>
      <c r="Y1916" s="237">
        <f>_xll.qlCalendarAdvance(Calendar,X1916,NDays&amp;"D")</f>
        <v>52258</v>
      </c>
      <c r="Z1916" s="238">
        <v>3.3211061186554147E-2</v>
      </c>
      <c r="AA1916" s="240">
        <v>3.3095392314103078E-2</v>
      </c>
    </row>
    <row r="1917" spans="19:27" x14ac:dyDescent="0.2">
      <c r="S1917" s="199"/>
      <c r="T1917" s="200"/>
      <c r="W1917" s="233" t="str">
        <f t="shared" si="36"/>
        <v>1w</v>
      </c>
      <c r="X1917" s="234">
        <f>_xll.qlCalendarAdvance(Calendar,X1916,W1917,"f",FALSE)</f>
        <v>52265</v>
      </c>
      <c r="Y1917" s="237">
        <f>_xll.qlCalendarAdvance(Calendar,X1917,NDays&amp;"D")</f>
        <v>52265</v>
      </c>
      <c r="Z1917" s="238">
        <v>3.3195820221011196E-2</v>
      </c>
      <c r="AA1917" s="240">
        <v>3.3080614403989683E-2</v>
      </c>
    </row>
    <row r="1918" spans="19:27" x14ac:dyDescent="0.2">
      <c r="S1918" s="199"/>
      <c r="T1918" s="200"/>
      <c r="W1918" s="233" t="str">
        <f t="shared" si="36"/>
        <v>1w</v>
      </c>
      <c r="X1918" s="234">
        <f>_xll.qlCalendarAdvance(Calendar,X1917,W1918,"f",FALSE)</f>
        <v>52272</v>
      </c>
      <c r="Y1918" s="237">
        <f>_xll.qlCalendarAdvance(Calendar,X1918,NDays&amp;"D")</f>
        <v>52272</v>
      </c>
      <c r="Z1918" s="238">
        <v>3.3180735682194928E-2</v>
      </c>
      <c r="AA1918" s="240">
        <v>3.3065627774011563E-2</v>
      </c>
    </row>
    <row r="1919" spans="19:27" x14ac:dyDescent="0.2">
      <c r="S1919" s="199"/>
      <c r="T1919" s="200"/>
      <c r="W1919" s="233" t="str">
        <f t="shared" si="36"/>
        <v>1w</v>
      </c>
      <c r="X1919" s="234">
        <f>_xll.qlCalendarAdvance(Calendar,X1918,W1919,"f",FALSE)</f>
        <v>52279</v>
      </c>
      <c r="Y1919" s="237">
        <f>_xll.qlCalendarAdvance(Calendar,X1919,NDays&amp;"D")</f>
        <v>52279</v>
      </c>
      <c r="Z1919" s="238">
        <v>3.316581944801289E-2</v>
      </c>
      <c r="AA1919" s="240">
        <v>3.3050432424249765E-2</v>
      </c>
    </row>
    <row r="1920" spans="19:27" x14ac:dyDescent="0.2">
      <c r="S1920" s="199"/>
      <c r="T1920" s="200"/>
      <c r="W1920" s="233" t="str">
        <f t="shared" si="36"/>
        <v>1w</v>
      </c>
      <c r="X1920" s="234">
        <f>_xll.qlCalendarAdvance(Calendar,X1919,W1920,"f",FALSE)</f>
        <v>52286</v>
      </c>
      <c r="Y1920" s="237">
        <f>_xll.qlCalendarAdvance(Calendar,X1920,NDays&amp;"D")</f>
        <v>52286</v>
      </c>
      <c r="Z1920" s="238">
        <v>3.3151083395764003E-2</v>
      </c>
      <c r="AA1920" s="240">
        <v>3.3035028354623241E-2</v>
      </c>
    </row>
    <row r="1921" spans="19:27" x14ac:dyDescent="0.2">
      <c r="S1921" s="199"/>
      <c r="T1921" s="200"/>
      <c r="W1921" s="233" t="str">
        <f t="shared" si="36"/>
        <v>1w</v>
      </c>
      <c r="X1921" s="234">
        <f>_xll.qlCalendarAdvance(Calendar,X1920,W1921,"f",FALSE)</f>
        <v>52293</v>
      </c>
      <c r="Y1921" s="237">
        <f>_xll.qlCalendarAdvance(Calendar,X1921,NDays&amp;"D")</f>
        <v>52293</v>
      </c>
      <c r="Z1921" s="238">
        <v>3.3137152973763136E-2</v>
      </c>
      <c r="AA1921" s="240">
        <v>3.3019415565294086E-2</v>
      </c>
    </row>
    <row r="1922" spans="19:27" x14ac:dyDescent="0.2">
      <c r="S1922" s="199"/>
      <c r="T1922" s="200"/>
      <c r="W1922" s="233" t="str">
        <f t="shared" si="36"/>
        <v>1w</v>
      </c>
      <c r="X1922" s="234">
        <f>_xll.qlCalendarAdvance(Calendar,X1921,W1922,"f",FALSE)</f>
        <v>52300</v>
      </c>
      <c r="Y1922" s="237">
        <f>_xll.qlCalendarAdvance(Calendar,X1922,NDays&amp;"D")</f>
        <v>52300</v>
      </c>
      <c r="Z1922" s="238">
        <v>3.3122836165287266E-2</v>
      </c>
      <c r="AA1922" s="240">
        <v>3.3003594056262298E-2</v>
      </c>
    </row>
    <row r="1923" spans="19:27" x14ac:dyDescent="0.2">
      <c r="S1923" s="199"/>
      <c r="T1923" s="200"/>
      <c r="W1923" s="233" t="str">
        <f t="shared" si="36"/>
        <v>1w</v>
      </c>
      <c r="X1923" s="234">
        <f>_xll.qlCalendarAdvance(Calendar,X1922,W1923,"f",FALSE)</f>
        <v>52307</v>
      </c>
      <c r="Y1923" s="237">
        <f>_xll.qlCalendarAdvance(Calendar,X1923,NDays&amp;"D")</f>
        <v>52307</v>
      </c>
      <c r="Z1923" s="238">
        <v>3.3108735701082394E-2</v>
      </c>
      <c r="AA1923" s="240">
        <v>3.2987563827446831E-2</v>
      </c>
    </row>
    <row r="1924" spans="19:27" x14ac:dyDescent="0.2">
      <c r="S1924" s="199"/>
      <c r="T1924" s="200"/>
      <c r="W1924" s="233" t="str">
        <f t="shared" si="36"/>
        <v>1w</v>
      </c>
      <c r="X1924" s="234">
        <f>_xll.qlCalendarAdvance(Calendar,X1923,W1924,"f",FALSE)</f>
        <v>52314</v>
      </c>
      <c r="Y1924" s="237">
        <f>_xll.qlCalendarAdvance(Calendar,X1924,NDays&amp;"D")</f>
        <v>52314</v>
      </c>
      <c r="Z1924" s="238">
        <v>3.3094863424777902E-2</v>
      </c>
      <c r="AA1924" s="240">
        <v>3.2971324879009778E-2</v>
      </c>
    </row>
    <row r="1925" spans="19:27" x14ac:dyDescent="0.2">
      <c r="S1925" s="199"/>
      <c r="T1925" s="200"/>
      <c r="W1925" s="233" t="str">
        <f t="shared" si="36"/>
        <v>1w</v>
      </c>
      <c r="X1925" s="234">
        <f>_xll.qlCalendarAdvance(Calendar,X1924,W1925,"f",FALSE)</f>
        <v>52321</v>
      </c>
      <c r="Y1925" s="237">
        <f>_xll.qlCalendarAdvance(Calendar,X1925,NDays&amp;"D")</f>
        <v>52321</v>
      </c>
      <c r="Z1925" s="238">
        <v>3.3081231179511797E-2</v>
      </c>
      <c r="AA1925" s="240">
        <v>3.2954877210789046E-2</v>
      </c>
    </row>
    <row r="1926" spans="19:27" x14ac:dyDescent="0.2">
      <c r="S1926" s="199"/>
      <c r="T1926" s="200"/>
      <c r="W1926" s="233" t="str">
        <f t="shared" si="36"/>
        <v>1w</v>
      </c>
      <c r="X1926" s="234">
        <f>_xll.qlCalendarAdvance(Calendar,X1925,W1926,"f",FALSE)</f>
        <v>52328</v>
      </c>
      <c r="Y1926" s="237">
        <f>_xll.qlCalendarAdvance(Calendar,X1926,NDays&amp;"D")</f>
        <v>52328</v>
      </c>
      <c r="Z1926" s="238">
        <v>3.3067850807957516E-2</v>
      </c>
      <c r="AA1926" s="240">
        <v>3.2938220823027775E-2</v>
      </c>
    </row>
    <row r="1927" spans="19:27" x14ac:dyDescent="0.2">
      <c r="S1927" s="199"/>
      <c r="T1927" s="200"/>
      <c r="W1927" s="233" t="str">
        <f t="shared" si="36"/>
        <v>1w</v>
      </c>
      <c r="X1927" s="234">
        <f>_xll.qlCalendarAdvance(Calendar,X1926,W1927,"f",FALSE)</f>
        <v>52335</v>
      </c>
      <c r="Y1927" s="237">
        <f>_xll.qlCalendarAdvance(Calendar,X1927,NDays&amp;"D")</f>
        <v>52335</v>
      </c>
      <c r="Z1927" s="238">
        <v>3.30547341523518E-2</v>
      </c>
      <c r="AA1927" s="240">
        <v>3.2921355715725964E-2</v>
      </c>
    </row>
    <row r="1928" spans="19:27" x14ac:dyDescent="0.2">
      <c r="S1928" s="199"/>
      <c r="T1928" s="200"/>
      <c r="W1928" s="233" t="str">
        <f t="shared" si="36"/>
        <v>1w</v>
      </c>
      <c r="X1928" s="234">
        <f>_xll.qlCalendarAdvance(Calendar,X1927,W1928,"f",FALSE)</f>
        <v>52342</v>
      </c>
      <c r="Y1928" s="237">
        <f>_xll.qlCalendarAdvance(Calendar,X1928,NDays&amp;"D")</f>
        <v>52342</v>
      </c>
      <c r="Z1928" s="238">
        <v>3.3041893054523083E-2</v>
      </c>
      <c r="AA1928" s="240">
        <v>3.290428188872152E-2</v>
      </c>
    </row>
    <row r="1929" spans="19:27" x14ac:dyDescent="0.2">
      <c r="S1929" s="199"/>
      <c r="T1929" s="200"/>
      <c r="W1929" s="233" t="str">
        <f t="shared" si="36"/>
        <v>1w</v>
      </c>
      <c r="X1929" s="234">
        <f>_xll.qlCalendarAdvance(Calendar,X1928,W1929,"f",FALSE)</f>
        <v>52349</v>
      </c>
      <c r="Y1929" s="237">
        <f>_xll.qlCalendarAdvance(Calendar,X1929,NDays&amp;"D")</f>
        <v>52349</v>
      </c>
      <c r="Z1929" s="238">
        <v>3.3029339355925773E-2</v>
      </c>
      <c r="AA1929" s="240">
        <v>3.288699934233863E-2</v>
      </c>
    </row>
    <row r="1930" spans="19:27" x14ac:dyDescent="0.2">
      <c r="S1930" s="199"/>
      <c r="T1930" s="200"/>
      <c r="W1930" s="233" t="str">
        <f t="shared" si="36"/>
        <v>1w</v>
      </c>
      <c r="X1930" s="234">
        <f>_xll.qlCalendarAdvance(Calendar,X1929,W1930,"f",FALSE)</f>
        <v>52356</v>
      </c>
      <c r="Y1930" s="237">
        <f>_xll.qlCalendarAdvance(Calendar,X1930,NDays&amp;"D")</f>
        <v>52356</v>
      </c>
      <c r="Z1930" s="238">
        <v>3.3017084897669059E-2</v>
      </c>
      <c r="AA1930" s="240">
        <v>3.2869508076253107E-2</v>
      </c>
    </row>
    <row r="1931" spans="19:27" x14ac:dyDescent="0.2">
      <c r="S1931" s="199"/>
      <c r="T1931" s="200"/>
      <c r="W1931" s="233" t="str">
        <f t="shared" si="36"/>
        <v>1w</v>
      </c>
      <c r="X1931" s="234">
        <f>_xll.qlCalendarAdvance(Calendar,X1930,W1931,"f",FALSE)</f>
        <v>52363</v>
      </c>
      <c r="Y1931" s="237">
        <f>_xll.qlCalendarAdvance(Calendar,X1931,NDays&amp;"D")</f>
        <v>52363</v>
      </c>
      <c r="Z1931" s="238">
        <v>3.30051415205539E-2</v>
      </c>
      <c r="AA1931" s="240">
        <v>3.2851808090870183E-2</v>
      </c>
    </row>
    <row r="1932" spans="19:27" x14ac:dyDescent="0.2">
      <c r="S1932" s="199"/>
      <c r="T1932" s="200"/>
      <c r="W1932" s="233" t="str">
        <f t="shared" si="36"/>
        <v>1w</v>
      </c>
      <c r="X1932" s="234">
        <f>_xll.qlCalendarAdvance(Calendar,X1931,W1932,"f",FALSE)</f>
        <v>52370</v>
      </c>
      <c r="Y1932" s="237">
        <f>_xll.qlCalendarAdvance(Calendar,X1932,NDays&amp;"D")</f>
        <v>52370</v>
      </c>
      <c r="Z1932" s="238">
        <v>3.2993521065104441E-2</v>
      </c>
      <c r="AA1932" s="240">
        <v>3.2833899385946719E-2</v>
      </c>
    </row>
    <row r="1933" spans="19:27" x14ac:dyDescent="0.2">
      <c r="S1933" s="199"/>
      <c r="T1933" s="200"/>
      <c r="W1933" s="233" t="str">
        <f t="shared" si="36"/>
        <v>1w</v>
      </c>
      <c r="X1933" s="234">
        <f>_xll.qlCalendarAdvance(Calendar,X1932,W1933,"f",FALSE)</f>
        <v>52377</v>
      </c>
      <c r="Y1933" s="237">
        <f>_xll.qlCalendarAdvance(Calendar,X1933,NDays&amp;"D")</f>
        <v>52377</v>
      </c>
      <c r="Z1933" s="238">
        <v>3.2982235371608347E-2</v>
      </c>
      <c r="AA1933" s="240">
        <v>3.2815781961644808E-2</v>
      </c>
    </row>
    <row r="1934" spans="19:27" x14ac:dyDescent="0.2">
      <c r="S1934" s="199"/>
      <c r="T1934" s="200"/>
      <c r="W1934" s="233" t="str">
        <f t="shared" si="36"/>
        <v>1w</v>
      </c>
      <c r="X1934" s="234">
        <f>_xll.qlCalendarAdvance(Calendar,X1933,W1934,"f",FALSE)</f>
        <v>52384</v>
      </c>
      <c r="Y1934" s="237">
        <f>_xll.qlCalendarAdvance(Calendar,X1934,NDays&amp;"D")</f>
        <v>52384</v>
      </c>
      <c r="Z1934" s="238">
        <v>3.297129628015176E-2</v>
      </c>
      <c r="AA1934" s="240">
        <v>3.2797455817883403E-2</v>
      </c>
    </row>
    <row r="1935" spans="19:27" x14ac:dyDescent="0.2">
      <c r="S1935" s="199"/>
      <c r="T1935" s="200"/>
      <c r="W1935" s="233" t="str">
        <f t="shared" si="36"/>
        <v>1w</v>
      </c>
      <c r="X1935" s="234">
        <f>_xll.qlCalendarAdvance(Calendar,X1934,W1935,"f",FALSE)</f>
        <v>52391</v>
      </c>
      <c r="Y1935" s="237">
        <f>_xll.qlCalendarAdvance(Calendar,X1935,NDays&amp;"D")</f>
        <v>52391</v>
      </c>
      <c r="Z1935" s="238">
        <v>3.296071563065963E-2</v>
      </c>
      <c r="AA1935" s="240">
        <v>3.2778920954824597E-2</v>
      </c>
    </row>
    <row r="1936" spans="19:27" x14ac:dyDescent="0.2">
      <c r="S1936" s="199"/>
      <c r="T1936" s="200"/>
      <c r="W1936" s="233" t="str">
        <f t="shared" si="36"/>
        <v>1w</v>
      </c>
      <c r="X1936" s="234">
        <f>_xll.qlCalendarAdvance(Calendar,X1935,W1936,"f",FALSE)</f>
        <v>52398</v>
      </c>
      <c r="Y1936" s="237">
        <f>_xll.qlCalendarAdvance(Calendar,X1936,NDays&amp;"D")</f>
        <v>52398</v>
      </c>
      <c r="Z1936" s="238">
        <v>3.2950505262936206E-2</v>
      </c>
      <c r="AA1936" s="240">
        <v>3.2760177372387345E-2</v>
      </c>
    </row>
    <row r="1937" spans="19:27" x14ac:dyDescent="0.2">
      <c r="S1937" s="199"/>
      <c r="T1937" s="200"/>
      <c r="W1937" s="233" t="str">
        <f t="shared" si="36"/>
        <v>1w</v>
      </c>
      <c r="X1937" s="234">
        <f>_xll.qlCalendarAdvance(Calendar,X1936,W1937,"f",FALSE)</f>
        <v>52405</v>
      </c>
      <c r="Y1937" s="237">
        <f>_xll.qlCalendarAdvance(Calendar,X1937,NDays&amp;"D")</f>
        <v>52405</v>
      </c>
      <c r="Z1937" s="238">
        <v>3.2940677016706478E-2</v>
      </c>
      <c r="AA1937" s="240">
        <v>3.2741225070652691E-2</v>
      </c>
    </row>
    <row r="1938" spans="19:27" x14ac:dyDescent="0.2">
      <c r="S1938" s="199"/>
      <c r="T1938" s="200"/>
      <c r="W1938" s="233" t="str">
        <f t="shared" si="36"/>
        <v>1w</v>
      </c>
      <c r="X1938" s="234">
        <f>_xll.qlCalendarAdvance(Calendar,X1937,W1938,"f",FALSE)</f>
        <v>52412</v>
      </c>
      <c r="Y1938" s="237">
        <f>_xll.qlCalendarAdvance(Calendar,X1938,NDays&amp;"D")</f>
        <v>52412</v>
      </c>
      <c r="Z1938" s="238">
        <v>3.2931242617057897E-2</v>
      </c>
      <c r="AA1938" s="240">
        <v>3.2722078332163562E-2</v>
      </c>
    </row>
    <row r="1939" spans="19:27" x14ac:dyDescent="0.2">
      <c r="S1939" s="199"/>
      <c r="T1939" s="200"/>
      <c r="W1939" s="233" t="str">
        <f t="shared" si="36"/>
        <v>1w</v>
      </c>
      <c r="X1939" s="234">
        <f>_xll.qlCalendarAdvance(Calendar,X1938,W1939,"f",FALSE)</f>
        <v>52419</v>
      </c>
      <c r="Y1939" s="237">
        <f>_xll.qlCalendarAdvance(Calendar,X1939,NDays&amp;"D")</f>
        <v>52419</v>
      </c>
      <c r="Z1939" s="238">
        <v>3.2922207268029288E-2</v>
      </c>
      <c r="AA1939" s="240">
        <v>3.2703137067392474E-2</v>
      </c>
    </row>
    <row r="1940" spans="19:27" x14ac:dyDescent="0.2">
      <c r="S1940" s="199"/>
      <c r="T1940" s="200"/>
      <c r="W1940" s="233" t="str">
        <f t="shared" si="36"/>
        <v>1w</v>
      </c>
      <c r="X1940" s="234">
        <f>_xll.qlCalendarAdvance(Calendar,X1939,W1940,"f",FALSE)</f>
        <v>52426</v>
      </c>
      <c r="Y1940" s="237">
        <f>_xll.qlCalendarAdvance(Calendar,X1940,NDays&amp;"D")</f>
        <v>52426</v>
      </c>
      <c r="Z1940" s="238">
        <v>3.2913564164688373E-2</v>
      </c>
      <c r="AA1940" s="240">
        <v>3.2684586948668048E-2</v>
      </c>
    </row>
    <row r="1941" spans="19:27" x14ac:dyDescent="0.2">
      <c r="S1941" s="199"/>
      <c r="T1941" s="200"/>
      <c r="W1941" s="233" t="str">
        <f t="shared" ref="W1941:W2004" si="37">W1940</f>
        <v>1w</v>
      </c>
      <c r="X1941" s="234">
        <f>_xll.qlCalendarAdvance(Calendar,X1940,W1941,"f",FALSE)</f>
        <v>52433</v>
      </c>
      <c r="Y1941" s="237">
        <f>_xll.qlCalendarAdvance(Calendar,X1941,NDays&amp;"D")</f>
        <v>52433</v>
      </c>
      <c r="Z1941" s="238">
        <v>3.2905305001023455E-2</v>
      </c>
      <c r="AA1941" s="240">
        <v>3.266642797590924E-2</v>
      </c>
    </row>
    <row r="1942" spans="19:27" x14ac:dyDescent="0.2">
      <c r="S1942" s="199"/>
      <c r="T1942" s="200"/>
      <c r="W1942" s="233" t="str">
        <f t="shared" si="37"/>
        <v>1w</v>
      </c>
      <c r="X1942" s="234">
        <f>_xll.qlCalendarAdvance(Calendar,X1941,W1942,"f",FALSE)</f>
        <v>52440</v>
      </c>
      <c r="Y1942" s="237">
        <f>_xll.qlCalendarAdvance(Calendar,X1942,NDays&amp;"D")</f>
        <v>52440</v>
      </c>
      <c r="Z1942" s="238">
        <v>3.2897421471724565E-2</v>
      </c>
      <c r="AA1942" s="240">
        <v>3.2648660149359188E-2</v>
      </c>
    </row>
    <row r="1943" spans="19:27" x14ac:dyDescent="0.2">
      <c r="S1943" s="199"/>
      <c r="T1943" s="200"/>
      <c r="W1943" s="233" t="str">
        <f t="shared" si="37"/>
        <v>1w</v>
      </c>
      <c r="X1943" s="234">
        <f>_xll.qlCalendarAdvance(Calendar,X1942,W1943,"f",FALSE)</f>
        <v>52447</v>
      </c>
      <c r="Y1943" s="237">
        <f>_xll.qlCalendarAdvance(Calendar,X1943,NDays&amp;"D")</f>
        <v>52447</v>
      </c>
      <c r="Z1943" s="238">
        <v>3.2889905272151583E-2</v>
      </c>
      <c r="AA1943" s="240">
        <v>3.2631283468693706E-2</v>
      </c>
    </row>
    <row r="1944" spans="19:27" x14ac:dyDescent="0.2">
      <c r="S1944" s="199"/>
      <c r="T1944" s="200"/>
      <c r="W1944" s="233" t="str">
        <f t="shared" si="37"/>
        <v>1w</v>
      </c>
      <c r="X1944" s="234">
        <f>_xll.qlCalendarAdvance(Calendar,X1943,W1944,"f",FALSE)</f>
        <v>52454</v>
      </c>
      <c r="Y1944" s="237">
        <f>_xll.qlCalendarAdvance(Calendar,X1944,NDays&amp;"D")</f>
        <v>52454</v>
      </c>
      <c r="Z1944" s="238">
        <v>3.2882748098307685E-2</v>
      </c>
      <c r="AA1944" s="240">
        <v>3.2614297933993841E-2</v>
      </c>
    </row>
    <row r="1945" spans="19:27" x14ac:dyDescent="0.2">
      <c r="S1945" s="199"/>
      <c r="T1945" s="200"/>
      <c r="W1945" s="233" t="str">
        <f t="shared" si="37"/>
        <v>1w</v>
      </c>
      <c r="X1945" s="234">
        <f>_xll.qlCalendarAdvance(Calendar,X1944,W1945,"f",FALSE)</f>
        <v>52461</v>
      </c>
      <c r="Y1945" s="237">
        <f>_xll.qlCalendarAdvance(Calendar,X1945,NDays&amp;"D")</f>
        <v>52461</v>
      </c>
      <c r="Z1945" s="238">
        <v>3.2875941646805636E-2</v>
      </c>
      <c r="AA1945" s="240">
        <v>3.2597703545097501E-2</v>
      </c>
    </row>
    <row r="1946" spans="19:27" x14ac:dyDescent="0.2">
      <c r="S1946" s="199"/>
      <c r="T1946" s="200"/>
      <c r="W1946" s="233" t="str">
        <f t="shared" si="37"/>
        <v>1w</v>
      </c>
      <c r="X1946" s="234">
        <f>_xll.qlCalendarAdvance(Calendar,X1945,W1946,"f",FALSE)</f>
        <v>52468</v>
      </c>
      <c r="Y1946" s="237">
        <f>_xll.qlCalendarAdvance(Calendar,X1946,NDays&amp;"D")</f>
        <v>52468</v>
      </c>
      <c r="Z1946" s="238">
        <v>3.2869477614842386E-2</v>
      </c>
      <c r="AA1946" s="240">
        <v>3.2581500302085731E-2</v>
      </c>
    </row>
    <row r="1947" spans="19:27" x14ac:dyDescent="0.2">
      <c r="S1947" s="199"/>
      <c r="T1947" s="200"/>
      <c r="W1947" s="233" t="str">
        <f t="shared" si="37"/>
        <v>1w</v>
      </c>
      <c r="X1947" s="234">
        <f>_xll.qlCalendarAdvance(Calendar,X1946,W1947,"f",FALSE)</f>
        <v>52475</v>
      </c>
      <c r="Y1947" s="237">
        <f>_xll.qlCalendarAdvance(Calendar,X1947,NDays&amp;"D")</f>
        <v>52475</v>
      </c>
      <c r="Z1947" s="238">
        <v>3.2863347700170006E-2</v>
      </c>
      <c r="AA1947" s="240">
        <v>3.2565688204796439E-2</v>
      </c>
    </row>
    <row r="1948" spans="19:27" x14ac:dyDescent="0.2">
      <c r="S1948" s="199"/>
      <c r="T1948" s="200"/>
      <c r="W1948" s="233" t="str">
        <f t="shared" si="37"/>
        <v>1w</v>
      </c>
      <c r="X1948" s="234">
        <f>_xll.qlCalendarAdvance(Calendar,X1947,W1948,"f",FALSE)</f>
        <v>52482</v>
      </c>
      <c r="Y1948" s="237">
        <f>_xll.qlCalendarAdvance(Calendar,X1948,NDays&amp;"D")</f>
        <v>52482</v>
      </c>
      <c r="Z1948" s="238">
        <v>3.2857543601068705E-2</v>
      </c>
      <c r="AA1948" s="240">
        <v>3.2550267253229626E-2</v>
      </c>
    </row>
    <row r="1949" spans="19:27" x14ac:dyDescent="0.2">
      <c r="S1949" s="199"/>
      <c r="T1949" s="200"/>
      <c r="W1949" s="233" t="str">
        <f t="shared" si="37"/>
        <v>1w</v>
      </c>
      <c r="X1949" s="234">
        <f>_xll.qlCalendarAdvance(Calendar,X1948,W1949,"f",FALSE)</f>
        <v>52489</v>
      </c>
      <c r="Y1949" s="237">
        <f>_xll.qlCalendarAdvance(Calendar,X1949,NDays&amp;"D")</f>
        <v>52489</v>
      </c>
      <c r="Z1949" s="238">
        <v>3.2852057016319589E-2</v>
      </c>
      <c r="AA1949" s="240">
        <v>3.2535237447304244E-2</v>
      </c>
    </row>
    <row r="1950" spans="19:27" x14ac:dyDescent="0.2">
      <c r="S1950" s="199"/>
      <c r="T1950" s="200"/>
      <c r="W1950" s="233" t="str">
        <f t="shared" si="37"/>
        <v>1w</v>
      </c>
      <c r="X1950" s="234">
        <f>_xll.qlCalendarAdvance(Calendar,X1949,W1950,"f",FALSE)</f>
        <v>52496</v>
      </c>
      <c r="Y1950" s="237">
        <f>_xll.qlCalendarAdvance(Calendar,X1950,NDays&amp;"D")</f>
        <v>52496</v>
      </c>
      <c r="Z1950" s="238">
        <v>3.2846879645180065E-2</v>
      </c>
      <c r="AA1950" s="240">
        <v>3.2520598786939248E-2</v>
      </c>
    </row>
    <row r="1951" spans="19:27" x14ac:dyDescent="0.2">
      <c r="S1951" s="199"/>
      <c r="T1951" s="200"/>
      <c r="W1951" s="233" t="str">
        <f t="shared" si="37"/>
        <v>1w</v>
      </c>
      <c r="X1951" s="234">
        <f>_xll.qlCalendarAdvance(Calendar,X1950,W1951,"f",FALSE)</f>
        <v>52503</v>
      </c>
      <c r="Y1951" s="237">
        <f>_xll.qlCalendarAdvance(Calendar,X1951,NDays&amp;"D")</f>
        <v>52503</v>
      </c>
      <c r="Z1951" s="238">
        <v>3.2842003187357513E-2</v>
      </c>
      <c r="AA1951" s="240">
        <v>3.250635127229673E-2</v>
      </c>
    </row>
    <row r="1952" spans="19:27" x14ac:dyDescent="0.2">
      <c r="S1952" s="199"/>
      <c r="T1952" s="200"/>
      <c r="W1952" s="233" t="str">
        <f t="shared" si="37"/>
        <v>1w</v>
      </c>
      <c r="X1952" s="234">
        <f>_xll.qlCalendarAdvance(Calendar,X1951,W1952,"f",FALSE)</f>
        <v>52510</v>
      </c>
      <c r="Y1952" s="237">
        <f>_xll.qlCalendarAdvance(Calendar,X1952,NDays&amp;"D")</f>
        <v>52510</v>
      </c>
      <c r="Z1952" s="238">
        <v>3.2837419342984252E-2</v>
      </c>
      <c r="AA1952" s="240">
        <v>3.2492494902971458E-2</v>
      </c>
    </row>
    <row r="1953" spans="19:27" x14ac:dyDescent="0.2">
      <c r="S1953" s="199"/>
      <c r="T1953" s="200"/>
      <c r="W1953" s="233" t="str">
        <f t="shared" si="37"/>
        <v>1w</v>
      </c>
      <c r="X1953" s="234">
        <f>_xll.qlCalendarAdvance(Calendar,X1952,W1953,"f",FALSE)</f>
        <v>52517</v>
      </c>
      <c r="Y1953" s="237">
        <f>_xll.qlCalendarAdvance(Calendar,X1953,NDays&amp;"D")</f>
        <v>52517</v>
      </c>
      <c r="Z1953" s="238">
        <v>3.2833119812596054E-2</v>
      </c>
      <c r="AA1953" s="240">
        <v>3.2479029679287619E-2</v>
      </c>
    </row>
    <row r="1954" spans="19:27" x14ac:dyDescent="0.2">
      <c r="S1954" s="199"/>
      <c r="T1954" s="200"/>
      <c r="W1954" s="233" t="str">
        <f t="shared" si="37"/>
        <v>1w</v>
      </c>
      <c r="X1954" s="234">
        <f>_xll.qlCalendarAdvance(Calendar,X1953,W1954,"f",FALSE)</f>
        <v>52524</v>
      </c>
      <c r="Y1954" s="237">
        <f>_xll.qlCalendarAdvance(Calendar,X1954,NDays&amp;"D")</f>
        <v>52524</v>
      </c>
      <c r="Z1954" s="238">
        <v>3.2829096297105578E-2</v>
      </c>
      <c r="AA1954" s="240">
        <v>3.2465955600921026E-2</v>
      </c>
    </row>
    <row r="1955" spans="19:27" x14ac:dyDescent="0.2">
      <c r="S1955" s="199"/>
      <c r="T1955" s="200"/>
      <c r="W1955" s="233" t="str">
        <f t="shared" si="37"/>
        <v>1w</v>
      </c>
      <c r="X1955" s="234">
        <f>_xll.qlCalendarAdvance(Calendar,X1954,W1955,"f",FALSE)</f>
        <v>52531</v>
      </c>
      <c r="Y1955" s="237">
        <f>_xll.qlCalendarAdvance(Calendar,X1955,NDays&amp;"D")</f>
        <v>52531</v>
      </c>
      <c r="Z1955" s="238">
        <v>3.2825340497782671E-2</v>
      </c>
      <c r="AA1955" s="240">
        <v>3.2453272668033772E-2</v>
      </c>
    </row>
    <row r="1956" spans="19:27" x14ac:dyDescent="0.2">
      <c r="S1956" s="199"/>
      <c r="T1956" s="200"/>
      <c r="W1956" s="233" t="str">
        <f t="shared" si="37"/>
        <v>1w</v>
      </c>
      <c r="X1956" s="234">
        <f>_xll.qlCalendarAdvance(Calendar,X1955,W1956,"f",FALSE)</f>
        <v>52538</v>
      </c>
      <c r="Y1956" s="237">
        <f>_xll.qlCalendarAdvance(Calendar,X1956,NDays&amp;"D")</f>
        <v>52538</v>
      </c>
      <c r="Z1956" s="238">
        <v>3.2821844116230438E-2</v>
      </c>
      <c r="AA1956" s="240">
        <v>3.2440980880463766E-2</v>
      </c>
    </row>
    <row r="1957" spans="19:27" x14ac:dyDescent="0.2">
      <c r="S1957" s="199"/>
      <c r="T1957" s="200"/>
      <c r="W1957" s="233" t="str">
        <f t="shared" si="37"/>
        <v>1w</v>
      </c>
      <c r="X1957" s="234">
        <f>_xll.qlCalendarAdvance(Calendar,X1956,W1957,"f",FALSE)</f>
        <v>52545</v>
      </c>
      <c r="Y1957" s="237">
        <f>_xll.qlCalendarAdvance(Calendar,X1957,NDays&amp;"D")</f>
        <v>52545</v>
      </c>
      <c r="Z1957" s="238">
        <v>3.2818598854365319E-2</v>
      </c>
      <c r="AA1957" s="240">
        <v>3.2429080238129959E-2</v>
      </c>
    </row>
    <row r="1958" spans="19:27" x14ac:dyDescent="0.2">
      <c r="S1958" s="199"/>
      <c r="T1958" s="200"/>
      <c r="W1958" s="233" t="str">
        <f t="shared" si="37"/>
        <v>1w</v>
      </c>
      <c r="X1958" s="234">
        <f>_xll.qlCalendarAdvance(Calendar,X1957,W1958,"f",FALSE)</f>
        <v>52552</v>
      </c>
      <c r="Y1958" s="237">
        <f>_xll.qlCalendarAdvance(Calendar,X1958,NDays&amp;"D")</f>
        <v>52552</v>
      </c>
      <c r="Z1958" s="238">
        <v>3.2815596414396055E-2</v>
      </c>
      <c r="AA1958" s="240">
        <v>3.2417570741194446E-2</v>
      </c>
    </row>
    <row r="1959" spans="19:27" x14ac:dyDescent="0.2">
      <c r="S1959" s="199"/>
      <c r="T1959" s="200"/>
      <c r="W1959" s="233" t="str">
        <f t="shared" si="37"/>
        <v>1w</v>
      </c>
      <c r="X1959" s="234">
        <f>_xll.qlCalendarAdvance(Calendar,X1958,W1959,"f",FALSE)</f>
        <v>52559</v>
      </c>
      <c r="Y1959" s="237">
        <f>_xll.qlCalendarAdvance(Calendar,X1959,NDays&amp;"D")</f>
        <v>52559</v>
      </c>
      <c r="Z1959" s="238">
        <v>3.2812828498803091E-2</v>
      </c>
      <c r="AA1959" s="240">
        <v>3.2406452389414087E-2</v>
      </c>
    </row>
    <row r="1960" spans="19:27" x14ac:dyDescent="0.2">
      <c r="S1960" s="199"/>
      <c r="T1960" s="200"/>
      <c r="W1960" s="233" t="str">
        <f t="shared" si="37"/>
        <v>1w</v>
      </c>
      <c r="X1960" s="234">
        <f>_xll.qlCalendarAdvance(Calendar,X1959,W1960,"f",FALSE)</f>
        <v>52566</v>
      </c>
      <c r="Y1960" s="237">
        <f>_xll.qlCalendarAdvance(Calendar,X1960,NDays&amp;"D")</f>
        <v>52566</v>
      </c>
      <c r="Z1960" s="238">
        <v>3.2810286810321741E-2</v>
      </c>
      <c r="AA1960" s="240">
        <v>3.2395725182788881E-2</v>
      </c>
    </row>
    <row r="1961" spans="19:27" x14ac:dyDescent="0.2">
      <c r="S1961" s="199"/>
      <c r="T1961" s="200"/>
      <c r="W1961" s="233" t="str">
        <f t="shared" si="37"/>
        <v>1w</v>
      </c>
      <c r="X1961" s="234">
        <f>_xll.qlCalendarAdvance(Calendar,X1960,W1961,"f",FALSE)</f>
        <v>52573</v>
      </c>
      <c r="Y1961" s="237">
        <f>_xll.qlCalendarAdvance(Calendar,X1961,NDays&amp;"D")</f>
        <v>52573</v>
      </c>
      <c r="Z1961" s="238">
        <v>3.2807963051919839E-2</v>
      </c>
      <c r="AA1961" s="240">
        <v>3.2385389121399877E-2</v>
      </c>
    </row>
    <row r="1962" spans="19:27" x14ac:dyDescent="0.2">
      <c r="S1962" s="199"/>
      <c r="T1962" s="200"/>
      <c r="W1962" s="233" t="str">
        <f t="shared" si="37"/>
        <v>1w</v>
      </c>
      <c r="X1962" s="234">
        <f>_xll.qlCalendarAdvance(Calendar,X1961,W1962,"f",FALSE)</f>
        <v>52580</v>
      </c>
      <c r="Y1962" s="237">
        <f>_xll.qlCalendarAdvance(Calendar,X1962,NDays&amp;"D")</f>
        <v>52580</v>
      </c>
      <c r="Z1962" s="238">
        <v>3.2805848926783315E-2</v>
      </c>
      <c r="AA1962" s="240">
        <v>3.237544420508498E-2</v>
      </c>
    </row>
    <row r="1963" spans="19:27" x14ac:dyDescent="0.2">
      <c r="S1963" s="199"/>
      <c r="T1963" s="200"/>
      <c r="W1963" s="233" t="str">
        <f t="shared" si="37"/>
        <v>1w</v>
      </c>
      <c r="X1963" s="234">
        <f>_xll.qlCalendarAdvance(Calendar,X1962,W1963,"f",FALSE)</f>
        <v>52587</v>
      </c>
      <c r="Y1963" s="237">
        <f>_xll.qlCalendarAdvance(Calendar,X1963,NDays&amp;"D")</f>
        <v>52587</v>
      </c>
      <c r="Z1963" s="238">
        <v>3.2803936138297872E-2</v>
      </c>
      <c r="AA1963" s="240">
        <v>3.2365890433844191E-2</v>
      </c>
    </row>
    <row r="1964" spans="19:27" x14ac:dyDescent="0.2">
      <c r="S1964" s="199"/>
      <c r="T1964" s="200"/>
      <c r="W1964" s="233" t="str">
        <f t="shared" si="37"/>
        <v>1w</v>
      </c>
      <c r="X1964" s="234">
        <f>_xll.qlCalendarAdvance(Calendar,X1963,W1964,"f",FALSE)</f>
        <v>52594</v>
      </c>
      <c r="Y1964" s="237">
        <f>_xll.qlCalendarAdvance(Calendar,X1964,NDays&amp;"D")</f>
        <v>52594</v>
      </c>
      <c r="Z1964" s="238">
        <v>3.2802216390031197E-2</v>
      </c>
      <c r="AA1964" s="240">
        <v>3.2356727807839603E-2</v>
      </c>
    </row>
    <row r="1965" spans="19:27" x14ac:dyDescent="0.2">
      <c r="S1965" s="199"/>
      <c r="T1965" s="200"/>
      <c r="W1965" s="233" t="str">
        <f t="shared" si="37"/>
        <v>1w</v>
      </c>
      <c r="X1965" s="234">
        <f>_xll.qlCalendarAdvance(Calendar,X1964,W1965,"f",FALSE)</f>
        <v>52601</v>
      </c>
      <c r="Y1965" s="237">
        <f>_xll.qlCalendarAdvance(Calendar,X1965,NDays&amp;"D")</f>
        <v>52601</v>
      </c>
      <c r="Z1965" s="238">
        <v>3.2800681385718407E-2</v>
      </c>
      <c r="AA1965" s="240">
        <v>3.2347956326665983E-2</v>
      </c>
    </row>
    <row r="1966" spans="19:27" x14ac:dyDescent="0.2">
      <c r="S1966" s="199"/>
      <c r="T1966" s="200"/>
      <c r="W1966" s="233" t="str">
        <f t="shared" si="37"/>
        <v>1w</v>
      </c>
      <c r="X1966" s="234">
        <f>_xll.qlCalendarAdvance(Calendar,X1965,W1966,"f",FALSE)</f>
        <v>52608</v>
      </c>
      <c r="Y1966" s="237">
        <f>_xll.qlCalendarAdvance(Calendar,X1966,NDays&amp;"D")</f>
        <v>52608</v>
      </c>
      <c r="Z1966" s="238">
        <v>3.279932282924674E-2</v>
      </c>
      <c r="AA1966" s="240">
        <v>3.2339575990647518E-2</v>
      </c>
    </row>
    <row r="1967" spans="19:27" x14ac:dyDescent="0.2">
      <c r="S1967" s="199"/>
      <c r="T1967" s="200"/>
      <c r="W1967" s="233" t="str">
        <f t="shared" si="37"/>
        <v>1w</v>
      </c>
      <c r="X1967" s="234">
        <f>_xll.qlCalendarAdvance(Calendar,X1966,W1967,"f",FALSE)</f>
        <v>52615</v>
      </c>
      <c r="Y1967" s="237">
        <f>_xll.qlCalendarAdvance(Calendar,X1967,NDays&amp;"D")</f>
        <v>52615</v>
      </c>
      <c r="Z1967" s="238">
        <v>3.2798132424640726E-2</v>
      </c>
      <c r="AA1967" s="240">
        <v>3.2331586799460021E-2</v>
      </c>
    </row>
    <row r="1968" spans="19:27" x14ac:dyDescent="0.2">
      <c r="S1968" s="199"/>
      <c r="T1968" s="200"/>
      <c r="W1968" s="233" t="str">
        <f t="shared" si="37"/>
        <v>1w</v>
      </c>
      <c r="X1968" s="234">
        <f>_xll.qlCalendarAdvance(Calendar,X1967,W1968,"f",FALSE)</f>
        <v>52622</v>
      </c>
      <c r="Y1968" s="237">
        <f>_xll.qlCalendarAdvance(Calendar,X1968,NDays&amp;"D")</f>
        <v>52622</v>
      </c>
      <c r="Z1968" s="238">
        <v>3.2797101876048673E-2</v>
      </c>
      <c r="AA1968" s="240">
        <v>3.2323988753346633E-2</v>
      </c>
    </row>
    <row r="1969" spans="19:27" x14ac:dyDescent="0.2">
      <c r="S1969" s="199"/>
      <c r="T1969" s="200"/>
      <c r="W1969" s="233" t="str">
        <f t="shared" si="37"/>
        <v>1w</v>
      </c>
      <c r="X1969" s="234">
        <f>_xll.qlCalendarAdvance(Calendar,X1968,W1969,"f",FALSE)</f>
        <v>52629</v>
      </c>
      <c r="Y1969" s="237">
        <f>_xll.qlCalendarAdvance(Calendar,X1969,NDays&amp;"D")</f>
        <v>52629</v>
      </c>
      <c r="Z1969" s="238">
        <v>3.2796222887728523E-2</v>
      </c>
      <c r="AA1969" s="240">
        <v>3.2316781852226306E-2</v>
      </c>
    </row>
    <row r="1970" spans="19:27" x14ac:dyDescent="0.2">
      <c r="S1970" s="199"/>
      <c r="T1970" s="200"/>
      <c r="W1970" s="233" t="str">
        <f t="shared" si="37"/>
        <v>1w</v>
      </c>
      <c r="X1970" s="234">
        <f>_xll.qlCalendarAdvance(Calendar,X1969,W1970,"f",FALSE)</f>
        <v>52636</v>
      </c>
      <c r="Y1970" s="237">
        <f>_xll.qlCalendarAdvance(Calendar,X1970,NDays&amp;"D")</f>
        <v>52636</v>
      </c>
      <c r="Z1970" s="238">
        <v>3.279548716403561E-2</v>
      </c>
      <c r="AA1970" s="240">
        <v>3.2309966095855902E-2</v>
      </c>
    </row>
    <row r="1971" spans="19:27" x14ac:dyDescent="0.2">
      <c r="S1971" s="199"/>
      <c r="T1971" s="200"/>
      <c r="W1971" s="233" t="str">
        <f t="shared" si="37"/>
        <v>1w</v>
      </c>
      <c r="X1971" s="234">
        <f>_xll.qlCalendarAdvance(Calendar,X1970,W1971,"f",FALSE)</f>
        <v>52643</v>
      </c>
      <c r="Y1971" s="237">
        <f>_xll.qlCalendarAdvance(Calendar,X1971,NDays&amp;"D")</f>
        <v>52643</v>
      </c>
      <c r="Z1971" s="238">
        <v>3.2794886409412562E-2</v>
      </c>
      <c r="AA1971" s="240">
        <v>3.230354148447856E-2</v>
      </c>
    </row>
    <row r="1972" spans="19:27" x14ac:dyDescent="0.2">
      <c r="S1972" s="199"/>
      <c r="T1972" s="200"/>
      <c r="W1972" s="233" t="str">
        <f t="shared" si="37"/>
        <v>1w</v>
      </c>
      <c r="X1972" s="234">
        <f>_xll.qlCalendarAdvance(Calendar,X1971,W1972,"f",FALSE)</f>
        <v>52650</v>
      </c>
      <c r="Y1972" s="237">
        <f>_xll.qlCalendarAdvance(Calendar,X1972,NDays&amp;"D")</f>
        <v>52650</v>
      </c>
      <c r="Z1972" s="238">
        <v>3.2794412328375711E-2</v>
      </c>
      <c r="AA1972" s="240">
        <v>3.229750801785114E-2</v>
      </c>
    </row>
    <row r="1973" spans="19:27" x14ac:dyDescent="0.2">
      <c r="S1973" s="199"/>
      <c r="T1973" s="200"/>
      <c r="W1973" s="233" t="str">
        <f t="shared" si="37"/>
        <v>1w</v>
      </c>
      <c r="X1973" s="234">
        <f>_xll.qlCalendarAdvance(Calendar,X1972,W1973,"f",FALSE)</f>
        <v>52657</v>
      </c>
      <c r="Y1973" s="237">
        <f>_xll.qlCalendarAdvance(Calendar,X1973,NDays&amp;"D")</f>
        <v>52657</v>
      </c>
      <c r="Z1973" s="238">
        <v>3.279257309243766E-2</v>
      </c>
      <c r="AA1973" s="240">
        <v>3.2291865696216782E-2</v>
      </c>
    </row>
    <row r="1974" spans="19:27" x14ac:dyDescent="0.2">
      <c r="S1974" s="199"/>
      <c r="T1974" s="200"/>
      <c r="W1974" s="233" t="str">
        <f t="shared" si="37"/>
        <v>1w</v>
      </c>
      <c r="X1974" s="234">
        <f>_xll.qlCalendarAdvance(Calendar,X1973,W1974,"f",FALSE)</f>
        <v>52664</v>
      </c>
      <c r="Y1974" s="237">
        <f>_xll.qlCalendarAdvance(Calendar,X1974,NDays&amp;"D")</f>
        <v>52664</v>
      </c>
      <c r="Z1974" s="238">
        <v>3.2792326577988584E-2</v>
      </c>
      <c r="AA1974" s="240">
        <v>3.2286614519332346E-2</v>
      </c>
    </row>
    <row r="1975" spans="19:27" x14ac:dyDescent="0.2">
      <c r="S1975" s="199"/>
      <c r="T1975" s="200"/>
      <c r="W1975" s="233" t="str">
        <f t="shared" si="37"/>
        <v>1w</v>
      </c>
      <c r="X1975" s="234">
        <f>_xll.qlCalendarAdvance(Calendar,X1974,W1975,"f",FALSE)</f>
        <v>52671</v>
      </c>
      <c r="Y1975" s="237">
        <f>_xll.qlCalendarAdvance(Calendar,X1975,NDays&amp;"D")</f>
        <v>52671</v>
      </c>
      <c r="Z1975" s="238">
        <v>3.2792182202368902E-2</v>
      </c>
      <c r="AA1975" s="240">
        <v>3.228175448727888E-2</v>
      </c>
    </row>
    <row r="1976" spans="19:27" x14ac:dyDescent="0.2">
      <c r="S1976" s="199"/>
      <c r="T1976" s="200"/>
      <c r="W1976" s="233" t="str">
        <f t="shared" si="37"/>
        <v>1w</v>
      </c>
      <c r="X1976" s="234">
        <f>_xll.qlCalendarAdvance(Calendar,X1975,W1976,"f",FALSE)</f>
        <v>52678</v>
      </c>
      <c r="Y1976" s="237">
        <f>_xll.qlCalendarAdvance(Calendar,X1976,NDays&amp;"D")</f>
        <v>52678</v>
      </c>
      <c r="Z1976" s="238">
        <v>3.2792131648303746E-2</v>
      </c>
      <c r="AA1976" s="240">
        <v>3.2277285599975336E-2</v>
      </c>
    </row>
    <row r="1977" spans="19:27" x14ac:dyDescent="0.2">
      <c r="S1977" s="199"/>
      <c r="T1977" s="200"/>
      <c r="W1977" s="233" t="str">
        <f t="shared" si="37"/>
        <v>1w</v>
      </c>
      <c r="X1977" s="234">
        <f>_xll.qlCalendarAdvance(Calendar,X1976,W1977,"f",FALSE)</f>
        <v>52685</v>
      </c>
      <c r="Y1977" s="237">
        <f>_xll.qlCalendarAdvance(Calendar,X1977,NDays&amp;"D")</f>
        <v>52685</v>
      </c>
      <c r="Z1977" s="238">
        <v>3.2792166598547112E-2</v>
      </c>
      <c r="AA1977" s="240">
        <v>3.2273207857502761E-2</v>
      </c>
    </row>
    <row r="1978" spans="19:27" x14ac:dyDescent="0.2">
      <c r="S1978" s="199"/>
      <c r="T1978" s="200"/>
      <c r="W1978" s="233" t="str">
        <f t="shared" si="37"/>
        <v>1w</v>
      </c>
      <c r="X1978" s="234">
        <f>_xll.qlCalendarAdvance(Calendar,X1977,W1978,"f",FALSE)</f>
        <v>52692</v>
      </c>
      <c r="Y1978" s="237">
        <f>_xll.qlCalendarAdvance(Calendar,X1978,NDays&amp;"D")</f>
        <v>52692</v>
      </c>
      <c r="Z1978" s="238">
        <v>3.279227873587387E-2</v>
      </c>
      <c r="AA1978" s="240">
        <v>3.226952125978011E-2</v>
      </c>
    </row>
    <row r="1979" spans="19:27" x14ac:dyDescent="0.2">
      <c r="S1979" s="199"/>
      <c r="T1979" s="200"/>
      <c r="W1979" s="233" t="str">
        <f t="shared" si="37"/>
        <v>1w</v>
      </c>
      <c r="X1979" s="234">
        <f>_xll.qlCalendarAdvance(Calendar,X1978,W1979,"f",FALSE)</f>
        <v>52699</v>
      </c>
      <c r="Y1979" s="237">
        <f>_xll.qlCalendarAdvance(Calendar,X1979,NDays&amp;"D")</f>
        <v>52699</v>
      </c>
      <c r="Z1979" s="238">
        <v>3.2792459743074875E-2</v>
      </c>
      <c r="AA1979" s="240">
        <v>3.226622580680738E-2</v>
      </c>
    </row>
    <row r="1980" spans="19:27" x14ac:dyDescent="0.2">
      <c r="S1980" s="199"/>
      <c r="T1980" s="200"/>
      <c r="W1980" s="233" t="str">
        <f t="shared" si="37"/>
        <v>1w</v>
      </c>
      <c r="X1980" s="234">
        <f>_xll.qlCalendarAdvance(Calendar,X1979,W1980,"f",FALSE)</f>
        <v>52706</v>
      </c>
      <c r="Y1980" s="237">
        <f>_xll.qlCalendarAdvance(Calendar,X1980,NDays&amp;"D")</f>
        <v>52706</v>
      </c>
      <c r="Z1980" s="238">
        <v>3.2792701302948979E-2</v>
      </c>
      <c r="AA1980" s="240">
        <v>3.2263321498746667E-2</v>
      </c>
    </row>
    <row r="1981" spans="19:27" x14ac:dyDescent="0.2">
      <c r="S1981" s="199"/>
      <c r="T1981" s="200"/>
      <c r="W1981" s="233" t="str">
        <f t="shared" si="37"/>
        <v>1w</v>
      </c>
      <c r="X1981" s="234">
        <f>_xll.qlCalendarAdvance(Calendar,X1980,W1981,"f",FALSE)</f>
        <v>52713</v>
      </c>
      <c r="Y1981" s="237">
        <f>_xll.qlCalendarAdvance(Calendar,X1981,NDays&amp;"D")</f>
        <v>52713</v>
      </c>
      <c r="Z1981" s="238">
        <v>3.2792995098299693E-2</v>
      </c>
      <c r="AA1981" s="240">
        <v>3.2260808335192737E-2</v>
      </c>
    </row>
    <row r="1982" spans="19:27" x14ac:dyDescent="0.2">
      <c r="S1982" s="199"/>
      <c r="T1982" s="200"/>
      <c r="W1982" s="233" t="str">
        <f t="shared" si="37"/>
        <v>1w</v>
      </c>
      <c r="X1982" s="234">
        <f>_xll.qlCalendarAdvance(Calendar,X1981,W1982,"f",FALSE)</f>
        <v>52720</v>
      </c>
      <c r="Y1982" s="237">
        <f>_xll.qlCalendarAdvance(Calendar,X1982,NDays&amp;"D")</f>
        <v>52720</v>
      </c>
      <c r="Z1982" s="238">
        <v>3.2793332811929865E-2</v>
      </c>
      <c r="AA1982" s="240">
        <v>3.2258686316388729E-2</v>
      </c>
    </row>
    <row r="1983" spans="19:27" x14ac:dyDescent="0.2">
      <c r="S1983" s="199"/>
      <c r="T1983" s="200"/>
      <c r="W1983" s="233" t="str">
        <f t="shared" si="37"/>
        <v>1w</v>
      </c>
      <c r="X1983" s="234">
        <f>_xll.qlCalendarAdvance(Calendar,X1982,W1983,"f",FALSE)</f>
        <v>52727</v>
      </c>
      <c r="Y1983" s="237">
        <f>_xll.qlCalendarAdvance(Calendar,X1983,NDays&amp;"D")</f>
        <v>52727</v>
      </c>
      <c r="Z1983" s="238">
        <v>3.2793706126637456E-2</v>
      </c>
      <c r="AA1983" s="240">
        <v>3.2256955442415691E-2</v>
      </c>
    </row>
    <row r="1984" spans="19:27" x14ac:dyDescent="0.2">
      <c r="S1984" s="199"/>
      <c r="T1984" s="200"/>
      <c r="W1984" s="233" t="str">
        <f t="shared" si="37"/>
        <v>1w</v>
      </c>
      <c r="X1984" s="234">
        <f>_xll.qlCalendarAdvance(Calendar,X1983,W1984,"f",FALSE)</f>
        <v>52734</v>
      </c>
      <c r="Y1984" s="237">
        <f>_xll.qlCalendarAdvance(Calendar,X1984,NDays&amp;"D")</f>
        <v>52734</v>
      </c>
      <c r="Z1984" s="238">
        <v>3.2794106725213545E-2</v>
      </c>
      <c r="AA1984" s="240">
        <v>3.225561571311153E-2</v>
      </c>
    </row>
    <row r="1985" spans="19:27" x14ac:dyDescent="0.2">
      <c r="S1985" s="199"/>
      <c r="T1985" s="200"/>
      <c r="W1985" s="233" t="str">
        <f t="shared" si="37"/>
        <v>1w</v>
      </c>
      <c r="X1985" s="234">
        <f>_xll.qlCalendarAdvance(Calendar,X1984,W1985,"f",FALSE)</f>
        <v>52741</v>
      </c>
      <c r="Y1985" s="237">
        <f>_xll.qlCalendarAdvance(Calendar,X1985,NDays&amp;"D")</f>
        <v>52741</v>
      </c>
      <c r="Z1985" s="238">
        <v>3.2794526290438109E-2</v>
      </c>
      <c r="AA1985" s="240">
        <v>3.2254667128476244E-2</v>
      </c>
    </row>
    <row r="1986" spans="19:27" x14ac:dyDescent="0.2">
      <c r="S1986" s="199"/>
      <c r="T1986" s="200"/>
      <c r="W1986" s="233" t="str">
        <f t="shared" si="37"/>
        <v>1w</v>
      </c>
      <c r="X1986" s="234">
        <f>_xll.qlCalendarAdvance(Calendar,X1985,W1986,"f",FALSE)</f>
        <v>52748</v>
      </c>
      <c r="Y1986" s="237">
        <f>_xll.qlCalendarAdvance(Calendar,X1986,NDays&amp;"D")</f>
        <v>52748</v>
      </c>
      <c r="Z1986" s="238">
        <v>3.2794956505078909E-2</v>
      </c>
      <c r="AA1986" s="240">
        <v>3.2254109688590882E-2</v>
      </c>
    </row>
    <row r="1987" spans="19:27" x14ac:dyDescent="0.2">
      <c r="S1987" s="199"/>
      <c r="T1987" s="200"/>
      <c r="W1987" s="233" t="str">
        <f t="shared" si="37"/>
        <v>1w</v>
      </c>
      <c r="X1987" s="234">
        <f>_xll.qlCalendarAdvance(Calendar,X1986,W1987,"f",FALSE)</f>
        <v>52755</v>
      </c>
      <c r="Y1987" s="237">
        <f>_xll.qlCalendarAdvance(Calendar,X1987,NDays&amp;"D")</f>
        <v>52755</v>
      </c>
      <c r="Z1987" s="238">
        <v>3.2795389051891055E-2</v>
      </c>
      <c r="AA1987" s="240">
        <v>3.2253943393455442E-2</v>
      </c>
    </row>
    <row r="1988" spans="19:27" x14ac:dyDescent="0.2">
      <c r="S1988" s="199"/>
      <c r="T1988" s="200"/>
      <c r="W1988" s="233" t="str">
        <f t="shared" si="37"/>
        <v>1w</v>
      </c>
      <c r="X1988" s="234">
        <f>_xll.qlCalendarAdvance(Calendar,X1987,W1988,"f",FALSE)</f>
        <v>52762</v>
      </c>
      <c r="Y1988" s="237">
        <f>_xll.qlCalendarAdvance(Calendar,X1988,NDays&amp;"D")</f>
        <v>52762</v>
      </c>
      <c r="Z1988" s="238">
        <v>3.2795815613616108E-2</v>
      </c>
      <c r="AA1988" s="240">
        <v>3.2254168242907832E-2</v>
      </c>
    </row>
    <row r="1989" spans="19:27" x14ac:dyDescent="0.2">
      <c r="S1989" s="199"/>
      <c r="T1989" s="200"/>
      <c r="W1989" s="233" t="str">
        <f t="shared" si="37"/>
        <v>1w</v>
      </c>
      <c r="X1989" s="234">
        <f>_xll.qlCalendarAdvance(Calendar,X1988,W1989,"f",FALSE)</f>
        <v>52769</v>
      </c>
      <c r="Y1989" s="237">
        <f>_xll.qlCalendarAdvance(Calendar,X1989,NDays&amp;"D")</f>
        <v>52769</v>
      </c>
      <c r="Z1989" s="238">
        <v>3.2796227872980754E-2</v>
      </c>
      <c r="AA1989" s="240">
        <v>3.2254784237272238E-2</v>
      </c>
    </row>
    <row r="1990" spans="19:27" x14ac:dyDescent="0.2">
      <c r="S1990" s="199"/>
      <c r="T1990" s="200"/>
      <c r="W1990" s="233" t="str">
        <f t="shared" si="37"/>
        <v>1w</v>
      </c>
      <c r="X1990" s="234">
        <f>_xll.qlCalendarAdvance(Calendar,X1989,W1990,"f",FALSE)</f>
        <v>52776</v>
      </c>
      <c r="Y1990" s="237">
        <f>_xll.qlCalendarAdvance(Calendar,X1990,NDays&amp;"D")</f>
        <v>52776</v>
      </c>
      <c r="Z1990" s="238">
        <v>3.2796617516741344E-2</v>
      </c>
      <c r="AA1990" s="240">
        <v>3.2255781377301673E-2</v>
      </c>
    </row>
    <row r="1991" spans="19:27" x14ac:dyDescent="0.2">
      <c r="S1991" s="199"/>
      <c r="T1991" s="200"/>
      <c r="W1991" s="233" t="str">
        <f t="shared" si="37"/>
        <v>1w</v>
      </c>
      <c r="X1991" s="234">
        <f>_xll.qlCalendarAdvance(Calendar,X1990,W1991,"f",FALSE)</f>
        <v>52783</v>
      </c>
      <c r="Y1991" s="237">
        <f>_xll.qlCalendarAdvance(Calendar,X1991,NDays&amp;"D")</f>
        <v>52783</v>
      </c>
      <c r="Z1991" s="238">
        <v>3.2796978284690859E-2</v>
      </c>
      <c r="AA1991" s="240">
        <v>3.2256879695508056E-2</v>
      </c>
    </row>
    <row r="1992" spans="19:27" x14ac:dyDescent="0.2">
      <c r="S1992" s="199"/>
      <c r="T1992" s="200"/>
      <c r="W1992" s="233" t="str">
        <f t="shared" si="37"/>
        <v>1w</v>
      </c>
      <c r="X1992" s="234">
        <f>_xll.qlCalendarAdvance(Calendar,X1991,W1992,"f",FALSE)</f>
        <v>52790</v>
      </c>
      <c r="Y1992" s="237">
        <f>_xll.qlCalendarAdvance(Calendar,X1992,NDays&amp;"D")</f>
        <v>52790</v>
      </c>
      <c r="Z1992" s="238">
        <v>3.2797309303849165E-2</v>
      </c>
      <c r="AA1992" s="240">
        <v>3.225794920711067E-2</v>
      </c>
    </row>
    <row r="1993" spans="19:27" x14ac:dyDescent="0.2">
      <c r="S1993" s="199"/>
      <c r="T1993" s="200"/>
      <c r="W1993" s="233" t="str">
        <f t="shared" si="37"/>
        <v>1w</v>
      </c>
      <c r="X1993" s="234">
        <f>_xll.qlCalendarAdvance(Calendar,X1992,W1993,"f",FALSE)</f>
        <v>52797</v>
      </c>
      <c r="Y1993" s="237">
        <f>_xll.qlCalendarAdvance(Calendar,X1993,NDays&amp;"D")</f>
        <v>52797</v>
      </c>
      <c r="Z1993" s="238">
        <v>3.2797610574187619E-2</v>
      </c>
      <c r="AA1993" s="240">
        <v>3.2258989911947422E-2</v>
      </c>
    </row>
    <row r="1994" spans="19:27" x14ac:dyDescent="0.2">
      <c r="S1994" s="199"/>
      <c r="T1994" s="200"/>
      <c r="W1994" s="233" t="str">
        <f t="shared" si="37"/>
        <v>1w</v>
      </c>
      <c r="X1994" s="234">
        <f>_xll.qlCalendarAdvance(Calendar,X1993,W1994,"f",FALSE)</f>
        <v>52804</v>
      </c>
      <c r="Y1994" s="237">
        <f>_xll.qlCalendarAdvance(Calendar,X1994,NDays&amp;"D")</f>
        <v>52804</v>
      </c>
      <c r="Z1994" s="238">
        <v>3.2797882095680242E-2</v>
      </c>
      <c r="AA1994" s="240">
        <v>3.2260001809937267E-2</v>
      </c>
    </row>
    <row r="1995" spans="19:27" x14ac:dyDescent="0.2">
      <c r="S1995" s="199"/>
      <c r="T1995" s="200"/>
      <c r="W1995" s="233" t="str">
        <f t="shared" si="37"/>
        <v>1w</v>
      </c>
      <c r="X1995" s="234">
        <f>_xll.qlCalendarAdvance(Calendar,X1994,W1995,"f",FALSE)</f>
        <v>52811</v>
      </c>
      <c r="Y1995" s="237">
        <f>_xll.qlCalendarAdvance(Calendar,X1995,NDays&amp;"D")</f>
        <v>52811</v>
      </c>
      <c r="Z1995" s="238">
        <v>3.2798123868303719E-2</v>
      </c>
      <c r="AA1995" s="240">
        <v>3.2260984901242296E-2</v>
      </c>
    </row>
    <row r="1996" spans="19:27" x14ac:dyDescent="0.2">
      <c r="S1996" s="199"/>
      <c r="T1996" s="200"/>
      <c r="W1996" s="233" t="str">
        <f t="shared" si="37"/>
        <v>1w</v>
      </c>
      <c r="X1996" s="234">
        <f>_xll.qlCalendarAdvance(Calendar,X1995,W1996,"f",FALSE)</f>
        <v>52818</v>
      </c>
      <c r="Y1996" s="237">
        <f>_xll.qlCalendarAdvance(Calendar,X1996,NDays&amp;"D")</f>
        <v>52818</v>
      </c>
      <c r="Z1996" s="238">
        <v>3.279833589203629E-2</v>
      </c>
      <c r="AA1996" s="240">
        <v>3.2261939185862509E-2</v>
      </c>
    </row>
    <row r="1997" spans="19:27" x14ac:dyDescent="0.2">
      <c r="S1997" s="199"/>
      <c r="T1997" s="200"/>
      <c r="W1997" s="233" t="str">
        <f t="shared" si="37"/>
        <v>1w</v>
      </c>
      <c r="X1997" s="234">
        <f>_xll.qlCalendarAdvance(Calendar,X1996,W1997,"f",FALSE)</f>
        <v>52825</v>
      </c>
      <c r="Y1997" s="237">
        <f>_xll.qlCalendarAdvance(Calendar,X1997,NDays&amp;"D")</f>
        <v>52825</v>
      </c>
      <c r="Z1997" s="238">
        <v>3.2798518166860413E-2</v>
      </c>
      <c r="AA1997" s="240">
        <v>3.2262864663554769E-2</v>
      </c>
    </row>
    <row r="1998" spans="19:27" x14ac:dyDescent="0.2">
      <c r="S1998" s="199"/>
      <c r="T1998" s="200"/>
      <c r="W1998" s="233" t="str">
        <f t="shared" si="37"/>
        <v>1w</v>
      </c>
      <c r="X1998" s="234">
        <f>_xll.qlCalendarAdvance(Calendar,X1997,W1998,"f",FALSE)</f>
        <v>52832</v>
      </c>
      <c r="Y1998" s="237">
        <f>_xll.qlCalendarAdvance(Calendar,X1998,NDays&amp;"D")</f>
        <v>52832</v>
      </c>
      <c r="Z1998" s="238">
        <v>3.2798670692760545E-2</v>
      </c>
      <c r="AA1998" s="240">
        <v>3.2263761334643259E-2</v>
      </c>
    </row>
    <row r="1999" spans="19:27" x14ac:dyDescent="0.2">
      <c r="S1999" s="199"/>
      <c r="T1999" s="200"/>
      <c r="W1999" s="233" t="str">
        <f t="shared" si="37"/>
        <v>1w</v>
      </c>
      <c r="X1999" s="234">
        <f>_xll.qlCalendarAdvance(Calendar,X1998,W1999,"f",FALSE)</f>
        <v>52839</v>
      </c>
      <c r="Y1999" s="237">
        <f>_xll.qlCalendarAdvance(Calendar,X1999,NDays&amp;"D")</f>
        <v>52839</v>
      </c>
      <c r="Z1999" s="238">
        <v>3.279879346972292E-2</v>
      </c>
      <c r="AA1999" s="240">
        <v>3.2264629198884842E-2</v>
      </c>
    </row>
    <row r="2000" spans="19:27" x14ac:dyDescent="0.2">
      <c r="S2000" s="199"/>
      <c r="T2000" s="200"/>
      <c r="W2000" s="233" t="str">
        <f t="shared" si="37"/>
        <v>1w</v>
      </c>
      <c r="X2000" s="234">
        <f>_xll.qlCalendarAdvance(Calendar,X1999,W2000,"f",FALSE)</f>
        <v>52846</v>
      </c>
      <c r="Y2000" s="237">
        <f>_xll.qlCalendarAdvance(Calendar,X2000,NDays&amp;"D")</f>
        <v>52846</v>
      </c>
      <c r="Z2000" s="238">
        <v>3.2798886497737101E-2</v>
      </c>
      <c r="AA2000" s="240">
        <v>3.2265468256198471E-2</v>
      </c>
    </row>
    <row r="2001" spans="19:27" x14ac:dyDescent="0.2">
      <c r="S2001" s="199"/>
      <c r="T2001" s="200"/>
      <c r="W2001" s="233" t="str">
        <f t="shared" si="37"/>
        <v>1w</v>
      </c>
      <c r="X2001" s="234">
        <f>_xll.qlCalendarAdvance(Calendar,X2000,W2001,"f",FALSE)</f>
        <v>52853</v>
      </c>
      <c r="Y2001" s="237">
        <f>_xll.qlCalendarAdvance(Calendar,X2001,NDays&amp;"D")</f>
        <v>52853</v>
      </c>
      <c r="Z2001" s="238">
        <v>3.2798949776795316E-2</v>
      </c>
      <c r="AA2001" s="240">
        <v>3.2266278507070423E-2</v>
      </c>
    </row>
    <row r="2002" spans="19:27" x14ac:dyDescent="0.2">
      <c r="S2002" s="199"/>
      <c r="T2002" s="200"/>
      <c r="W2002" s="233" t="str">
        <f t="shared" si="37"/>
        <v>1w</v>
      </c>
      <c r="X2002" s="234">
        <f>_xll.qlCalendarAdvance(Calendar,X2001,W2002,"f",FALSE)</f>
        <v>52860</v>
      </c>
      <c r="Y2002" s="237">
        <f>_xll.qlCalendarAdvance(Calendar,X2002,NDays&amp;"D")</f>
        <v>52860</v>
      </c>
      <c r="Z2002" s="238">
        <v>3.2798983306891794E-2</v>
      </c>
      <c r="AA2002" s="240">
        <v>3.2267059951014421E-2</v>
      </c>
    </row>
    <row r="2003" spans="19:27" x14ac:dyDescent="0.2">
      <c r="S2003" s="199"/>
      <c r="T2003" s="200"/>
      <c r="W2003" s="233" t="str">
        <f t="shared" si="37"/>
        <v>1w</v>
      </c>
      <c r="X2003" s="234">
        <f>_xll.qlCalendarAdvance(Calendar,X2002,W2003,"f",FALSE)</f>
        <v>52867</v>
      </c>
      <c r="Y2003" s="237">
        <f>_xll.qlCalendarAdvance(Calendar,X2003,NDays&amp;"D")</f>
        <v>52867</v>
      </c>
      <c r="Z2003" s="238">
        <v>3.2798987088023646E-2</v>
      </c>
      <c r="AA2003" s="240">
        <v>3.2267812588273603E-2</v>
      </c>
    </row>
    <row r="2004" spans="19:27" x14ac:dyDescent="0.2">
      <c r="S2004" s="199"/>
      <c r="T2004" s="200"/>
      <c r="W2004" s="233" t="str">
        <f t="shared" si="37"/>
        <v>1w</v>
      </c>
      <c r="X2004" s="234">
        <f>_xll.qlCalendarAdvance(Calendar,X2003,W2004,"f",FALSE)</f>
        <v>52874</v>
      </c>
      <c r="Y2004" s="237">
        <f>_xll.qlCalendarAdvance(Calendar,X2004,NDays&amp;"D")</f>
        <v>52874</v>
      </c>
      <c r="Z2004" s="238">
        <v>3.2798961120190429E-2</v>
      </c>
      <c r="AA2004" s="240">
        <v>3.2268536418604832E-2</v>
      </c>
    </row>
    <row r="2005" spans="19:27" x14ac:dyDescent="0.2">
      <c r="S2005" s="199"/>
      <c r="T2005" s="200"/>
      <c r="W2005" s="233" t="str">
        <f t="shared" ref="W2005:W2068" si="38">W2004</f>
        <v>1w</v>
      </c>
      <c r="X2005" s="234">
        <f>_xll.qlCalendarAdvance(Calendar,X2004,W2005,"f",FALSE)</f>
        <v>52881</v>
      </c>
      <c r="Y2005" s="237">
        <f>_xll.qlCalendarAdvance(Calendar,X2005,NDays&amp;"D")</f>
        <v>52881</v>
      </c>
      <c r="Z2005" s="238">
        <v>3.2798905403394807E-2</v>
      </c>
      <c r="AA2005" s="240">
        <v>3.2269231442332291E-2</v>
      </c>
    </row>
    <row r="2006" spans="19:27" x14ac:dyDescent="0.2">
      <c r="S2006" s="199"/>
      <c r="T2006" s="200"/>
      <c r="W2006" s="233" t="str">
        <f t="shared" si="38"/>
        <v>1w</v>
      </c>
      <c r="X2006" s="234">
        <f>_xll.qlCalendarAdvance(Calendar,X2005,W2006,"f",FALSE)</f>
        <v>52888</v>
      </c>
      <c r="Y2006" s="237">
        <f>_xll.qlCalendarAdvance(Calendar,X2006,NDays&amp;"D")</f>
        <v>52888</v>
      </c>
      <c r="Z2006" s="238">
        <v>3.2798819937641444E-2</v>
      </c>
      <c r="AA2006" s="240">
        <v>3.2269897659212843E-2</v>
      </c>
    </row>
    <row r="2007" spans="19:27" x14ac:dyDescent="0.2">
      <c r="S2007" s="199"/>
      <c r="T2007" s="200"/>
      <c r="W2007" s="233" t="str">
        <f t="shared" si="38"/>
        <v>1w</v>
      </c>
      <c r="X2007" s="234">
        <f>_xll.qlCalendarAdvance(Calendar,X2006,W2007,"f",FALSE)</f>
        <v>52895</v>
      </c>
      <c r="Y2007" s="237">
        <f>_xll.qlCalendarAdvance(Calendar,X2007,NDays&amp;"D")</f>
        <v>52895</v>
      </c>
      <c r="Z2007" s="238">
        <v>3.2798704722937888E-2</v>
      </c>
      <c r="AA2007" s="240">
        <v>3.2270535069408579E-2</v>
      </c>
    </row>
    <row r="2008" spans="19:27" x14ac:dyDescent="0.2">
      <c r="S2008" s="199"/>
      <c r="T2008" s="200"/>
      <c r="W2008" s="233" t="str">
        <f t="shared" si="38"/>
        <v>1w</v>
      </c>
      <c r="X2008" s="234">
        <f>_xll.qlCalendarAdvance(Calendar,X2007,W2008,"f",FALSE)</f>
        <v>52902</v>
      </c>
      <c r="Y2008" s="237">
        <f>_xll.qlCalendarAdvance(Calendar,X2008,NDays&amp;"D")</f>
        <v>52902</v>
      </c>
      <c r="Z2008" s="238">
        <v>3.2798559759293244E-2</v>
      </c>
      <c r="AA2008" s="240">
        <v>3.2271143672757407E-2</v>
      </c>
    </row>
    <row r="2009" spans="19:27" x14ac:dyDescent="0.2">
      <c r="S2009" s="199"/>
      <c r="T2009" s="200"/>
      <c r="W2009" s="233" t="str">
        <f t="shared" si="38"/>
        <v>1w</v>
      </c>
      <c r="X2009" s="234">
        <f>_xll.qlCalendarAdvance(Calendar,X2008,W2009,"f",FALSE)</f>
        <v>52909</v>
      </c>
      <c r="Y2009" s="237">
        <f>_xll.qlCalendarAdvance(Calendar,X2009,NDays&amp;"D")</f>
        <v>52909</v>
      </c>
      <c r="Z2009" s="238">
        <v>3.2798385046721279E-2</v>
      </c>
      <c r="AA2009" s="240">
        <v>3.2271723469421421E-2</v>
      </c>
    </row>
    <row r="2010" spans="19:27" x14ac:dyDescent="0.2">
      <c r="S2010" s="199"/>
      <c r="T2010" s="200"/>
      <c r="W2010" s="233" t="str">
        <f t="shared" si="38"/>
        <v>1w</v>
      </c>
      <c r="X2010" s="234">
        <f>_xll.qlCalendarAdvance(Calendar,X2009,W2010,"f",FALSE)</f>
        <v>52916</v>
      </c>
      <c r="Y2010" s="237">
        <f>_xll.qlCalendarAdvance(Calendar,X2010,NDays&amp;"D")</f>
        <v>52916</v>
      </c>
      <c r="Z2010" s="238">
        <v>3.2798180585236203E-2</v>
      </c>
      <c r="AA2010" s="240">
        <v>3.2272274459319572E-2</v>
      </c>
    </row>
    <row r="2011" spans="19:27" x14ac:dyDescent="0.2">
      <c r="S2011" s="199"/>
      <c r="T2011" s="200"/>
      <c r="W2011" s="233" t="str">
        <f t="shared" si="38"/>
        <v>1w</v>
      </c>
      <c r="X2011" s="234">
        <f>_xll.qlCalendarAdvance(Calendar,X2010,W2011,"f",FALSE)</f>
        <v>52923</v>
      </c>
      <c r="Y2011" s="237">
        <f>_xll.qlCalendarAdvance(Calendar,X2011,NDays&amp;"D")</f>
        <v>52923</v>
      </c>
      <c r="Z2011" s="238">
        <v>3.279794637485578E-2</v>
      </c>
      <c r="AA2011" s="240">
        <v>3.2272796642370816E-2</v>
      </c>
    </row>
    <row r="2012" spans="19:27" x14ac:dyDescent="0.2">
      <c r="S2012" s="199"/>
      <c r="T2012" s="200"/>
      <c r="W2012" s="233" t="str">
        <f t="shared" si="38"/>
        <v>1w</v>
      </c>
      <c r="X2012" s="234">
        <f>_xll.qlCalendarAdvance(Calendar,X2011,W2012,"f",FALSE)</f>
        <v>52930</v>
      </c>
      <c r="Y2012" s="237">
        <f>_xll.qlCalendarAdvance(Calendar,X2012,NDays&amp;"D")</f>
        <v>52930</v>
      </c>
      <c r="Z2012" s="238">
        <v>3.2797682415600882E-2</v>
      </c>
      <c r="AA2012" s="240">
        <v>3.227329001881829E-2</v>
      </c>
    </row>
    <row r="2013" spans="19:27" x14ac:dyDescent="0.2">
      <c r="S2013" s="199"/>
      <c r="T2013" s="200"/>
      <c r="W2013" s="233" t="str">
        <f t="shared" si="38"/>
        <v>1w</v>
      </c>
      <c r="X2013" s="234">
        <f>_xll.qlCalendarAdvance(Calendar,X2012,W2013,"f",FALSE)</f>
        <v>52937</v>
      </c>
      <c r="Y2013" s="237">
        <f>_xll.qlCalendarAdvance(Calendar,X2013,NDays&amp;"D")</f>
        <v>52937</v>
      </c>
      <c r="Z2013" s="238">
        <v>3.2797388707493269E-2</v>
      </c>
      <c r="AA2013" s="240">
        <v>3.2273754588337811E-2</v>
      </c>
    </row>
    <row r="2014" spans="19:27" x14ac:dyDescent="0.2">
      <c r="S2014" s="199"/>
      <c r="T2014" s="200"/>
      <c r="W2014" s="233" t="str">
        <f t="shared" si="38"/>
        <v>1w</v>
      </c>
      <c r="X2014" s="234">
        <f>_xll.qlCalendarAdvance(Calendar,X2013,W2014,"f",FALSE)</f>
        <v>52944</v>
      </c>
      <c r="Y2014" s="237">
        <f>_xll.qlCalendarAdvance(Calendar,X2014,NDays&amp;"D")</f>
        <v>52944</v>
      </c>
      <c r="Z2014" s="238">
        <v>3.2797065250559143E-2</v>
      </c>
      <c r="AA2014" s="240">
        <v>3.2274190351172516E-2</v>
      </c>
    </row>
    <row r="2015" spans="19:27" x14ac:dyDescent="0.2">
      <c r="S2015" s="199"/>
      <c r="T2015" s="200"/>
      <c r="W2015" s="233" t="str">
        <f t="shared" si="38"/>
        <v>1w</v>
      </c>
      <c r="X2015" s="234">
        <f>_xll.qlCalendarAdvance(Calendar,X2014,W2015,"f",FALSE)</f>
        <v>52951</v>
      </c>
      <c r="Y2015" s="237">
        <f>_xll.qlCalendarAdvance(Calendar,X2015,NDays&amp;"D")</f>
        <v>52951</v>
      </c>
      <c r="Z2015" s="238">
        <v>3.2796712044826037E-2</v>
      </c>
      <c r="AA2015" s="240">
        <v>3.2274597307160313E-2</v>
      </c>
    </row>
    <row r="2016" spans="19:27" x14ac:dyDescent="0.2">
      <c r="S2016" s="199"/>
      <c r="T2016" s="200"/>
      <c r="W2016" s="233" t="str">
        <f t="shared" si="38"/>
        <v>1w</v>
      </c>
      <c r="X2016" s="234">
        <f>_xll.qlCalendarAdvance(Calendar,X2015,W2016,"f",FALSE)</f>
        <v>52959</v>
      </c>
      <c r="Y2016" s="237">
        <f>_xll.qlCalendarAdvance(Calendar,X2016,NDays&amp;"D")</f>
        <v>52959</v>
      </c>
      <c r="Z2016" s="238">
        <v>3.2796271954069978E-2</v>
      </c>
      <c r="AA2016" s="240">
        <v>3.2275027126222877E-2</v>
      </c>
    </row>
    <row r="2017" spans="19:27" x14ac:dyDescent="0.2">
      <c r="S2017" s="199"/>
      <c r="T2017" s="200"/>
      <c r="W2017" s="233" t="str">
        <f t="shared" si="38"/>
        <v>1w</v>
      </c>
      <c r="X2017" s="234">
        <f>_xll.qlCalendarAdvance(Calendar,X2016,W2017,"f",FALSE)</f>
        <v>52966</v>
      </c>
      <c r="Y2017" s="237">
        <f>_xll.qlCalendarAdvance(Calendar,X2017,NDays&amp;"D")</f>
        <v>52966</v>
      </c>
      <c r="Z2017" s="238">
        <v>3.2795855001017227E-2</v>
      </c>
      <c r="AA2017" s="240">
        <v>3.2275372353554044E-2</v>
      </c>
    </row>
    <row r="2018" spans="19:27" x14ac:dyDescent="0.2">
      <c r="S2018" s="199"/>
      <c r="T2018" s="200"/>
      <c r="W2018" s="233" t="str">
        <f t="shared" si="38"/>
        <v>1w</v>
      </c>
      <c r="X2018" s="234">
        <f>_xll.qlCalendarAdvance(Calendar,X2017,W2018,"f",FALSE)</f>
        <v>52973</v>
      </c>
      <c r="Y2018" s="237">
        <f>_xll.qlCalendarAdvance(Calendar,X2018,NDays&amp;"D")</f>
        <v>52973</v>
      </c>
      <c r="Z2018" s="238">
        <v>3.2795408299270523E-2</v>
      </c>
      <c r="AA2018" s="240">
        <v>3.2275688774038302E-2</v>
      </c>
    </row>
    <row r="2019" spans="19:27" x14ac:dyDescent="0.2">
      <c r="S2019" s="199"/>
      <c r="T2019" s="200"/>
      <c r="W2019" s="233" t="str">
        <f t="shared" si="38"/>
        <v>1w</v>
      </c>
      <c r="X2019" s="234">
        <f>_xll.qlCalendarAdvance(Calendar,X2018,W2019,"f",FALSE)</f>
        <v>52980</v>
      </c>
      <c r="Y2019" s="237">
        <f>_xll.qlCalendarAdvance(Calendar,X2019,NDays&amp;"D")</f>
        <v>52980</v>
      </c>
      <c r="Z2019" s="238">
        <v>3.2794931848867614E-2</v>
      </c>
      <c r="AA2019" s="240">
        <v>3.2275976387837746E-2</v>
      </c>
    </row>
    <row r="2020" spans="19:27" x14ac:dyDescent="0.2">
      <c r="S2020" s="199"/>
      <c r="T2020" s="200"/>
      <c r="W2020" s="233" t="str">
        <f t="shared" si="38"/>
        <v>1w</v>
      </c>
      <c r="X2020" s="234">
        <f>_xll.qlCalendarAdvance(Calendar,X2019,W2020,"f",FALSE)</f>
        <v>52987</v>
      </c>
      <c r="Y2020" s="237">
        <f>_xll.qlCalendarAdvance(Calendar,X2020,NDays&amp;"D")</f>
        <v>52987</v>
      </c>
      <c r="Z2020" s="238">
        <v>3.2794425649850689E-2</v>
      </c>
      <c r="AA2020" s="240">
        <v>3.2276235194871328E-2</v>
      </c>
    </row>
    <row r="2021" spans="19:27" x14ac:dyDescent="0.2">
      <c r="S2021" s="199"/>
      <c r="T2021" s="200"/>
      <c r="W2021" s="233" t="str">
        <f t="shared" si="38"/>
        <v>1w</v>
      </c>
      <c r="X2021" s="234">
        <f>_xll.qlCalendarAdvance(Calendar,X2020,W2021,"f",FALSE)</f>
        <v>52994</v>
      </c>
      <c r="Y2021" s="237">
        <f>_xll.qlCalendarAdvance(Calendar,X2021,NDays&amp;"D")</f>
        <v>52994</v>
      </c>
      <c r="Z2021" s="238">
        <v>3.2793889702262824E-2</v>
      </c>
      <c r="AA2021" s="240">
        <v>3.2276465195058002E-2</v>
      </c>
    </row>
    <row r="2022" spans="19:27" x14ac:dyDescent="0.2">
      <c r="S2022" s="199"/>
      <c r="T2022" s="200"/>
      <c r="W2022" s="233" t="str">
        <f t="shared" si="38"/>
        <v>1w</v>
      </c>
      <c r="X2022" s="234">
        <f>_xll.qlCalendarAdvance(Calendar,X2021,W2022,"f",FALSE)</f>
        <v>53001</v>
      </c>
      <c r="Y2022" s="237">
        <f>_xll.qlCalendarAdvance(Calendar,X2022,NDays&amp;"D")</f>
        <v>53001</v>
      </c>
      <c r="Z2022" s="238">
        <v>3.2793324006150426E-2</v>
      </c>
      <c r="AA2022" s="240">
        <v>3.2276666388478814E-2</v>
      </c>
    </row>
    <row r="2023" spans="19:27" x14ac:dyDescent="0.2">
      <c r="S2023" s="199"/>
      <c r="T2023" s="200"/>
      <c r="W2023" s="233" t="str">
        <f t="shared" si="38"/>
        <v>1w</v>
      </c>
      <c r="X2023" s="234">
        <f>_xll.qlCalendarAdvance(Calendar,X2022,W2023,"f",FALSE)</f>
        <v>53008</v>
      </c>
      <c r="Y2023" s="237">
        <f>_xll.qlCalendarAdvance(Calendar,X2023,NDays&amp;"D")</f>
        <v>53008</v>
      </c>
      <c r="Z2023" s="238">
        <v>3.2792728561562789E-2</v>
      </c>
      <c r="AA2023" s="240">
        <v>3.2276838775214811E-2</v>
      </c>
    </row>
    <row r="2024" spans="19:27" x14ac:dyDescent="0.2">
      <c r="S2024" s="199"/>
      <c r="T2024" s="200"/>
      <c r="W2024" s="233" t="str">
        <f t="shared" si="38"/>
        <v>1w</v>
      </c>
      <c r="X2024" s="234">
        <f>_xll.qlCalendarAdvance(Calendar,X2023,W2024,"f",FALSE)</f>
        <v>53015</v>
      </c>
      <c r="Y2024" s="237">
        <f>_xll.qlCalendarAdvance(Calendar,X2024,NDays&amp;"D")</f>
        <v>53015</v>
      </c>
      <c r="Z2024" s="238">
        <v>3.2792103368550984E-2</v>
      </c>
      <c r="AA2024" s="240">
        <v>3.2276982355184947E-2</v>
      </c>
    </row>
    <row r="2025" spans="19:27" x14ac:dyDescent="0.2">
      <c r="S2025" s="199"/>
      <c r="T2025" s="200"/>
      <c r="W2025" s="233" t="str">
        <f t="shared" si="38"/>
        <v>1w</v>
      </c>
      <c r="X2025" s="234">
        <f>_xll.qlCalendarAdvance(Calendar,X2024,W2025,"f",FALSE)</f>
        <v>53022</v>
      </c>
      <c r="Y2025" s="237">
        <f>_xll.qlCalendarAdvance(Calendar,X2025,NDays&amp;"D")</f>
        <v>53022</v>
      </c>
      <c r="Z2025" s="238">
        <v>3.279144842716919E-2</v>
      </c>
      <c r="AA2025" s="240">
        <v>3.2277097128308174E-2</v>
      </c>
    </row>
    <row r="2026" spans="19:27" x14ac:dyDescent="0.2">
      <c r="S2026" s="199"/>
      <c r="T2026" s="200"/>
      <c r="W2026" s="233" t="str">
        <f t="shared" si="38"/>
        <v>1w</v>
      </c>
      <c r="X2026" s="234">
        <f>_xll.qlCalendarAdvance(Calendar,X2025,W2026,"f",FALSE)</f>
        <v>53029</v>
      </c>
      <c r="Y2026" s="237">
        <f>_xll.qlCalendarAdvance(Calendar,X2026,NDays&amp;"D")</f>
        <v>53029</v>
      </c>
      <c r="Z2026" s="238">
        <v>3.2790763737474249E-2</v>
      </c>
      <c r="AA2026" s="240">
        <v>3.2277183094827633E-2</v>
      </c>
    </row>
    <row r="2027" spans="19:27" x14ac:dyDescent="0.2">
      <c r="S2027" s="199"/>
      <c r="T2027" s="200"/>
      <c r="W2027" s="233" t="str">
        <f t="shared" si="38"/>
        <v>1w</v>
      </c>
      <c r="X2027" s="234">
        <f>_xll.qlCalendarAdvance(Calendar,X2026,W2027,"f",FALSE)</f>
        <v>53036</v>
      </c>
      <c r="Y2027" s="237">
        <f>_xll.qlCalendarAdvance(Calendar,X2027,NDays&amp;"D")</f>
        <v>53036</v>
      </c>
      <c r="Z2027" s="238">
        <v>3.279004929952456E-2</v>
      </c>
      <c r="AA2027" s="240">
        <v>3.2277240254419137E-2</v>
      </c>
    </row>
    <row r="2028" spans="19:27" x14ac:dyDescent="0.2">
      <c r="S2028" s="199"/>
      <c r="T2028" s="200"/>
      <c r="W2028" s="233" t="str">
        <f t="shared" si="38"/>
        <v>1w</v>
      </c>
      <c r="X2028" s="234">
        <f>_xll.qlCalendarAdvance(Calendar,X2027,W2028,"f",FALSE)</f>
        <v>53043</v>
      </c>
      <c r="Y2028" s="237">
        <f>_xll.qlCalendarAdvance(Calendar,X2028,NDays&amp;"D")</f>
        <v>53043</v>
      </c>
      <c r="Z2028" s="238">
        <v>3.2789305113382516E-2</v>
      </c>
      <c r="AA2028" s="240">
        <v>3.2277268607325826E-2</v>
      </c>
    </row>
    <row r="2029" spans="19:27" x14ac:dyDescent="0.2">
      <c r="S2029" s="199"/>
      <c r="T2029" s="200"/>
      <c r="W2029" s="233" t="str">
        <f t="shared" si="38"/>
        <v>1w</v>
      </c>
      <c r="X2029" s="234">
        <f>_xll.qlCalendarAdvance(Calendar,X2028,W2029,"f",FALSE)</f>
        <v>53050</v>
      </c>
      <c r="Y2029" s="237">
        <f>_xll.qlCalendarAdvance(Calendar,X2029,NDays&amp;"D")</f>
        <v>53050</v>
      </c>
      <c r="Z2029" s="238">
        <v>3.278853117911229E-2</v>
      </c>
      <c r="AA2029" s="240">
        <v>3.2277268153466654E-2</v>
      </c>
    </row>
    <row r="2030" spans="19:27" x14ac:dyDescent="0.2">
      <c r="S2030" s="199"/>
      <c r="T2030" s="200"/>
      <c r="W2030" s="233" t="str">
        <f t="shared" si="38"/>
        <v>1w</v>
      </c>
      <c r="X2030" s="234">
        <f>_xll.qlCalendarAdvance(Calendar,X2029,W2030,"f",FALSE)</f>
        <v>53057</v>
      </c>
      <c r="Y2030" s="237">
        <f>_xll.qlCalendarAdvance(Calendar,X2030,NDays&amp;"D")</f>
        <v>53057</v>
      </c>
      <c r="Z2030" s="238">
        <v>3.2787727496780494E-2</v>
      </c>
      <c r="AA2030" s="240">
        <v>3.227723889284162E-2</v>
      </c>
    </row>
    <row r="2031" spans="19:27" x14ac:dyDescent="0.2">
      <c r="S2031" s="199"/>
      <c r="T2031" s="200"/>
      <c r="W2031" s="233" t="str">
        <f t="shared" si="38"/>
        <v>1w</v>
      </c>
      <c r="X2031" s="234">
        <f>_xll.qlCalendarAdvance(Calendar,X2030,W2031,"f",FALSE)</f>
        <v>53064</v>
      </c>
      <c r="Y2031" s="237">
        <f>_xll.qlCalendarAdvance(Calendar,X2031,NDays&amp;"D")</f>
        <v>53064</v>
      </c>
      <c r="Z2031" s="238">
        <v>3.2786894066457073E-2</v>
      </c>
      <c r="AA2031" s="240">
        <v>3.2277180825369678E-2</v>
      </c>
    </row>
    <row r="2032" spans="19:27" x14ac:dyDescent="0.2">
      <c r="S2032" s="199"/>
      <c r="T2032" s="200"/>
      <c r="W2032" s="233" t="str">
        <f t="shared" si="38"/>
        <v>1w</v>
      </c>
      <c r="X2032" s="234">
        <f>_xll.qlCalendarAdvance(Calendar,X2031,W2032,"f",FALSE)</f>
        <v>53071</v>
      </c>
      <c r="Y2032" s="237">
        <f>_xll.qlCalendarAdvance(Calendar,X2032,NDays&amp;"D")</f>
        <v>53071</v>
      </c>
      <c r="Z2032" s="238">
        <v>3.2786030888213524E-2</v>
      </c>
      <c r="AA2032" s="240">
        <v>3.2277093951212921E-2</v>
      </c>
    </row>
    <row r="2033" spans="19:27" x14ac:dyDescent="0.2">
      <c r="S2033" s="199"/>
      <c r="T2033" s="200"/>
      <c r="W2033" s="233" t="str">
        <f t="shared" si="38"/>
        <v>1w</v>
      </c>
      <c r="X2033" s="234">
        <f>_xll.qlCalendarAdvance(Calendar,X2032,W2033,"f",FALSE)</f>
        <v>53078</v>
      </c>
      <c r="Y2033" s="237">
        <f>_xll.qlCalendarAdvance(Calendar,X2033,NDays&amp;"D")</f>
        <v>53078</v>
      </c>
      <c r="Z2033" s="238">
        <v>3.2785137962125122E-2</v>
      </c>
      <c r="AA2033" s="240">
        <v>3.2276978270290302E-2</v>
      </c>
    </row>
    <row r="2034" spans="19:27" x14ac:dyDescent="0.2">
      <c r="S2034" s="199"/>
      <c r="T2034" s="200"/>
      <c r="W2034" s="233" t="str">
        <f t="shared" si="38"/>
        <v>1w</v>
      </c>
      <c r="X2034" s="234">
        <f>_xll.qlCalendarAdvance(Calendar,X2033,W2034,"f",FALSE)</f>
        <v>53085</v>
      </c>
      <c r="Y2034" s="237">
        <f>_xll.qlCalendarAdvance(Calendar,X2034,NDays&amp;"D")</f>
        <v>53085</v>
      </c>
      <c r="Z2034" s="238">
        <v>3.2784215288268026E-2</v>
      </c>
      <c r="AA2034" s="240">
        <v>3.2276833782520775E-2</v>
      </c>
    </row>
    <row r="2035" spans="19:27" x14ac:dyDescent="0.2">
      <c r="S2035" s="199"/>
      <c r="T2035" s="200"/>
      <c r="W2035" s="233" t="str">
        <f t="shared" si="38"/>
        <v>1w</v>
      </c>
      <c r="X2035" s="234">
        <f>_xll.qlCalendarAdvance(Calendar,X2034,W2035,"f",FALSE)</f>
        <v>53092</v>
      </c>
      <c r="Y2035" s="237">
        <f>_xll.qlCalendarAdvance(Calendar,X2035,NDays&amp;"D")</f>
        <v>53092</v>
      </c>
      <c r="Z2035" s="238">
        <v>3.2783262866723062E-2</v>
      </c>
      <c r="AA2035" s="240">
        <v>3.2276660488228526E-2</v>
      </c>
    </row>
    <row r="2036" spans="19:27" x14ac:dyDescent="0.2">
      <c r="S2036" s="199"/>
      <c r="T2036" s="200"/>
      <c r="W2036" s="233" t="str">
        <f t="shared" si="38"/>
        <v>1w</v>
      </c>
      <c r="X2036" s="234">
        <f>_xll.qlCalendarAdvance(Calendar,X2035,W2036,"f",FALSE)</f>
        <v>53099</v>
      </c>
      <c r="Y2036" s="237">
        <f>_xll.qlCalendarAdvance(Calendar,X2036,NDays&amp;"D")</f>
        <v>53099</v>
      </c>
      <c r="Z2036" s="238">
        <v>3.278228069757172E-2</v>
      </c>
      <c r="AA2036" s="240">
        <v>3.2276458386927276E-2</v>
      </c>
    </row>
    <row r="2037" spans="19:27" x14ac:dyDescent="0.2">
      <c r="S2037" s="199"/>
      <c r="T2037" s="200"/>
      <c r="W2037" s="233" t="str">
        <f t="shared" si="38"/>
        <v>1w</v>
      </c>
      <c r="X2037" s="234">
        <f>_xll.qlCalendarAdvance(Calendar,X2036,W2037,"f",FALSE)</f>
        <v>53106</v>
      </c>
      <c r="Y2037" s="237">
        <f>_xll.qlCalendarAdvance(Calendar,X2037,NDays&amp;"D")</f>
        <v>53106</v>
      </c>
      <c r="Z2037" s="238">
        <v>3.278126878089882E-2</v>
      </c>
      <c r="AA2037" s="240">
        <v>3.2276227478941211E-2</v>
      </c>
    </row>
    <row r="2038" spans="19:27" x14ac:dyDescent="0.2">
      <c r="S2038" s="199"/>
      <c r="T2038" s="200"/>
      <c r="W2038" s="233" t="str">
        <f t="shared" si="38"/>
        <v>1w</v>
      </c>
      <c r="X2038" s="234">
        <f>_xll.qlCalendarAdvance(Calendar,X2037,W2038,"f",FALSE)</f>
        <v>53113</v>
      </c>
      <c r="Y2038" s="237">
        <f>_xll.qlCalendarAdvance(Calendar,X2038,NDays&amp;"D")</f>
        <v>53113</v>
      </c>
      <c r="Z2038" s="238">
        <v>3.2780227116792737E-2</v>
      </c>
      <c r="AA2038" s="240">
        <v>3.2275967764108238E-2</v>
      </c>
    </row>
    <row r="2039" spans="19:27" x14ac:dyDescent="0.2">
      <c r="S2039" s="199"/>
      <c r="T2039" s="200"/>
      <c r="W2039" s="233" t="str">
        <f t="shared" si="38"/>
        <v>1w</v>
      </c>
      <c r="X2039" s="234">
        <f>_xll.qlCalendarAdvance(Calendar,X2038,W2039,"f",FALSE)</f>
        <v>53120</v>
      </c>
      <c r="Y2039" s="237">
        <f>_xll.qlCalendarAdvance(Calendar,X2039,NDays&amp;"D")</f>
        <v>53120</v>
      </c>
      <c r="Z2039" s="238">
        <v>3.2779155705342511E-2</v>
      </c>
      <c r="AA2039" s="240">
        <v>3.2275679242752542E-2</v>
      </c>
    </row>
    <row r="2040" spans="19:27" x14ac:dyDescent="0.2">
      <c r="S2040" s="199"/>
      <c r="T2040" s="200"/>
      <c r="W2040" s="233" t="str">
        <f t="shared" si="38"/>
        <v>1w</v>
      </c>
      <c r="X2040" s="234">
        <f>_xll.qlCalendarAdvance(Calendar,X2039,W2040,"f",FALSE)</f>
        <v>53127</v>
      </c>
      <c r="Y2040" s="237">
        <f>_xll.qlCalendarAdvance(Calendar,X2040,NDays&amp;"D")</f>
        <v>53127</v>
      </c>
      <c r="Z2040" s="238">
        <v>3.2778054546640956E-2</v>
      </c>
      <c r="AA2040" s="240">
        <v>3.2275361914306799E-2</v>
      </c>
    </row>
    <row r="2041" spans="19:27" x14ac:dyDescent="0.2">
      <c r="S2041" s="199"/>
      <c r="T2041" s="200"/>
      <c r="W2041" s="233" t="str">
        <f t="shared" si="38"/>
        <v>1w</v>
      </c>
      <c r="X2041" s="234">
        <f>_xll.qlCalendarAdvance(Calendar,X2040,W2041,"f",FALSE)</f>
        <v>53134</v>
      </c>
      <c r="Y2041" s="237">
        <f>_xll.qlCalendarAdvance(Calendar,X2041,NDays&amp;"D")</f>
        <v>53134</v>
      </c>
      <c r="Z2041" s="238">
        <v>3.2776923640783773E-2</v>
      </c>
      <c r="AA2041" s="240">
        <v>3.2275015779500427E-2</v>
      </c>
    </row>
    <row r="2042" spans="19:27" x14ac:dyDescent="0.2">
      <c r="S2042" s="199"/>
      <c r="T2042" s="200"/>
      <c r="W2042" s="233" t="str">
        <f t="shared" si="38"/>
        <v>1w</v>
      </c>
      <c r="X2042" s="234">
        <f>_xll.qlCalendarAdvance(Calendar,X2041,W2042,"f",FALSE)</f>
        <v>53141</v>
      </c>
      <c r="Y2042" s="237">
        <f>_xll.qlCalendarAdvance(Calendar,X2042,NDays&amp;"D")</f>
        <v>53141</v>
      </c>
      <c r="Z2042" s="238">
        <v>3.2775762987867996E-2</v>
      </c>
      <c r="AA2042" s="240">
        <v>3.2274640837604007E-2</v>
      </c>
    </row>
    <row r="2043" spans="19:27" x14ac:dyDescent="0.2">
      <c r="S2043" s="199"/>
      <c r="T2043" s="200"/>
      <c r="W2043" s="233" t="str">
        <f t="shared" si="38"/>
        <v>1w</v>
      </c>
      <c r="X2043" s="234">
        <f>_xll.qlCalendarAdvance(Calendar,X2042,W2043,"f",FALSE)</f>
        <v>53148</v>
      </c>
      <c r="Y2043" s="237">
        <f>_xll.qlCalendarAdvance(Calendar,X2043,NDays&amp;"D")</f>
        <v>53148</v>
      </c>
      <c r="Z2043" s="238">
        <v>3.2774572587994211E-2</v>
      </c>
      <c r="AA2043" s="240">
        <v>3.2274237089103819E-2</v>
      </c>
    </row>
    <row r="2044" spans="19:27" x14ac:dyDescent="0.2">
      <c r="S2044" s="199"/>
      <c r="T2044" s="200"/>
      <c r="W2044" s="233" t="str">
        <f t="shared" si="38"/>
        <v>1w</v>
      </c>
      <c r="X2044" s="234">
        <f>_xll.qlCalendarAdvance(Calendar,X2043,W2044,"f",FALSE)</f>
        <v>53155</v>
      </c>
      <c r="Y2044" s="237">
        <f>_xll.qlCalendarAdvance(Calendar,X2044,NDays&amp;"D")</f>
        <v>53155</v>
      </c>
      <c r="Z2044" s="238">
        <v>3.2773352441265446E-2</v>
      </c>
      <c r="AA2044" s="240">
        <v>3.2273804533756723E-2</v>
      </c>
    </row>
    <row r="2045" spans="19:27" x14ac:dyDescent="0.2">
      <c r="S2045" s="199"/>
      <c r="T2045" s="200"/>
      <c r="W2045" s="233" t="str">
        <f t="shared" si="38"/>
        <v>1w</v>
      </c>
      <c r="X2045" s="234">
        <f>_xll.qlCalendarAdvance(Calendar,X2044,W2045,"f",FALSE)</f>
        <v>53162</v>
      </c>
      <c r="Y2045" s="237">
        <f>_xll.qlCalendarAdvance(Calendar,X2045,NDays&amp;"D")</f>
        <v>53162</v>
      </c>
      <c r="Z2045" s="238">
        <v>3.2772102547786508E-2</v>
      </c>
      <c r="AA2045" s="240">
        <v>3.2273343171643765E-2</v>
      </c>
    </row>
    <row r="2046" spans="19:27" x14ac:dyDescent="0.2">
      <c r="S2046" s="199"/>
      <c r="T2046" s="200"/>
      <c r="W2046" s="233" t="str">
        <f t="shared" si="38"/>
        <v>1w</v>
      </c>
      <c r="X2046" s="234">
        <f>_xll.qlCalendarAdvance(Calendar,X2045,W2046,"f",FALSE)</f>
        <v>53169</v>
      </c>
      <c r="Y2046" s="237">
        <f>_xll.qlCalendarAdvance(Calendar,X2046,NDays&amp;"D")</f>
        <v>53169</v>
      </c>
      <c r="Z2046" s="238">
        <v>3.2770822907666419E-2</v>
      </c>
      <c r="AA2046" s="240">
        <v>3.2272853002683899E-2</v>
      </c>
    </row>
    <row r="2047" spans="19:27" x14ac:dyDescent="0.2">
      <c r="S2047" s="199"/>
      <c r="T2047" s="200"/>
      <c r="W2047" s="233" t="str">
        <f t="shared" si="38"/>
        <v>1w</v>
      </c>
      <c r="X2047" s="234">
        <f>_xll.qlCalendarAdvance(Calendar,X2046,W2047,"f",FALSE)</f>
        <v>53176</v>
      </c>
      <c r="Y2047" s="237">
        <f>_xll.qlCalendarAdvance(Calendar,X2047,NDays&amp;"D")</f>
        <v>53176</v>
      </c>
      <c r="Z2047" s="238">
        <v>3.2769513521014648E-2</v>
      </c>
      <c r="AA2047" s="240">
        <v>3.2272334027039218E-2</v>
      </c>
    </row>
    <row r="2048" spans="19:27" x14ac:dyDescent="0.2">
      <c r="S2048" s="199"/>
      <c r="T2048" s="200"/>
      <c r="W2048" s="233" t="str">
        <f t="shared" si="38"/>
        <v>1w</v>
      </c>
      <c r="X2048" s="234">
        <f>_xll.qlCalendarAdvance(Calendar,X2047,W2048,"f",FALSE)</f>
        <v>53183</v>
      </c>
      <c r="Y2048" s="237">
        <f>_xll.qlCalendarAdvance(Calendar,X2048,NDays&amp;"D")</f>
        <v>53183</v>
      </c>
      <c r="Z2048" s="238">
        <v>3.2768174387945326E-2</v>
      </c>
      <c r="AA2048" s="240">
        <v>3.2271786244871814E-2</v>
      </c>
    </row>
    <row r="2049" spans="19:27" x14ac:dyDescent="0.2">
      <c r="S2049" s="199"/>
      <c r="T2049" s="200"/>
      <c r="W2049" s="233" t="str">
        <f t="shared" si="38"/>
        <v>1w</v>
      </c>
      <c r="X2049" s="234">
        <f>_xll.qlCalendarAdvance(Calendar,X2048,W2049,"f",FALSE)</f>
        <v>53190</v>
      </c>
      <c r="Y2049" s="237">
        <f>_xll.qlCalendarAdvance(Calendar,X2049,NDays&amp;"D")</f>
        <v>53190</v>
      </c>
      <c r="Z2049" s="238">
        <v>3.2766805508573471E-2</v>
      </c>
      <c r="AA2049" s="240">
        <v>3.227120965569541E-2</v>
      </c>
    </row>
    <row r="2050" spans="19:27" x14ac:dyDescent="0.2">
      <c r="S2050" s="199"/>
      <c r="T2050" s="200"/>
      <c r="W2050" s="233" t="str">
        <f t="shared" si="38"/>
        <v>1w</v>
      </c>
      <c r="X2050" s="234">
        <f>_xll.qlCalendarAdvance(Calendar,X2049,W2050,"f",FALSE)</f>
        <v>53197</v>
      </c>
      <c r="Y2050" s="237">
        <f>_xll.qlCalendarAdvance(Calendar,X2050,NDays&amp;"D")</f>
        <v>53197</v>
      </c>
      <c r="Z2050" s="238">
        <v>3.2765406883017656E-2</v>
      </c>
      <c r="AA2050" s="240">
        <v>3.227060425983419E-2</v>
      </c>
    </row>
    <row r="2051" spans="19:27" x14ac:dyDescent="0.2">
      <c r="S2051" s="199"/>
      <c r="T2051" s="200"/>
      <c r="W2051" s="233" t="str">
        <f t="shared" si="38"/>
        <v>1w</v>
      </c>
      <c r="X2051" s="234">
        <f>_xll.qlCalendarAdvance(Calendar,X2050,W2051,"f",FALSE)</f>
        <v>53204</v>
      </c>
      <c r="Y2051" s="237">
        <f>_xll.qlCalendarAdvance(Calendar,X2051,NDays&amp;"D")</f>
        <v>53204</v>
      </c>
      <c r="Z2051" s="238">
        <v>3.2763978511398895E-2</v>
      </c>
      <c r="AA2051" s="240">
        <v>3.2269970057126063E-2</v>
      </c>
    </row>
    <row r="2052" spans="19:27" x14ac:dyDescent="0.2">
      <c r="S2052" s="199"/>
      <c r="T2052" s="200"/>
      <c r="W2052" s="233" t="str">
        <f t="shared" si="38"/>
        <v>1w</v>
      </c>
      <c r="X2052" s="234">
        <f>_xll.qlCalendarAdvance(Calendar,X2051,W2052,"f",FALSE)</f>
        <v>53211</v>
      </c>
      <c r="Y2052" s="237">
        <f>_xll.qlCalendarAdvance(Calendar,X2052,NDays&amp;"D")</f>
        <v>53211</v>
      </c>
      <c r="Z2052" s="238">
        <v>3.2762520393839978E-2</v>
      </c>
      <c r="AA2052" s="240">
        <v>3.226930704773312E-2</v>
      </c>
    </row>
    <row r="2053" spans="19:27" x14ac:dyDescent="0.2">
      <c r="S2053" s="199"/>
      <c r="T2053" s="200"/>
      <c r="W2053" s="233" t="str">
        <f t="shared" si="38"/>
        <v>1w</v>
      </c>
      <c r="X2053" s="234">
        <f>_xll.qlCalendarAdvance(Calendar,X2052,W2053,"f",FALSE)</f>
        <v>53218</v>
      </c>
      <c r="Y2053" s="237">
        <f>_xll.qlCalendarAdvance(Calendar,X2053,NDays&amp;"D")</f>
        <v>53218</v>
      </c>
      <c r="Z2053" s="238">
        <v>3.2761032530467693E-2</v>
      </c>
      <c r="AA2053" s="240">
        <v>3.2268615231574316E-2</v>
      </c>
    </row>
    <row r="2054" spans="19:27" x14ac:dyDescent="0.2">
      <c r="S2054" s="199"/>
      <c r="T2054" s="200"/>
      <c r="W2054" s="233" t="str">
        <f t="shared" si="38"/>
        <v>1w</v>
      </c>
      <c r="X2054" s="234">
        <f>_xll.qlCalendarAdvance(Calendar,X2053,W2054,"f",FALSE)</f>
        <v>53225</v>
      </c>
      <c r="Y2054" s="237">
        <f>_xll.qlCalendarAdvance(Calendar,X2054,NDays&amp;"D")</f>
        <v>53225</v>
      </c>
      <c r="Z2054" s="238">
        <v>3.2759514921409938E-2</v>
      </c>
      <c r="AA2054" s="240">
        <v>3.2267894608568604E-2</v>
      </c>
    </row>
    <row r="2055" spans="19:27" x14ac:dyDescent="0.2">
      <c r="S2055" s="199"/>
      <c r="T2055" s="200"/>
      <c r="W2055" s="233" t="str">
        <f t="shared" si="38"/>
        <v>1w</v>
      </c>
      <c r="X2055" s="234">
        <f>_xll.qlCalendarAdvance(Calendar,X2054,W2055,"f",FALSE)</f>
        <v>53232</v>
      </c>
      <c r="Y2055" s="237">
        <f>_xll.qlCalendarAdvance(Calendar,X2055,NDays&amp;"D")</f>
        <v>53232</v>
      </c>
      <c r="Z2055" s="238">
        <v>3.2757967566798607E-2</v>
      </c>
      <c r="AA2055" s="240">
        <v>3.2267145178959122E-2</v>
      </c>
    </row>
    <row r="2056" spans="19:27" x14ac:dyDescent="0.2">
      <c r="S2056" s="199"/>
      <c r="T2056" s="200"/>
      <c r="W2056" s="233" t="str">
        <f t="shared" si="38"/>
        <v>1w</v>
      </c>
      <c r="X2056" s="234">
        <f>_xll.qlCalendarAdvance(Calendar,X2055,W2056,"f",FALSE)</f>
        <v>53239</v>
      </c>
      <c r="Y2056" s="237">
        <f>_xll.qlCalendarAdvance(Calendar,X2056,NDays&amp;"D")</f>
        <v>53239</v>
      </c>
      <c r="Z2056" s="238">
        <v>3.2756390466766261E-2</v>
      </c>
      <c r="AA2056" s="240">
        <v>3.2266366942421687E-2</v>
      </c>
    </row>
    <row r="2057" spans="19:27" x14ac:dyDescent="0.2">
      <c r="S2057" s="199"/>
      <c r="T2057" s="200"/>
      <c r="W2057" s="233" t="str">
        <f t="shared" si="38"/>
        <v>1w</v>
      </c>
      <c r="X2057" s="234">
        <f>_xll.qlCalendarAdvance(Calendar,X2056,W2057,"f",FALSE)</f>
        <v>53246</v>
      </c>
      <c r="Y2057" s="237">
        <f>_xll.qlCalendarAdvance(Calendar,X2057,NDays&amp;"D")</f>
        <v>53246</v>
      </c>
      <c r="Z2057" s="238">
        <v>3.2754783621451011E-2</v>
      </c>
      <c r="AA2057" s="240">
        <v>3.2265559899280483E-2</v>
      </c>
    </row>
    <row r="2058" spans="19:27" x14ac:dyDescent="0.2">
      <c r="S2058" s="199"/>
      <c r="T2058" s="200"/>
      <c r="W2058" s="233" t="str">
        <f t="shared" si="38"/>
        <v>1w</v>
      </c>
      <c r="X2058" s="234">
        <f>_xll.qlCalendarAdvance(Calendar,X2057,W2058,"f",FALSE)</f>
        <v>53253</v>
      </c>
      <c r="Y2058" s="237">
        <f>_xll.qlCalendarAdvance(Calendar,X2058,NDays&amp;"D")</f>
        <v>53253</v>
      </c>
      <c r="Z2058" s="238">
        <v>3.2753147030989638E-2</v>
      </c>
      <c r="AA2058" s="240">
        <v>3.226472404929237E-2</v>
      </c>
    </row>
    <row r="2059" spans="19:27" x14ac:dyDescent="0.2">
      <c r="S2059" s="199"/>
      <c r="T2059" s="200"/>
      <c r="W2059" s="233" t="str">
        <f t="shared" si="38"/>
        <v>1w</v>
      </c>
      <c r="X2059" s="234">
        <f>_xll.qlCalendarAdvance(Calendar,X2058,W2059,"f",FALSE)</f>
        <v>53260</v>
      </c>
      <c r="Y2059" s="237">
        <f>_xll.qlCalendarAdvance(Calendar,X2059,NDays&amp;"D")</f>
        <v>53260</v>
      </c>
      <c r="Z2059" s="238">
        <v>3.2751480695524471E-2</v>
      </c>
      <c r="AA2059" s="240">
        <v>3.226385939245735E-2</v>
      </c>
    </row>
    <row r="2060" spans="19:27" x14ac:dyDescent="0.2">
      <c r="S2060" s="199"/>
      <c r="T2060" s="200"/>
      <c r="W2060" s="233" t="str">
        <f t="shared" si="38"/>
        <v>1w</v>
      </c>
      <c r="X2060" s="234">
        <f>_xll.qlCalendarAdvance(Calendar,X2059,W2060,"f",FALSE)</f>
        <v>53267</v>
      </c>
      <c r="Y2060" s="237">
        <f>_xll.qlCalendarAdvance(Calendar,X2060,NDays&amp;"D")</f>
        <v>53267</v>
      </c>
      <c r="Z2060" s="238">
        <v>3.274978461519984E-2</v>
      </c>
      <c r="AA2060" s="240">
        <v>3.2262965928937515E-2</v>
      </c>
    </row>
    <row r="2061" spans="19:27" x14ac:dyDescent="0.2">
      <c r="S2061" s="199"/>
      <c r="T2061" s="200"/>
      <c r="W2061" s="233" t="str">
        <f t="shared" si="38"/>
        <v>1w</v>
      </c>
      <c r="X2061" s="234">
        <f>_xll.qlCalendarAdvance(Calendar,X2060,W2061,"f",FALSE)</f>
        <v>53274</v>
      </c>
      <c r="Y2061" s="237">
        <f>_xll.qlCalendarAdvance(Calendar,X2061,NDays&amp;"D")</f>
        <v>53274</v>
      </c>
      <c r="Z2061" s="238">
        <v>3.2748058790162071E-2</v>
      </c>
      <c r="AA2061" s="240">
        <v>3.2262043658732864E-2</v>
      </c>
    </row>
    <row r="2062" spans="19:27" x14ac:dyDescent="0.2">
      <c r="S2062" s="199"/>
      <c r="T2062" s="200"/>
      <c r="W2062" s="233" t="str">
        <f t="shared" si="38"/>
        <v>1w</v>
      </c>
      <c r="X2062" s="234">
        <f>_xll.qlCalendarAdvance(Calendar,X2061,W2062,"f",FALSE)</f>
        <v>53281</v>
      </c>
      <c r="Y2062" s="237">
        <f>_xll.qlCalendarAdvance(Calendar,X2062,NDays&amp;"D")</f>
        <v>53281</v>
      </c>
      <c r="Z2062" s="238">
        <v>3.2746303220560158E-2</v>
      </c>
      <c r="AA2062" s="240">
        <v>3.2261092581681305E-2</v>
      </c>
    </row>
    <row r="2063" spans="19:27" x14ac:dyDescent="0.2">
      <c r="S2063" s="199"/>
      <c r="T2063" s="200"/>
      <c r="W2063" s="233" t="str">
        <f t="shared" si="38"/>
        <v>1w</v>
      </c>
      <c r="X2063" s="234">
        <f>_xll.qlCalendarAdvance(Calendar,X2062,W2063,"f",FALSE)</f>
        <v>53288</v>
      </c>
      <c r="Y2063" s="237">
        <f>_xll.qlCalendarAdvance(Calendar,X2063,NDays&amp;"D")</f>
        <v>53288</v>
      </c>
      <c r="Z2063" s="238">
        <v>3.2744517906545534E-2</v>
      </c>
      <c r="AA2063" s="240">
        <v>3.2260112697863885E-2</v>
      </c>
    </row>
    <row r="2064" spans="19:27" x14ac:dyDescent="0.2">
      <c r="S2064" s="199"/>
      <c r="T2064" s="200"/>
      <c r="W2064" s="233" t="str">
        <f t="shared" si="38"/>
        <v>1w</v>
      </c>
      <c r="X2064" s="234">
        <f>_xll.qlCalendarAdvance(Calendar,X2063,W2064,"f",FALSE)</f>
        <v>53295</v>
      </c>
      <c r="Y2064" s="237">
        <f>_xll.qlCalendarAdvance(Calendar,X2064,NDays&amp;"D")</f>
        <v>53295</v>
      </c>
      <c r="Z2064" s="238">
        <v>3.2742702848273186E-2</v>
      </c>
      <c r="AA2064" s="240">
        <v>3.225910400736165E-2</v>
      </c>
    </row>
    <row r="2065" spans="19:27" x14ac:dyDescent="0.2">
      <c r="S2065" s="199"/>
      <c r="T2065" s="200"/>
      <c r="W2065" s="233" t="str">
        <f t="shared" si="38"/>
        <v>1w</v>
      </c>
      <c r="X2065" s="234">
        <f>_xll.qlCalendarAdvance(Calendar,X2064,W2065,"f",FALSE)</f>
        <v>53302</v>
      </c>
      <c r="Y2065" s="237">
        <f>_xll.qlCalendarAdvance(Calendar,X2065,NDays&amp;"D")</f>
        <v>53302</v>
      </c>
      <c r="Z2065" s="238">
        <v>3.2740858045899435E-2</v>
      </c>
      <c r="AA2065" s="240">
        <v>3.2258066510012506E-2</v>
      </c>
    </row>
    <row r="2066" spans="19:27" x14ac:dyDescent="0.2">
      <c r="S2066" s="199"/>
      <c r="T2066" s="200"/>
      <c r="W2066" s="233" t="str">
        <f t="shared" si="38"/>
        <v>1w</v>
      </c>
      <c r="X2066" s="234">
        <f>_xll.qlCalendarAdvance(Calendar,X2065,W2066,"f",FALSE)</f>
        <v>53309</v>
      </c>
      <c r="Y2066" s="237">
        <f>_xll.qlCalendarAdvance(Calendar,X2066,NDays&amp;"D")</f>
        <v>53309</v>
      </c>
      <c r="Z2066" s="238">
        <v>3.2738983499583707E-2</v>
      </c>
      <c r="AA2066" s="240">
        <v>3.2257000205978548E-2</v>
      </c>
    </row>
    <row r="2067" spans="19:27" x14ac:dyDescent="0.2">
      <c r="S2067" s="199"/>
      <c r="T2067" s="200"/>
      <c r="W2067" s="233" t="str">
        <f t="shared" si="38"/>
        <v>1w</v>
      </c>
      <c r="X2067" s="234">
        <f>_xll.qlCalendarAdvance(Calendar,X2066,W2067,"f",FALSE)</f>
        <v>53316</v>
      </c>
      <c r="Y2067" s="237">
        <f>_xll.qlCalendarAdvance(Calendar,X2067,NDays&amp;"D")</f>
        <v>53316</v>
      </c>
      <c r="Z2067" s="238">
        <v>3.2737079209488096E-2</v>
      </c>
      <c r="AA2067" s="240">
        <v>3.2255905095178727E-2</v>
      </c>
    </row>
    <row r="2068" spans="19:27" x14ac:dyDescent="0.2">
      <c r="S2068" s="199"/>
      <c r="T2068" s="200"/>
      <c r="W2068" s="233" t="str">
        <f t="shared" si="38"/>
        <v>1w</v>
      </c>
      <c r="X2068" s="234">
        <f>_xll.qlCalendarAdvance(Calendar,X2067,W2068,"f",FALSE)</f>
        <v>53323</v>
      </c>
      <c r="Y2068" s="237">
        <f>_xll.qlCalendarAdvance(Calendar,X2068,NDays&amp;"D")</f>
        <v>53323</v>
      </c>
      <c r="Z2068" s="238">
        <v>3.2735145175777358E-2</v>
      </c>
      <c r="AA2068" s="240">
        <v>3.2254781177613046E-2</v>
      </c>
    </row>
    <row r="2069" spans="19:27" x14ac:dyDescent="0.2">
      <c r="S2069" s="199"/>
      <c r="T2069" s="200"/>
      <c r="W2069" s="233" t="str">
        <f t="shared" ref="W2069:W2132" si="39">W2068</f>
        <v>1w</v>
      </c>
      <c r="X2069" s="234">
        <f>_xll.qlCalendarAdvance(Calendar,X2068,W2069,"f",FALSE)</f>
        <v>53330</v>
      </c>
      <c r="Y2069" s="237">
        <f>_xll.qlCalendarAdvance(Calendar,X2069,NDays&amp;"D")</f>
        <v>53330</v>
      </c>
      <c r="Z2069" s="238">
        <v>3.2733181398618028E-2</v>
      </c>
      <c r="AA2069" s="240">
        <v>3.2253628453281502E-2</v>
      </c>
    </row>
    <row r="2070" spans="19:27" x14ac:dyDescent="0.2">
      <c r="S2070" s="199"/>
      <c r="T2070" s="200"/>
      <c r="W2070" s="233" t="str">
        <f t="shared" si="39"/>
        <v>1w</v>
      </c>
      <c r="X2070" s="234">
        <f>_xll.qlCalendarAdvance(Calendar,X2069,W2070,"f",FALSE)</f>
        <v>53337</v>
      </c>
      <c r="Y2070" s="237">
        <f>_xll.qlCalendarAdvance(Calendar,X2070,NDays&amp;"D")</f>
        <v>53337</v>
      </c>
      <c r="Z2070" s="238">
        <v>3.2731187878180412E-2</v>
      </c>
      <c r="AA2070" s="240">
        <v>3.2252446922265143E-2</v>
      </c>
    </row>
    <row r="2071" spans="19:27" x14ac:dyDescent="0.2">
      <c r="S2071" s="199"/>
      <c r="T2071" s="200"/>
      <c r="W2071" s="233" t="str">
        <f t="shared" si="39"/>
        <v>1w</v>
      </c>
      <c r="X2071" s="234">
        <f>_xll.qlCalendarAdvance(Calendar,X2070,W2071,"f",FALSE)</f>
        <v>53344</v>
      </c>
      <c r="Y2071" s="237">
        <f>_xll.qlCalendarAdvance(Calendar,X2071,NDays&amp;"D")</f>
        <v>53344</v>
      </c>
      <c r="Z2071" s="238">
        <v>3.2729164614636375E-2</v>
      </c>
      <c r="AA2071" s="240">
        <v>3.2251236584239784E-2</v>
      </c>
    </row>
    <row r="2072" spans="19:27" x14ac:dyDescent="0.2">
      <c r="S2072" s="199"/>
      <c r="T2072" s="200"/>
      <c r="W2072" s="233" t="str">
        <f t="shared" si="39"/>
        <v>1w</v>
      </c>
      <c r="X2072" s="234">
        <f>_xll.qlCalendarAdvance(Calendar,X2071,W2072,"f",FALSE)</f>
        <v>53351</v>
      </c>
      <c r="Y2072" s="237">
        <f>_xll.qlCalendarAdvance(Calendar,X2072,NDays&amp;"D")</f>
        <v>53351</v>
      </c>
      <c r="Z2072" s="238">
        <v>3.2727111608161108E-2</v>
      </c>
      <c r="AA2072" s="240">
        <v>3.2249997439772748E-2</v>
      </c>
    </row>
    <row r="2073" spans="19:27" x14ac:dyDescent="0.2">
      <c r="S2073" s="199"/>
      <c r="T2073" s="200"/>
      <c r="W2073" s="233" t="str">
        <f t="shared" si="39"/>
        <v>1w</v>
      </c>
      <c r="X2073" s="234">
        <f>_xll.qlCalendarAdvance(Calendar,X2072,W2073,"f",FALSE)</f>
        <v>53358</v>
      </c>
      <c r="Y2073" s="237">
        <f>_xll.qlCalendarAdvance(Calendar,X2073,NDays&amp;"D")</f>
        <v>53358</v>
      </c>
      <c r="Z2073" s="238">
        <v>3.272502885893136E-2</v>
      </c>
      <c r="AA2073" s="240">
        <v>3.2248729488377759E-2</v>
      </c>
    </row>
    <row r="2074" spans="19:27" x14ac:dyDescent="0.2">
      <c r="S2074" s="199"/>
      <c r="T2074" s="200"/>
      <c r="W2074" s="233" t="str">
        <f t="shared" si="39"/>
        <v>1w</v>
      </c>
      <c r="X2074" s="234">
        <f>_xll.qlCalendarAdvance(Calendar,X2073,W2074,"f",FALSE)</f>
        <v>53365</v>
      </c>
      <c r="Y2074" s="237">
        <f>_xll.qlCalendarAdvance(Calendar,X2074,NDays&amp;"D")</f>
        <v>53365</v>
      </c>
      <c r="Z2074" s="238">
        <v>3.2722916367127652E-2</v>
      </c>
      <c r="AA2074" s="240">
        <v>3.2247432730297954E-2</v>
      </c>
    </row>
    <row r="2075" spans="19:27" x14ac:dyDescent="0.2">
      <c r="S2075" s="199"/>
      <c r="T2075" s="200"/>
      <c r="W2075" s="233" t="str">
        <f t="shared" si="39"/>
        <v>1w</v>
      </c>
      <c r="X2075" s="234">
        <f>_xll.qlCalendarAdvance(Calendar,X2074,W2075,"f",FALSE)</f>
        <v>53372</v>
      </c>
      <c r="Y2075" s="237">
        <f>_xll.qlCalendarAdvance(Calendar,X2075,NDays&amp;"D")</f>
        <v>53372</v>
      </c>
      <c r="Z2075" s="238">
        <v>3.2720774132932728E-2</v>
      </c>
      <c r="AA2075" s="240">
        <v>3.2246107165452287E-2</v>
      </c>
    </row>
    <row r="2076" spans="19:27" x14ac:dyDescent="0.2">
      <c r="S2076" s="199"/>
      <c r="T2076" s="200"/>
      <c r="W2076" s="233" t="str">
        <f t="shared" si="39"/>
        <v>1w</v>
      </c>
      <c r="X2076" s="234">
        <f>_xll.qlCalendarAdvance(Calendar,X2075,W2076,"f",FALSE)</f>
        <v>53379</v>
      </c>
      <c r="Y2076" s="237">
        <f>_xll.qlCalendarAdvance(Calendar,X2076,NDays&amp;"D")</f>
        <v>53379</v>
      </c>
      <c r="Z2076" s="238">
        <v>3.2718602156531107E-2</v>
      </c>
      <c r="AA2076" s="240">
        <v>3.2244752793759712E-2</v>
      </c>
    </row>
    <row r="2077" spans="19:27" x14ac:dyDescent="0.2">
      <c r="S2077" s="199"/>
      <c r="T2077" s="200"/>
      <c r="W2077" s="233" t="str">
        <f t="shared" si="39"/>
        <v>1w</v>
      </c>
      <c r="X2077" s="234">
        <f>_xll.qlCalendarAdvance(Calendar,X2076,W2077,"f",FALSE)</f>
        <v>53386</v>
      </c>
      <c r="Y2077" s="237">
        <f>_xll.qlCalendarAdvance(Calendar,X2077,NDays&amp;"D")</f>
        <v>53386</v>
      </c>
      <c r="Z2077" s="238">
        <v>3.271640043811086E-2</v>
      </c>
      <c r="AA2077" s="240">
        <v>3.2243369615382322E-2</v>
      </c>
    </row>
    <row r="2078" spans="19:27" x14ac:dyDescent="0.2">
      <c r="S2078" s="199"/>
      <c r="T2078" s="200"/>
      <c r="W2078" s="233" t="str">
        <f t="shared" si="39"/>
        <v>1w</v>
      </c>
      <c r="X2078" s="234">
        <f>_xll.qlCalendarAdvance(Calendar,X2077,W2078,"f",FALSE)</f>
        <v>53393</v>
      </c>
      <c r="Y2078" s="237">
        <f>_xll.qlCalendarAdvance(Calendar,X2078,NDays&amp;"D")</f>
        <v>53393</v>
      </c>
      <c r="Z2078" s="238">
        <v>3.2714168977861613E-2</v>
      </c>
      <c r="AA2078" s="240">
        <v>3.2241957630239071E-2</v>
      </c>
    </row>
    <row r="2079" spans="19:27" x14ac:dyDescent="0.2">
      <c r="S2079" s="199"/>
      <c r="T2079" s="200"/>
      <c r="W2079" s="233" t="str">
        <f t="shared" si="39"/>
        <v>1w</v>
      </c>
      <c r="X2079" s="234">
        <f>_xll.qlCalendarAdvance(Calendar,X2078,W2079,"f",FALSE)</f>
        <v>53400</v>
      </c>
      <c r="Y2079" s="237">
        <f>_xll.qlCalendarAdvance(Calendar,X2079,NDays&amp;"D")</f>
        <v>53400</v>
      </c>
      <c r="Z2079" s="238">
        <v>3.2711907775976989E-2</v>
      </c>
      <c r="AA2079" s="240">
        <v>3.2240516838329958E-2</v>
      </c>
    </row>
    <row r="2080" spans="19:27" x14ac:dyDescent="0.2">
      <c r="S2080" s="199"/>
      <c r="T2080" s="200"/>
      <c r="W2080" s="233" t="str">
        <f t="shared" si="39"/>
        <v>1w</v>
      </c>
      <c r="X2080" s="234">
        <f>_xll.qlCalendarAdvance(Calendar,X2079,W2080,"f",FALSE)</f>
        <v>53407</v>
      </c>
      <c r="Y2080" s="237">
        <f>_xll.qlCalendarAdvance(Calendar,X2080,NDays&amp;"D")</f>
        <v>53407</v>
      </c>
      <c r="Z2080" s="238">
        <v>3.2709616832652388E-2</v>
      </c>
      <c r="AA2080" s="240">
        <v>3.2239047239736029E-2</v>
      </c>
    </row>
    <row r="2081" spans="19:27" x14ac:dyDescent="0.2">
      <c r="S2081" s="199"/>
      <c r="T2081" s="200"/>
      <c r="W2081" s="233" t="str">
        <f t="shared" si="39"/>
        <v>1w</v>
      </c>
      <c r="X2081" s="234">
        <f>_xll.qlCalendarAdvance(Calendar,X2080,W2081,"f",FALSE)</f>
        <v>53414</v>
      </c>
      <c r="Y2081" s="237">
        <f>_xll.qlCalendarAdvance(Calendar,X2081,NDays&amp;"D")</f>
        <v>53414</v>
      </c>
      <c r="Z2081" s="238">
        <v>3.2707296148084541E-2</v>
      </c>
      <c r="AA2081" s="240">
        <v>3.2237548834295193E-2</v>
      </c>
    </row>
    <row r="2082" spans="19:27" x14ac:dyDescent="0.2">
      <c r="S2082" s="199"/>
      <c r="T2082" s="200"/>
      <c r="W2082" s="233" t="str">
        <f t="shared" si="39"/>
        <v>1w</v>
      </c>
      <c r="X2082" s="234">
        <f>_xll.qlCalendarAdvance(Calendar,X2081,W2082,"f",FALSE)</f>
        <v>53421</v>
      </c>
      <c r="Y2082" s="237">
        <f>_xll.qlCalendarAdvance(Calendar,X2082,NDays&amp;"D")</f>
        <v>53421</v>
      </c>
      <c r="Z2082" s="238">
        <v>3.2704945722475509E-2</v>
      </c>
      <c r="AA2082" s="240">
        <v>3.2236021622007449E-2</v>
      </c>
    </row>
    <row r="2083" spans="19:27" x14ac:dyDescent="0.2">
      <c r="S2083" s="199"/>
      <c r="T2083" s="200"/>
      <c r="W2083" s="233" t="str">
        <f t="shared" si="39"/>
        <v>1w</v>
      </c>
      <c r="X2083" s="234">
        <f>_xll.qlCalendarAdvance(Calendar,X2082,W2083,"f",FALSE)</f>
        <v>53428</v>
      </c>
      <c r="Y2083" s="237">
        <f>_xll.qlCalendarAdvance(Calendar,X2083,NDays&amp;"D")</f>
        <v>53428</v>
      </c>
      <c r="Z2083" s="238">
        <v>3.2702565556027574E-2</v>
      </c>
      <c r="AA2083" s="240">
        <v>3.2234465603196982E-2</v>
      </c>
    </row>
    <row r="2084" spans="19:27" x14ac:dyDescent="0.2">
      <c r="S2084" s="199"/>
      <c r="T2084" s="200"/>
      <c r="W2084" s="233" t="str">
        <f t="shared" si="39"/>
        <v>1w</v>
      </c>
      <c r="X2084" s="234">
        <f>_xll.qlCalendarAdvance(Calendar,X2083,W2084,"f",FALSE)</f>
        <v>53435</v>
      </c>
      <c r="Y2084" s="237">
        <f>_xll.qlCalendarAdvance(Calendar,X2084,NDays&amp;"D")</f>
        <v>53435</v>
      </c>
      <c r="Z2084" s="238">
        <v>3.2700155648946572E-2</v>
      </c>
      <c r="AA2084" s="240">
        <v>3.2232880777458561E-2</v>
      </c>
    </row>
    <row r="2085" spans="19:27" x14ac:dyDescent="0.2">
      <c r="S2085" s="199"/>
      <c r="T2085" s="200"/>
      <c r="W2085" s="233" t="str">
        <f t="shared" si="39"/>
        <v>1w</v>
      </c>
      <c r="X2085" s="234">
        <f>_xll.qlCalendarAdvance(Calendar,X2084,W2085,"f",FALSE)</f>
        <v>53442</v>
      </c>
      <c r="Y2085" s="237">
        <f>_xll.qlCalendarAdvance(Calendar,X2085,NDays&amp;"D")</f>
        <v>53442</v>
      </c>
      <c r="Z2085" s="238">
        <v>3.2697716001440558E-2</v>
      </c>
      <c r="AA2085" s="240">
        <v>3.2231267145116371E-2</v>
      </c>
    </row>
    <row r="2086" spans="19:27" x14ac:dyDescent="0.2">
      <c r="S2086" s="199"/>
      <c r="T2086" s="200"/>
      <c r="W2086" s="233" t="str">
        <f t="shared" si="39"/>
        <v>1w</v>
      </c>
      <c r="X2086" s="234">
        <f>_xll.qlCalendarAdvance(Calendar,X2085,W2086,"f",FALSE)</f>
        <v>53449</v>
      </c>
      <c r="Y2086" s="237">
        <f>_xll.qlCalendarAdvance(Calendar,X2086,NDays&amp;"D")</f>
        <v>53449</v>
      </c>
      <c r="Z2086" s="238">
        <v>3.2695246613720919E-2</v>
      </c>
      <c r="AA2086" s="240">
        <v>3.2229624705927273E-2</v>
      </c>
    </row>
    <row r="2087" spans="19:27" x14ac:dyDescent="0.2">
      <c r="S2087" s="199"/>
      <c r="T2087" s="200"/>
      <c r="W2087" s="233" t="str">
        <f t="shared" si="39"/>
        <v>1w</v>
      </c>
      <c r="X2087" s="234">
        <f>_xll.qlCalendarAdvance(Calendar,X2086,W2087,"f",FALSE)</f>
        <v>53456</v>
      </c>
      <c r="Y2087" s="237">
        <f>_xll.qlCalendarAdvance(Calendar,X2087,NDays&amp;"D")</f>
        <v>53456</v>
      </c>
      <c r="Z2087" s="238">
        <v>3.2692747486000151E-2</v>
      </c>
      <c r="AA2087" s="240">
        <v>3.2227953459972314E-2</v>
      </c>
    </row>
    <row r="2088" spans="19:27" x14ac:dyDescent="0.2">
      <c r="S2088" s="199"/>
      <c r="T2088" s="200"/>
      <c r="W2088" s="233" t="str">
        <f t="shared" si="39"/>
        <v>1w</v>
      </c>
      <c r="X2088" s="234">
        <f>_xll.qlCalendarAdvance(Calendar,X2087,W2088,"f",FALSE)</f>
        <v>53463</v>
      </c>
      <c r="Y2088" s="237">
        <f>_xll.qlCalendarAdvance(Calendar,X2088,NDays&amp;"D")</f>
        <v>53463</v>
      </c>
      <c r="Z2088" s="238">
        <v>3.2690218618494749E-2</v>
      </c>
      <c r="AA2088" s="240">
        <v>3.2226253407332539E-2</v>
      </c>
    </row>
    <row r="2089" spans="19:27" x14ac:dyDescent="0.2">
      <c r="S2089" s="199"/>
      <c r="T2089" s="200"/>
      <c r="W2089" s="233" t="str">
        <f t="shared" si="39"/>
        <v>1w</v>
      </c>
      <c r="X2089" s="234">
        <f>_xll.qlCalendarAdvance(Calendar,X2088,W2089,"f",FALSE)</f>
        <v>53470</v>
      </c>
      <c r="Y2089" s="237">
        <f>_xll.qlCalendarAdvance(Calendar,X2089,NDays&amp;"D")</f>
        <v>53470</v>
      </c>
      <c r="Z2089" s="238">
        <v>3.2687660011423203E-2</v>
      </c>
      <c r="AA2089" s="240">
        <v>3.2224524547845856E-2</v>
      </c>
    </row>
    <row r="2090" spans="19:27" x14ac:dyDescent="0.2">
      <c r="S2090" s="199"/>
      <c r="T2090" s="200"/>
      <c r="W2090" s="233" t="str">
        <f t="shared" si="39"/>
        <v>1w</v>
      </c>
      <c r="X2090" s="234">
        <f>_xll.qlCalendarAdvance(Calendar,X2089,W2090,"f",FALSE)</f>
        <v>53477</v>
      </c>
      <c r="Y2090" s="237">
        <f>_xll.qlCalendarAdvance(Calendar,X2090,NDays&amp;"D")</f>
        <v>53477</v>
      </c>
      <c r="Z2090" s="238">
        <v>3.2685071665006671E-2</v>
      </c>
      <c r="AA2090" s="240">
        <v>3.2222766881836451E-2</v>
      </c>
    </row>
    <row r="2091" spans="19:27" x14ac:dyDescent="0.2">
      <c r="S2091" s="199"/>
      <c r="T2091" s="200"/>
      <c r="W2091" s="233" t="str">
        <f t="shared" si="39"/>
        <v>1w</v>
      </c>
      <c r="X2091" s="234">
        <f>_xll.qlCalendarAdvance(Calendar,X2090,W2091,"f",FALSE)</f>
        <v>53484</v>
      </c>
      <c r="Y2091" s="237">
        <f>_xll.qlCalendarAdvance(Calendar,X2091,NDays&amp;"D")</f>
        <v>53484</v>
      </c>
      <c r="Z2091" s="238">
        <v>3.2682453579468307E-2</v>
      </c>
      <c r="AA2091" s="240">
        <v>3.2220980408736999E-2</v>
      </c>
    </row>
    <row r="2092" spans="19:27" x14ac:dyDescent="0.2">
      <c r="S2092" s="199"/>
      <c r="T2092" s="200"/>
      <c r="W2092" s="233" t="str">
        <f t="shared" si="39"/>
        <v>1w</v>
      </c>
      <c r="X2092" s="234">
        <f>_xll.qlCalendarAdvance(Calendar,X2091,W2092,"f",FALSE)</f>
        <v>53491</v>
      </c>
      <c r="Y2092" s="237">
        <f>_xll.qlCalendarAdvance(Calendar,X2092,NDays&amp;"D")</f>
        <v>53491</v>
      </c>
      <c r="Z2092" s="238">
        <v>3.2679805755034597E-2</v>
      </c>
      <c r="AA2092" s="240">
        <v>3.2219165129033778E-2</v>
      </c>
    </row>
    <row r="2093" spans="19:27" x14ac:dyDescent="0.2">
      <c r="S2093" s="199"/>
      <c r="T2093" s="200"/>
      <c r="W2093" s="233" t="str">
        <f t="shared" si="39"/>
        <v>1w</v>
      </c>
      <c r="X2093" s="234">
        <f>_xll.qlCalendarAdvance(Calendar,X2092,W2093,"f",FALSE)</f>
        <v>53498</v>
      </c>
      <c r="Y2093" s="237">
        <f>_xll.qlCalendarAdvance(Calendar,X2093,NDays&amp;"D")</f>
        <v>53498</v>
      </c>
      <c r="Z2093" s="238">
        <v>3.2677128191934468E-2</v>
      </c>
      <c r="AA2093" s="240">
        <v>3.2217321042645741E-2</v>
      </c>
    </row>
    <row r="2094" spans="19:27" x14ac:dyDescent="0.2">
      <c r="S2094" s="199"/>
      <c r="T2094" s="200"/>
      <c r="W2094" s="233" t="str">
        <f t="shared" si="39"/>
        <v>1w</v>
      </c>
      <c r="X2094" s="234">
        <f>_xll.qlCalendarAdvance(Calendar,X2093,W2094,"f",FALSE)</f>
        <v>53505</v>
      </c>
      <c r="Y2094" s="237">
        <f>_xll.qlCalendarAdvance(Calendar,X2094,NDays&amp;"D")</f>
        <v>53505</v>
      </c>
      <c r="Z2094" s="238">
        <v>3.2674420890399736E-2</v>
      </c>
      <c r="AA2094" s="240">
        <v>3.2215448149491843E-2</v>
      </c>
    </row>
    <row r="2095" spans="19:27" x14ac:dyDescent="0.2">
      <c r="S2095" s="199"/>
      <c r="T2095" s="200"/>
      <c r="W2095" s="233" t="str">
        <f t="shared" si="39"/>
        <v>1w</v>
      </c>
      <c r="X2095" s="234">
        <f>_xll.qlCalendarAdvance(Calendar,X2094,W2095,"f",FALSE)</f>
        <v>53512</v>
      </c>
      <c r="Y2095" s="237">
        <f>_xll.qlCalendarAdvance(Calendar,X2095,NDays&amp;"D")</f>
        <v>53512</v>
      </c>
      <c r="Z2095" s="238">
        <v>3.2671683850663324E-2</v>
      </c>
      <c r="AA2095" s="240">
        <v>3.221354644965313E-2</v>
      </c>
    </row>
    <row r="2096" spans="19:27" x14ac:dyDescent="0.2">
      <c r="S2096" s="199"/>
      <c r="T2096" s="200"/>
      <c r="W2096" s="233" t="str">
        <f t="shared" si="39"/>
        <v>1w</v>
      </c>
      <c r="X2096" s="234">
        <f>_xll.qlCalendarAdvance(Calendar,X2095,W2096,"f",FALSE)</f>
        <v>53519</v>
      </c>
      <c r="Y2096" s="237">
        <f>_xll.qlCalendarAdvance(Calendar,X2096,NDays&amp;"D")</f>
        <v>53519</v>
      </c>
      <c r="Z2096" s="238">
        <v>3.2668917072961934E-2</v>
      </c>
      <c r="AA2096" s="240">
        <v>3.2211615942967509E-2</v>
      </c>
    </row>
    <row r="2097" spans="19:27" x14ac:dyDescent="0.2">
      <c r="S2097" s="199"/>
      <c r="T2097" s="200"/>
      <c r="W2097" s="233" t="str">
        <f t="shared" si="39"/>
        <v>1w</v>
      </c>
      <c r="X2097" s="234">
        <f>_xll.qlCalendarAdvance(Calendar,X2096,W2097,"f",FALSE)</f>
        <v>53526</v>
      </c>
      <c r="Y2097" s="237">
        <f>_xll.qlCalendarAdvance(Calendar,X2097,NDays&amp;"D")</f>
        <v>53526</v>
      </c>
      <c r="Z2097" s="238">
        <v>3.2666120557535372E-2</v>
      </c>
      <c r="AA2097" s="240">
        <v>3.220965662943498E-2</v>
      </c>
    </row>
    <row r="2098" spans="19:27" x14ac:dyDescent="0.2">
      <c r="S2098" s="199"/>
      <c r="T2098" s="200"/>
      <c r="W2098" s="233" t="str">
        <f t="shared" si="39"/>
        <v>1w</v>
      </c>
      <c r="X2098" s="234">
        <f>_xll.qlCalendarAdvance(Calendar,X2097,W2098,"f",FALSE)</f>
        <v>53533</v>
      </c>
      <c r="Y2098" s="237">
        <f>_xll.qlCalendarAdvance(Calendar,X2098,NDays&amp;"D")</f>
        <v>53533</v>
      </c>
      <c r="Z2098" s="238">
        <v>3.2663294304624779E-2</v>
      </c>
      <c r="AA2098" s="240">
        <v>3.2207668509460774E-2</v>
      </c>
    </row>
    <row r="2099" spans="19:27" x14ac:dyDescent="0.2">
      <c r="S2099" s="199"/>
      <c r="T2099" s="200"/>
      <c r="W2099" s="233" t="str">
        <f t="shared" si="39"/>
        <v>1w</v>
      </c>
      <c r="X2099" s="234">
        <f>_xll.qlCalendarAdvance(Calendar,X2098,W2099,"f",FALSE)</f>
        <v>53540</v>
      </c>
      <c r="Y2099" s="237">
        <f>_xll.qlCalendarAdvance(Calendar,X2099,NDays&amp;"D")</f>
        <v>53540</v>
      </c>
      <c r="Z2099" s="238">
        <v>3.2660438314474405E-2</v>
      </c>
      <c r="AA2099" s="240">
        <v>3.2205651582477568E-2</v>
      </c>
    </row>
    <row r="2100" spans="19:27" x14ac:dyDescent="0.2">
      <c r="S2100" s="199"/>
      <c r="T2100" s="200"/>
      <c r="W2100" s="233" t="str">
        <f t="shared" si="39"/>
        <v>1w</v>
      </c>
      <c r="X2100" s="234">
        <f>_xll.qlCalendarAdvance(Calendar,X2099,W2100,"f",FALSE)</f>
        <v>53547</v>
      </c>
      <c r="Y2100" s="237">
        <f>_xll.qlCalendarAdvance(Calendar,X2100,NDays&amp;"D")</f>
        <v>53547</v>
      </c>
      <c r="Z2100" s="238">
        <v>3.2657552587330496E-2</v>
      </c>
      <c r="AA2100" s="240">
        <v>3.22036058487285E-2</v>
      </c>
    </row>
    <row r="2101" spans="19:27" x14ac:dyDescent="0.2">
      <c r="S2101" s="199"/>
      <c r="T2101" s="200"/>
      <c r="W2101" s="233" t="str">
        <f t="shared" si="39"/>
        <v>1w</v>
      </c>
      <c r="X2101" s="234">
        <f>_xll.qlCalendarAdvance(Calendar,X2100,W2101,"f",FALSE)</f>
        <v>53554</v>
      </c>
      <c r="Y2101" s="237">
        <f>_xll.qlCalendarAdvance(Calendar,X2101,NDays&amp;"D")</f>
        <v>53554</v>
      </c>
      <c r="Z2101" s="238">
        <v>3.265463712344352E-2</v>
      </c>
      <c r="AA2101" s="240">
        <v>3.2201531308375664E-2</v>
      </c>
    </row>
    <row r="2102" spans="19:27" x14ac:dyDescent="0.2">
      <c r="S2102" s="199"/>
      <c r="T2102" s="200"/>
      <c r="W2102" s="233" t="str">
        <f t="shared" si="39"/>
        <v>1w</v>
      </c>
      <c r="X2102" s="234">
        <f>_xll.qlCalendarAdvance(Calendar,X2101,W2102,"f",FALSE)</f>
        <v>53561</v>
      </c>
      <c r="Y2102" s="237">
        <f>_xll.qlCalendarAdvance(Calendar,X2102,NDays&amp;"D")</f>
        <v>53561</v>
      </c>
      <c r="Z2102" s="238">
        <v>3.2651691923064163E-2</v>
      </c>
      <c r="AA2102" s="240">
        <v>3.2199427961256966E-2</v>
      </c>
    </row>
    <row r="2103" spans="19:27" x14ac:dyDescent="0.2">
      <c r="S2103" s="199"/>
      <c r="T2103" s="200"/>
      <c r="W2103" s="233" t="str">
        <f t="shared" si="39"/>
        <v>1w</v>
      </c>
      <c r="X2103" s="234">
        <f>_xll.qlCalendarAdvance(Calendar,X2102,W2103,"f",FALSE)</f>
        <v>53568</v>
      </c>
      <c r="Y2103" s="237">
        <f>_xll.qlCalendarAdvance(Calendar,X2103,NDays&amp;"D")</f>
        <v>53568</v>
      </c>
      <c r="Z2103" s="238">
        <v>3.2648716986447779E-2</v>
      </c>
      <c r="AA2103" s="240">
        <v>3.2197295807372406E-2</v>
      </c>
    </row>
    <row r="2104" spans="19:27" x14ac:dyDescent="0.2">
      <c r="S2104" s="199"/>
      <c r="T2104" s="200"/>
      <c r="W2104" s="233" t="str">
        <f t="shared" si="39"/>
        <v>1w</v>
      </c>
      <c r="X2104" s="234">
        <f>_xll.qlCalendarAdvance(Calendar,X2103,W2104,"f",FALSE)</f>
        <v>53575</v>
      </c>
      <c r="Y2104" s="237">
        <f>_xll.qlCalendarAdvance(Calendar,X2104,NDays&amp;"D")</f>
        <v>53575</v>
      </c>
      <c r="Z2104" s="238">
        <v>3.264571231385105E-2</v>
      </c>
      <c r="AA2104" s="240">
        <v>3.2195134846559892E-2</v>
      </c>
    </row>
    <row r="2105" spans="19:27" x14ac:dyDescent="0.2">
      <c r="S2105" s="199"/>
      <c r="T2105" s="200"/>
      <c r="W2105" s="233" t="str">
        <f t="shared" si="39"/>
        <v>1w</v>
      </c>
      <c r="X2105" s="234">
        <f>_xll.qlCalendarAdvance(Calendar,X2104,W2105,"f",FALSE)</f>
        <v>53582</v>
      </c>
      <c r="Y2105" s="237">
        <f>_xll.qlCalendarAdvance(Calendar,X2105,NDays&amp;"D")</f>
        <v>53582</v>
      </c>
      <c r="Z2105" s="238">
        <v>3.264267790553399E-2</v>
      </c>
      <c r="AA2105" s="240">
        <v>3.2192945079386748E-2</v>
      </c>
    </row>
    <row r="2106" spans="19:27" x14ac:dyDescent="0.2">
      <c r="S2106" s="199"/>
      <c r="T2106" s="200"/>
      <c r="W2106" s="233" t="str">
        <f t="shared" si="39"/>
        <v>1w</v>
      </c>
      <c r="X2106" s="234">
        <f>_xll.qlCalendarAdvance(Calendar,X2105,W2106,"f",FALSE)</f>
        <v>53589</v>
      </c>
      <c r="Y2106" s="237">
        <f>_xll.qlCalendarAdvance(Calendar,X2106,NDays&amp;"D")</f>
        <v>53589</v>
      </c>
      <c r="Z2106" s="238">
        <v>3.2639613761758168E-2</v>
      </c>
      <c r="AA2106" s="240">
        <v>3.2190726505204603E-2</v>
      </c>
    </row>
    <row r="2107" spans="19:27" x14ac:dyDescent="0.2">
      <c r="S2107" s="199"/>
      <c r="T2107" s="200"/>
      <c r="W2107" s="233" t="str">
        <f t="shared" si="39"/>
        <v>1w</v>
      </c>
      <c r="X2107" s="234">
        <f>_xll.qlCalendarAdvance(Calendar,X2106,W2107,"f",FALSE)</f>
        <v>53596</v>
      </c>
      <c r="Y2107" s="237">
        <f>_xll.qlCalendarAdvance(Calendar,X2107,NDays&amp;"D")</f>
        <v>53596</v>
      </c>
      <c r="Z2107" s="238">
        <v>3.2636519882788706E-2</v>
      </c>
      <c r="AA2107" s="240">
        <v>3.2188479124337643E-2</v>
      </c>
    </row>
    <row r="2108" spans="19:27" x14ac:dyDescent="0.2">
      <c r="S2108" s="199"/>
      <c r="T2108" s="200"/>
      <c r="W2108" s="233" t="str">
        <f t="shared" si="39"/>
        <v>1w</v>
      </c>
      <c r="X2108" s="234">
        <f>_xll.qlCalendarAdvance(Calendar,X2107,W2108,"f",FALSE)</f>
        <v>53603</v>
      </c>
      <c r="Y2108" s="237">
        <f>_xll.qlCalendarAdvance(Calendar,X2108,NDays&amp;"D")</f>
        <v>53603</v>
      </c>
      <c r="Z2108" s="238">
        <v>3.2633396268892723E-2</v>
      </c>
      <c r="AA2108" s="240">
        <v>3.2186202936623776E-2</v>
      </c>
    </row>
    <row r="2109" spans="19:27" x14ac:dyDescent="0.2">
      <c r="S2109" s="199"/>
      <c r="T2109" s="200"/>
      <c r="W2109" s="233" t="str">
        <f t="shared" si="39"/>
        <v>1w</v>
      </c>
      <c r="X2109" s="234">
        <f>_xll.qlCalendarAdvance(Calendar,X2108,W2109,"f",FALSE)</f>
        <v>53610</v>
      </c>
      <c r="Y2109" s="237">
        <f>_xll.qlCalendarAdvance(Calendar,X2109,NDays&amp;"D")</f>
        <v>53610</v>
      </c>
      <c r="Z2109" s="238">
        <v>3.2630242920340446E-2</v>
      </c>
      <c r="AA2109" s="240">
        <v>3.2183897942306139E-2</v>
      </c>
    </row>
    <row r="2110" spans="19:27" x14ac:dyDescent="0.2">
      <c r="S2110" s="199"/>
      <c r="T2110" s="200"/>
      <c r="W2110" s="233" t="str">
        <f t="shared" si="39"/>
        <v>1w</v>
      </c>
      <c r="X2110" s="234">
        <f>_xll.qlCalendarAdvance(Calendar,X2109,W2110,"f",FALSE)</f>
        <v>53617</v>
      </c>
      <c r="Y2110" s="237">
        <f>_xll.qlCalendarAdvance(Calendar,X2110,NDays&amp;"D")</f>
        <v>53617</v>
      </c>
      <c r="Z2110" s="238">
        <v>3.2627059837404104E-2</v>
      </c>
      <c r="AA2110" s="240">
        <v>3.2181564141303687E-2</v>
      </c>
    </row>
    <row r="2111" spans="19:27" x14ac:dyDescent="0.2">
      <c r="S2111" s="199"/>
      <c r="T2111" s="200"/>
      <c r="W2111" s="233" t="str">
        <f t="shared" si="39"/>
        <v>1w</v>
      </c>
      <c r="X2111" s="234">
        <f>_xll.qlCalendarAdvance(Calendar,X2110,W2111,"f",FALSE)</f>
        <v>53624</v>
      </c>
      <c r="Y2111" s="237">
        <f>_xll.qlCalendarAdvance(Calendar,X2111,NDays&amp;"D")</f>
        <v>53624</v>
      </c>
      <c r="Z2111" s="238">
        <v>3.2623847020358809E-2</v>
      </c>
      <c r="AA2111" s="240">
        <v>3.2179201533292234E-2</v>
      </c>
    </row>
    <row r="2112" spans="19:27" x14ac:dyDescent="0.2">
      <c r="S2112" s="199"/>
      <c r="T2112" s="200"/>
      <c r="W2112" s="233" t="str">
        <f t="shared" si="39"/>
        <v>1w</v>
      </c>
      <c r="X2112" s="234">
        <f>_xll.qlCalendarAdvance(Calendar,X2111,W2112,"f",FALSE)</f>
        <v>53631</v>
      </c>
      <c r="Y2112" s="237">
        <f>_xll.qlCalendarAdvance(Calendar,X2112,NDays&amp;"D")</f>
        <v>53631</v>
      </c>
      <c r="Z2112" s="238">
        <v>3.2620604469482117E-2</v>
      </c>
      <c r="AA2112" s="240">
        <v>3.2176810118758059E-2</v>
      </c>
    </row>
    <row r="2113" spans="19:27" x14ac:dyDescent="0.2">
      <c r="S2113" s="199"/>
      <c r="T2113" s="200"/>
      <c r="W2113" s="233" t="str">
        <f t="shared" si="39"/>
        <v>1w</v>
      </c>
      <c r="X2113" s="234">
        <f>_xll.qlCalendarAdvance(Calendar,X2112,W2113,"f",FALSE)</f>
        <v>53638</v>
      </c>
      <c r="Y2113" s="237">
        <f>_xll.qlCalendarAdvance(Calendar,X2113,NDays&amp;"D")</f>
        <v>53638</v>
      </c>
      <c r="Z2113" s="238">
        <v>3.2617332185054027E-2</v>
      </c>
      <c r="AA2113" s="240">
        <v>3.2174389897539069E-2</v>
      </c>
    </row>
    <row r="2114" spans="19:27" x14ac:dyDescent="0.2">
      <c r="S2114" s="199"/>
      <c r="T2114" s="200"/>
      <c r="W2114" s="233" t="str">
        <f t="shared" si="39"/>
        <v>1w</v>
      </c>
      <c r="X2114" s="234">
        <f>_xll.qlCalendarAdvance(Calendar,X2113,W2114,"f",FALSE)</f>
        <v>53645</v>
      </c>
      <c r="Y2114" s="237">
        <f>_xll.qlCalendarAdvance(Calendar,X2114,NDays&amp;"D")</f>
        <v>53645</v>
      </c>
      <c r="Z2114" s="238">
        <v>3.26140301673572E-2</v>
      </c>
      <c r="AA2114" s="240">
        <v>3.2171940869554216E-2</v>
      </c>
    </row>
    <row r="2115" spans="19:27" x14ac:dyDescent="0.2">
      <c r="S2115" s="199"/>
      <c r="T2115" s="200"/>
      <c r="W2115" s="233" t="str">
        <f t="shared" si="39"/>
        <v>1w</v>
      </c>
      <c r="X2115" s="234">
        <f>_xll.qlCalendarAdvance(Calendar,X2114,W2115,"f",FALSE)</f>
        <v>53652</v>
      </c>
      <c r="Y2115" s="237">
        <f>_xll.qlCalendarAdvance(Calendar,X2115,NDays&amp;"D")</f>
        <v>53652</v>
      </c>
      <c r="Z2115" s="238">
        <v>3.2610698416677852E-2</v>
      </c>
      <c r="AA2115" s="240">
        <v>3.216946303464141E-2</v>
      </c>
    </row>
    <row r="2116" spans="19:27" x14ac:dyDescent="0.2">
      <c r="S2116" s="199"/>
      <c r="T2116" s="200"/>
      <c r="W2116" s="233" t="str">
        <f t="shared" si="39"/>
        <v>1w</v>
      </c>
      <c r="X2116" s="234">
        <f>_xll.qlCalendarAdvance(Calendar,X2115,W2116,"f",FALSE)</f>
        <v>53659</v>
      </c>
      <c r="Y2116" s="237">
        <f>_xll.qlCalendarAdvance(Calendar,X2116,NDays&amp;"D")</f>
        <v>53659</v>
      </c>
      <c r="Z2116" s="238">
        <v>3.2607336933302866E-2</v>
      </c>
      <c r="AA2116" s="240">
        <v>3.2166956393205881E-2</v>
      </c>
    </row>
    <row r="2117" spans="19:27" x14ac:dyDescent="0.2">
      <c r="S2117" s="199"/>
      <c r="T2117" s="200"/>
      <c r="W2117" s="233" t="str">
        <f t="shared" si="39"/>
        <v>1w</v>
      </c>
      <c r="X2117" s="234">
        <f>_xll.qlCalendarAdvance(Calendar,X2116,W2117,"f",FALSE)</f>
        <v>53666</v>
      </c>
      <c r="Y2117" s="237">
        <f>_xll.qlCalendarAdvance(Calendar,X2117,NDays&amp;"D")</f>
        <v>53666</v>
      </c>
      <c r="Z2117" s="238">
        <v>3.2603945717522675E-2</v>
      </c>
      <c r="AA2117" s="240">
        <v>3.2164420944842398E-2</v>
      </c>
    </row>
    <row r="2118" spans="19:27" x14ac:dyDescent="0.2">
      <c r="S2118" s="199"/>
      <c r="T2118" s="200"/>
      <c r="W2118" s="233" t="str">
        <f t="shared" si="39"/>
        <v>1w</v>
      </c>
      <c r="X2118" s="234">
        <f>_xll.qlCalendarAdvance(Calendar,X2117,W2118,"f",FALSE)</f>
        <v>53673</v>
      </c>
      <c r="Y2118" s="237">
        <f>_xll.qlCalendarAdvance(Calendar,X2118,NDays&amp;"D")</f>
        <v>53673</v>
      </c>
      <c r="Z2118" s="238">
        <v>3.2600524769630601E-2</v>
      </c>
      <c r="AA2118" s="240">
        <v>3.2161856689794099E-2</v>
      </c>
    </row>
    <row r="2119" spans="19:27" x14ac:dyDescent="0.2">
      <c r="S2119" s="199"/>
      <c r="T2119" s="200"/>
      <c r="W2119" s="233" t="str">
        <f t="shared" si="39"/>
        <v>1w</v>
      </c>
      <c r="X2119" s="234">
        <f>_xll.qlCalendarAdvance(Calendar,X2118,W2119,"f",FALSE)</f>
        <v>53680</v>
      </c>
      <c r="Y2119" s="237">
        <f>_xll.qlCalendarAdvance(Calendar,X2119,NDays&amp;"D")</f>
        <v>53680</v>
      </c>
      <c r="Z2119" s="238">
        <v>3.2597074089922629E-2</v>
      </c>
      <c r="AA2119" s="240">
        <v>3.2159263628060986E-2</v>
      </c>
    </row>
    <row r="2120" spans="19:27" x14ac:dyDescent="0.2">
      <c r="S2120" s="199"/>
      <c r="T2120" s="200"/>
      <c r="W2120" s="233" t="str">
        <f t="shared" si="39"/>
        <v>1w</v>
      </c>
      <c r="X2120" s="234">
        <f>_xll.qlCalendarAdvance(Calendar,X2119,W2120,"f",FALSE)</f>
        <v>53688</v>
      </c>
      <c r="Y2120" s="237">
        <f>_xll.qlCalendarAdvance(Calendar,X2120,NDays&amp;"D")</f>
        <v>53688</v>
      </c>
      <c r="Z2120" s="238">
        <v>3.25930940500474E-2</v>
      </c>
      <c r="AA2120" s="240">
        <v>3.215626485537304E-2</v>
      </c>
    </row>
    <row r="2121" spans="19:27" x14ac:dyDescent="0.2">
      <c r="S2121" s="199"/>
      <c r="T2121" s="200"/>
      <c r="W2121" s="233" t="str">
        <f t="shared" si="39"/>
        <v>1w</v>
      </c>
      <c r="X2121" s="234">
        <f>_xll.qlCalendarAdvance(Calendar,X2120,W2121,"f",FALSE)</f>
        <v>53695</v>
      </c>
      <c r="Y2121" s="237">
        <f>_xll.qlCalendarAdvance(Calendar,X2121,NDays&amp;"D")</f>
        <v>53695</v>
      </c>
      <c r="Z2121" s="238">
        <v>3.2589579660311507E-2</v>
      </c>
      <c r="AA2121" s="240">
        <v>3.2153610065064342E-2</v>
      </c>
    </row>
    <row r="2122" spans="19:27" x14ac:dyDescent="0.2">
      <c r="S2122" s="199"/>
      <c r="T2122" s="200"/>
      <c r="W2122" s="233" t="str">
        <f t="shared" si="39"/>
        <v>1w</v>
      </c>
      <c r="X2122" s="234">
        <f>_xll.qlCalendarAdvance(Calendar,X2121,W2122,"f",FALSE)</f>
        <v>53702</v>
      </c>
      <c r="Y2122" s="237">
        <f>_xll.qlCalendarAdvance(Calendar,X2122,NDays&amp;"D")</f>
        <v>53702</v>
      </c>
      <c r="Z2122" s="238">
        <v>3.2586035539704739E-2</v>
      </c>
      <c r="AA2122" s="240">
        <v>3.215092646782769E-2</v>
      </c>
    </row>
    <row r="2123" spans="19:27" x14ac:dyDescent="0.2">
      <c r="S2123" s="199"/>
      <c r="T2123" s="200"/>
      <c r="W2123" s="233" t="str">
        <f t="shared" si="39"/>
        <v>1w</v>
      </c>
      <c r="X2123" s="234">
        <f>_xll.qlCalendarAdvance(Calendar,X2122,W2123,"f",FALSE)</f>
        <v>53709</v>
      </c>
      <c r="Y2123" s="237">
        <f>_xll.qlCalendarAdvance(Calendar,X2123,NDays&amp;"D")</f>
        <v>53709</v>
      </c>
      <c r="Z2123" s="238">
        <v>3.2582461688533959E-2</v>
      </c>
      <c r="AA2123" s="240">
        <v>3.2148214063825176E-2</v>
      </c>
    </row>
    <row r="2124" spans="19:27" x14ac:dyDescent="0.2">
      <c r="S2124" s="199"/>
      <c r="T2124" s="200"/>
      <c r="W2124" s="233" t="str">
        <f t="shared" si="39"/>
        <v>1w</v>
      </c>
      <c r="X2124" s="234">
        <f>_xll.qlCalendarAdvance(Calendar,X2123,W2124,"f",FALSE)</f>
        <v>53716</v>
      </c>
      <c r="Y2124" s="237">
        <f>_xll.qlCalendarAdvance(Calendar,X2124,NDays&amp;"D")</f>
        <v>53716</v>
      </c>
      <c r="Z2124" s="238">
        <v>3.2578858107107589E-2</v>
      </c>
      <c r="AA2124" s="240">
        <v>3.2145472853137846E-2</v>
      </c>
    </row>
    <row r="2125" spans="19:27" x14ac:dyDescent="0.2">
      <c r="S2125" s="199"/>
      <c r="T2125" s="200"/>
      <c r="W2125" s="233" t="str">
        <f t="shared" si="39"/>
        <v>1w</v>
      </c>
      <c r="X2125" s="234">
        <f>_xll.qlCalendarAdvance(Calendar,X2124,W2125,"f",FALSE)</f>
        <v>53723</v>
      </c>
      <c r="Y2125" s="237">
        <f>_xll.qlCalendarAdvance(Calendar,X2125,NDays&amp;"D")</f>
        <v>53723</v>
      </c>
      <c r="Z2125" s="238">
        <v>3.257522479573649E-2</v>
      </c>
      <c r="AA2125" s="240">
        <v>3.2142702835846748E-2</v>
      </c>
    </row>
    <row r="2126" spans="19:27" x14ac:dyDescent="0.2">
      <c r="S2126" s="199"/>
      <c r="T2126" s="200"/>
      <c r="W2126" s="233" t="str">
        <f t="shared" si="39"/>
        <v>1w</v>
      </c>
      <c r="X2126" s="234">
        <f>_xll.qlCalendarAdvance(Calendar,X2125,W2126,"f",FALSE)</f>
        <v>53730</v>
      </c>
      <c r="Y2126" s="237">
        <f>_xll.qlCalendarAdvance(Calendar,X2126,NDays&amp;"D")</f>
        <v>53730</v>
      </c>
      <c r="Z2126" s="238">
        <v>3.2571561754735079E-2</v>
      </c>
      <c r="AA2126" s="240">
        <v>3.2139904011708742E-2</v>
      </c>
    </row>
    <row r="2127" spans="19:27" x14ac:dyDescent="0.2">
      <c r="S2127" s="199"/>
      <c r="T2127" s="200"/>
      <c r="W2127" s="233" t="str">
        <f t="shared" si="39"/>
        <v>1w</v>
      </c>
      <c r="X2127" s="234">
        <f>_xll.qlCalendarAdvance(Calendar,X2126,W2127,"f",FALSE)</f>
        <v>53737</v>
      </c>
      <c r="Y2127" s="237">
        <f>_xll.qlCalendarAdvance(Calendar,X2127,NDays&amp;"D")</f>
        <v>53737</v>
      </c>
      <c r="Z2127" s="238">
        <v>3.2567868984420212E-2</v>
      </c>
      <c r="AA2127" s="240">
        <v>3.2137076380804874E-2</v>
      </c>
    </row>
    <row r="2128" spans="19:27" x14ac:dyDescent="0.2">
      <c r="S2128" s="199"/>
      <c r="T2128" s="200"/>
      <c r="W2128" s="233" t="str">
        <f t="shared" si="39"/>
        <v>1w</v>
      </c>
      <c r="X2128" s="234">
        <f>_xll.qlCalendarAdvance(Calendar,X2127,W2128,"f",FALSE)</f>
        <v>53744</v>
      </c>
      <c r="Y2128" s="237">
        <f>_xll.qlCalendarAdvance(Calendar,X2128,NDays&amp;"D")</f>
        <v>53744</v>
      </c>
      <c r="Z2128" s="238">
        <v>3.2564146485110301E-2</v>
      </c>
      <c r="AA2128" s="240">
        <v>3.2134219943297238E-2</v>
      </c>
    </row>
    <row r="2129" spans="19:27" x14ac:dyDescent="0.2">
      <c r="S2129" s="199"/>
      <c r="T2129" s="200"/>
      <c r="W2129" s="233" t="str">
        <f t="shared" si="39"/>
        <v>1w</v>
      </c>
      <c r="X2129" s="234">
        <f>_xll.qlCalendarAdvance(Calendar,X2128,W2129,"f",FALSE)</f>
        <v>53751</v>
      </c>
      <c r="Y2129" s="237">
        <f>_xll.qlCalendarAdvance(Calendar,X2129,NDays&amp;"D")</f>
        <v>53751</v>
      </c>
      <c r="Z2129" s="238">
        <v>3.2560394257126868E-2</v>
      </c>
      <c r="AA2129" s="240">
        <v>3.2131334698942693E-2</v>
      </c>
    </row>
    <row r="2130" spans="19:27" x14ac:dyDescent="0.2">
      <c r="S2130" s="199"/>
      <c r="T2130" s="200"/>
      <c r="W2130" s="233" t="str">
        <f t="shared" si="39"/>
        <v>1w</v>
      </c>
      <c r="X2130" s="234">
        <f>_xll.qlCalendarAdvance(Calendar,X2129,W2130,"f",FALSE)</f>
        <v>53758</v>
      </c>
      <c r="Y2130" s="237">
        <f>_xll.qlCalendarAdvance(Calendar,X2130,NDays&amp;"D")</f>
        <v>53758</v>
      </c>
      <c r="Z2130" s="238">
        <v>3.2560051922499458E-2</v>
      </c>
      <c r="AA2130" s="240">
        <v>3.2128420647903333E-2</v>
      </c>
    </row>
    <row r="2131" spans="19:27" x14ac:dyDescent="0.2">
      <c r="S2131" s="199"/>
      <c r="T2131" s="200"/>
      <c r="W2131" s="233" t="str">
        <f t="shared" si="39"/>
        <v>1w</v>
      </c>
      <c r="X2131" s="234">
        <f>_xll.qlCalendarAdvance(Calendar,X2130,W2131,"f",FALSE)</f>
        <v>53765</v>
      </c>
      <c r="Y2131" s="237">
        <f>_xll.qlCalendarAdvance(Calendar,X2131,NDays&amp;"D")</f>
        <v>53765</v>
      </c>
      <c r="Z2131" s="238">
        <v>3.2556232862666096E-2</v>
      </c>
      <c r="AA2131" s="240">
        <v>3.2125477790098111E-2</v>
      </c>
    </row>
    <row r="2132" spans="19:27" x14ac:dyDescent="0.2">
      <c r="S2132" s="199"/>
      <c r="T2132" s="200"/>
      <c r="W2132" s="233" t="str">
        <f t="shared" si="39"/>
        <v>1w</v>
      </c>
      <c r="X2132" s="234">
        <f>_xll.qlCalendarAdvance(Calendar,X2131,W2132,"f",FALSE)</f>
        <v>53772</v>
      </c>
      <c r="Y2132" s="237">
        <f>_xll.qlCalendarAdvance(Calendar,X2132,NDays&amp;"D")</f>
        <v>53772</v>
      </c>
      <c r="Z2132" s="238">
        <v>3.2552384067500474E-2</v>
      </c>
      <c r="AA2132" s="240">
        <v>3.2122506125689121E-2</v>
      </c>
    </row>
    <row r="2133" spans="19:27" x14ac:dyDescent="0.2">
      <c r="S2133" s="199"/>
      <c r="T2133" s="200"/>
      <c r="W2133" s="233" t="str">
        <f t="shared" ref="W2133:W2196" si="40">W2132</f>
        <v>1w</v>
      </c>
      <c r="X2133" s="234">
        <f>_xll.qlCalendarAdvance(Calendar,X2132,W2133,"f",FALSE)</f>
        <v>53779</v>
      </c>
      <c r="Y2133" s="237">
        <f>_xll.qlCalendarAdvance(Calendar,X2133,NDays&amp;"D")</f>
        <v>53779</v>
      </c>
      <c r="Z2133" s="238">
        <v>3.2548505537339546E-2</v>
      </c>
      <c r="AA2133" s="240">
        <v>3.2119505654433222E-2</v>
      </c>
    </row>
    <row r="2134" spans="19:27" x14ac:dyDescent="0.2">
      <c r="S2134" s="199"/>
      <c r="T2134" s="200"/>
      <c r="W2134" s="233" t="str">
        <f t="shared" si="40"/>
        <v>1w</v>
      </c>
      <c r="X2134" s="234">
        <f>_xll.qlCalendarAdvance(Calendar,X2133,W2134,"f",FALSE)</f>
        <v>53786</v>
      </c>
      <c r="Y2134" s="237">
        <f>_xll.qlCalendarAdvance(Calendar,X2134,NDays&amp;"D")</f>
        <v>53786</v>
      </c>
      <c r="Z2134" s="238">
        <v>3.2545733622807944E-2</v>
      </c>
      <c r="AA2134" s="240">
        <v>3.2116476376411462E-2</v>
      </c>
    </row>
    <row r="2135" spans="19:27" x14ac:dyDescent="0.2">
      <c r="S2135" s="199"/>
      <c r="T2135" s="200"/>
      <c r="W2135" s="233" t="str">
        <f t="shared" si="40"/>
        <v>1w</v>
      </c>
      <c r="X2135" s="234">
        <f>_xll.qlCalendarAdvance(Calendar,X2134,W2135,"f",FALSE)</f>
        <v>53793</v>
      </c>
      <c r="Y2135" s="237">
        <f>_xll.qlCalendarAdvance(Calendar,X2135,NDays&amp;"D")</f>
        <v>53793</v>
      </c>
      <c r="Z2135" s="238">
        <v>3.2540659273382927E-2</v>
      </c>
      <c r="AA2135" s="240">
        <v>3.2118189665448771E-2</v>
      </c>
    </row>
    <row r="2136" spans="19:27" x14ac:dyDescent="0.2">
      <c r="S2136" s="199"/>
      <c r="T2136" s="200"/>
      <c r="W2136" s="233" t="str">
        <f t="shared" si="40"/>
        <v>1w</v>
      </c>
      <c r="X2136" s="234">
        <f>_xll.qlCalendarAdvance(Calendar,X2135,W2136,"f",FALSE)</f>
        <v>53800</v>
      </c>
      <c r="Y2136" s="237">
        <f>_xll.qlCalendarAdvance(Calendar,X2136,NDays&amp;"D")</f>
        <v>53800</v>
      </c>
      <c r="Z2136" s="238">
        <v>3.2536691540270626E-2</v>
      </c>
      <c r="AA2136" s="240">
        <v>3.2110331400394543E-2</v>
      </c>
    </row>
    <row r="2137" spans="19:27" x14ac:dyDescent="0.2">
      <c r="S2137" s="199"/>
      <c r="T2137" s="200"/>
      <c r="W2137" s="233" t="str">
        <f t="shared" si="40"/>
        <v>1w</v>
      </c>
      <c r="X2137" s="234">
        <f>_xll.qlCalendarAdvance(Calendar,X2136,W2137,"f",FALSE)</f>
        <v>53807</v>
      </c>
      <c r="Y2137" s="237">
        <f>_xll.qlCalendarAdvance(Calendar,X2137,NDays&amp;"D")</f>
        <v>53807</v>
      </c>
      <c r="Z2137" s="238">
        <v>3.253269407352935E-2</v>
      </c>
      <c r="AA2137" s="240">
        <v>3.2107215702318337E-2</v>
      </c>
    </row>
    <row r="2138" spans="19:27" x14ac:dyDescent="0.2">
      <c r="S2138" s="199"/>
      <c r="T2138" s="200"/>
      <c r="W2138" s="233" t="str">
        <f t="shared" si="40"/>
        <v>1w</v>
      </c>
      <c r="X2138" s="234">
        <f>_xll.qlCalendarAdvance(Calendar,X2137,W2138,"f",FALSE)</f>
        <v>53814</v>
      </c>
      <c r="Y2138" s="237">
        <f>_xll.qlCalendarAdvance(Calendar,X2138,NDays&amp;"D")</f>
        <v>53814</v>
      </c>
      <c r="Z2138" s="238">
        <v>3.2529793330708746E-2</v>
      </c>
      <c r="AA2138" s="240">
        <v>3.2104071197314177E-2</v>
      </c>
    </row>
    <row r="2139" spans="19:27" x14ac:dyDescent="0.2">
      <c r="S2139" s="199"/>
      <c r="T2139" s="200"/>
      <c r="W2139" s="233" t="str">
        <f t="shared" si="40"/>
        <v>1w</v>
      </c>
      <c r="X2139" s="234">
        <f>_xll.qlCalendarAdvance(Calendar,X2138,W2139,"f",FALSE)</f>
        <v>53821</v>
      </c>
      <c r="Y2139" s="237">
        <f>_xll.qlCalendarAdvance(Calendar,X2139,NDays&amp;"D")</f>
        <v>53821</v>
      </c>
      <c r="Z2139" s="238">
        <v>3.2524609940554644E-2</v>
      </c>
      <c r="AA2139" s="240">
        <v>3.210089788586834E-2</v>
      </c>
    </row>
    <row r="2140" spans="19:27" x14ac:dyDescent="0.2">
      <c r="S2140" s="199"/>
      <c r="T2140" s="200"/>
      <c r="W2140" s="233" t="str">
        <f t="shared" si="40"/>
        <v>1w</v>
      </c>
      <c r="X2140" s="234">
        <f>_xll.qlCalendarAdvance(Calendar,X2139,W2140,"f",FALSE)</f>
        <v>53828</v>
      </c>
      <c r="Y2140" s="237">
        <f>_xll.qlCalendarAdvance(Calendar,X2140,NDays&amp;"D")</f>
        <v>53828</v>
      </c>
      <c r="Z2140" s="238">
        <v>3.2520523275025519E-2</v>
      </c>
      <c r="AA2140" s="240">
        <v>3.2097695767575596E-2</v>
      </c>
    </row>
    <row r="2141" spans="19:27" x14ac:dyDescent="0.2">
      <c r="S2141" s="199"/>
      <c r="T2141" s="200"/>
      <c r="W2141" s="233" t="str">
        <f t="shared" si="40"/>
        <v>1w</v>
      </c>
      <c r="X2141" s="234">
        <f>_xll.qlCalendarAdvance(Calendar,X2140,W2141,"f",FALSE)</f>
        <v>53835</v>
      </c>
      <c r="Y2141" s="237">
        <f>_xll.qlCalendarAdvance(Calendar,X2141,NDays&amp;"D")</f>
        <v>53835</v>
      </c>
      <c r="Z2141" s="238">
        <v>3.251752588800616E-2</v>
      </c>
      <c r="AA2141" s="240">
        <v>3.209446484251699E-2</v>
      </c>
    </row>
    <row r="2142" spans="19:27" x14ac:dyDescent="0.2">
      <c r="S2142" s="199"/>
      <c r="T2142" s="200"/>
      <c r="W2142" s="233" t="str">
        <f t="shared" si="40"/>
        <v>1w</v>
      </c>
      <c r="X2142" s="234">
        <f>_xll.qlCalendarAdvance(Calendar,X2141,W2142,"f",FALSE)</f>
        <v>53842</v>
      </c>
      <c r="Y2142" s="237">
        <f>_xll.qlCalendarAdvance(Calendar,X2142,NDays&amp;"D")</f>
        <v>53842</v>
      </c>
      <c r="Z2142" s="238">
        <v>3.2508910135094382E-2</v>
      </c>
      <c r="AA2142" s="240">
        <v>3.2091205110773569E-2</v>
      </c>
    </row>
    <row r="2143" spans="19:27" x14ac:dyDescent="0.2">
      <c r="S2143" s="199"/>
      <c r="T2143" s="200"/>
      <c r="W2143" s="233" t="str">
        <f t="shared" si="40"/>
        <v>1w</v>
      </c>
      <c r="X2143" s="234">
        <f>_xll.qlCalendarAdvance(Calendar,X2142,W2143,"f",FALSE)</f>
        <v>53849</v>
      </c>
      <c r="Y2143" s="237">
        <f>_xll.qlCalendarAdvance(Calendar,X2143,NDays&amp;"D")</f>
        <v>53849</v>
      </c>
      <c r="Z2143" s="238">
        <v>3.2508084886549569E-2</v>
      </c>
      <c r="AA2143" s="240">
        <v>3.2087916572426378E-2</v>
      </c>
    </row>
    <row r="2144" spans="19:27" x14ac:dyDescent="0.2">
      <c r="S2144" s="199"/>
      <c r="T2144" s="200"/>
      <c r="W2144" s="233" t="str">
        <f t="shared" si="40"/>
        <v>1w</v>
      </c>
      <c r="X2144" s="234">
        <f>_xll.qlCalendarAdvance(Calendar,X2143,W2144,"f",FALSE)</f>
        <v>53856</v>
      </c>
      <c r="Y2144" s="237">
        <f>_xll.qlCalendarAdvance(Calendar,X2144,NDays&amp;"D")</f>
        <v>53856</v>
      </c>
      <c r="Z2144" s="238">
        <v>3.2503879294298675E-2</v>
      </c>
      <c r="AA2144" s="240">
        <v>3.208459922723228E-2</v>
      </c>
    </row>
    <row r="2145" spans="19:27" x14ac:dyDescent="0.2">
      <c r="S2145" s="199"/>
      <c r="T2145" s="200"/>
      <c r="W2145" s="233" t="str">
        <f t="shared" si="40"/>
        <v>1w</v>
      </c>
      <c r="X2145" s="234">
        <f>_xll.qlCalendarAdvance(Calendar,X2144,W2145,"f",FALSE)</f>
        <v>53863</v>
      </c>
      <c r="Y2145" s="237">
        <f>_xll.qlCalendarAdvance(Calendar,X2145,NDays&amp;"D")</f>
        <v>53863</v>
      </c>
      <c r="Z2145" s="238">
        <v>3.2499643971277012E-2</v>
      </c>
      <c r="AA2145" s="240">
        <v>3.208125307527232E-2</v>
      </c>
    </row>
    <row r="2146" spans="19:27" x14ac:dyDescent="0.2">
      <c r="S2146" s="199"/>
      <c r="T2146" s="200"/>
      <c r="W2146" s="233" t="str">
        <f t="shared" si="40"/>
        <v>1w</v>
      </c>
      <c r="X2146" s="234">
        <f>_xll.qlCalendarAdvance(Calendar,X2145,W2146,"f",FALSE)</f>
        <v>53870</v>
      </c>
      <c r="Y2146" s="237">
        <f>_xll.qlCalendarAdvance(Calendar,X2146,NDays&amp;"D")</f>
        <v>53870</v>
      </c>
      <c r="Z2146" s="238">
        <v>3.2495378917853042E-2</v>
      </c>
      <c r="AA2146" s="240">
        <v>3.2077878116708591E-2</v>
      </c>
    </row>
    <row r="2147" spans="19:27" x14ac:dyDescent="0.2">
      <c r="S2147" s="199"/>
      <c r="T2147" s="200"/>
      <c r="W2147" s="233" t="str">
        <f t="shared" si="40"/>
        <v>1w</v>
      </c>
      <c r="X2147" s="234">
        <f>_xll.qlCalendarAdvance(Calendar,X2146,W2147,"f",FALSE)</f>
        <v>53877</v>
      </c>
      <c r="Y2147" s="237">
        <f>_xll.qlCalendarAdvance(Calendar,X2147,NDays&amp;"D")</f>
        <v>53877</v>
      </c>
      <c r="Z2147" s="238">
        <v>3.249108413439851E-2</v>
      </c>
      <c r="AA2147" s="240">
        <v>3.2074474351379001E-2</v>
      </c>
    </row>
    <row r="2148" spans="19:27" x14ac:dyDescent="0.2">
      <c r="S2148" s="199"/>
      <c r="T2148" s="200"/>
      <c r="W2148" s="233" t="str">
        <f t="shared" si="40"/>
        <v>1w</v>
      </c>
      <c r="X2148" s="234">
        <f>_xll.qlCalendarAdvance(Calendar,X2147,W2148,"f",FALSE)</f>
        <v>53884</v>
      </c>
      <c r="Y2148" s="237">
        <f>_xll.qlCalendarAdvance(Calendar,X2148,NDays&amp;"D")</f>
        <v>53884</v>
      </c>
      <c r="Z2148" s="238">
        <v>3.2486759621287817E-2</v>
      </c>
      <c r="AA2148" s="240">
        <v>3.2071041779445641E-2</v>
      </c>
    </row>
    <row r="2149" spans="19:27" x14ac:dyDescent="0.2">
      <c r="S2149" s="199"/>
      <c r="T2149" s="200"/>
      <c r="W2149" s="233" t="str">
        <f t="shared" si="40"/>
        <v>1w</v>
      </c>
      <c r="X2149" s="234">
        <f>_xll.qlCalendarAdvance(Calendar,X2148,W2149,"f",FALSE)</f>
        <v>53891</v>
      </c>
      <c r="Y2149" s="237">
        <f>_xll.qlCalendarAdvance(Calendar,X2149,NDays&amp;"D")</f>
        <v>53891</v>
      </c>
      <c r="Z2149" s="238">
        <v>3.2482405378896913E-2</v>
      </c>
      <c r="AA2149" s="240">
        <v>3.2067580400584328E-2</v>
      </c>
    </row>
    <row r="2150" spans="19:27" x14ac:dyDescent="0.2">
      <c r="S2150" s="199"/>
      <c r="T2150" s="200"/>
      <c r="W2150" s="233" t="str">
        <f t="shared" si="40"/>
        <v>1w</v>
      </c>
      <c r="X2150" s="234">
        <f>_xll.qlCalendarAdvance(Calendar,X2149,W2150,"f",FALSE)</f>
        <v>53898</v>
      </c>
      <c r="Y2150" s="237">
        <f>_xll.qlCalendarAdvance(Calendar,X2150,NDays&amp;"D")</f>
        <v>53898</v>
      </c>
      <c r="Z2150" s="238">
        <v>3.2478021407605688E-2</v>
      </c>
      <c r="AA2150" s="240">
        <v>3.2064090215200292E-2</v>
      </c>
    </row>
    <row r="2151" spans="19:27" x14ac:dyDescent="0.2">
      <c r="S2151" s="199"/>
      <c r="T2151" s="200"/>
      <c r="W2151" s="233" t="str">
        <f t="shared" si="40"/>
        <v>1w</v>
      </c>
      <c r="X2151" s="234">
        <f>_xll.qlCalendarAdvance(Calendar,X2150,W2151,"f",FALSE)</f>
        <v>53905</v>
      </c>
      <c r="Y2151" s="237">
        <f>_xll.qlCalendarAdvance(Calendar,X2151,NDays&amp;"D")</f>
        <v>53905</v>
      </c>
      <c r="Z2151" s="238">
        <v>3.2473607707795601E-2</v>
      </c>
      <c r="AA2151" s="240">
        <v>3.2060571222969347E-2</v>
      </c>
    </row>
    <row r="2152" spans="19:27" x14ac:dyDescent="0.2">
      <c r="S2152" s="199"/>
      <c r="T2152" s="200"/>
      <c r="W2152" s="233" t="str">
        <f t="shared" si="40"/>
        <v>1w</v>
      </c>
      <c r="X2152" s="234">
        <f>_xll.qlCalendarAdvance(Calendar,X2151,W2152,"f",FALSE)</f>
        <v>53912</v>
      </c>
      <c r="Y2152" s="237">
        <f>_xll.qlCalendarAdvance(Calendar,X2152,NDays&amp;"D")</f>
        <v>53912</v>
      </c>
      <c r="Z2152" s="238">
        <v>3.2469164279851394E-2</v>
      </c>
      <c r="AA2152" s="240">
        <v>3.2057023423972542E-2</v>
      </c>
    </row>
    <row r="2153" spans="19:27" x14ac:dyDescent="0.2">
      <c r="S2153" s="199"/>
      <c r="T2153" s="200"/>
      <c r="W2153" s="233" t="str">
        <f t="shared" si="40"/>
        <v>1w</v>
      </c>
      <c r="X2153" s="234">
        <f>_xll.qlCalendarAdvance(Calendar,X2152,W2153,"f",FALSE)</f>
        <v>53919</v>
      </c>
      <c r="Y2153" s="237">
        <f>_xll.qlCalendarAdvance(Calendar,X2153,NDays&amp;"D")</f>
        <v>53919</v>
      </c>
      <c r="Z2153" s="238">
        <v>3.2464691124160241E-2</v>
      </c>
      <c r="AA2153" s="240">
        <v>3.2053446818371967E-2</v>
      </c>
    </row>
    <row r="2154" spans="19:27" x14ac:dyDescent="0.2">
      <c r="S2154" s="199"/>
      <c r="T2154" s="200"/>
      <c r="W2154" s="233" t="str">
        <f t="shared" si="40"/>
        <v>1w</v>
      </c>
      <c r="X2154" s="234">
        <f>_xll.qlCalendarAdvance(Calendar,X2153,W2154,"f",FALSE)</f>
        <v>53926</v>
      </c>
      <c r="Y2154" s="237">
        <f>_xll.qlCalendarAdvance(Calendar,X2154,NDays&amp;"D")</f>
        <v>53926</v>
      </c>
      <c r="Z2154" s="238">
        <v>3.2460188241111743E-2</v>
      </c>
      <c r="AA2154" s="240">
        <v>3.2049841406248669E-2</v>
      </c>
    </row>
    <row r="2155" spans="19:27" x14ac:dyDescent="0.2">
      <c r="S2155" s="199"/>
      <c r="T2155" s="200"/>
      <c r="W2155" s="233" t="str">
        <f t="shared" si="40"/>
        <v>1w</v>
      </c>
      <c r="X2155" s="234">
        <f>_xll.qlCalendarAdvance(Calendar,X2154,W2155,"f",FALSE)</f>
        <v>53933</v>
      </c>
      <c r="Y2155" s="237">
        <f>_xll.qlCalendarAdvance(Calendar,X2155,NDays&amp;"D")</f>
        <v>53933</v>
      </c>
      <c r="Z2155" s="238">
        <v>3.2452402679883807E-2</v>
      </c>
      <c r="AA2155" s="240">
        <v>3.2046207187197417E-2</v>
      </c>
    </row>
    <row r="2156" spans="19:27" x14ac:dyDescent="0.2">
      <c r="S2156" s="199"/>
      <c r="T2156" s="200"/>
      <c r="W2156" s="233" t="str">
        <f t="shared" si="40"/>
        <v>1w</v>
      </c>
      <c r="X2156" s="234">
        <f>_xll.qlCalendarAdvance(Calendar,X2155,W2156,"f",FALSE)</f>
        <v>53940</v>
      </c>
      <c r="Y2156" s="237">
        <f>_xll.qlCalendarAdvance(Calendar,X2156,NDays&amp;"D")</f>
        <v>53940</v>
      </c>
      <c r="Z2156" s="238">
        <v>3.245109329451229E-2</v>
      </c>
      <c r="AA2156" s="240">
        <v>3.2042544161380304E-2</v>
      </c>
    </row>
    <row r="2157" spans="19:27" x14ac:dyDescent="0.2">
      <c r="S2157" s="199"/>
      <c r="T2157" s="200"/>
      <c r="W2157" s="233" t="str">
        <f t="shared" si="40"/>
        <v>1w</v>
      </c>
      <c r="X2157" s="234">
        <f>_xll.qlCalendarAdvance(Calendar,X2156,W2157,"f",FALSE)</f>
        <v>53947</v>
      </c>
      <c r="Y2157" s="237">
        <f>_xll.qlCalendarAdvance(Calendar,X2157,NDays&amp;"D")</f>
        <v>53947</v>
      </c>
      <c r="Z2157" s="238">
        <v>3.2446501231754847E-2</v>
      </c>
      <c r="AA2157" s="240">
        <v>3.2038852329121514E-2</v>
      </c>
    </row>
    <row r="2158" spans="19:27" x14ac:dyDescent="0.2">
      <c r="S2158" s="199"/>
      <c r="T2158" s="200"/>
      <c r="W2158" s="233" t="str">
        <f t="shared" si="40"/>
        <v>1w</v>
      </c>
      <c r="X2158" s="234">
        <f>_xll.qlCalendarAdvance(Calendar,X2157,W2158,"f",FALSE)</f>
        <v>53954</v>
      </c>
      <c r="Y2158" s="237">
        <f>_xll.qlCalendarAdvance(Calendar,X2158,NDays&amp;"D")</f>
        <v>53954</v>
      </c>
      <c r="Z2158" s="238">
        <v>3.2441879443223763E-2</v>
      </c>
      <c r="AA2158" s="240">
        <v>3.203513168993477E-2</v>
      </c>
    </row>
    <row r="2159" spans="19:27" x14ac:dyDescent="0.2">
      <c r="S2159" s="199"/>
      <c r="T2159" s="200"/>
      <c r="W2159" s="233" t="str">
        <f t="shared" si="40"/>
        <v>1w</v>
      </c>
      <c r="X2159" s="234">
        <f>_xll.qlCalendarAdvance(Calendar,X2158,W2159,"f",FALSE)</f>
        <v>53961</v>
      </c>
      <c r="Y2159" s="237">
        <f>_xll.qlCalendarAdvance(Calendar,X2159,NDays&amp;"D")</f>
        <v>53961</v>
      </c>
      <c r="Z2159" s="238">
        <v>3.2437227929322278E-2</v>
      </c>
      <c r="AA2159" s="240">
        <v>3.2031382244063211E-2</v>
      </c>
    </row>
    <row r="2160" spans="19:27" x14ac:dyDescent="0.2">
      <c r="S2160" s="199"/>
      <c r="T2160" s="200"/>
      <c r="W2160" s="233" t="str">
        <f t="shared" si="40"/>
        <v>1w</v>
      </c>
      <c r="X2160" s="234">
        <f>_xll.qlCalendarAdvance(Calendar,X2159,W2160,"f",FALSE)</f>
        <v>53968</v>
      </c>
      <c r="Y2160" s="237">
        <f>_xll.qlCalendarAdvance(Calendar,X2160,NDays&amp;"D")</f>
        <v>53968</v>
      </c>
      <c r="Z2160" s="238">
        <v>3.2432546690455637E-2</v>
      </c>
      <c r="AA2160" s="240">
        <v>3.2027603991506837E-2</v>
      </c>
    </row>
    <row r="2161" spans="19:27" x14ac:dyDescent="0.2">
      <c r="S2161" s="199"/>
      <c r="T2161" s="200"/>
      <c r="W2161" s="233" t="str">
        <f t="shared" si="40"/>
        <v>1w</v>
      </c>
      <c r="X2161" s="234">
        <f>_xll.qlCalendarAdvance(Calendar,X2160,W2161,"f",FALSE)</f>
        <v>53975</v>
      </c>
      <c r="Y2161" s="237">
        <f>_xll.qlCalendarAdvance(Calendar,X2161,NDays&amp;"D")</f>
        <v>53975</v>
      </c>
      <c r="Z2161" s="238">
        <v>3.2427835727030598E-2</v>
      </c>
      <c r="AA2161" s="240">
        <v>3.2023796932265647E-2</v>
      </c>
    </row>
    <row r="2162" spans="19:27" x14ac:dyDescent="0.2">
      <c r="S2162" s="199"/>
      <c r="T2162" s="200"/>
      <c r="W2162" s="233" t="str">
        <f t="shared" si="40"/>
        <v>1w</v>
      </c>
      <c r="X2162" s="234">
        <f>_xll.qlCalendarAdvance(Calendar,X2161,W2162,"f",FALSE)</f>
        <v>53982</v>
      </c>
      <c r="Y2162" s="237">
        <f>_xll.qlCalendarAdvance(Calendar,X2162,NDays&amp;"D")</f>
        <v>53982</v>
      </c>
      <c r="Z2162" s="238">
        <v>3.2423095039458782E-2</v>
      </c>
      <c r="AA2162" s="240">
        <v>3.2019961066339642E-2</v>
      </c>
    </row>
    <row r="2163" spans="19:27" x14ac:dyDescent="0.2">
      <c r="S2163" s="199"/>
      <c r="T2163" s="200"/>
      <c r="W2163" s="233" t="str">
        <f t="shared" si="40"/>
        <v>1w</v>
      </c>
      <c r="X2163" s="234">
        <f>_xll.qlCalendarAdvance(Calendar,X2162,W2163,"f",FALSE)</f>
        <v>53989</v>
      </c>
      <c r="Y2163" s="237">
        <f>_xll.qlCalendarAdvance(Calendar,X2163,NDays&amp;"D")</f>
        <v>53989</v>
      </c>
      <c r="Z2163" s="238">
        <v>3.2418324628152258E-2</v>
      </c>
      <c r="AA2163" s="240">
        <v>3.2016096393566729E-2</v>
      </c>
    </row>
    <row r="2164" spans="19:27" x14ac:dyDescent="0.2">
      <c r="S2164" s="199"/>
      <c r="T2164" s="200"/>
      <c r="W2164" s="233" t="str">
        <f t="shared" si="40"/>
        <v>1w</v>
      </c>
      <c r="X2164" s="234">
        <f>_xll.qlCalendarAdvance(Calendar,X2163,W2164,"f",FALSE)</f>
        <v>53996</v>
      </c>
      <c r="Y2164" s="237">
        <f>_xll.qlCalendarAdvance(Calendar,X2164,NDays&amp;"D")</f>
        <v>53996</v>
      </c>
      <c r="Z2164" s="238">
        <v>3.2410339902115171E-2</v>
      </c>
      <c r="AA2164" s="240">
        <v>3.2012202914190047E-2</v>
      </c>
    </row>
    <row r="2165" spans="19:27" x14ac:dyDescent="0.2">
      <c r="S2165" s="199"/>
      <c r="T2165" s="200"/>
      <c r="W2165" s="233" t="str">
        <f t="shared" si="40"/>
        <v>1w</v>
      </c>
      <c r="X2165" s="234">
        <f>_xll.qlCalendarAdvance(Calendar,X2164,W2165,"f",FALSE)</f>
        <v>54003</v>
      </c>
      <c r="Y2165" s="237">
        <f>_xll.qlCalendarAdvance(Calendar,X2165,NDays&amp;"D")</f>
        <v>54003</v>
      </c>
      <c r="Z2165" s="238">
        <v>3.240869463600092E-2</v>
      </c>
      <c r="AA2165" s="240">
        <v>3.2008280628128549E-2</v>
      </c>
    </row>
    <row r="2166" spans="19:27" x14ac:dyDescent="0.2">
      <c r="S2166" s="199"/>
      <c r="T2166" s="200"/>
      <c r="W2166" s="233" t="str">
        <f t="shared" si="40"/>
        <v>1w</v>
      </c>
      <c r="X2166" s="234">
        <f>_xll.qlCalendarAdvance(Calendar,X2165,W2166,"f",FALSE)</f>
        <v>54010</v>
      </c>
      <c r="Y2166" s="237">
        <f>_xll.qlCalendarAdvance(Calendar,X2166,NDays&amp;"D")</f>
        <v>54010</v>
      </c>
      <c r="Z2166" s="238">
        <v>3.2403835055994971E-2</v>
      </c>
      <c r="AA2166" s="240">
        <v>3.2004329535463283E-2</v>
      </c>
    </row>
    <row r="2167" spans="19:27" x14ac:dyDescent="0.2">
      <c r="S2167" s="199"/>
      <c r="T2167" s="200"/>
      <c r="W2167" s="233" t="str">
        <f t="shared" si="40"/>
        <v>1w</v>
      </c>
      <c r="X2167" s="234">
        <f>_xll.qlCalendarAdvance(Calendar,X2166,W2167,"f",FALSE)</f>
        <v>54017</v>
      </c>
      <c r="Y2167" s="237">
        <f>_xll.qlCalendarAdvance(Calendar,X2167,NDays&amp;"D")</f>
        <v>54017</v>
      </c>
      <c r="Z2167" s="238">
        <v>3.2398945753931402E-2</v>
      </c>
      <c r="AA2167" s="240">
        <v>3.2000349635870062E-2</v>
      </c>
    </row>
    <row r="2168" spans="19:27" x14ac:dyDescent="0.2">
      <c r="S2168" s="199"/>
      <c r="T2168" s="200"/>
      <c r="W2168" s="233" t="str">
        <f t="shared" si="40"/>
        <v>1w</v>
      </c>
      <c r="X2168" s="234">
        <f>_xll.qlCalendarAdvance(Calendar,X2167,W2168,"f",FALSE)</f>
        <v>54024</v>
      </c>
      <c r="Y2168" s="237">
        <f>_xll.qlCalendarAdvance(Calendar,X2168,NDays&amp;"D")</f>
        <v>54024</v>
      </c>
      <c r="Z2168" s="238">
        <v>3.239402673023746E-2</v>
      </c>
      <c r="AA2168" s="240">
        <v>3.1996340929835165E-2</v>
      </c>
    </row>
    <row r="2169" spans="19:27" x14ac:dyDescent="0.2">
      <c r="S2169" s="199"/>
      <c r="T2169" s="200"/>
      <c r="W2169" s="233" t="str">
        <f t="shared" si="40"/>
        <v>1w</v>
      </c>
      <c r="X2169" s="234">
        <f>_xll.qlCalendarAdvance(Calendar,X2168,W2169,"f",FALSE)</f>
        <v>54031</v>
      </c>
      <c r="Y2169" s="237">
        <f>_xll.qlCalendarAdvance(Calendar,X2169,NDays&amp;"D")</f>
        <v>54031</v>
      </c>
      <c r="Z2169" s="238">
        <v>3.238907798534061E-2</v>
      </c>
      <c r="AA2169" s="240">
        <v>3.1992303416872314E-2</v>
      </c>
    </row>
    <row r="2170" spans="19:27" x14ac:dyDescent="0.2">
      <c r="S2170" s="199"/>
      <c r="T2170" s="200"/>
      <c r="W2170" s="233" t="str">
        <f t="shared" si="40"/>
        <v>1w</v>
      </c>
      <c r="X2170" s="234">
        <f>_xll.qlCalendarAdvance(Calendar,X2169,W2170,"f",FALSE)</f>
        <v>54038</v>
      </c>
      <c r="Y2170" s="237">
        <f>_xll.qlCalendarAdvance(Calendar,X2170,NDays&amp;"D")</f>
        <v>54038</v>
      </c>
      <c r="Z2170" s="238">
        <v>3.2384099519672305E-2</v>
      </c>
      <c r="AA2170" s="240">
        <v>3.198823709738674E-2</v>
      </c>
    </row>
    <row r="2171" spans="19:27" x14ac:dyDescent="0.2">
      <c r="S2171" s="199"/>
      <c r="T2171" s="200"/>
      <c r="W2171" s="233" t="str">
        <f t="shared" si="40"/>
        <v>1w</v>
      </c>
      <c r="X2171" s="234">
        <f>_xll.qlCalendarAdvance(Calendar,X2170,W2171,"f",FALSE)</f>
        <v>54045</v>
      </c>
      <c r="Y2171" s="237">
        <f>_xll.qlCalendarAdvance(Calendar,X2171,NDays&amp;"D")</f>
        <v>54045</v>
      </c>
      <c r="Z2171" s="238">
        <v>3.2379091333666628E-2</v>
      </c>
      <c r="AA2171" s="240">
        <v>3.1984141971054258E-2</v>
      </c>
    </row>
    <row r="2172" spans="19:27" x14ac:dyDescent="0.2">
      <c r="S2172" s="199"/>
      <c r="T2172" s="200"/>
      <c r="W2172" s="233" t="str">
        <f t="shared" si="40"/>
        <v>1w</v>
      </c>
      <c r="X2172" s="234">
        <f>_xll.qlCalendarAdvance(Calendar,X2171,W2172,"f",FALSE)</f>
        <v>54053</v>
      </c>
      <c r="Y2172" s="237">
        <f>_xll.qlCalendarAdvance(Calendar,X2172,NDays&amp;"D")</f>
        <v>54053</v>
      </c>
      <c r="Z2172" s="238">
        <v>3.2373331300825876E-2</v>
      </c>
      <c r="AA2172" s="240">
        <v>3.1981636135894151E-2</v>
      </c>
    </row>
    <row r="2173" spans="19:27" x14ac:dyDescent="0.2">
      <c r="S2173" s="199"/>
      <c r="T2173" s="200"/>
      <c r="W2173" s="233" t="str">
        <f t="shared" si="40"/>
        <v>1w</v>
      </c>
      <c r="X2173" s="234">
        <f>_xll.qlCalendarAdvance(Calendar,X2172,W2173,"f",FALSE)</f>
        <v>54060</v>
      </c>
      <c r="Y2173" s="237">
        <f>_xll.qlCalendarAdvance(Calendar,X2173,NDays&amp;"D")</f>
        <v>54060</v>
      </c>
      <c r="Z2173" s="238">
        <v>3.2367221441414899E-2</v>
      </c>
      <c r="AA2173" s="240">
        <v>3.1977474436687789E-2</v>
      </c>
    </row>
    <row r="2174" spans="19:27" x14ac:dyDescent="0.2">
      <c r="S2174" s="199"/>
      <c r="T2174" s="200"/>
      <c r="W2174" s="233" t="str">
        <f t="shared" si="40"/>
        <v>1w</v>
      </c>
      <c r="X2174" s="234">
        <f>_xll.qlCalendarAdvance(Calendar,X2173,W2174,"f",FALSE)</f>
        <v>54067</v>
      </c>
      <c r="Y2174" s="237">
        <f>_xll.qlCalendarAdvance(Calendar,X2174,NDays&amp;"D")</f>
        <v>54067</v>
      </c>
      <c r="Z2174" s="238">
        <v>3.2362122419110538E-2</v>
      </c>
      <c r="AA2174" s="240">
        <v>3.1973283925852788E-2</v>
      </c>
    </row>
    <row r="2175" spans="19:27" x14ac:dyDescent="0.2">
      <c r="S2175" s="199"/>
      <c r="T2175" s="200"/>
      <c r="W2175" s="233" t="str">
        <f t="shared" si="40"/>
        <v>1w</v>
      </c>
      <c r="X2175" s="234">
        <f>_xll.qlCalendarAdvance(Calendar,X2174,W2175,"f",FALSE)</f>
        <v>54074</v>
      </c>
      <c r="Y2175" s="237">
        <f>_xll.qlCalendarAdvance(Calendar,X2175,NDays&amp;"D")</f>
        <v>54074</v>
      </c>
      <c r="Z2175" s="238">
        <v>3.2356993680783201E-2</v>
      </c>
      <c r="AA2175" s="240">
        <v>3.1969064603335116E-2</v>
      </c>
    </row>
    <row r="2176" spans="19:27" x14ac:dyDescent="0.2">
      <c r="S2176" s="199"/>
      <c r="T2176" s="200"/>
      <c r="W2176" s="233" t="str">
        <f t="shared" si="40"/>
        <v>1w</v>
      </c>
      <c r="X2176" s="234">
        <f>_xll.qlCalendarAdvance(Calendar,X2175,W2176,"f",FALSE)</f>
        <v>54081</v>
      </c>
      <c r="Y2176" s="237">
        <f>_xll.qlCalendarAdvance(Calendar,X2176,NDays&amp;"D")</f>
        <v>54081</v>
      </c>
      <c r="Z2176" s="238">
        <v>3.235183522687874E-2</v>
      </c>
      <c r="AA2176" s="240">
        <v>3.1964816469188806E-2</v>
      </c>
    </row>
    <row r="2177" spans="19:27" x14ac:dyDescent="0.2">
      <c r="S2177" s="199"/>
      <c r="T2177" s="200"/>
      <c r="W2177" s="233" t="str">
        <f t="shared" si="40"/>
        <v>1w</v>
      </c>
      <c r="X2177" s="234">
        <f>_xll.qlCalendarAdvance(Calendar,X2176,W2177,"f",FALSE)</f>
        <v>54088</v>
      </c>
      <c r="Y2177" s="237">
        <f>_xll.qlCalendarAdvance(Calendar,X2177,NDays&amp;"D")</f>
        <v>54088</v>
      </c>
      <c r="Z2177" s="238">
        <v>3.2343562823667453E-2</v>
      </c>
      <c r="AA2177" s="240">
        <v>3.1960539523440877E-2</v>
      </c>
    </row>
    <row r="2178" spans="19:27" x14ac:dyDescent="0.2">
      <c r="S2178" s="199"/>
      <c r="T2178" s="200"/>
      <c r="W2178" s="233" t="str">
        <f t="shared" si="40"/>
        <v>1w</v>
      </c>
      <c r="X2178" s="234">
        <f>_xll.qlCalendarAdvance(Calendar,X2177,W2178,"f",FALSE)</f>
        <v>54095</v>
      </c>
      <c r="Y2178" s="237">
        <f>_xll.qlCalendarAdvance(Calendar,X2178,NDays&amp;"D")</f>
        <v>54095</v>
      </c>
      <c r="Z2178" s="238">
        <v>3.2341429174132984E-2</v>
      </c>
      <c r="AA2178" s="240">
        <v>3.195623376603729E-2</v>
      </c>
    </row>
    <row r="2179" spans="19:27" x14ac:dyDescent="0.2">
      <c r="S2179" s="199"/>
      <c r="T2179" s="200"/>
      <c r="W2179" s="233" t="str">
        <f t="shared" si="40"/>
        <v>1w</v>
      </c>
      <c r="X2179" s="234">
        <f>_xll.qlCalendarAdvance(Calendar,X2178,W2179,"f",FALSE)</f>
        <v>54102</v>
      </c>
      <c r="Y2179" s="237">
        <f>_xll.qlCalendarAdvance(Calendar,X2179,NDays&amp;"D")</f>
        <v>54102</v>
      </c>
      <c r="Z2179" s="238">
        <v>3.2336181576194889E-2</v>
      </c>
      <c r="AA2179" s="240">
        <v>3.1951899196978051E-2</v>
      </c>
    </row>
    <row r="2180" spans="19:27" x14ac:dyDescent="0.2">
      <c r="S2180" s="199"/>
      <c r="T2180" s="200"/>
      <c r="W2180" s="233" t="str">
        <f t="shared" si="40"/>
        <v>1w</v>
      </c>
      <c r="X2180" s="234">
        <f>_xll.qlCalendarAdvance(Calendar,X2179,W2180,"f",FALSE)</f>
        <v>54109</v>
      </c>
      <c r="Y2180" s="237">
        <f>_xll.qlCalendarAdvance(Calendar,X2180,NDays&amp;"D")</f>
        <v>54109</v>
      </c>
      <c r="Z2180" s="238">
        <v>3.2330904264487433E-2</v>
      </c>
      <c r="AA2180" s="240">
        <v>3.1947535816344207E-2</v>
      </c>
    </row>
    <row r="2181" spans="19:27" x14ac:dyDescent="0.2">
      <c r="S2181" s="199"/>
      <c r="T2181" s="200"/>
      <c r="W2181" s="233" t="str">
        <f t="shared" si="40"/>
        <v>1w</v>
      </c>
      <c r="X2181" s="234">
        <f>_xll.qlCalendarAdvance(Calendar,X2180,W2181,"f",FALSE)</f>
        <v>54116</v>
      </c>
      <c r="Y2181" s="237">
        <f>_xll.qlCalendarAdvance(Calendar,X2181,NDays&amp;"D")</f>
        <v>54116</v>
      </c>
      <c r="Z2181" s="238">
        <v>3.2322543971479684E-2</v>
      </c>
      <c r="AA2181" s="240">
        <v>3.1943143624108737E-2</v>
      </c>
    </row>
    <row r="2182" spans="19:27" x14ac:dyDescent="0.2">
      <c r="S2182" s="199"/>
      <c r="T2182" s="200"/>
      <c r="W2182" s="233" t="str">
        <f t="shared" si="40"/>
        <v>1w</v>
      </c>
      <c r="X2182" s="234">
        <f>_xll.qlCalendarAdvance(Calendar,X2181,W2182,"f",FALSE)</f>
        <v>54123</v>
      </c>
      <c r="Y2182" s="237">
        <f>_xll.qlCalendarAdvance(Calendar,X2182,NDays&amp;"D")</f>
        <v>54123</v>
      </c>
      <c r="Z2182" s="238">
        <v>3.2320260501600882E-2</v>
      </c>
      <c r="AA2182" s="240">
        <v>3.1938722620217616E-2</v>
      </c>
    </row>
    <row r="2183" spans="19:27" x14ac:dyDescent="0.2">
      <c r="S2183" s="199"/>
      <c r="T2183" s="200"/>
      <c r="W2183" s="233" t="str">
        <f t="shared" si="40"/>
        <v>1w</v>
      </c>
      <c r="X2183" s="234">
        <f>_xll.qlCalendarAdvance(Calendar,X2182,W2183,"f",FALSE)</f>
        <v>54130</v>
      </c>
      <c r="Y2183" s="237">
        <f>_xll.qlCalendarAdvance(Calendar,X2183,NDays&amp;"D")</f>
        <v>54130</v>
      </c>
      <c r="Z2183" s="238">
        <v>3.2314894051345321E-2</v>
      </c>
      <c r="AA2183" s="240">
        <v>3.193427280472487E-2</v>
      </c>
    </row>
    <row r="2184" spans="19:27" x14ac:dyDescent="0.2">
      <c r="S2184" s="199"/>
      <c r="T2184" s="200"/>
      <c r="W2184" s="233" t="str">
        <f t="shared" si="40"/>
        <v>1w</v>
      </c>
      <c r="X2184" s="234">
        <f>_xll.qlCalendarAdvance(Calendar,X2183,W2184,"f",FALSE)</f>
        <v>54137</v>
      </c>
      <c r="Y2184" s="237">
        <f>_xll.qlCalendarAdvance(Calendar,X2184,NDays&amp;"D")</f>
        <v>54137</v>
      </c>
      <c r="Z2184" s="238">
        <v>3.2309497889169439E-2</v>
      </c>
      <c r="AA2184" s="240">
        <v>3.1929794177549452E-2</v>
      </c>
    </row>
    <row r="2185" spans="19:27" x14ac:dyDescent="0.2">
      <c r="S2185" s="199"/>
      <c r="T2185" s="200"/>
      <c r="W2185" s="233" t="str">
        <f t="shared" si="40"/>
        <v>1w</v>
      </c>
      <c r="X2185" s="234">
        <f>_xll.qlCalendarAdvance(Calendar,X2184,W2185,"f",FALSE)</f>
        <v>54144</v>
      </c>
      <c r="Y2185" s="237">
        <f>_xll.qlCalendarAdvance(Calendar,X2185,NDays&amp;"D")</f>
        <v>54144</v>
      </c>
      <c r="Z2185" s="238">
        <v>3.2304072015541856E-2</v>
      </c>
      <c r="AA2185" s="240">
        <v>3.1925286738826442E-2</v>
      </c>
    </row>
    <row r="2186" spans="19:27" x14ac:dyDescent="0.2">
      <c r="S2186" s="199"/>
      <c r="T2186" s="200"/>
      <c r="W2186" s="233" t="str">
        <f t="shared" si="40"/>
        <v>1w</v>
      </c>
      <c r="X2186" s="234">
        <f>_xll.qlCalendarAdvance(Calendar,X2185,W2186,"f",FALSE)</f>
        <v>54155</v>
      </c>
      <c r="Y2186" s="237">
        <f>_xll.qlCalendarAdvance(Calendar,X2186,NDays&amp;"D")</f>
        <v>54155</v>
      </c>
      <c r="Z2186" s="238">
        <v>3.229347918042369E-2</v>
      </c>
      <c r="AA2186" s="240">
        <v>3.1916006904825212E-2</v>
      </c>
    </row>
    <row r="2187" spans="19:27" x14ac:dyDescent="0.2">
      <c r="S2187" s="199"/>
      <c r="T2187" s="200"/>
      <c r="W2187" s="233" t="str">
        <f t="shared" si="40"/>
        <v>1w</v>
      </c>
      <c r="X2187" s="234">
        <f>_xll.qlCalendarAdvance(Calendar,X2186,W2187,"f",FALSE)</f>
        <v>54162</v>
      </c>
      <c r="Y2187" s="237">
        <f>_xll.qlCalendarAdvance(Calendar,X2187,NDays&amp;"D")</f>
        <v>54162</v>
      </c>
      <c r="Z2187" s="238">
        <v>3.228798210951922E-2</v>
      </c>
      <c r="AA2187" s="240">
        <v>3.191143029542487E-2</v>
      </c>
    </row>
    <row r="2188" spans="19:27" x14ac:dyDescent="0.2">
      <c r="S2188" s="199"/>
      <c r="T2188" s="200"/>
      <c r="W2188" s="233" t="str">
        <f t="shared" si="40"/>
        <v>1w</v>
      </c>
      <c r="X2188" s="234">
        <f>_xll.qlCalendarAdvance(Calendar,X2187,W2188,"f",FALSE)</f>
        <v>54169</v>
      </c>
      <c r="Y2188" s="237">
        <f>_xll.qlCalendarAdvance(Calendar,X2188,NDays&amp;"D")</f>
        <v>54169</v>
      </c>
      <c r="Z2188" s="238">
        <v>3.2282455333799476E-2</v>
      </c>
      <c r="AA2188" s="240">
        <v>3.190682487917762E-2</v>
      </c>
    </row>
    <row r="2189" spans="19:27" x14ac:dyDescent="0.2">
      <c r="S2189" s="199"/>
      <c r="T2189" s="200"/>
      <c r="W2189" s="233" t="str">
        <f t="shared" si="40"/>
        <v>1w</v>
      </c>
      <c r="X2189" s="234">
        <f>_xll.qlCalendarAdvance(Calendar,X2188,W2189,"f",FALSE)</f>
        <v>54176</v>
      </c>
      <c r="Y2189" s="237">
        <f>_xll.qlCalendarAdvance(Calendar,X2189,NDays&amp;"D")</f>
        <v>54176</v>
      </c>
      <c r="Z2189" s="238">
        <v>3.2276898853742297E-2</v>
      </c>
      <c r="AA2189" s="240">
        <v>3.1902190656407647E-2</v>
      </c>
    </row>
    <row r="2190" spans="19:27" x14ac:dyDescent="0.2">
      <c r="S2190" s="199"/>
      <c r="T2190" s="200"/>
      <c r="W2190" s="233" t="str">
        <f t="shared" si="40"/>
        <v>1w</v>
      </c>
      <c r="X2190" s="234">
        <f>_xll.qlCalendarAdvance(Calendar,X2189,W2190,"f",FALSE)</f>
        <v>54183</v>
      </c>
      <c r="Y2190" s="237">
        <f>_xll.qlCalendarAdvance(Calendar,X2190,NDays&amp;"D")</f>
        <v>54183</v>
      </c>
      <c r="Z2190" s="238">
        <v>3.2271312669827745E-2</v>
      </c>
      <c r="AA2190" s="240">
        <v>3.1897527627033906E-2</v>
      </c>
    </row>
    <row r="2191" spans="19:27" x14ac:dyDescent="0.2">
      <c r="S2191" s="199"/>
      <c r="T2191" s="200"/>
      <c r="W2191" s="233" t="str">
        <f t="shared" si="40"/>
        <v>1w</v>
      </c>
      <c r="X2191" s="234">
        <f>_xll.qlCalendarAdvance(Calendar,X2190,W2191,"f",FALSE)</f>
        <v>54190</v>
      </c>
      <c r="Y2191" s="237">
        <f>_xll.qlCalendarAdvance(Calendar,X2191,NDays&amp;"D")</f>
        <v>54190</v>
      </c>
      <c r="Z2191" s="238">
        <v>3.2265696782538544E-2</v>
      </c>
      <c r="AA2191" s="240">
        <v>3.1892835790894303E-2</v>
      </c>
    </row>
    <row r="2192" spans="19:27" x14ac:dyDescent="0.2">
      <c r="S2192" s="199"/>
      <c r="T2192" s="200"/>
      <c r="W2192" s="233" t="str">
        <f t="shared" si="40"/>
        <v>1w</v>
      </c>
      <c r="X2192" s="234">
        <f>_xll.qlCalendarAdvance(Calendar,X2191,W2192,"f",FALSE)</f>
        <v>54197</v>
      </c>
      <c r="Y2192" s="237">
        <f>_xll.qlCalendarAdvance(Calendar,X2192,NDays&amp;"D")</f>
        <v>54197</v>
      </c>
      <c r="Z2192" s="238">
        <v>3.226005119235964E-2</v>
      </c>
      <c r="AA2192" s="240">
        <v>3.1888115148069884E-2</v>
      </c>
    </row>
    <row r="2193" spans="19:27" x14ac:dyDescent="0.2">
      <c r="S2193" s="199"/>
      <c r="T2193" s="200"/>
      <c r="W2193" s="233" t="str">
        <f t="shared" si="40"/>
        <v>1w</v>
      </c>
      <c r="X2193" s="234">
        <f>_xll.qlCalendarAdvance(Calendar,X2192,W2193,"f",FALSE)</f>
        <v>54204</v>
      </c>
      <c r="Y2193" s="237">
        <f>_xll.qlCalendarAdvance(Calendar,X2193,NDays&amp;"D")</f>
        <v>54204</v>
      </c>
      <c r="Z2193" s="238">
        <v>3.2254375899778198E-2</v>
      </c>
      <c r="AA2193" s="240">
        <v>3.1883365698641697E-2</v>
      </c>
    </row>
    <row r="2194" spans="19:27" x14ac:dyDescent="0.2">
      <c r="S2194" s="199"/>
      <c r="T2194" s="200"/>
      <c r="W2194" s="233" t="str">
        <f t="shared" si="40"/>
        <v>1w</v>
      </c>
      <c r="X2194" s="234">
        <f>_xll.qlCalendarAdvance(Calendar,X2193,W2194,"f",FALSE)</f>
        <v>54211</v>
      </c>
      <c r="Y2194" s="237">
        <f>_xll.qlCalendarAdvance(Calendar,X2194,NDays&amp;"D")</f>
        <v>54211</v>
      </c>
      <c r="Z2194" s="238">
        <v>3.2248670905284937E-2</v>
      </c>
      <c r="AA2194" s="240">
        <v>3.1878587442447648E-2</v>
      </c>
    </row>
    <row r="2195" spans="19:27" x14ac:dyDescent="0.2">
      <c r="S2195" s="199"/>
      <c r="T2195" s="200"/>
      <c r="W2195" s="233" t="str">
        <f t="shared" si="40"/>
        <v>1w</v>
      </c>
      <c r="X2195" s="234">
        <f>_xll.qlCalendarAdvance(Calendar,X2194,W2195,"f",FALSE)</f>
        <v>54218</v>
      </c>
      <c r="Y2195" s="237">
        <f>_xll.qlCalendarAdvance(Calendar,X2195,NDays&amp;"D")</f>
        <v>54218</v>
      </c>
      <c r="Z2195" s="238">
        <v>3.2242936209373019E-2</v>
      </c>
      <c r="AA2195" s="240">
        <v>3.187378037964983E-2</v>
      </c>
    </row>
    <row r="2196" spans="19:27" x14ac:dyDescent="0.2">
      <c r="S2196" s="199"/>
      <c r="T2196" s="200"/>
      <c r="W2196" s="233" t="str">
        <f t="shared" si="40"/>
        <v>1w</v>
      </c>
      <c r="X2196" s="234">
        <f>_xll.qlCalendarAdvance(Calendar,X2195,W2196,"f",FALSE)</f>
        <v>54225</v>
      </c>
      <c r="Y2196" s="237">
        <f>_xll.qlCalendarAdvance(Calendar,X2196,NDays&amp;"D")</f>
        <v>54225</v>
      </c>
      <c r="Z2196" s="238">
        <v>3.223717181253738E-2</v>
      </c>
      <c r="AA2196" s="240">
        <v>3.1868944510167196E-2</v>
      </c>
    </row>
    <row r="2197" spans="19:27" x14ac:dyDescent="0.2">
      <c r="S2197" s="199"/>
      <c r="T2197" s="200"/>
      <c r="W2197" s="233" t="str">
        <f t="shared" ref="W2197:W2260" si="41">W2196</f>
        <v>1w</v>
      </c>
      <c r="X2197" s="234">
        <f>_xll.qlCalendarAdvance(Calendar,X2196,W2197,"f",FALSE)</f>
        <v>54232</v>
      </c>
      <c r="Y2197" s="237">
        <f>_xll.qlCalendarAdvance(Calendar,X2197,NDays&amp;"D")</f>
        <v>54232</v>
      </c>
      <c r="Z2197" s="238">
        <v>3.2231377715275844E-2</v>
      </c>
      <c r="AA2197" s="240">
        <v>3.1864079834080794E-2</v>
      </c>
    </row>
    <row r="2198" spans="19:27" x14ac:dyDescent="0.2">
      <c r="S2198" s="199"/>
      <c r="T2198" s="200"/>
      <c r="W2198" s="233" t="str">
        <f t="shared" si="41"/>
        <v>1w</v>
      </c>
      <c r="X2198" s="234">
        <f>_xll.qlCalendarAdvance(Calendar,X2197,W2198,"f",FALSE)</f>
        <v>54239</v>
      </c>
      <c r="Y2198" s="237">
        <f>_xll.qlCalendarAdvance(Calendar,X2198,NDays&amp;"D")</f>
        <v>54239</v>
      </c>
      <c r="Z2198" s="238">
        <v>3.2225553923077799E-2</v>
      </c>
      <c r="AA2198" s="240">
        <v>3.185918635122853E-2</v>
      </c>
    </row>
    <row r="2199" spans="19:27" x14ac:dyDescent="0.2">
      <c r="S2199" s="199"/>
      <c r="T2199" s="200"/>
      <c r="W2199" s="233" t="str">
        <f t="shared" si="41"/>
        <v>1w</v>
      </c>
      <c r="X2199" s="234">
        <f>_xll.qlCalendarAdvance(Calendar,X2198,W2199,"f",FALSE)</f>
        <v>54246</v>
      </c>
      <c r="Y2199" s="237">
        <f>_xll.qlCalendarAdvance(Calendar,X2199,NDays&amp;"D")</f>
        <v>54246</v>
      </c>
      <c r="Z2199" s="238">
        <v>3.2219700876067181E-2</v>
      </c>
      <c r="AA2199" s="240">
        <v>3.1854264061772497E-2</v>
      </c>
    </row>
    <row r="2200" spans="19:27" x14ac:dyDescent="0.2">
      <c r="S2200" s="199"/>
      <c r="T2200" s="200"/>
      <c r="W2200" s="233" t="str">
        <f t="shared" si="41"/>
        <v>1w</v>
      </c>
      <c r="X2200" s="234">
        <f>_xll.qlCalendarAdvance(Calendar,X2199,W2200,"f",FALSE)</f>
        <v>54253</v>
      </c>
      <c r="Y2200" s="237">
        <f>_xll.qlCalendarAdvance(Calendar,X2200,NDays&amp;"D")</f>
        <v>54253</v>
      </c>
      <c r="Z2200" s="238">
        <v>3.2213819780107844E-2</v>
      </c>
      <c r="AA2200" s="240">
        <v>3.1849312965550602E-2</v>
      </c>
    </row>
    <row r="2201" spans="19:27" x14ac:dyDescent="0.2">
      <c r="S2201" s="199"/>
      <c r="T2201" s="200"/>
      <c r="W2201" s="233" t="str">
        <f t="shared" si="41"/>
        <v>1w</v>
      </c>
      <c r="X2201" s="234">
        <f>_xll.qlCalendarAdvance(Calendar,X2200,W2201,"f",FALSE)</f>
        <v>54260</v>
      </c>
      <c r="Y2201" s="237">
        <f>_xll.qlCalendarAdvance(Calendar,X2201,NDays&amp;"D")</f>
        <v>54260</v>
      </c>
      <c r="Z2201" s="238">
        <v>3.2207911918983978E-2</v>
      </c>
      <c r="AA2201" s="240">
        <v>3.1844333062887031E-2</v>
      </c>
    </row>
    <row r="2202" spans="19:27" x14ac:dyDescent="0.2">
      <c r="S2202" s="199"/>
      <c r="T2202" s="200"/>
      <c r="W2202" s="233" t="str">
        <f t="shared" si="41"/>
        <v>1w</v>
      </c>
      <c r="X2202" s="234">
        <f>_xll.qlCalendarAdvance(Calendar,X2201,W2202,"f",FALSE)</f>
        <v>54267</v>
      </c>
      <c r="Y2202" s="237">
        <f>_xll.qlCalendarAdvance(Calendar,X2202,NDays&amp;"D")</f>
        <v>54267</v>
      </c>
      <c r="Z2202" s="238">
        <v>3.2201978576453794E-2</v>
      </c>
      <c r="AA2202" s="240">
        <v>3.1839324353457599E-2</v>
      </c>
    </row>
    <row r="2203" spans="19:27" x14ac:dyDescent="0.2">
      <c r="S2203" s="199"/>
      <c r="T2203" s="200"/>
      <c r="W2203" s="233" t="str">
        <f t="shared" si="41"/>
        <v>1w</v>
      </c>
      <c r="X2203" s="234">
        <f>_xll.qlCalendarAdvance(Calendar,X2202,W2203,"f",FALSE)</f>
        <v>54274</v>
      </c>
      <c r="Y2203" s="237">
        <f>_xll.qlCalendarAdvance(Calendar,X2203,NDays&amp;"D")</f>
        <v>54274</v>
      </c>
      <c r="Z2203" s="238">
        <v>3.2196021036246636E-2</v>
      </c>
      <c r="AA2203" s="240">
        <v>3.1834286837181258E-2</v>
      </c>
    </row>
    <row r="2204" spans="19:27" x14ac:dyDescent="0.2">
      <c r="S2204" s="199"/>
      <c r="T2204" s="200"/>
      <c r="W2204" s="233" t="str">
        <f t="shared" si="41"/>
        <v>1w</v>
      </c>
      <c r="X2204" s="234">
        <f>_xll.qlCalendarAdvance(Calendar,X2203,W2204,"f",FALSE)</f>
        <v>54281</v>
      </c>
      <c r="Y2204" s="237">
        <f>_xll.qlCalendarAdvance(Calendar,X2204,NDays&amp;"D")</f>
        <v>54281</v>
      </c>
      <c r="Z2204" s="238">
        <v>3.2190040582064761E-2</v>
      </c>
      <c r="AA2204" s="240">
        <v>3.1829220514463241E-2</v>
      </c>
    </row>
    <row r="2205" spans="19:27" x14ac:dyDescent="0.2">
      <c r="S2205" s="199"/>
      <c r="T2205" s="200"/>
      <c r="W2205" s="233" t="str">
        <f t="shared" si="41"/>
        <v>1w</v>
      </c>
      <c r="X2205" s="234">
        <f>_xll.qlCalendarAdvance(Calendar,X2204,W2205,"f",FALSE)</f>
        <v>54288</v>
      </c>
      <c r="Y2205" s="237">
        <f>_xll.qlCalendarAdvance(Calendar,X2205,NDays&amp;"D")</f>
        <v>54288</v>
      </c>
      <c r="Z2205" s="238">
        <v>3.2184038497582002E-2</v>
      </c>
      <c r="AA2205" s="240">
        <v>3.1824125385141455E-2</v>
      </c>
    </row>
    <row r="2206" spans="19:27" x14ac:dyDescent="0.2">
      <c r="S2206" s="199"/>
      <c r="T2206" s="200"/>
      <c r="W2206" s="233" t="str">
        <f t="shared" si="41"/>
        <v>1w</v>
      </c>
      <c r="X2206" s="234">
        <f>_xll.qlCalendarAdvance(Calendar,X2205,W2206,"f",FALSE)</f>
        <v>54295</v>
      </c>
      <c r="Y2206" s="237">
        <f>_xll.qlCalendarAdvance(Calendar,X2206,NDays&amp;"D")</f>
        <v>54295</v>
      </c>
      <c r="Z2206" s="238">
        <v>3.2178016066443549E-2</v>
      </c>
      <c r="AA2206" s="240">
        <v>3.1819001448891715E-2</v>
      </c>
    </row>
    <row r="2207" spans="19:27" x14ac:dyDescent="0.2">
      <c r="S2207" s="199"/>
      <c r="T2207" s="200"/>
      <c r="W2207" s="233" t="str">
        <f t="shared" si="41"/>
        <v>1w</v>
      </c>
      <c r="X2207" s="234">
        <f>_xll.qlCalendarAdvance(Calendar,X2206,W2207,"f",FALSE)</f>
        <v>54302</v>
      </c>
      <c r="Y2207" s="237">
        <f>_xll.qlCalendarAdvance(Calendar,X2207,NDays&amp;"D")</f>
        <v>54302</v>
      </c>
      <c r="Z2207" s="238">
        <v>3.2171974572266837E-2</v>
      </c>
      <c r="AA2207" s="240">
        <v>3.1813848706281345E-2</v>
      </c>
    </row>
    <row r="2208" spans="19:27" x14ac:dyDescent="0.2">
      <c r="S2208" s="199"/>
      <c r="T2208" s="200"/>
      <c r="W2208" s="233" t="str">
        <f t="shared" si="41"/>
        <v>1w</v>
      </c>
      <c r="X2208" s="234">
        <f>_xll.qlCalendarAdvance(Calendar,X2207,W2208,"f",FALSE)</f>
        <v>54309</v>
      </c>
      <c r="Y2208" s="237">
        <f>_xll.qlCalendarAdvance(Calendar,X2208,NDays&amp;"D")</f>
        <v>54309</v>
      </c>
      <c r="Z2208" s="238">
        <v>3.2165915298638437E-2</v>
      </c>
      <c r="AA2208" s="240">
        <v>3.1808667156905113E-2</v>
      </c>
    </row>
    <row r="2209" spans="19:27" x14ac:dyDescent="0.2">
      <c r="S2209" s="199"/>
      <c r="T2209" s="200"/>
      <c r="W2209" s="233" t="str">
        <f t="shared" si="41"/>
        <v>1w</v>
      </c>
      <c r="X2209" s="234">
        <f>_xll.qlCalendarAdvance(Calendar,X2208,W2209,"f",FALSE)</f>
        <v>54316</v>
      </c>
      <c r="Y2209" s="237">
        <f>_xll.qlCalendarAdvance(Calendar,X2209,NDays&amp;"D")</f>
        <v>54316</v>
      </c>
      <c r="Z2209" s="238">
        <v>3.2159839529118051E-2</v>
      </c>
      <c r="AA2209" s="240">
        <v>3.1803456800844065E-2</v>
      </c>
    </row>
    <row r="2210" spans="19:27" x14ac:dyDescent="0.2">
      <c r="S2210" s="199"/>
      <c r="T2210" s="200"/>
      <c r="W2210" s="233" t="str">
        <f t="shared" si="41"/>
        <v>1w</v>
      </c>
      <c r="X2210" s="234">
        <f>_xll.qlCalendarAdvance(Calendar,X2209,W2210,"f",FALSE)</f>
        <v>54323</v>
      </c>
      <c r="Y2210" s="237">
        <f>_xll.qlCalendarAdvance(Calendar,X2210,NDays&amp;"D")</f>
        <v>54323</v>
      </c>
      <c r="Z2210" s="238">
        <v>3.2153748547234517E-2</v>
      </c>
      <c r="AA2210" s="240">
        <v>3.179821763793611E-2</v>
      </c>
    </row>
    <row r="2211" spans="19:27" x14ac:dyDescent="0.2">
      <c r="S2211" s="199"/>
      <c r="T2211" s="200"/>
      <c r="W2211" s="233" t="str">
        <f t="shared" si="41"/>
        <v>1w</v>
      </c>
      <c r="X2211" s="234">
        <f>_xll.qlCalendarAdvance(Calendar,X2210,W2211,"f",FALSE)</f>
        <v>54330</v>
      </c>
      <c r="Y2211" s="237">
        <f>_xll.qlCalendarAdvance(Calendar,X2211,NDays&amp;"D")</f>
        <v>54330</v>
      </c>
      <c r="Z2211" s="238">
        <v>3.2147643636487366E-2</v>
      </c>
      <c r="AA2211" s="240">
        <v>3.1792949668748571E-2</v>
      </c>
    </row>
    <row r="2212" spans="19:27" x14ac:dyDescent="0.2">
      <c r="S2212" s="199"/>
      <c r="T2212" s="200"/>
      <c r="W2212" s="233" t="str">
        <f t="shared" si="41"/>
        <v>1w</v>
      </c>
      <c r="X2212" s="234">
        <f>_xll.qlCalendarAdvance(Calendar,X2211,W2212,"f",FALSE)</f>
        <v>54337</v>
      </c>
      <c r="Y2212" s="237">
        <f>_xll.qlCalendarAdvance(Calendar,X2212,NDays&amp;"D")</f>
        <v>54337</v>
      </c>
      <c r="Z2212" s="238">
        <v>3.2141526080347038E-2</v>
      </c>
      <c r="AA2212" s="240">
        <v>3.1787652892714124E-2</v>
      </c>
    </row>
    <row r="2213" spans="19:27" x14ac:dyDescent="0.2">
      <c r="S2213" s="199"/>
      <c r="T2213" s="200"/>
      <c r="W2213" s="233" t="str">
        <f t="shared" si="41"/>
        <v>1w</v>
      </c>
      <c r="X2213" s="234">
        <f>_xll.qlCalendarAdvance(Calendar,X2212,W2213,"f",FALSE)</f>
        <v>54344</v>
      </c>
      <c r="Y2213" s="237">
        <f>_xll.qlCalendarAdvance(Calendar,X2213,NDays&amp;"D")</f>
        <v>54344</v>
      </c>
      <c r="Z2213" s="238">
        <v>3.2135397162252888E-2</v>
      </c>
      <c r="AA2213" s="240">
        <v>3.1782327310075908E-2</v>
      </c>
    </row>
    <row r="2214" spans="19:27" x14ac:dyDescent="0.2">
      <c r="S2214" s="199"/>
      <c r="T2214" s="200"/>
      <c r="W2214" s="233" t="str">
        <f t="shared" si="41"/>
        <v>1w</v>
      </c>
      <c r="X2214" s="234">
        <f>_xll.qlCalendarAdvance(Calendar,X2213,W2214,"f",FALSE)</f>
        <v>54351</v>
      </c>
      <c r="Y2214" s="237">
        <f>_xll.qlCalendarAdvance(Calendar,X2214,NDays&amp;"D")</f>
        <v>54351</v>
      </c>
      <c r="Z2214" s="238">
        <v>3.2129258165615404E-2</v>
      </c>
      <c r="AA2214" s="240">
        <v>3.1776972920752877E-2</v>
      </c>
    </row>
    <row r="2215" spans="19:27" x14ac:dyDescent="0.2">
      <c r="S2215" s="199"/>
      <c r="T2215" s="200"/>
      <c r="W2215" s="233" t="str">
        <f t="shared" si="41"/>
        <v>1w</v>
      </c>
      <c r="X2215" s="234">
        <f>_xll.qlCalendarAdvance(Calendar,X2214,W2215,"f",FALSE)</f>
        <v>54358</v>
      </c>
      <c r="Y2215" s="237">
        <f>_xll.qlCalendarAdvance(Calendar,X2215,NDays&amp;"D")</f>
        <v>54358</v>
      </c>
      <c r="Z2215" s="238">
        <v>3.2123110373813768E-2</v>
      </c>
      <c r="AA2215" s="240">
        <v>3.1771589724826077E-2</v>
      </c>
    </row>
    <row r="2216" spans="19:27" x14ac:dyDescent="0.2">
      <c r="S2216" s="199"/>
      <c r="T2216" s="200"/>
      <c r="W2216" s="233" t="str">
        <f t="shared" si="41"/>
        <v>1w</v>
      </c>
      <c r="X2216" s="234">
        <f>_xll.qlCalendarAdvance(Calendar,X2215,W2216,"f",FALSE)</f>
        <v>54365</v>
      </c>
      <c r="Y2216" s="237">
        <f>_xll.qlCalendarAdvance(Calendar,X2216,NDays&amp;"D")</f>
        <v>54365</v>
      </c>
      <c r="Z2216" s="238">
        <v>3.211695507019785E-2</v>
      </c>
      <c r="AA2216" s="240">
        <v>3.1766177722295508E-2</v>
      </c>
    </row>
    <row r="2217" spans="19:27" x14ac:dyDescent="0.2">
      <c r="S2217" s="199"/>
      <c r="T2217" s="200"/>
      <c r="W2217" s="233" t="str">
        <f t="shared" si="41"/>
        <v>1w</v>
      </c>
      <c r="X2217" s="234">
        <f>_xll.qlCalendarAdvance(Calendar,X2216,W2217,"f",FALSE)</f>
        <v>54372</v>
      </c>
      <c r="Y2217" s="237">
        <f>_xll.qlCalendarAdvance(Calendar,X2217,NDays&amp;"D")</f>
        <v>54372</v>
      </c>
      <c r="Z2217" s="238">
        <v>3.2110793538086213E-2</v>
      </c>
      <c r="AA2217" s="240">
        <v>3.1760736912999077E-2</v>
      </c>
    </row>
    <row r="2218" spans="19:27" x14ac:dyDescent="0.2">
      <c r="S2218" s="199"/>
      <c r="T2218" s="200"/>
      <c r="W2218" s="233" t="str">
        <f t="shared" si="41"/>
        <v>1w</v>
      </c>
      <c r="X2218" s="234">
        <f>_xll.qlCalendarAdvance(Calendar,X2217,W2218,"f",FALSE)</f>
        <v>54379</v>
      </c>
      <c r="Y2218" s="237">
        <f>_xll.qlCalendarAdvance(Calendar,X2218,NDays&amp;"D")</f>
        <v>54379</v>
      </c>
      <c r="Z2218" s="238">
        <v>3.2104627060767443E-2</v>
      </c>
      <c r="AA2218" s="240">
        <v>3.1755267297098877E-2</v>
      </c>
    </row>
    <row r="2219" spans="19:27" x14ac:dyDescent="0.2">
      <c r="S2219" s="199"/>
      <c r="T2219" s="200"/>
      <c r="W2219" s="233" t="str">
        <f t="shared" si="41"/>
        <v>1w</v>
      </c>
      <c r="X2219" s="234">
        <f>_xll.qlCalendarAdvance(Calendar,X2218,W2219,"f",FALSE)</f>
        <v>54386</v>
      </c>
      <c r="Y2219" s="237">
        <f>_xll.qlCalendarAdvance(Calendar,X2219,NDays&amp;"D")</f>
        <v>54386</v>
      </c>
      <c r="Z2219" s="238">
        <v>3.2098456921499485E-2</v>
      </c>
      <c r="AA2219" s="240">
        <v>3.1749768874757001E-2</v>
      </c>
    </row>
    <row r="2220" spans="19:27" x14ac:dyDescent="0.2">
      <c r="S2220" s="199"/>
      <c r="T2220" s="200"/>
      <c r="W2220" s="233" t="str">
        <f t="shared" si="41"/>
        <v>1w</v>
      </c>
      <c r="X2220" s="234">
        <f>_xll.qlCalendarAdvance(Calendar,X2219,W2220,"f",FALSE)</f>
        <v>54393</v>
      </c>
      <c r="Y2220" s="237">
        <f>_xll.qlCalendarAdvance(Calendar,X2220,NDays&amp;"D")</f>
        <v>54393</v>
      </c>
      <c r="Z2220" s="238">
        <v>3.2092284403509197E-2</v>
      </c>
      <c r="AA2220" s="240">
        <v>3.1744241645649263E-2</v>
      </c>
    </row>
    <row r="2221" spans="19:27" x14ac:dyDescent="0.2">
      <c r="S2221" s="199"/>
      <c r="T2221" s="200"/>
      <c r="W2221" s="233" t="str">
        <f t="shared" si="41"/>
        <v>1w</v>
      </c>
      <c r="X2221" s="234">
        <f>_xll.qlCalendarAdvance(Calendar,X2220,W2221,"f",FALSE)</f>
        <v>54400</v>
      </c>
      <c r="Y2221" s="237">
        <f>_xll.qlCalendarAdvance(Calendar,X2221,NDays&amp;"D")</f>
        <v>54400</v>
      </c>
      <c r="Z2221" s="238">
        <v>3.2086110789993683E-2</v>
      </c>
      <c r="AA2221" s="240">
        <v>3.1738685609775663E-2</v>
      </c>
    </row>
    <row r="2222" spans="19:27" x14ac:dyDescent="0.2">
      <c r="S2222" s="199"/>
      <c r="T2222" s="200"/>
      <c r="W2222" s="233" t="str">
        <f t="shared" si="41"/>
        <v>1w</v>
      </c>
      <c r="X2222" s="234">
        <f>_xll.qlCalendarAdvance(Calendar,X2221,W2222,"f",FALSE)</f>
        <v>54407</v>
      </c>
      <c r="Y2222" s="237">
        <f>_xll.qlCalendarAdvance(Calendar,X2222,NDays&amp;"D")</f>
        <v>54407</v>
      </c>
      <c r="Z2222" s="238">
        <v>3.207993736411785E-2</v>
      </c>
      <c r="AA2222" s="240">
        <v>3.1733100767298295E-2</v>
      </c>
    </row>
    <row r="2223" spans="19:27" x14ac:dyDescent="0.2">
      <c r="S2223" s="199"/>
      <c r="T2223" s="200"/>
      <c r="W2223" s="233" t="str">
        <f t="shared" si="41"/>
        <v>1w</v>
      </c>
      <c r="X2223" s="234">
        <f>_xll.qlCalendarAdvance(Calendar,X2222,W2223,"f",FALSE)</f>
        <v>54414</v>
      </c>
      <c r="Y2223" s="237">
        <f>_xll.qlCalendarAdvance(Calendar,X2223,NDays&amp;"D")</f>
        <v>54414</v>
      </c>
      <c r="Z2223" s="238">
        <v>3.2073765409018185E-2</v>
      </c>
      <c r="AA2223" s="240">
        <v>3.1727487118298203E-2</v>
      </c>
    </row>
    <row r="2224" spans="19:27" x14ac:dyDescent="0.2">
      <c r="S2224" s="199"/>
      <c r="T2224" s="200"/>
      <c r="W2224" s="233" t="str">
        <f t="shared" si="41"/>
        <v>1w</v>
      </c>
      <c r="X2224" s="234">
        <f>_xll.qlCalendarAdvance(Calendar,X2223,W2224,"f",FALSE)</f>
        <v>54421</v>
      </c>
      <c r="Y2224" s="237">
        <f>_xll.qlCalendarAdvance(Calendar,X2224,NDays&amp;"D")</f>
        <v>54421</v>
      </c>
      <c r="Z2224" s="238">
        <v>3.206759620779831E-2</v>
      </c>
      <c r="AA2224" s="240">
        <v>3.172184466253225E-2</v>
      </c>
    </row>
    <row r="2225" spans="19:27" x14ac:dyDescent="0.2">
      <c r="S2225" s="199"/>
      <c r="T2225" s="200"/>
      <c r="W2225" s="233" t="str">
        <f t="shared" si="41"/>
        <v>1w</v>
      </c>
      <c r="X2225" s="234">
        <f>_xll.qlCalendarAdvance(Calendar,X2224,W2225,"f",FALSE)</f>
        <v>54428</v>
      </c>
      <c r="Y2225" s="237">
        <f>_xll.qlCalendarAdvance(Calendar,X2225,NDays&amp;"D")</f>
        <v>54428</v>
      </c>
      <c r="Z2225" s="238">
        <v>3.2061431043532318E-2</v>
      </c>
      <c r="AA2225" s="240">
        <v>3.1716173400324621E-2</v>
      </c>
    </row>
    <row r="2226" spans="19:27" x14ac:dyDescent="0.2">
      <c r="S2226" s="199"/>
      <c r="T2226" s="200"/>
      <c r="W2226" s="233" t="str">
        <f t="shared" si="41"/>
        <v>1w</v>
      </c>
      <c r="X2226" s="234">
        <f>_xll.qlCalendarAdvance(Calendar,X2225,W2226,"f",FALSE)</f>
        <v>54435</v>
      </c>
      <c r="Y2226" s="237">
        <f>_xll.qlCalendarAdvance(Calendar,X2226,NDays&amp;"D")</f>
        <v>54435</v>
      </c>
      <c r="Z2226" s="238">
        <v>3.2055271199263213E-2</v>
      </c>
      <c r="AA2226" s="240">
        <v>3.171047333135113E-2</v>
      </c>
    </row>
    <row r="2227" spans="19:27" x14ac:dyDescent="0.2">
      <c r="S2227" s="199"/>
      <c r="T2227" s="200"/>
      <c r="W2227" s="233" t="str">
        <f t="shared" si="41"/>
        <v>1w</v>
      </c>
      <c r="X2227" s="234">
        <f>_xll.qlCalendarAdvance(Calendar,X2226,W2227,"f",FALSE)</f>
        <v>54442</v>
      </c>
      <c r="Y2227" s="237">
        <f>_xll.qlCalendarAdvance(Calendar,X2227,NDays&amp;"D")</f>
        <v>54442</v>
      </c>
      <c r="Z2227" s="238">
        <v>3.2049117958003803E-2</v>
      </c>
      <c r="AA2227" s="240">
        <v>3.1704744455854916E-2</v>
      </c>
    </row>
    <row r="2228" spans="19:27" x14ac:dyDescent="0.2">
      <c r="S2228" s="199"/>
      <c r="T2228" s="200"/>
      <c r="W2228" s="233" t="str">
        <f t="shared" si="41"/>
        <v>1w</v>
      </c>
      <c r="X2228" s="234">
        <f>_xll.qlCalendarAdvance(Calendar,X2227,W2228,"f",FALSE)</f>
        <v>54449</v>
      </c>
      <c r="Y2228" s="237">
        <f>_xll.qlCalendarAdvance(Calendar,X2228,NDays&amp;"D")</f>
        <v>54449</v>
      </c>
      <c r="Z2228" s="238">
        <v>3.2042972602735587E-2</v>
      </c>
      <c r="AA2228" s="240">
        <v>3.1698986773430748E-2</v>
      </c>
    </row>
    <row r="2229" spans="19:27" x14ac:dyDescent="0.2">
      <c r="S2229" s="199"/>
      <c r="T2229" s="200"/>
      <c r="W2229" s="233" t="str">
        <f t="shared" si="41"/>
        <v>1w</v>
      </c>
      <c r="X2229" s="234">
        <f>_xll.qlCalendarAdvance(Calendar,X2228,W2229,"f",FALSE)</f>
        <v>54456</v>
      </c>
      <c r="Y2229" s="237">
        <f>_xll.qlCalendarAdvance(Calendar,X2229,NDays&amp;"D")</f>
        <v>54456</v>
      </c>
      <c r="Z2229" s="238">
        <v>3.203683641641164E-2</v>
      </c>
      <c r="AA2229" s="240">
        <v>3.1693200284726997E-2</v>
      </c>
    </row>
    <row r="2230" spans="19:27" x14ac:dyDescent="0.2">
      <c r="S2230" s="199"/>
      <c r="T2230" s="200"/>
      <c r="W2230" s="233" t="str">
        <f t="shared" si="41"/>
        <v>1w</v>
      </c>
      <c r="X2230" s="234">
        <f>_xll.qlCalendarAdvance(Calendar,X2229,W2230,"f",FALSE)</f>
        <v>54463</v>
      </c>
      <c r="Y2230" s="237">
        <f>_xll.qlCalendarAdvance(Calendar,X2230,NDays&amp;"D")</f>
        <v>54463</v>
      </c>
      <c r="Z2230" s="238">
        <v>3.2030710681952179E-2</v>
      </c>
      <c r="AA2230" s="240">
        <v>3.1687384989257383E-2</v>
      </c>
    </row>
    <row r="2231" spans="19:27" x14ac:dyDescent="0.2">
      <c r="S2231" s="199"/>
      <c r="T2231" s="200"/>
      <c r="W2231" s="233" t="str">
        <f t="shared" si="41"/>
        <v>1w</v>
      </c>
      <c r="X2231" s="234">
        <f>_xll.qlCalendarAdvance(Calendar,X2230,W2231,"f",FALSE)</f>
        <v>54470</v>
      </c>
      <c r="Y2231" s="237">
        <f>_xll.qlCalendarAdvance(Calendar,X2231,NDays&amp;"D")</f>
        <v>54470</v>
      </c>
      <c r="Z2231" s="238">
        <v>3.2024596682248996E-2</v>
      </c>
      <c r="AA2231" s="240">
        <v>3.1681540887346094E-2</v>
      </c>
    </row>
    <row r="2232" spans="19:27" x14ac:dyDescent="0.2">
      <c r="S2232" s="199"/>
      <c r="T2232" s="200"/>
      <c r="W2232" s="233" t="str">
        <f t="shared" si="41"/>
        <v>1w</v>
      </c>
      <c r="X2232" s="234">
        <f>_xll.qlCalendarAdvance(Calendar,X2231,W2232,"f",FALSE)</f>
        <v>54477</v>
      </c>
      <c r="Y2232" s="237">
        <f>_xll.qlCalendarAdvance(Calendar,X2232,NDays&amp;"D")</f>
        <v>54477</v>
      </c>
      <c r="Z2232" s="238">
        <v>3.2018495700162797E-2</v>
      </c>
      <c r="AA2232" s="240">
        <v>3.1675667978425803E-2</v>
      </c>
    </row>
    <row r="2233" spans="19:27" x14ac:dyDescent="0.2">
      <c r="S2233" s="199"/>
      <c r="T2233" s="200"/>
      <c r="W2233" s="233" t="str">
        <f t="shared" si="41"/>
        <v>1w</v>
      </c>
      <c r="X2233" s="234">
        <f>_xll.qlCalendarAdvance(Calendar,X2232,W2233,"f",FALSE)</f>
        <v>54484</v>
      </c>
      <c r="Y2233" s="237">
        <f>_xll.qlCalendarAdvance(Calendar,X2233,NDays&amp;"D")</f>
        <v>54484</v>
      </c>
      <c r="Z2233" s="238">
        <v>3.2012409018525867E-2</v>
      </c>
      <c r="AA2233" s="240">
        <v>3.1669766263225929E-2</v>
      </c>
    </row>
    <row r="2234" spans="19:27" x14ac:dyDescent="0.2">
      <c r="S2234" s="199"/>
      <c r="T2234" s="200"/>
      <c r="W2234" s="233" t="str">
        <f t="shared" si="41"/>
        <v>1w</v>
      </c>
      <c r="X2234" s="234">
        <f>_xll.qlCalendarAdvance(Calendar,X2233,W2234,"f",FALSE)</f>
        <v>54491</v>
      </c>
      <c r="Y2234" s="237">
        <f>_xll.qlCalendarAdvance(Calendar,X2234,NDays&amp;"D")</f>
        <v>54491</v>
      </c>
      <c r="Z2234" s="238">
        <v>3.2006337920139183E-2</v>
      </c>
      <c r="AA2234" s="240">
        <v>3.166383574134124E-2</v>
      </c>
    </row>
    <row r="2235" spans="19:27" x14ac:dyDescent="0.2">
      <c r="S2235" s="199"/>
      <c r="T2235" s="200"/>
      <c r="W2235" s="233" t="str">
        <f t="shared" si="41"/>
        <v>1w</v>
      </c>
      <c r="X2235" s="234">
        <f>_xll.qlCalendarAdvance(Calendar,X2234,W2235,"f",FALSE)</f>
        <v>54498</v>
      </c>
      <c r="Y2235" s="237">
        <f>_xll.qlCalendarAdvance(Calendar,X2235,NDays&amp;"D")</f>
        <v>54498</v>
      </c>
      <c r="Z2235" s="238">
        <v>3.2000283687775077E-2</v>
      </c>
      <c r="AA2235" s="240">
        <v>3.1657876412609642E-2</v>
      </c>
    </row>
    <row r="2236" spans="19:27" x14ac:dyDescent="0.2">
      <c r="S2236" s="199"/>
      <c r="T2236" s="200"/>
      <c r="W2236" s="233" t="str">
        <f t="shared" si="41"/>
        <v>1w</v>
      </c>
      <c r="X2236" s="234">
        <f>_xll.qlCalendarAdvance(Calendar,X2235,W2236,"f",FALSE)</f>
        <v>54505</v>
      </c>
      <c r="Y2236" s="237">
        <f>_xll.qlCalendarAdvance(Calendar,X2236,NDays&amp;"D")</f>
        <v>54505</v>
      </c>
      <c r="Z2236" s="238">
        <v>3.1994247604176129E-2</v>
      </c>
      <c r="AA2236" s="240">
        <v>3.1651888277436369E-2</v>
      </c>
    </row>
    <row r="2237" spans="19:27" x14ac:dyDescent="0.2">
      <c r="S2237" s="199"/>
      <c r="T2237" s="200"/>
      <c r="W2237" s="233" t="str">
        <f t="shared" si="41"/>
        <v>1w</v>
      </c>
      <c r="X2237" s="234">
        <f>_xll.qlCalendarAdvance(Calendar,X2236,W2237,"f",FALSE)</f>
        <v>54512</v>
      </c>
      <c r="Y2237" s="237">
        <f>_xll.qlCalendarAdvance(Calendar,X2237,NDays&amp;"D")</f>
        <v>54512</v>
      </c>
      <c r="Z2237" s="238">
        <v>3.1988230952056496E-2</v>
      </c>
      <c r="AA2237" s="240">
        <v>3.1645871335740372E-2</v>
      </c>
    </row>
    <row r="2238" spans="19:27" x14ac:dyDescent="0.2">
      <c r="S2238" s="199"/>
      <c r="T2238" s="200"/>
      <c r="W2238" s="233" t="str">
        <f t="shared" si="41"/>
        <v>1w</v>
      </c>
      <c r="X2238" s="234">
        <f>_xll.qlCalendarAdvance(Calendar,X2237,W2238,"f",FALSE)</f>
        <v>54519</v>
      </c>
      <c r="Y2238" s="237">
        <f>_xll.qlCalendarAdvance(Calendar,X2238,NDays&amp;"D")</f>
        <v>54519</v>
      </c>
      <c r="Z2238" s="238">
        <v>3.1982235014101024E-2</v>
      </c>
      <c r="AA2238" s="240">
        <v>3.163982558735956E-2</v>
      </c>
    </row>
    <row r="2239" spans="19:27" x14ac:dyDescent="0.2">
      <c r="S2239" s="199"/>
      <c r="T2239" s="200"/>
      <c r="W2239" s="233" t="str">
        <f t="shared" si="41"/>
        <v>1w</v>
      </c>
      <c r="X2239" s="234">
        <f>_xll.qlCalendarAdvance(Calendar,X2238,W2239,"f",FALSE)</f>
        <v>54526</v>
      </c>
      <c r="Y2239" s="237">
        <f>_xll.qlCalendarAdvance(Calendar,X2239,NDays&amp;"D")</f>
        <v>54526</v>
      </c>
      <c r="Z2239" s="238">
        <v>3.1976261072965251E-2</v>
      </c>
      <c r="AA2239" s="240">
        <v>3.1633751032374979E-2</v>
      </c>
    </row>
    <row r="2240" spans="19:27" x14ac:dyDescent="0.2">
      <c r="S2240" s="199"/>
      <c r="T2240" s="200"/>
      <c r="W2240" s="233" t="str">
        <f t="shared" si="41"/>
        <v>1w</v>
      </c>
      <c r="X2240" s="234">
        <f>_xll.qlCalendarAdvance(Calendar,X2239,W2240,"f",FALSE)</f>
        <v>54533</v>
      </c>
      <c r="Y2240" s="237">
        <f>_xll.qlCalendarAdvance(Calendar,X2240,NDays&amp;"D")</f>
        <v>54533</v>
      </c>
      <c r="Z2240" s="238">
        <v>3.1970310411277181E-2</v>
      </c>
      <c r="AA2240" s="240">
        <v>3.1627647670705583E-2</v>
      </c>
    </row>
    <row r="2241" spans="19:27" x14ac:dyDescent="0.2">
      <c r="S2241" s="199"/>
      <c r="T2241" s="200"/>
      <c r="W2241" s="233" t="str">
        <f t="shared" si="41"/>
        <v>1w</v>
      </c>
      <c r="X2241" s="234">
        <f>_xll.qlCalendarAdvance(Calendar,X2240,W2241,"f",FALSE)</f>
        <v>54540</v>
      </c>
      <c r="Y2241" s="237">
        <f>_xll.qlCalendarAdvance(Calendar,X2241,NDays&amp;"D")</f>
        <v>54540</v>
      </c>
      <c r="Z2241" s="238">
        <v>3.1964384311637284E-2</v>
      </c>
      <c r="AA2241" s="240">
        <v>3.1621515502432418E-2</v>
      </c>
    </row>
    <row r="2242" spans="19:27" x14ac:dyDescent="0.2">
      <c r="S2242" s="199"/>
      <c r="T2242" s="200"/>
      <c r="W2242" s="233" t="str">
        <f t="shared" si="41"/>
        <v>1w</v>
      </c>
      <c r="X2242" s="234">
        <f>_xll.qlCalendarAdvance(Calendar,X2241,W2242,"f",FALSE)</f>
        <v>54547</v>
      </c>
      <c r="Y2242" s="237">
        <f>_xll.qlCalendarAdvance(Calendar,X2242,NDays&amp;"D")</f>
        <v>54547</v>
      </c>
      <c r="Z2242" s="238">
        <v>3.1958484056617165E-2</v>
      </c>
      <c r="AA2242" s="240">
        <v>3.1615354527474437E-2</v>
      </c>
    </row>
    <row r="2243" spans="19:27" x14ac:dyDescent="0.2">
      <c r="S2243" s="199"/>
      <c r="T2243" s="200"/>
      <c r="W2243" s="233" t="str">
        <f t="shared" si="41"/>
        <v>1w</v>
      </c>
      <c r="X2243" s="234">
        <f>_xll.qlCalendarAdvance(Calendar,X2242,W2243,"f",FALSE)</f>
        <v>54554</v>
      </c>
      <c r="Y2243" s="237">
        <f>_xll.qlCalendarAdvance(Calendar,X2243,NDays&amp;"D")</f>
        <v>54554</v>
      </c>
      <c r="Z2243" s="238">
        <v>3.1952610928761338E-2</v>
      </c>
      <c r="AA2243" s="240">
        <v>3.160916474607478E-2</v>
      </c>
    </row>
    <row r="2244" spans="19:27" x14ac:dyDescent="0.2">
      <c r="S2244" s="199"/>
      <c r="T2244" s="200"/>
      <c r="W2244" s="233" t="str">
        <f t="shared" si="41"/>
        <v>1w</v>
      </c>
      <c r="X2244" s="234">
        <f>_xll.qlCalendarAdvance(Calendar,X2243,W2244,"f",FALSE)</f>
        <v>54561</v>
      </c>
      <c r="Y2244" s="237">
        <f>_xll.qlCalendarAdvance(Calendar,X2244,NDays&amp;"D")</f>
        <v>54561</v>
      </c>
      <c r="Z2244" s="238">
        <v>3.1946766210587008E-2</v>
      </c>
      <c r="AA2244" s="240">
        <v>3.1602946158071354E-2</v>
      </c>
    </row>
    <row r="2245" spans="19:27" x14ac:dyDescent="0.2">
      <c r="S2245" s="199"/>
      <c r="T2245" s="200"/>
      <c r="W2245" s="233" t="str">
        <f t="shared" si="41"/>
        <v>1w</v>
      </c>
      <c r="X2245" s="234">
        <f>_xll.qlCalendarAdvance(Calendar,X2244,W2245,"f",FALSE)</f>
        <v>54568</v>
      </c>
      <c r="Y2245" s="237">
        <f>_xll.qlCalendarAdvance(Calendar,X2245,NDays&amp;"D")</f>
        <v>54568</v>
      </c>
      <c r="Z2245" s="238">
        <v>3.194095118458562E-2</v>
      </c>
      <c r="AA2245" s="240">
        <v>3.1596698763464159E-2</v>
      </c>
    </row>
    <row r="2246" spans="19:27" x14ac:dyDescent="0.2">
      <c r="S2246" s="199"/>
      <c r="T2246" s="200"/>
      <c r="W2246" s="233" t="str">
        <f t="shared" si="41"/>
        <v>1w</v>
      </c>
      <c r="X2246" s="234">
        <f>_xll.qlCalendarAdvance(Calendar,X2245,W2246,"f",FALSE)</f>
        <v>54575</v>
      </c>
      <c r="Y2246" s="237">
        <f>_xll.qlCalendarAdvance(Calendar,X2246,NDays&amp;"D")</f>
        <v>54575</v>
      </c>
      <c r="Z2246" s="238">
        <v>3.1935167133220199E-2</v>
      </c>
      <c r="AA2246" s="240">
        <v>3.1590422562091103E-2</v>
      </c>
    </row>
    <row r="2247" spans="19:27" x14ac:dyDescent="0.2">
      <c r="S2247" s="199"/>
      <c r="T2247" s="200"/>
      <c r="W2247" s="233" t="str">
        <f t="shared" si="41"/>
        <v>1w</v>
      </c>
      <c r="X2247" s="234">
        <f>_xll.qlCalendarAdvance(Calendar,X2246,W2247,"f",FALSE)</f>
        <v>54582</v>
      </c>
      <c r="Y2247" s="237">
        <f>_xll.qlCalendarAdvance(Calendar,X2247,NDays&amp;"D")</f>
        <v>54582</v>
      </c>
      <c r="Z2247" s="238">
        <v>3.1929415338929346E-2</v>
      </c>
      <c r="AA2247" s="240">
        <v>3.158411755427637E-2</v>
      </c>
    </row>
    <row r="2248" spans="19:27" x14ac:dyDescent="0.2">
      <c r="S2248" s="199"/>
      <c r="T2248" s="200"/>
      <c r="W2248" s="233" t="str">
        <f t="shared" si="41"/>
        <v>1w</v>
      </c>
      <c r="X2248" s="234">
        <f>_xll.qlCalendarAdvance(Calendar,X2247,W2248,"f",FALSE)</f>
        <v>54589</v>
      </c>
      <c r="Y2248" s="237">
        <f>_xll.qlCalendarAdvance(Calendar,X2248,NDays&amp;"D")</f>
        <v>54589</v>
      </c>
      <c r="Z2248" s="238">
        <v>3.1923697084126346E-2</v>
      </c>
      <c r="AA2248" s="240">
        <v>3.1577783739857868E-2</v>
      </c>
    </row>
    <row r="2249" spans="19:27" x14ac:dyDescent="0.2">
      <c r="S2249" s="199"/>
      <c r="T2249" s="200"/>
      <c r="W2249" s="233" t="str">
        <f t="shared" si="41"/>
        <v>1w</v>
      </c>
      <c r="X2249" s="234">
        <f>_xll.qlCalendarAdvance(Calendar,X2248,W2249,"f",FALSE)</f>
        <v>54596</v>
      </c>
      <c r="Y2249" s="237">
        <f>_xll.qlCalendarAdvance(Calendar,X2249,NDays&amp;"D")</f>
        <v>54596</v>
      </c>
      <c r="Z2249" s="238">
        <v>3.1918013651197397E-2</v>
      </c>
      <c r="AA2249" s="240">
        <v>3.1571421118835596E-2</v>
      </c>
    </row>
    <row r="2250" spans="19:27" x14ac:dyDescent="0.2">
      <c r="S2250" s="199"/>
      <c r="T2250" s="200"/>
      <c r="W2250" s="233" t="str">
        <f t="shared" si="41"/>
        <v>1w</v>
      </c>
      <c r="X2250" s="234">
        <f>_xll.qlCalendarAdvance(Calendar,X2249,W2250,"f",FALSE)</f>
        <v>54603</v>
      </c>
      <c r="Y2250" s="237">
        <f>_xll.qlCalendarAdvance(Calendar,X2250,NDays&amp;"D")</f>
        <v>54603</v>
      </c>
      <c r="Z2250" s="238">
        <v>3.1912366321881436E-2</v>
      </c>
      <c r="AA2250" s="240">
        <v>3.1565031234735974E-2</v>
      </c>
    </row>
    <row r="2251" spans="19:27" x14ac:dyDescent="0.2">
      <c r="S2251" s="199"/>
      <c r="T2251" s="200"/>
      <c r="W2251" s="233" t="str">
        <f t="shared" si="41"/>
        <v>1w</v>
      </c>
      <c r="X2251" s="234">
        <f>_xll.qlCalendarAdvance(Calendar,X2250,W2251,"f",FALSE)</f>
        <v>54610</v>
      </c>
      <c r="Y2251" s="237">
        <f>_xll.qlCalendarAdvance(Calendar,X2251,NDays&amp;"D")</f>
        <v>54610</v>
      </c>
      <c r="Z2251" s="238">
        <v>3.1906756061213626E-2</v>
      </c>
      <c r="AA2251" s="240">
        <v>3.1558657309702642E-2</v>
      </c>
    </row>
    <row r="2252" spans="19:27" x14ac:dyDescent="0.2">
      <c r="S2252" s="199"/>
      <c r="T2252" s="200"/>
      <c r="W2252" s="233" t="str">
        <f t="shared" si="41"/>
        <v>1w</v>
      </c>
      <c r="X2252" s="234">
        <f>_xll.qlCalendarAdvance(Calendar,X2251,W2252,"f",FALSE)</f>
        <v>54617</v>
      </c>
      <c r="Y2252" s="237">
        <f>_xll.qlCalendarAdvance(Calendar,X2252,NDays&amp;"D")</f>
        <v>54617</v>
      </c>
      <c r="Z2252" s="238">
        <v>3.1901183003239408E-2</v>
      </c>
      <c r="AA2252" s="240">
        <v>3.1552319410875773E-2</v>
      </c>
    </row>
    <row r="2253" spans="19:27" x14ac:dyDescent="0.2">
      <c r="S2253" s="199"/>
      <c r="T2253" s="200"/>
      <c r="W2253" s="233" t="str">
        <f t="shared" si="41"/>
        <v>1w</v>
      </c>
      <c r="X2253" s="234">
        <f>_xll.qlCalendarAdvance(Calendar,X2252,W2253,"f",FALSE)</f>
        <v>54624</v>
      </c>
      <c r="Y2253" s="237">
        <f>_xll.qlCalendarAdvance(Calendar,X2253,NDays&amp;"D")</f>
        <v>54624</v>
      </c>
      <c r="Z2253" s="238">
        <v>3.1895647147357264E-2</v>
      </c>
      <c r="AA2253" s="240">
        <v>3.154601753817432E-2</v>
      </c>
    </row>
    <row r="2254" spans="19:27" x14ac:dyDescent="0.2">
      <c r="S2254" s="199"/>
      <c r="T2254" s="200"/>
      <c r="W2254" s="233" t="str">
        <f t="shared" si="41"/>
        <v>1w</v>
      </c>
      <c r="X2254" s="234">
        <f>_xll.qlCalendarAdvance(Calendar,X2253,W2254,"f",FALSE)</f>
        <v>54631</v>
      </c>
      <c r="Y2254" s="237">
        <f>_xll.qlCalendarAdvance(Calendar,X2254,NDays&amp;"D")</f>
        <v>54631</v>
      </c>
      <c r="Z2254" s="238">
        <v>3.1890148492968118E-2</v>
      </c>
      <c r="AA2254" s="240">
        <v>3.1539751691841422E-2</v>
      </c>
    </row>
    <row r="2255" spans="19:27" x14ac:dyDescent="0.2">
      <c r="S2255" s="199"/>
      <c r="T2255" s="200"/>
      <c r="W2255" s="233" t="str">
        <f t="shared" si="41"/>
        <v>1w</v>
      </c>
      <c r="X2255" s="234">
        <f>_xll.qlCalendarAdvance(Calendar,X2254,W2255,"f",FALSE)</f>
        <v>54638</v>
      </c>
      <c r="Y2255" s="237">
        <f>_xll.qlCalendarAdvance(Calendar,X2255,NDays&amp;"D")</f>
        <v>54638</v>
      </c>
      <c r="Z2255" s="238">
        <v>3.1884687039477777E-2</v>
      </c>
      <c r="AA2255" s="240">
        <v>3.1533521871796033E-2</v>
      </c>
    </row>
    <row r="2256" spans="19:27" x14ac:dyDescent="0.2">
      <c r="S2256" s="199"/>
      <c r="T2256" s="200"/>
      <c r="W2256" s="233" t="str">
        <f t="shared" si="41"/>
        <v>1w</v>
      </c>
      <c r="X2256" s="234">
        <f>_xll.qlCalendarAdvance(Calendar,X2255,W2256,"f",FALSE)</f>
        <v>54645</v>
      </c>
      <c r="Y2256" s="237">
        <f>_xll.qlCalendarAdvance(Calendar,X2256,NDays&amp;"D")</f>
        <v>54645</v>
      </c>
      <c r="Z2256" s="238">
        <v>3.1879262786296048E-2</v>
      </c>
      <c r="AA2256" s="240">
        <v>3.152732807787606E-2</v>
      </c>
    </row>
    <row r="2257" spans="19:27" x14ac:dyDescent="0.2">
      <c r="S2257" s="199"/>
      <c r="T2257" s="200"/>
      <c r="W2257" s="233" t="str">
        <f t="shared" si="41"/>
        <v>1w</v>
      </c>
      <c r="X2257" s="234">
        <f>_xll.qlCalendarAdvance(Calendar,X2256,W2257,"f",FALSE)</f>
        <v>54652</v>
      </c>
      <c r="Y2257" s="237">
        <f>_xll.qlCalendarAdvance(Calendar,X2257,NDays&amp;"D")</f>
        <v>54652</v>
      </c>
      <c r="Z2257" s="238">
        <v>3.187387573283651E-2</v>
      </c>
      <c r="AA2257" s="240">
        <v>3.152117031016255E-2</v>
      </c>
    </row>
    <row r="2258" spans="19:27" x14ac:dyDescent="0.2">
      <c r="S2258" s="199"/>
      <c r="T2258" s="200"/>
      <c r="W2258" s="233" t="str">
        <f t="shared" si="41"/>
        <v>1w</v>
      </c>
      <c r="X2258" s="234">
        <f>_xll.qlCalendarAdvance(Calendar,X2257,W2258,"f",FALSE)</f>
        <v>54659</v>
      </c>
      <c r="Y2258" s="237">
        <f>_xll.qlCalendarAdvance(Calendar,X2258,NDays&amp;"D")</f>
        <v>54659</v>
      </c>
      <c r="Z2258" s="238">
        <v>3.186852587851674E-2</v>
      </c>
      <c r="AA2258" s="240">
        <v>3.1515048568736548E-2</v>
      </c>
    </row>
    <row r="2259" spans="19:27" x14ac:dyDescent="0.2">
      <c r="S2259" s="199"/>
      <c r="T2259" s="200"/>
      <c r="W2259" s="233" t="str">
        <f t="shared" si="41"/>
        <v>1w</v>
      </c>
      <c r="X2259" s="234">
        <f>_xll.qlCalendarAdvance(Calendar,X2258,W2259,"f",FALSE)</f>
        <v>54666</v>
      </c>
      <c r="Y2259" s="237">
        <f>_xll.qlCalendarAdvance(Calendar,X2259,NDays&amp;"D")</f>
        <v>54666</v>
      </c>
      <c r="Z2259" s="238">
        <v>3.1863213222758091E-2</v>
      </c>
      <c r="AA2259" s="240">
        <v>3.1508962853598055E-2</v>
      </c>
    </row>
    <row r="2260" spans="19:27" x14ac:dyDescent="0.2">
      <c r="S2260" s="199"/>
      <c r="T2260" s="200"/>
      <c r="W2260" s="233" t="str">
        <f t="shared" si="41"/>
        <v>1w</v>
      </c>
      <c r="X2260" s="234">
        <f>_xll.qlCalendarAdvance(Calendar,X2259,W2260,"f",FALSE)</f>
        <v>54673</v>
      </c>
      <c r="Y2260" s="237">
        <f>_xll.qlCalendarAdvance(Calendar,X2260,NDays&amp;"D")</f>
        <v>54673</v>
      </c>
      <c r="Z2260" s="238">
        <v>3.1857937764987465E-2</v>
      </c>
      <c r="AA2260" s="240">
        <v>3.1502913164666024E-2</v>
      </c>
    </row>
    <row r="2261" spans="19:27" x14ac:dyDescent="0.2">
      <c r="S2261" s="199"/>
      <c r="T2261" s="200"/>
      <c r="W2261" s="233" t="str">
        <f t="shared" ref="W2261:W2324" si="42">W2260</f>
        <v>1w</v>
      </c>
      <c r="X2261" s="234">
        <f>_xll.qlCalendarAdvance(Calendar,X2260,W2261,"f",FALSE)</f>
        <v>54680</v>
      </c>
      <c r="Y2261" s="237">
        <f>_xll.qlCalendarAdvance(Calendar,X2261,NDays&amp;"D")</f>
        <v>54680</v>
      </c>
      <c r="Z2261" s="238">
        <v>3.1852699504633097E-2</v>
      </c>
      <c r="AA2261" s="240">
        <v>3.1496899501778364E-2</v>
      </c>
    </row>
    <row r="2262" spans="19:27" x14ac:dyDescent="0.2">
      <c r="S2262" s="199"/>
      <c r="T2262" s="200"/>
      <c r="W2262" s="233" t="str">
        <f t="shared" si="42"/>
        <v>1w</v>
      </c>
      <c r="X2262" s="234">
        <f>_xll.qlCalendarAdvance(Calendar,X2261,W2262,"f",FALSE)</f>
        <v>54687</v>
      </c>
      <c r="Y2262" s="237">
        <f>_xll.qlCalendarAdvance(Calendar,X2262,NDays&amp;"D")</f>
        <v>54687</v>
      </c>
      <c r="Z2262" s="238">
        <v>3.1847498441130107E-2</v>
      </c>
      <c r="AA2262" s="240">
        <v>3.1490921865340304E-2</v>
      </c>
    </row>
    <row r="2263" spans="19:27" x14ac:dyDescent="0.2">
      <c r="S2263" s="199"/>
      <c r="T2263" s="200"/>
      <c r="W2263" s="233" t="str">
        <f t="shared" si="42"/>
        <v>1w</v>
      </c>
      <c r="X2263" s="234">
        <f>_xll.qlCalendarAdvance(Calendar,X2262,W2263,"f",FALSE)</f>
        <v>54694</v>
      </c>
      <c r="Y2263" s="237">
        <f>_xll.qlCalendarAdvance(Calendar,X2263,NDays&amp;"D")</f>
        <v>54694</v>
      </c>
      <c r="Z2263" s="238">
        <v>3.1842334573915609E-2</v>
      </c>
      <c r="AA2263" s="240">
        <v>3.1484980255027661E-2</v>
      </c>
    </row>
    <row r="2264" spans="19:27" x14ac:dyDescent="0.2">
      <c r="S2264" s="199"/>
      <c r="T2264" s="200"/>
      <c r="W2264" s="233" t="str">
        <f t="shared" si="42"/>
        <v>1w</v>
      </c>
      <c r="X2264" s="234">
        <f>_xll.qlCalendarAdvance(Calendar,X2263,W2264,"f",FALSE)</f>
        <v>54701</v>
      </c>
      <c r="Y2264" s="237">
        <f>_xll.qlCalendarAdvance(Calendar,X2264,NDays&amp;"D")</f>
        <v>54701</v>
      </c>
      <c r="Z2264" s="238">
        <v>3.1837207902430942E-2</v>
      </c>
      <c r="AA2264" s="240">
        <v>3.1479074670921481E-2</v>
      </c>
    </row>
    <row r="2265" spans="19:27" x14ac:dyDescent="0.2">
      <c r="S2265" s="199"/>
      <c r="T2265" s="200"/>
      <c r="W2265" s="233" t="str">
        <f t="shared" si="42"/>
        <v>1w</v>
      </c>
      <c r="X2265" s="234">
        <f>_xll.qlCalendarAdvance(Calendar,X2264,W2265,"f",FALSE)</f>
        <v>54708</v>
      </c>
      <c r="Y2265" s="237">
        <f>_xll.qlCalendarAdvance(Calendar,X2265,NDays&amp;"D")</f>
        <v>54708</v>
      </c>
      <c r="Z2265" s="238">
        <v>3.1832118426122769E-2</v>
      </c>
      <c r="AA2265" s="240">
        <v>3.1473205113021763E-2</v>
      </c>
    </row>
    <row r="2266" spans="19:27" x14ac:dyDescent="0.2">
      <c r="S2266" s="199"/>
      <c r="T2266" s="200"/>
      <c r="W2266" s="233" t="str">
        <f t="shared" si="42"/>
        <v>1w</v>
      </c>
      <c r="X2266" s="234">
        <f>_xll.qlCalendarAdvance(Calendar,X2265,W2266,"f",FALSE)</f>
        <v>54715</v>
      </c>
      <c r="Y2266" s="237">
        <f>_xll.qlCalendarAdvance(Calendar,X2266,NDays&amp;"D")</f>
        <v>54715</v>
      </c>
      <c r="Z2266" s="238">
        <v>3.1827066144441085E-2</v>
      </c>
      <c r="AA2266" s="240">
        <v>3.14673715814906E-2</v>
      </c>
    </row>
    <row r="2267" spans="19:27" x14ac:dyDescent="0.2">
      <c r="S2267" s="199"/>
      <c r="T2267" s="200"/>
      <c r="W2267" s="233" t="str">
        <f t="shared" si="42"/>
        <v>1w</v>
      </c>
      <c r="X2267" s="234">
        <f>_xll.qlCalendarAdvance(Calendar,X2266,W2267,"f",FALSE)</f>
        <v>54722</v>
      </c>
      <c r="Y2267" s="237">
        <f>_xll.qlCalendarAdvance(Calendar,X2267,NDays&amp;"D")</f>
        <v>54722</v>
      </c>
      <c r="Z2267" s="238">
        <v>3.1822051056838774E-2</v>
      </c>
      <c r="AA2267" s="240">
        <v>3.1461574076084853E-2</v>
      </c>
    </row>
    <row r="2268" spans="19:27" x14ac:dyDescent="0.2">
      <c r="S2268" s="199"/>
      <c r="T2268" s="200"/>
      <c r="W2268" s="233" t="str">
        <f t="shared" si="42"/>
        <v>1w</v>
      </c>
      <c r="X2268" s="234">
        <f>_xll.qlCalendarAdvance(Calendar,X2267,W2268,"f",FALSE)</f>
        <v>54729</v>
      </c>
      <c r="Y2268" s="237">
        <f>_xll.qlCalendarAdvance(Calendar,X2268,NDays&amp;"D")</f>
        <v>54729</v>
      </c>
      <c r="Z2268" s="238">
        <v>3.1817073162774712E-2</v>
      </c>
      <c r="AA2268" s="240">
        <v>3.1455812596723476E-2</v>
      </c>
    </row>
    <row r="2269" spans="19:27" x14ac:dyDescent="0.2">
      <c r="S2269" s="199"/>
      <c r="T2269" s="200"/>
      <c r="W2269" s="233" t="str">
        <f t="shared" si="42"/>
        <v>1w</v>
      </c>
      <c r="X2269" s="234">
        <f>_xll.qlCalendarAdvance(Calendar,X2268,W2269,"f",FALSE)</f>
        <v>54736</v>
      </c>
      <c r="Y2269" s="237">
        <f>_xll.qlCalendarAdvance(Calendar,X2269,NDays&amp;"D")</f>
        <v>54736</v>
      </c>
      <c r="Z2269" s="238">
        <v>3.1812132461709997E-2</v>
      </c>
      <c r="AA2269" s="240">
        <v>3.1450087143730654E-2</v>
      </c>
    </row>
    <row r="2270" spans="19:27" x14ac:dyDescent="0.2">
      <c r="S2270" s="199"/>
      <c r="T2270" s="200"/>
      <c r="W2270" s="233" t="str">
        <f t="shared" si="42"/>
        <v>1w</v>
      </c>
      <c r="X2270" s="234">
        <f>_xll.qlCalendarAdvance(Calendar,X2269,W2270,"f",FALSE)</f>
        <v>54743</v>
      </c>
      <c r="Y2270" s="237">
        <f>_xll.qlCalendarAdvance(Calendar,X2270,NDays&amp;"D")</f>
        <v>54743</v>
      </c>
      <c r="Z2270" s="238">
        <v>3.1807228953111499E-2</v>
      </c>
      <c r="AA2270" s="240">
        <v>3.1444397716944295E-2</v>
      </c>
    </row>
    <row r="2271" spans="19:27" x14ac:dyDescent="0.2">
      <c r="S2271" s="199"/>
      <c r="T2271" s="200"/>
      <c r="W2271" s="233" t="str">
        <f t="shared" si="42"/>
        <v>1w</v>
      </c>
      <c r="X2271" s="234">
        <f>_xll.qlCalendarAdvance(Calendar,X2270,W2271,"f",FALSE)</f>
        <v>54750</v>
      </c>
      <c r="Y2271" s="237">
        <f>_xll.qlCalendarAdvance(Calendar,X2271,NDays&amp;"D")</f>
        <v>54750</v>
      </c>
      <c r="Z2271" s="238">
        <v>3.1802362636448755E-2</v>
      </c>
      <c r="AA2271" s="240">
        <v>3.1438744316445444E-2</v>
      </c>
    </row>
    <row r="2272" spans="19:27" x14ac:dyDescent="0.2">
      <c r="S2272" s="199"/>
      <c r="T2272" s="200"/>
      <c r="W2272" s="233" t="str">
        <f t="shared" si="42"/>
        <v>1w</v>
      </c>
      <c r="X2272" s="234">
        <f>_xll.qlCalendarAdvance(Calendar,X2271,W2272,"f",FALSE)</f>
        <v>54757</v>
      </c>
      <c r="Y2272" s="237">
        <f>_xll.qlCalendarAdvance(Calendar,X2272,NDays&amp;"D")</f>
        <v>54757</v>
      </c>
      <c r="Z2272" s="238">
        <v>3.1797533511195075E-2</v>
      </c>
      <c r="AA2272" s="240">
        <v>3.1433126941909917E-2</v>
      </c>
    </row>
    <row r="2273" spans="19:27" x14ac:dyDescent="0.2">
      <c r="S2273" s="199"/>
      <c r="T2273" s="200"/>
      <c r="W2273" s="233" t="str">
        <f t="shared" si="42"/>
        <v>1w</v>
      </c>
      <c r="X2273" s="234">
        <f>_xll.qlCalendarAdvance(Calendar,X2272,W2273,"f",FALSE)</f>
        <v>54764</v>
      </c>
      <c r="Y2273" s="237">
        <f>_xll.qlCalendarAdvance(Calendar,X2273,NDays&amp;"D")</f>
        <v>54764</v>
      </c>
      <c r="Z2273" s="238">
        <v>3.1792741576829764E-2</v>
      </c>
      <c r="AA2273" s="240">
        <v>3.1427545593905037E-2</v>
      </c>
    </row>
    <row r="2274" spans="19:27" x14ac:dyDescent="0.2">
      <c r="S2274" s="199"/>
      <c r="T2274" s="200"/>
      <c r="W2274" s="233" t="str">
        <f t="shared" si="42"/>
        <v>1w</v>
      </c>
      <c r="X2274" s="234">
        <f>_xll.qlCalendarAdvance(Calendar,X2273,W2274,"f",FALSE)</f>
        <v>54771</v>
      </c>
      <c r="Y2274" s="237">
        <f>_xll.qlCalendarAdvance(Calendar,X2274,NDays&amp;"D")</f>
        <v>54771</v>
      </c>
      <c r="Z2274" s="238">
        <v>3.1787986832833903E-2</v>
      </c>
      <c r="AA2274" s="240">
        <v>3.1422000271782435E-2</v>
      </c>
    </row>
    <row r="2275" spans="19:27" x14ac:dyDescent="0.2">
      <c r="S2275" s="199"/>
      <c r="T2275" s="200"/>
      <c r="W2275" s="233" t="str">
        <f t="shared" si="42"/>
        <v>1w</v>
      </c>
      <c r="X2275" s="234">
        <f>_xll.qlCalendarAdvance(Calendar,X2274,W2275,"f",FALSE)</f>
        <v>54778</v>
      </c>
      <c r="Y2275" s="237">
        <f>_xll.qlCalendarAdvance(Calendar,X2275,NDays&amp;"D")</f>
        <v>54778</v>
      </c>
      <c r="Z2275" s="238">
        <v>3.1783269278693904E-2</v>
      </c>
      <c r="AA2275" s="240">
        <v>3.1416490976028388E-2</v>
      </c>
    </row>
    <row r="2276" spans="19:27" x14ac:dyDescent="0.2">
      <c r="S2276" s="199"/>
      <c r="T2276" s="200"/>
      <c r="W2276" s="233" t="str">
        <f t="shared" si="42"/>
        <v>1w</v>
      </c>
      <c r="X2276" s="234">
        <f>_xll.qlCalendarAdvance(Calendar,X2275,W2276,"f",FALSE)</f>
        <v>54786</v>
      </c>
      <c r="Y2276" s="237">
        <f>_xll.qlCalendarAdvance(Calendar,X2276,NDays&amp;"D")</f>
        <v>54786</v>
      </c>
      <c r="Z2276" s="238">
        <v>3.1777923326193225E-2</v>
      </c>
      <c r="AA2276" s="240">
        <v>3.1410238751711228E-2</v>
      </c>
    </row>
    <row r="2277" spans="19:27" x14ac:dyDescent="0.2">
      <c r="S2277" s="199"/>
      <c r="T2277" s="200"/>
      <c r="W2277" s="233" t="str">
        <f t="shared" si="42"/>
        <v>1w</v>
      </c>
      <c r="X2277" s="234">
        <f>_xll.qlCalendarAdvance(Calendar,X2276,W2277,"f",FALSE)</f>
        <v>54793</v>
      </c>
      <c r="Y2277" s="237">
        <f>_xll.qlCalendarAdvance(Calendar,X2277,NDays&amp;"D")</f>
        <v>54793</v>
      </c>
      <c r="Z2277" s="238">
        <v>3.17732854628896E-2</v>
      </c>
      <c r="AA2277" s="240">
        <v>3.1404806654889983E-2</v>
      </c>
    </row>
    <row r="2278" spans="19:27" x14ac:dyDescent="0.2">
      <c r="S2278" s="199"/>
      <c r="T2278" s="200"/>
      <c r="W2278" s="233" t="str">
        <f t="shared" si="42"/>
        <v>1w</v>
      </c>
      <c r="X2278" s="234">
        <f>_xll.qlCalendarAdvance(Calendar,X2277,W2278,"f",FALSE)</f>
        <v>54800</v>
      </c>
      <c r="Y2278" s="237">
        <f>_xll.qlCalendarAdvance(Calendar,X2278,NDays&amp;"D")</f>
        <v>54800</v>
      </c>
      <c r="Z2278" s="238">
        <v>3.1768684787852663E-2</v>
      </c>
      <c r="AA2278" s="240">
        <v>3.1399410584356247E-2</v>
      </c>
    </row>
    <row r="2279" spans="19:27" x14ac:dyDescent="0.2">
      <c r="S2279" s="199"/>
      <c r="T2279" s="200"/>
      <c r="W2279" s="233" t="str">
        <f t="shared" si="42"/>
        <v>1w</v>
      </c>
      <c r="X2279" s="234">
        <f>_xll.qlCalendarAdvance(Calendar,X2278,W2279,"f",FALSE)</f>
        <v>54807</v>
      </c>
      <c r="Y2279" s="237">
        <f>_xll.qlCalendarAdvance(Calendar,X2279,NDays&amp;"D")</f>
        <v>54807</v>
      </c>
      <c r="Z2279" s="238">
        <v>3.1764121300585257E-2</v>
      </c>
      <c r="AA2279" s="240">
        <v>3.1394050540028973E-2</v>
      </c>
    </row>
    <row r="2280" spans="19:27" x14ac:dyDescent="0.2">
      <c r="S2280" s="199"/>
      <c r="T2280" s="200"/>
      <c r="W2280" s="233" t="str">
        <f t="shared" si="42"/>
        <v>1w</v>
      </c>
      <c r="X2280" s="234">
        <f>_xll.qlCalendarAdvance(Calendar,X2279,W2280,"f",FALSE)</f>
        <v>54814</v>
      </c>
      <c r="Y2280" s="237">
        <f>_xll.qlCalendarAdvance(Calendar,X2280,NDays&amp;"D")</f>
        <v>54814</v>
      </c>
      <c r="Z2280" s="238">
        <v>3.1759595000593999E-2</v>
      </c>
      <c r="AA2280" s="240">
        <v>3.1388726521746069E-2</v>
      </c>
    </row>
    <row r="2281" spans="19:27" x14ac:dyDescent="0.2">
      <c r="S2281" s="199"/>
      <c r="T2281" s="200"/>
      <c r="W2281" s="233" t="str">
        <f t="shared" si="42"/>
        <v>1w</v>
      </c>
      <c r="X2281" s="234">
        <f>_xll.qlCalendarAdvance(Calendar,X2280,W2281,"f",FALSE)</f>
        <v>54821</v>
      </c>
      <c r="Y2281" s="237">
        <f>_xll.qlCalendarAdvance(Calendar,X2281,NDays&amp;"D")</f>
        <v>54821</v>
      </c>
      <c r="Z2281" s="238">
        <v>3.1755105887389501E-2</v>
      </c>
      <c r="AA2281" s="240">
        <v>3.1383438529750673E-2</v>
      </c>
    </row>
    <row r="2282" spans="19:27" x14ac:dyDescent="0.2">
      <c r="S2282" s="199"/>
      <c r="T2282" s="200"/>
      <c r="W2282" s="233" t="str">
        <f t="shared" si="42"/>
        <v>1w</v>
      </c>
      <c r="X2282" s="234">
        <f>_xll.qlCalendarAdvance(Calendar,X2281,W2282,"f",FALSE)</f>
        <v>54828</v>
      </c>
      <c r="Y2282" s="237">
        <f>_xll.qlCalendarAdvance(Calendar,X2282,NDays&amp;"D")</f>
        <v>54828</v>
      </c>
      <c r="Z2282" s="238">
        <v>3.1750653960486819E-2</v>
      </c>
      <c r="AA2282" s="240">
        <v>3.1378186563961741E-2</v>
      </c>
    </row>
    <row r="2283" spans="19:27" x14ac:dyDescent="0.2">
      <c r="S2283" s="199"/>
      <c r="T2283" s="200"/>
      <c r="W2283" s="233" t="str">
        <f t="shared" si="42"/>
        <v>1w</v>
      </c>
      <c r="X2283" s="234">
        <f>_xll.qlCalendarAdvance(Calendar,X2282,W2283,"f",FALSE)</f>
        <v>54835</v>
      </c>
      <c r="Y2283" s="237">
        <f>_xll.qlCalendarAdvance(Calendar,X2283,NDays&amp;"D")</f>
        <v>54835</v>
      </c>
      <c r="Z2283" s="238">
        <v>3.1746239219405004E-2</v>
      </c>
      <c r="AA2283" s="240">
        <v>3.1372970624298224E-2</v>
      </c>
    </row>
    <row r="2284" spans="19:27" x14ac:dyDescent="0.2">
      <c r="S2284" s="199"/>
      <c r="T2284" s="200"/>
      <c r="W2284" s="233" t="str">
        <f t="shared" si="42"/>
        <v>1w</v>
      </c>
      <c r="X2284" s="234">
        <f>_xll.qlCalendarAdvance(Calendar,X2283,W2284,"f",FALSE)</f>
        <v>54842</v>
      </c>
      <c r="Y2284" s="237">
        <f>_xll.qlCalendarAdvance(Calendar,X2284,NDays&amp;"D")</f>
        <v>54842</v>
      </c>
      <c r="Z2284" s="238">
        <v>3.1741861663666437E-2</v>
      </c>
      <c r="AA2284" s="240">
        <v>3.136779071084117E-2</v>
      </c>
    </row>
    <row r="2285" spans="19:27" x14ac:dyDescent="0.2">
      <c r="S2285" s="199"/>
      <c r="T2285" s="200"/>
      <c r="W2285" s="233" t="str">
        <f t="shared" si="42"/>
        <v>1w</v>
      </c>
      <c r="X2285" s="234">
        <f>_xll.qlCalendarAdvance(Calendar,X2284,W2285,"f",FALSE)</f>
        <v>54849</v>
      </c>
      <c r="Y2285" s="237">
        <f>_xll.qlCalendarAdvance(Calendar,X2285,NDays&amp;"D")</f>
        <v>54849</v>
      </c>
      <c r="Z2285" s="238">
        <v>3.1737521292797943E-2</v>
      </c>
      <c r="AA2285" s="240">
        <v>3.1362646823590579E-2</v>
      </c>
    </row>
    <row r="2286" spans="19:27" x14ac:dyDescent="0.2">
      <c r="S2286" s="199"/>
      <c r="T2286" s="200"/>
      <c r="W2286" s="233" t="str">
        <f t="shared" si="42"/>
        <v>1w</v>
      </c>
      <c r="X2286" s="234">
        <f>_xll.qlCalendarAdvance(Calendar,X2285,W2286,"f",FALSE)</f>
        <v>54856</v>
      </c>
      <c r="Y2286" s="237">
        <f>_xll.qlCalendarAdvance(Calendar,X2286,NDays&amp;"D")</f>
        <v>54856</v>
      </c>
      <c r="Z2286" s="238">
        <v>3.1733218106330563E-2</v>
      </c>
      <c r="AA2286" s="240">
        <v>3.135753896254645E-2</v>
      </c>
    </row>
    <row r="2287" spans="19:27" x14ac:dyDescent="0.2">
      <c r="S2287" s="199"/>
      <c r="T2287" s="200"/>
      <c r="W2287" s="233" t="str">
        <f t="shared" si="42"/>
        <v>1w</v>
      </c>
      <c r="X2287" s="234">
        <f>_xll.qlCalendarAdvance(Calendar,X2286,W2287,"f",FALSE)</f>
        <v>54863</v>
      </c>
      <c r="Y2287" s="237">
        <f>_xll.qlCalendarAdvance(Calendar,X2287,NDays&amp;"D")</f>
        <v>54863</v>
      </c>
      <c r="Z2287" s="238">
        <v>3.1728952103799335E-2</v>
      </c>
      <c r="AA2287" s="240">
        <v>3.1352467127627737E-2</v>
      </c>
    </row>
    <row r="2288" spans="19:27" x14ac:dyDescent="0.2">
      <c r="S2288" s="199"/>
      <c r="T2288" s="200"/>
      <c r="W2288" s="233" t="str">
        <f t="shared" si="42"/>
        <v>1w</v>
      </c>
      <c r="X2288" s="234">
        <f>_xll.qlCalendarAdvance(Calendar,X2287,W2288,"f",FALSE)</f>
        <v>54870</v>
      </c>
      <c r="Y2288" s="237">
        <f>_xll.qlCalendarAdvance(Calendar,X2288,NDays&amp;"D")</f>
        <v>54870</v>
      </c>
      <c r="Z2288" s="238">
        <v>3.1724723284742851E-2</v>
      </c>
      <c r="AA2288" s="240">
        <v>3.134743131883444E-2</v>
      </c>
    </row>
    <row r="2289" spans="19:27" x14ac:dyDescent="0.2">
      <c r="S2289" s="199"/>
      <c r="T2289" s="200"/>
      <c r="W2289" s="233" t="str">
        <f t="shared" si="42"/>
        <v>1w</v>
      </c>
      <c r="X2289" s="234">
        <f>_xll.qlCalendarAdvance(Calendar,X2288,W2289,"f",FALSE)</f>
        <v>54877</v>
      </c>
      <c r="Y2289" s="237">
        <f>_xll.qlCalendarAdvance(Calendar,X2289,NDays&amp;"D")</f>
        <v>54877</v>
      </c>
      <c r="Z2289" s="238">
        <v>3.1720531648704142E-2</v>
      </c>
      <c r="AA2289" s="240">
        <v>3.1342431536490745E-2</v>
      </c>
    </row>
    <row r="2290" spans="19:27" x14ac:dyDescent="0.2">
      <c r="S2290" s="199"/>
      <c r="T2290" s="200"/>
      <c r="W2290" s="233" t="str">
        <f t="shared" si="42"/>
        <v>1w</v>
      </c>
      <c r="X2290" s="234">
        <f>_xll.qlCalendarAdvance(Calendar,X2289,W2290,"f",FALSE)</f>
        <v>54884</v>
      </c>
      <c r="Y2290" s="237">
        <f>_xll.qlCalendarAdvance(Calendar,X2290,NDays&amp;"D")</f>
        <v>54884</v>
      </c>
      <c r="Z2290" s="238">
        <v>3.1716377195230017E-2</v>
      </c>
      <c r="AA2290" s="240">
        <v>3.1337467780029327E-2</v>
      </c>
    </row>
    <row r="2291" spans="19:27" x14ac:dyDescent="0.2">
      <c r="S2291" s="199"/>
      <c r="T2291" s="200"/>
      <c r="W2291" s="233" t="str">
        <f t="shared" si="42"/>
        <v>1w</v>
      </c>
      <c r="X2291" s="234">
        <f>_xll.qlCalendarAdvance(Calendar,X2290,W2291,"f",FALSE)</f>
        <v>54891</v>
      </c>
      <c r="Y2291" s="237">
        <f>_xll.qlCalendarAdvance(Calendar,X2291,NDays&amp;"D")</f>
        <v>54891</v>
      </c>
      <c r="Z2291" s="238">
        <v>3.1712259923871944E-2</v>
      </c>
      <c r="AA2291" s="240">
        <v>3.1332540049855417E-2</v>
      </c>
    </row>
    <row r="2292" spans="19:27" x14ac:dyDescent="0.2">
      <c r="S2292" s="199"/>
      <c r="T2292" s="200"/>
      <c r="W2292" s="233" t="str">
        <f t="shared" si="42"/>
        <v>1w</v>
      </c>
      <c r="X2292" s="234">
        <f>_xll.qlCalendarAdvance(Calendar,X2291,W2292,"f",FALSE)</f>
        <v>54898</v>
      </c>
      <c r="Y2292" s="237">
        <f>_xll.qlCalendarAdvance(Calendar,X2292,NDays&amp;"D")</f>
        <v>54898</v>
      </c>
      <c r="Z2292" s="238">
        <v>3.1708179834184502E-2</v>
      </c>
      <c r="AA2292" s="240">
        <v>3.1327648345887971E-2</v>
      </c>
    </row>
    <row r="2293" spans="19:27" x14ac:dyDescent="0.2">
      <c r="S2293" s="199"/>
      <c r="T2293" s="200"/>
      <c r="W2293" s="233" t="str">
        <f t="shared" si="42"/>
        <v>1w</v>
      </c>
      <c r="X2293" s="234">
        <f>_xll.qlCalendarAdvance(Calendar,X2292,W2293,"f",FALSE)</f>
        <v>54905</v>
      </c>
      <c r="Y2293" s="237">
        <f>_xll.qlCalendarAdvance(Calendar,X2293,NDays&amp;"D")</f>
        <v>54905</v>
      </c>
      <c r="Z2293" s="238">
        <v>3.1704136925726489E-2</v>
      </c>
      <c r="AA2293" s="240">
        <v>3.132279266804594E-2</v>
      </c>
    </row>
    <row r="2294" spans="19:27" x14ac:dyDescent="0.2">
      <c r="S2294" s="199"/>
      <c r="T2294" s="200"/>
      <c r="W2294" s="233" t="str">
        <f t="shared" si="42"/>
        <v>1w</v>
      </c>
      <c r="X2294" s="234">
        <f>_xll.qlCalendarAdvance(Calendar,X2293,W2294,"f",FALSE)</f>
        <v>54912</v>
      </c>
      <c r="Y2294" s="237">
        <f>_xll.qlCalendarAdvance(Calendar,X2294,NDays&amp;"D")</f>
        <v>54912</v>
      </c>
      <c r="Z2294" s="238">
        <v>3.1700131198061365E-2</v>
      </c>
      <c r="AA2294" s="240">
        <v>3.1317973016410372E-2</v>
      </c>
    </row>
    <row r="2295" spans="19:27" x14ac:dyDescent="0.2">
      <c r="S2295" s="199"/>
      <c r="T2295" s="200"/>
      <c r="W2295" s="233" t="str">
        <f t="shared" si="42"/>
        <v>1w</v>
      </c>
      <c r="X2295" s="234">
        <f>_xll.qlCalendarAdvance(Calendar,X2294,W2295,"f",FALSE)</f>
        <v>54919</v>
      </c>
      <c r="Y2295" s="237">
        <f>_xll.qlCalendarAdvance(Calendar,X2295,NDays&amp;"D")</f>
        <v>54919</v>
      </c>
      <c r="Z2295" s="238">
        <v>3.1696162650755921E-2</v>
      </c>
      <c r="AA2295" s="240">
        <v>3.1313189390819174E-2</v>
      </c>
    </row>
    <row r="2296" spans="19:27" x14ac:dyDescent="0.2">
      <c r="S2296" s="199"/>
      <c r="T2296" s="200"/>
      <c r="W2296" s="233" t="str">
        <f t="shared" si="42"/>
        <v>1w</v>
      </c>
      <c r="X2296" s="234">
        <f>_xll.qlCalendarAdvance(Calendar,X2295,W2296,"f",FALSE)</f>
        <v>54926</v>
      </c>
      <c r="Y2296" s="237">
        <f>_xll.qlCalendarAdvance(Calendar,X2296,NDays&amp;"D")</f>
        <v>54926</v>
      </c>
      <c r="Z2296" s="238">
        <v>3.1692231283381167E-2</v>
      </c>
      <c r="AA2296" s="240">
        <v>3.1308441791596531E-2</v>
      </c>
    </row>
    <row r="2297" spans="19:27" x14ac:dyDescent="0.2">
      <c r="S2297" s="199"/>
      <c r="T2297" s="200"/>
      <c r="W2297" s="233" t="str">
        <f t="shared" si="42"/>
        <v>1w</v>
      </c>
      <c r="X2297" s="234">
        <f>_xll.qlCalendarAdvance(Calendar,X2296,W2297,"f",FALSE)</f>
        <v>54933</v>
      </c>
      <c r="Y2297" s="237">
        <f>_xll.qlCalendarAdvance(Calendar,X2297,NDays&amp;"D")</f>
        <v>54933</v>
      </c>
      <c r="Z2297" s="238">
        <v>3.1688337095512553E-2</v>
      </c>
      <c r="AA2297" s="240">
        <v>3.1303730218418258E-2</v>
      </c>
    </row>
    <row r="2298" spans="19:27" x14ac:dyDescent="0.2">
      <c r="S2298" s="199"/>
      <c r="T2298" s="200"/>
      <c r="W2298" s="233" t="str">
        <f t="shared" si="42"/>
        <v>1w</v>
      </c>
      <c r="X2298" s="234">
        <f>_xll.qlCalendarAdvance(Calendar,X2297,W2298,"f",FALSE)</f>
        <v>54940</v>
      </c>
      <c r="Y2298" s="237">
        <f>_xll.qlCalendarAdvance(Calendar,X2298,NDays&amp;"D")</f>
        <v>54940</v>
      </c>
      <c r="Z2298" s="238">
        <v>3.1684480086729083E-2</v>
      </c>
      <c r="AA2298" s="240">
        <v>3.1299054671365401E-2</v>
      </c>
    </row>
    <row r="2299" spans="19:27" x14ac:dyDescent="0.2">
      <c r="S2299" s="199"/>
      <c r="T2299" s="200"/>
      <c r="W2299" s="233" t="str">
        <f t="shared" si="42"/>
        <v>1w</v>
      </c>
      <c r="X2299" s="234">
        <f>_xll.qlCalendarAdvance(Calendar,X2298,W2299,"f",FALSE)</f>
        <v>54947</v>
      </c>
      <c r="Y2299" s="237">
        <f>_xll.qlCalendarAdvance(Calendar,X2299,NDays&amp;"D")</f>
        <v>54947</v>
      </c>
      <c r="Z2299" s="238">
        <v>3.1680660256613757E-2</v>
      </c>
      <c r="AA2299" s="240">
        <v>3.1294415150681099E-2</v>
      </c>
    </row>
    <row r="2300" spans="19:27" x14ac:dyDescent="0.2">
      <c r="S2300" s="199"/>
      <c r="T2300" s="200"/>
      <c r="W2300" s="233" t="str">
        <f t="shared" si="42"/>
        <v>1w</v>
      </c>
      <c r="X2300" s="234">
        <f>_xll.qlCalendarAdvance(Calendar,X2299,W2300,"f",FALSE)</f>
        <v>54954</v>
      </c>
      <c r="Y2300" s="237">
        <f>_xll.qlCalendarAdvance(Calendar,X2300,NDays&amp;"D")</f>
        <v>54954</v>
      </c>
      <c r="Z2300" s="238">
        <v>3.1676877604753129E-2</v>
      </c>
      <c r="AA2300" s="240">
        <v>3.128981165596012E-2</v>
      </c>
    </row>
    <row r="2301" spans="19:27" x14ac:dyDescent="0.2">
      <c r="S2301" s="199"/>
      <c r="T2301" s="200"/>
      <c r="W2301" s="233" t="str">
        <f t="shared" si="42"/>
        <v>1w</v>
      </c>
      <c r="X2301" s="234">
        <f>_xll.qlCalendarAdvance(Calendar,X2300,W2301,"f",FALSE)</f>
        <v>54961</v>
      </c>
      <c r="Y2301" s="237">
        <f>_xll.qlCalendarAdvance(Calendar,X2301,NDays&amp;"D")</f>
        <v>54961</v>
      </c>
      <c r="Z2301" s="238">
        <v>3.1673132130739301E-2</v>
      </c>
      <c r="AA2301" s="240">
        <v>3.1285244187364558E-2</v>
      </c>
    </row>
    <row r="2302" spans="19:27" x14ac:dyDescent="0.2">
      <c r="S2302" s="199"/>
      <c r="T2302" s="200"/>
      <c r="W2302" s="233" t="str">
        <f t="shared" si="42"/>
        <v>1w</v>
      </c>
      <c r="X2302" s="234">
        <f>_xll.qlCalendarAdvance(Calendar,X2301,W2302,"f",FALSE)</f>
        <v>54968</v>
      </c>
      <c r="Y2302" s="237">
        <f>_xll.qlCalendarAdvance(Calendar,X2302,NDays&amp;"D")</f>
        <v>54968</v>
      </c>
      <c r="Z2302" s="238">
        <v>3.1669423834167265E-2</v>
      </c>
      <c r="AA2302" s="240">
        <v>3.1280712745056505E-2</v>
      </c>
    </row>
    <row r="2303" spans="19:27" x14ac:dyDescent="0.2">
      <c r="S2303" s="199"/>
      <c r="T2303" s="200"/>
      <c r="W2303" s="233" t="str">
        <f t="shared" si="42"/>
        <v>1w</v>
      </c>
      <c r="X2303" s="234">
        <f>_xll.qlCalendarAdvance(Calendar,X2302,W2303,"f",FALSE)</f>
        <v>54975</v>
      </c>
      <c r="Y2303" s="237">
        <f>_xll.qlCalendarAdvance(Calendar,X2303,NDays&amp;"D")</f>
        <v>54975</v>
      </c>
      <c r="Z2303" s="238">
        <v>3.1665752714636008E-2</v>
      </c>
      <c r="AA2303" s="240">
        <v>3.1276217328954914E-2</v>
      </c>
    </row>
    <row r="2304" spans="19:27" x14ac:dyDescent="0.2">
      <c r="S2304" s="199"/>
      <c r="T2304" s="200"/>
      <c r="W2304" s="233" t="str">
        <f t="shared" si="42"/>
        <v>1w</v>
      </c>
      <c r="X2304" s="234">
        <f>_xll.qlCalendarAdvance(Calendar,X2303,W2304,"f",FALSE)</f>
        <v>54982</v>
      </c>
      <c r="Y2304" s="237">
        <f>_xll.qlCalendarAdvance(Calendar,X2304,NDays&amp;"D")</f>
        <v>54982</v>
      </c>
      <c r="Z2304" s="238">
        <v>3.1662118771748737E-2</v>
      </c>
      <c r="AA2304" s="240">
        <v>3.1271757938897693E-2</v>
      </c>
    </row>
    <row r="2305" spans="19:27" x14ac:dyDescent="0.2">
      <c r="S2305" s="199"/>
      <c r="T2305" s="200"/>
      <c r="W2305" s="233" t="str">
        <f t="shared" si="42"/>
        <v>1w</v>
      </c>
      <c r="X2305" s="234">
        <f>_xll.qlCalendarAdvance(Calendar,X2304,W2305,"f",FALSE)</f>
        <v>54989</v>
      </c>
      <c r="Y2305" s="237">
        <f>_xll.qlCalendarAdvance(Calendar,X2305,NDays&amp;"D")</f>
        <v>54989</v>
      </c>
      <c r="Z2305" s="238">
        <v>3.1658522005112655E-2</v>
      </c>
      <c r="AA2305" s="240">
        <v>3.1267334575046934E-2</v>
      </c>
    </row>
    <row r="2306" spans="19:27" x14ac:dyDescent="0.2">
      <c r="S2306" s="199"/>
      <c r="T2306" s="200"/>
      <c r="W2306" s="233" t="str">
        <f t="shared" si="42"/>
        <v>1w</v>
      </c>
      <c r="X2306" s="234">
        <f>_xll.qlCalendarAdvance(Calendar,X2305,W2306,"f",FALSE)</f>
        <v>54996</v>
      </c>
      <c r="Y2306" s="237">
        <f>_xll.qlCalendarAdvance(Calendar,X2306,NDays&amp;"D")</f>
        <v>54996</v>
      </c>
      <c r="Z2306" s="238">
        <v>3.1654962414338961E-2</v>
      </c>
      <c r="AA2306" s="240">
        <v>3.1262947237240546E-2</v>
      </c>
    </row>
    <row r="2307" spans="19:27" x14ac:dyDescent="0.2">
      <c r="S2307" s="199"/>
      <c r="T2307" s="200"/>
      <c r="W2307" s="233" t="str">
        <f t="shared" si="42"/>
        <v>1w</v>
      </c>
      <c r="X2307" s="234">
        <f>_xll.qlCalendarAdvance(Calendar,X2306,W2307,"f",FALSE)</f>
        <v>55003</v>
      </c>
      <c r="Y2307" s="237">
        <f>_xll.qlCalendarAdvance(Calendar,X2307,NDays&amp;"D")</f>
        <v>55003</v>
      </c>
      <c r="Z2307" s="238">
        <v>3.1651439999043518E-2</v>
      </c>
      <c r="AA2307" s="240">
        <v>3.1258595925883759E-2</v>
      </c>
    </row>
    <row r="2308" spans="19:27" x14ac:dyDescent="0.2">
      <c r="S2308" s="199"/>
      <c r="T2308" s="200"/>
      <c r="W2308" s="233" t="str">
        <f t="shared" si="42"/>
        <v>1w</v>
      </c>
      <c r="X2308" s="234">
        <f>_xll.qlCalendarAdvance(Calendar,X2307,W2308,"f",FALSE)</f>
        <v>55010</v>
      </c>
      <c r="Y2308" s="237">
        <f>_xll.qlCalendarAdvance(Calendar,X2308,NDays&amp;"D")</f>
        <v>55010</v>
      </c>
      <c r="Z2308" s="238">
        <v>3.1647954758844854E-2</v>
      </c>
      <c r="AA2308" s="240">
        <v>3.1254280640409249E-2</v>
      </c>
    </row>
    <row r="2309" spans="19:27" x14ac:dyDescent="0.2">
      <c r="S2309" s="199"/>
      <c r="T2309" s="200"/>
      <c r="W2309" s="233" t="str">
        <f t="shared" si="42"/>
        <v>1w</v>
      </c>
      <c r="X2309" s="234">
        <f>_xll.qlCalendarAdvance(Calendar,X2308,W2309,"f",FALSE)</f>
        <v>55017</v>
      </c>
      <c r="Y2309" s="237">
        <f>_xll.qlCalendarAdvance(Calendar,X2309,NDays&amp;"D")</f>
        <v>55017</v>
      </c>
      <c r="Z2309" s="238">
        <v>3.1644506693366825E-2</v>
      </c>
      <c r="AA2309" s="240">
        <v>3.1250001381141201E-2</v>
      </c>
    </row>
    <row r="2310" spans="19:27" x14ac:dyDescent="0.2">
      <c r="S2310" s="199"/>
      <c r="T2310" s="200"/>
      <c r="W2310" s="233" t="str">
        <f t="shared" si="42"/>
        <v>1w</v>
      </c>
      <c r="X2310" s="234">
        <f>_xll.qlCalendarAdvance(Calendar,X2309,W2310,"f",FALSE)</f>
        <v>55024</v>
      </c>
      <c r="Y2310" s="237">
        <f>_xll.qlCalendarAdvance(Calendar,X2310,NDays&amp;"D")</f>
        <v>55024</v>
      </c>
      <c r="Z2310" s="238">
        <v>3.1641095802236174E-2</v>
      </c>
      <c r="AA2310" s="240">
        <v>3.1245758148079616E-2</v>
      </c>
    </row>
    <row r="2311" spans="19:27" x14ac:dyDescent="0.2">
      <c r="S2311" s="199"/>
      <c r="T2311" s="200"/>
      <c r="W2311" s="233" t="str">
        <f t="shared" si="42"/>
        <v>1w</v>
      </c>
      <c r="X2311" s="234">
        <f>_xll.qlCalendarAdvance(Calendar,X2310,W2311,"f",FALSE)</f>
        <v>55031</v>
      </c>
      <c r="Y2311" s="237">
        <f>_xll.qlCalendarAdvance(Calendar,X2311,NDays&amp;"D")</f>
        <v>55031</v>
      </c>
      <c r="Z2311" s="238">
        <v>3.1637722085085196E-2</v>
      </c>
      <c r="AA2311" s="240">
        <v>3.1241550941143448E-2</v>
      </c>
    </row>
    <row r="2312" spans="19:27" x14ac:dyDescent="0.2">
      <c r="S2312" s="199"/>
      <c r="T2312" s="200"/>
      <c r="W2312" s="233" t="str">
        <f t="shared" si="42"/>
        <v>1w</v>
      </c>
      <c r="X2312" s="234">
        <f>_xll.qlCalendarAdvance(Calendar,X2311,W2312,"f",FALSE)</f>
        <v>55038</v>
      </c>
      <c r="Y2312" s="237">
        <f>_xll.qlCalendarAdvance(Calendar,X2312,NDays&amp;"D")</f>
        <v>55038</v>
      </c>
      <c r="Z2312" s="238">
        <v>3.163438554154796E-2</v>
      </c>
      <c r="AA2312" s="240">
        <v>3.1237379760332695E-2</v>
      </c>
    </row>
    <row r="2313" spans="19:27" x14ac:dyDescent="0.2">
      <c r="S2313" s="199"/>
      <c r="T2313" s="200"/>
      <c r="W2313" s="233" t="str">
        <f t="shared" si="42"/>
        <v>1w</v>
      </c>
      <c r="X2313" s="234">
        <f>_xll.qlCalendarAdvance(Calendar,X2312,W2313,"f",FALSE)</f>
        <v>55045</v>
      </c>
      <c r="Y2313" s="237">
        <f>_xll.qlCalendarAdvance(Calendar,X2313,NDays&amp;"D")</f>
        <v>55045</v>
      </c>
      <c r="Z2313" s="238">
        <v>3.1631086171265199E-2</v>
      </c>
      <c r="AA2313" s="240">
        <v>3.1233244605647359E-2</v>
      </c>
    </row>
    <row r="2314" spans="19:27" x14ac:dyDescent="0.2">
      <c r="S2314" s="199"/>
      <c r="T2314" s="200"/>
      <c r="W2314" s="233" t="str">
        <f t="shared" si="42"/>
        <v>1w</v>
      </c>
      <c r="X2314" s="234">
        <f>_xll.qlCalendarAdvance(Calendar,X2313,W2314,"f",FALSE)</f>
        <v>55052</v>
      </c>
      <c r="Y2314" s="237">
        <f>_xll.qlCalendarAdvance(Calendar,X2314,NDays&amp;"D")</f>
        <v>55052</v>
      </c>
      <c r="Z2314" s="238">
        <v>3.1627823973879421E-2</v>
      </c>
      <c r="AA2314" s="240">
        <v>3.1229145477087439E-2</v>
      </c>
    </row>
    <row r="2315" spans="19:27" x14ac:dyDescent="0.2">
      <c r="S2315" s="199"/>
      <c r="T2315" s="200"/>
      <c r="W2315" s="233" t="str">
        <f t="shared" si="42"/>
        <v>1w</v>
      </c>
      <c r="X2315" s="234">
        <f>_xll.qlCalendarAdvance(Calendar,X2314,W2315,"f",FALSE)</f>
        <v>55059</v>
      </c>
      <c r="Y2315" s="237">
        <f>_xll.qlCalendarAdvance(Calendar,X2315,NDays&amp;"D")</f>
        <v>55059</v>
      </c>
      <c r="Z2315" s="238">
        <v>3.1624598949038241E-2</v>
      </c>
      <c r="AA2315" s="240">
        <v>3.1225082374733981E-2</v>
      </c>
    </row>
    <row r="2316" spans="19:27" x14ac:dyDescent="0.2">
      <c r="S2316" s="199"/>
      <c r="T2316" s="200"/>
      <c r="W2316" s="233" t="str">
        <f t="shared" si="42"/>
        <v>1w</v>
      </c>
      <c r="X2316" s="234">
        <f>_xll.qlCalendarAdvance(Calendar,X2315,W2316,"f",FALSE)</f>
        <v>55066</v>
      </c>
      <c r="Y2316" s="237">
        <f>_xll.qlCalendarAdvance(Calendar,X2316,NDays&amp;"D")</f>
        <v>55066</v>
      </c>
      <c r="Z2316" s="238">
        <v>3.1621411096393715E-2</v>
      </c>
      <c r="AA2316" s="240">
        <v>3.1221055298586986E-2</v>
      </c>
    </row>
    <row r="2317" spans="19:27" x14ac:dyDescent="0.2">
      <c r="S2317" s="199"/>
      <c r="T2317" s="200"/>
      <c r="W2317" s="233" t="str">
        <f t="shared" si="42"/>
        <v>1w</v>
      </c>
      <c r="X2317" s="234">
        <f>_xll.qlCalendarAdvance(Calendar,X2316,W2317,"f",FALSE)</f>
        <v>55073</v>
      </c>
      <c r="Y2317" s="237">
        <f>_xll.qlCalendarAdvance(Calendar,X2317,NDays&amp;"D")</f>
        <v>55073</v>
      </c>
      <c r="Z2317" s="238">
        <v>3.1618260415600341E-2</v>
      </c>
      <c r="AA2317" s="240">
        <v>3.1217064248403315E-2</v>
      </c>
    </row>
    <row r="2318" spans="19:27" x14ac:dyDescent="0.2">
      <c r="S2318" s="199"/>
      <c r="T2318" s="200"/>
      <c r="W2318" s="233" t="str">
        <f t="shared" si="42"/>
        <v>1w</v>
      </c>
      <c r="X2318" s="234">
        <f>_xll.qlCalendarAdvance(Calendar,X2317,W2318,"f",FALSE)</f>
        <v>55080</v>
      </c>
      <c r="Y2318" s="237">
        <f>_xll.qlCalendarAdvance(Calendar,X2318,NDays&amp;"D")</f>
        <v>55080</v>
      </c>
      <c r="Z2318" s="238">
        <v>3.1615146906317726E-2</v>
      </c>
      <c r="AA2318" s="240">
        <v>3.1213109224426105E-2</v>
      </c>
    </row>
    <row r="2319" spans="19:27" x14ac:dyDescent="0.2">
      <c r="S2319" s="199"/>
      <c r="T2319" s="200"/>
      <c r="W2319" s="233" t="str">
        <f t="shared" si="42"/>
        <v>1w</v>
      </c>
      <c r="X2319" s="234">
        <f>_xll.qlCalendarAdvance(Calendar,X2318,W2319,"f",FALSE)</f>
        <v>55087</v>
      </c>
      <c r="Y2319" s="237">
        <f>_xll.qlCalendarAdvance(Calendar,X2319,NDays&amp;"D")</f>
        <v>55087</v>
      </c>
      <c r="Z2319" s="238">
        <v>3.161207056821036E-2</v>
      </c>
      <c r="AA2319" s="240">
        <v>3.1209190226736405E-2</v>
      </c>
    </row>
    <row r="2320" spans="19:27" x14ac:dyDescent="0.2">
      <c r="S2320" s="199"/>
      <c r="T2320" s="200"/>
      <c r="W2320" s="233" t="str">
        <f t="shared" si="42"/>
        <v>1w</v>
      </c>
      <c r="X2320" s="234">
        <f>_xll.qlCalendarAdvance(Calendar,X2319,W2320,"f",FALSE)</f>
        <v>55094</v>
      </c>
      <c r="Y2320" s="237">
        <f>_xll.qlCalendarAdvance(Calendar,X2320,NDays&amp;"D")</f>
        <v>55094</v>
      </c>
      <c r="Z2320" s="238">
        <v>3.1609031400944732E-2</v>
      </c>
      <c r="AA2320" s="240">
        <v>3.1205307254928982E-2</v>
      </c>
    </row>
    <row r="2321" spans="19:27" x14ac:dyDescent="0.2">
      <c r="S2321" s="199"/>
      <c r="T2321" s="200"/>
      <c r="W2321" s="233" t="str">
        <f t="shared" si="42"/>
        <v>1w</v>
      </c>
      <c r="X2321" s="234">
        <f>_xll.qlCalendarAdvance(Calendar,X2320,W2321,"f",FALSE)</f>
        <v>55101</v>
      </c>
      <c r="Y2321" s="237">
        <f>_xll.qlCalendarAdvance(Calendar,X2321,NDays&amp;"D")</f>
        <v>55101</v>
      </c>
      <c r="Z2321" s="238">
        <v>3.1606029404192659E-2</v>
      </c>
      <c r="AA2321" s="240">
        <v>3.1201460309490114E-2</v>
      </c>
    </row>
    <row r="2322" spans="19:27" x14ac:dyDescent="0.2">
      <c r="S2322" s="199"/>
      <c r="T2322" s="200"/>
      <c r="W2322" s="233" t="str">
        <f t="shared" si="42"/>
        <v>1w</v>
      </c>
      <c r="X2322" s="234">
        <f>_xll.qlCalendarAdvance(Calendar,X2321,W2322,"f",FALSE)</f>
        <v>55108</v>
      </c>
      <c r="Y2322" s="237">
        <f>_xll.qlCalendarAdvance(Calendar,X2322,NDays&amp;"D")</f>
        <v>55108</v>
      </c>
      <c r="Z2322" s="238">
        <v>3.1603064577629958E-2</v>
      </c>
      <c r="AA2322" s="240">
        <v>3.1197649390095616E-2</v>
      </c>
    </row>
    <row r="2323" spans="19:27" x14ac:dyDescent="0.2">
      <c r="S2323" s="199"/>
      <c r="T2323" s="200"/>
      <c r="W2323" s="233" t="str">
        <f t="shared" si="42"/>
        <v>1w</v>
      </c>
      <c r="X2323" s="234">
        <f>_xll.qlCalendarAdvance(Calendar,X2322,W2323,"f",FALSE)</f>
        <v>55115</v>
      </c>
      <c r="Y2323" s="237">
        <f>_xll.qlCalendarAdvance(Calendar,X2323,NDays&amp;"D")</f>
        <v>55115</v>
      </c>
      <c r="Z2323" s="238">
        <v>3.1600136920935773E-2</v>
      </c>
      <c r="AA2323" s="240">
        <v>3.1193874496826535E-2</v>
      </c>
    </row>
    <row r="2324" spans="19:27" x14ac:dyDescent="0.2">
      <c r="S2324" s="199"/>
      <c r="T2324" s="200"/>
      <c r="W2324" s="233" t="str">
        <f t="shared" si="42"/>
        <v>1w</v>
      </c>
      <c r="X2324" s="234">
        <f>_xll.qlCalendarAdvance(Calendar,X2323,W2324,"f",FALSE)</f>
        <v>55122</v>
      </c>
      <c r="Y2324" s="237">
        <f>_xll.qlCalendarAdvance(Calendar,X2324,NDays&amp;"D")</f>
        <v>55122</v>
      </c>
      <c r="Z2324" s="238">
        <v>3.1597246433794357E-2</v>
      </c>
      <c r="AA2324" s="240">
        <v>3.1190135629682869E-2</v>
      </c>
    </row>
    <row r="2325" spans="19:27" x14ac:dyDescent="0.2">
      <c r="S2325" s="199"/>
      <c r="T2325" s="200"/>
      <c r="W2325" s="233" t="str">
        <f t="shared" ref="W2325:W2388" si="43">W2324</f>
        <v>1w</v>
      </c>
      <c r="X2325" s="234">
        <f>_xll.qlCalendarAdvance(Calendar,X2324,W2325,"f",FALSE)</f>
        <v>55129</v>
      </c>
      <c r="Y2325" s="237">
        <f>_xll.qlCalendarAdvance(Calendar,X2325,NDays&amp;"D")</f>
        <v>55129</v>
      </c>
      <c r="Z2325" s="238">
        <v>3.1594393115892627E-2</v>
      </c>
      <c r="AA2325" s="240">
        <v>3.1186432788826712E-2</v>
      </c>
    </row>
    <row r="2326" spans="19:27" x14ac:dyDescent="0.2">
      <c r="S2326" s="199"/>
      <c r="T2326" s="200"/>
      <c r="W2326" s="233" t="str">
        <f t="shared" si="43"/>
        <v>1w</v>
      </c>
      <c r="X2326" s="234">
        <f>_xll.qlCalendarAdvance(Calendar,X2325,W2326,"f",FALSE)</f>
        <v>55136</v>
      </c>
      <c r="Y2326" s="237">
        <f>_xll.qlCalendarAdvance(Calendar,X2326,NDays&amp;"D")</f>
        <v>55136</v>
      </c>
      <c r="Z2326" s="238">
        <v>3.1591576966922386E-2</v>
      </c>
      <c r="AA2326" s="240">
        <v>3.1182765973933879E-2</v>
      </c>
    </row>
    <row r="2327" spans="19:27" x14ac:dyDescent="0.2">
      <c r="S2327" s="199"/>
      <c r="T2327" s="200"/>
      <c r="W2327" s="233" t="str">
        <f t="shared" si="43"/>
        <v>1w</v>
      </c>
      <c r="X2327" s="234">
        <f>_xll.qlCalendarAdvance(Calendar,X2326,W2327,"f",FALSE)</f>
        <v>55143</v>
      </c>
      <c r="Y2327" s="237">
        <f>_xll.qlCalendarAdvance(Calendar,X2327,NDays&amp;"D")</f>
        <v>55143</v>
      </c>
      <c r="Z2327" s="238">
        <v>3.1588797986579653E-2</v>
      </c>
      <c r="AA2327" s="240">
        <v>3.1179135185166462E-2</v>
      </c>
    </row>
    <row r="2328" spans="19:27" x14ac:dyDescent="0.2">
      <c r="S2328" s="199"/>
      <c r="T2328" s="200"/>
      <c r="W2328" s="233" t="str">
        <f t="shared" si="43"/>
        <v>1w</v>
      </c>
      <c r="X2328" s="234">
        <f>_xll.qlCalendarAdvance(Calendar,X2327,W2328,"f",FALSE)</f>
        <v>55150</v>
      </c>
      <c r="Y2328" s="237">
        <f>_xll.qlCalendarAdvance(Calendar,X2328,NDays&amp;"D")</f>
        <v>55150</v>
      </c>
      <c r="Z2328" s="238">
        <v>3.1586056174563115E-2</v>
      </c>
      <c r="AA2328" s="240">
        <v>3.1175540422605508E-2</v>
      </c>
    </row>
    <row r="2329" spans="19:27" x14ac:dyDescent="0.2">
      <c r="S2329" s="199"/>
      <c r="T2329" s="200"/>
      <c r="W2329" s="233" t="str">
        <f t="shared" si="43"/>
        <v>1w</v>
      </c>
      <c r="X2329" s="234">
        <f>_xll.qlCalendarAdvance(Calendar,X2328,W2329,"f",FALSE)</f>
        <v>55157</v>
      </c>
      <c r="Y2329" s="237">
        <f>_xll.qlCalendarAdvance(Calendar,X2329,NDays&amp;"D")</f>
        <v>55157</v>
      </c>
      <c r="Z2329" s="238">
        <v>3.1583351530577675E-2</v>
      </c>
      <c r="AA2329" s="240">
        <v>3.1171981686088923E-2</v>
      </c>
    </row>
    <row r="2330" spans="19:27" x14ac:dyDescent="0.2">
      <c r="S2330" s="199"/>
      <c r="T2330" s="200"/>
      <c r="W2330" s="233" t="str">
        <f t="shared" si="43"/>
        <v>1w</v>
      </c>
      <c r="X2330" s="234">
        <f>_xll.qlCalendarAdvance(Calendar,X2329,W2330,"f",FALSE)</f>
        <v>55164</v>
      </c>
      <c r="Y2330" s="237">
        <f>_xll.qlCalendarAdvance(Calendar,X2330,NDays&amp;"D")</f>
        <v>55164</v>
      </c>
      <c r="Z2330" s="238">
        <v>3.1580684054330233E-2</v>
      </c>
      <c r="AA2330" s="240">
        <v>3.1168458975778801E-2</v>
      </c>
    </row>
    <row r="2331" spans="19:27" x14ac:dyDescent="0.2">
      <c r="S2331" s="199"/>
      <c r="T2331" s="200"/>
      <c r="W2331" s="233" t="str">
        <f t="shared" si="43"/>
        <v>1w</v>
      </c>
      <c r="X2331" s="234">
        <f>_xll.qlCalendarAdvance(Calendar,X2330,W2331,"f",FALSE)</f>
        <v>55171</v>
      </c>
      <c r="Y2331" s="237">
        <f>_xll.qlCalendarAdvance(Calendar,X2331,NDays&amp;"D")</f>
        <v>55171</v>
      </c>
      <c r="Z2331" s="238">
        <v>3.1578053745532797E-2</v>
      </c>
      <c r="AA2331" s="240">
        <v>3.1164972291513049E-2</v>
      </c>
    </row>
    <row r="2332" spans="19:27" x14ac:dyDescent="0.2">
      <c r="S2332" s="199"/>
      <c r="T2332" s="200"/>
      <c r="W2332" s="233" t="str">
        <f t="shared" si="43"/>
        <v>1w</v>
      </c>
      <c r="X2332" s="234">
        <f>_xll.qlCalendarAdvance(Calendar,X2331,W2332,"f",FALSE)</f>
        <v>55178</v>
      </c>
      <c r="Y2332" s="237">
        <f>_xll.qlCalendarAdvance(Calendar,X2332,NDays&amp;"D")</f>
        <v>55178</v>
      </c>
      <c r="Z2332" s="238">
        <v>3.1575460603900929E-2</v>
      </c>
      <c r="AA2332" s="240">
        <v>3.1161521633453759E-2</v>
      </c>
    </row>
    <row r="2333" spans="19:27" x14ac:dyDescent="0.2">
      <c r="S2333" s="199"/>
      <c r="T2333" s="200"/>
      <c r="W2333" s="233" t="str">
        <f t="shared" si="43"/>
        <v>1w</v>
      </c>
      <c r="X2333" s="234">
        <f>_xll.qlCalendarAdvance(Calendar,X2332,W2333,"f",FALSE)</f>
        <v>55185</v>
      </c>
      <c r="Y2333" s="237">
        <f>_xll.qlCalendarAdvance(Calendar,X2333,NDays&amp;"D")</f>
        <v>55185</v>
      </c>
      <c r="Z2333" s="238">
        <v>3.157290462915463E-2</v>
      </c>
      <c r="AA2333" s="240">
        <v>3.1158107001519886E-2</v>
      </c>
    </row>
    <row r="2334" spans="19:27" x14ac:dyDescent="0.2">
      <c r="S2334" s="199"/>
      <c r="T2334" s="200"/>
      <c r="W2334" s="233" t="str">
        <f t="shared" si="43"/>
        <v>1w</v>
      </c>
      <c r="X2334" s="234">
        <f>_xll.qlCalendarAdvance(Calendar,X2333,W2334,"f",FALSE)</f>
        <v>55192</v>
      </c>
      <c r="Y2334" s="237">
        <f>_xll.qlCalendarAdvance(Calendar,X2334,NDays&amp;"D")</f>
        <v>55192</v>
      </c>
      <c r="Z2334" s="238">
        <v>3.1570385821017677E-2</v>
      </c>
      <c r="AA2334" s="240">
        <v>3.1154728395630382E-2</v>
      </c>
    </row>
    <row r="2335" spans="19:27" x14ac:dyDescent="0.2">
      <c r="S2335" s="199"/>
      <c r="T2335" s="200"/>
      <c r="W2335" s="233" t="str">
        <f t="shared" si="43"/>
        <v>1w</v>
      </c>
      <c r="X2335" s="234">
        <f>_xll.qlCalendarAdvance(Calendar,X2334,W2335,"f",FALSE)</f>
        <v>55199</v>
      </c>
      <c r="Y2335" s="237">
        <f>_xll.qlCalendarAdvance(Calendar,X2335,NDays&amp;"D")</f>
        <v>55199</v>
      </c>
      <c r="Z2335" s="238">
        <v>3.1567904179217177E-2</v>
      </c>
      <c r="AA2335" s="240">
        <v>3.1151385815866295E-2</v>
      </c>
    </row>
    <row r="2336" spans="19:27" x14ac:dyDescent="0.2">
      <c r="S2336" s="199"/>
      <c r="T2336" s="200"/>
      <c r="W2336" s="233" t="str">
        <f t="shared" si="43"/>
        <v>1w</v>
      </c>
      <c r="X2336" s="234">
        <f>_xll.qlCalendarAdvance(Calendar,X2335,W2336,"f",FALSE)</f>
        <v>55206</v>
      </c>
      <c r="Y2336" s="237">
        <f>_xll.qlCalendarAdvance(Calendar,X2336,NDays&amp;"D")</f>
        <v>55206</v>
      </c>
      <c r="Z2336" s="238">
        <v>3.1565459703485788E-2</v>
      </c>
      <c r="AA2336" s="240">
        <v>3.114807926230867E-2</v>
      </c>
    </row>
    <row r="2337" spans="19:27" x14ac:dyDescent="0.2">
      <c r="S2337" s="199"/>
      <c r="T2337" s="200"/>
      <c r="W2337" s="233" t="str">
        <f t="shared" si="43"/>
        <v>1w</v>
      </c>
      <c r="X2337" s="234">
        <f>_xll.qlCalendarAdvance(Calendar,X2336,W2337,"f",FALSE)</f>
        <v>55213</v>
      </c>
      <c r="Y2337" s="237">
        <f>_xll.qlCalendarAdvance(Calendar,X2337,NDays&amp;"D")</f>
        <v>55213</v>
      </c>
      <c r="Z2337" s="238">
        <v>3.1564255547441536E-2</v>
      </c>
      <c r="AA2337" s="240">
        <v>3.1144808734795415E-2</v>
      </c>
    </row>
    <row r="2338" spans="19:27" x14ac:dyDescent="0.2">
      <c r="S2338" s="199"/>
      <c r="T2338" s="200"/>
      <c r="W2338" s="233" t="str">
        <f t="shared" si="43"/>
        <v>1w</v>
      </c>
      <c r="X2338" s="234">
        <f>_xll.qlCalendarAdvance(Calendar,X2337,W2338,"f",FALSE)</f>
        <v>55220</v>
      </c>
      <c r="Y2338" s="237">
        <f>_xll.qlCalendarAdvance(Calendar,X2338,NDays&amp;"D")</f>
        <v>55220</v>
      </c>
      <c r="Z2338" s="238">
        <v>3.1561887856115016E-2</v>
      </c>
      <c r="AA2338" s="240">
        <v>3.1141574233407576E-2</v>
      </c>
    </row>
    <row r="2339" spans="19:27" x14ac:dyDescent="0.2">
      <c r="S2339" s="199"/>
      <c r="T2339" s="200"/>
      <c r="W2339" s="233" t="str">
        <f t="shared" si="43"/>
        <v>1w</v>
      </c>
      <c r="X2339" s="234">
        <f>_xll.qlCalendarAdvance(Calendar,X2338,W2339,"f",FALSE)</f>
        <v>55227</v>
      </c>
      <c r="Y2339" s="237">
        <f>_xll.qlCalendarAdvance(Calendar,X2339,NDays&amp;"D")</f>
        <v>55227</v>
      </c>
      <c r="Z2339" s="238">
        <v>3.1559557333238869E-2</v>
      </c>
      <c r="AA2339" s="240">
        <v>3.1138375758145154E-2</v>
      </c>
    </row>
    <row r="2340" spans="19:27" x14ac:dyDescent="0.2">
      <c r="S2340" s="199"/>
      <c r="T2340" s="200"/>
      <c r="W2340" s="233" t="str">
        <f t="shared" si="43"/>
        <v>1w</v>
      </c>
      <c r="X2340" s="234">
        <f>_xll.qlCalendarAdvance(Calendar,X2339,W2340,"f",FALSE)</f>
        <v>55234</v>
      </c>
      <c r="Y2340" s="237">
        <f>_xll.qlCalendarAdvance(Calendar,X2340,NDays&amp;"D")</f>
        <v>55234</v>
      </c>
      <c r="Z2340" s="238">
        <v>3.1557263978559777E-2</v>
      </c>
      <c r="AA2340" s="240">
        <v>3.1135213309089194E-2</v>
      </c>
    </row>
    <row r="2341" spans="19:27" x14ac:dyDescent="0.2">
      <c r="S2341" s="199"/>
      <c r="T2341" s="200"/>
      <c r="W2341" s="233" t="str">
        <f t="shared" si="43"/>
        <v>1w</v>
      </c>
      <c r="X2341" s="234">
        <f>_xll.qlCalendarAdvance(Calendar,X2340,W2341,"f",FALSE)</f>
        <v>55241</v>
      </c>
      <c r="Y2341" s="237">
        <f>_xll.qlCalendarAdvance(Calendar,X2341,NDays&amp;"D")</f>
        <v>55241</v>
      </c>
      <c r="Z2341" s="238">
        <v>3.1555007791828842E-2</v>
      </c>
      <c r="AA2341" s="240">
        <v>3.1132086885996557E-2</v>
      </c>
    </row>
    <row r="2342" spans="19:27" x14ac:dyDescent="0.2">
      <c r="S2342" s="199"/>
      <c r="T2342" s="200"/>
      <c r="W2342" s="233" t="str">
        <f t="shared" si="43"/>
        <v>1w</v>
      </c>
      <c r="X2342" s="234">
        <f>_xll.qlCalendarAdvance(Calendar,X2341,W2342,"f",FALSE)</f>
        <v>55248</v>
      </c>
      <c r="Y2342" s="237">
        <f>_xll.qlCalendarAdvance(Calendar,X2342,NDays&amp;"D")</f>
        <v>55248</v>
      </c>
      <c r="Z2342" s="238">
        <v>3.1552788772802265E-2</v>
      </c>
      <c r="AA2342" s="240">
        <v>3.1128996489110383E-2</v>
      </c>
    </row>
    <row r="2343" spans="19:27" x14ac:dyDescent="0.2">
      <c r="S2343" s="199"/>
      <c r="T2343" s="200"/>
      <c r="W2343" s="233" t="str">
        <f t="shared" si="43"/>
        <v>1w</v>
      </c>
      <c r="X2343" s="234">
        <f>_xll.qlCalendarAdvance(Calendar,X2342,W2343,"f",FALSE)</f>
        <v>55255</v>
      </c>
      <c r="Y2343" s="237">
        <f>_xll.qlCalendarAdvance(Calendar,X2343,NDays&amp;"D")</f>
        <v>55255</v>
      </c>
      <c r="Z2343" s="238">
        <v>3.1550606921239115E-2</v>
      </c>
      <c r="AA2343" s="240">
        <v>3.1125942118349625E-2</v>
      </c>
    </row>
    <row r="2344" spans="19:27" x14ac:dyDescent="0.2">
      <c r="S2344" s="199"/>
      <c r="T2344" s="200"/>
      <c r="W2344" s="233" t="str">
        <f t="shared" si="43"/>
        <v>1w</v>
      </c>
      <c r="X2344" s="234">
        <f>_xll.qlCalendarAdvance(Calendar,X2343,W2344,"f",FALSE)</f>
        <v>55262</v>
      </c>
      <c r="Y2344" s="237">
        <f>_xll.qlCalendarAdvance(Calendar,X2344,NDays&amp;"D")</f>
        <v>55262</v>
      </c>
      <c r="Z2344" s="238">
        <v>3.1553346880751044E-2</v>
      </c>
      <c r="AA2344" s="240">
        <v>3.112292377379533E-2</v>
      </c>
    </row>
    <row r="2345" spans="19:27" x14ac:dyDescent="0.2">
      <c r="S2345" s="199"/>
      <c r="T2345" s="200"/>
      <c r="W2345" s="233" t="str">
        <f t="shared" si="43"/>
        <v>1w</v>
      </c>
      <c r="X2345" s="234">
        <f>_xll.qlCalendarAdvance(Calendar,X2344,W2345,"f",FALSE)</f>
        <v>55269</v>
      </c>
      <c r="Y2345" s="237">
        <f>_xll.qlCalendarAdvance(Calendar,X2345,NDays&amp;"D")</f>
        <v>55269</v>
      </c>
      <c r="Z2345" s="238">
        <v>3.1546354719561777E-2</v>
      </c>
      <c r="AA2345" s="240">
        <v>3.1119941455204359E-2</v>
      </c>
    </row>
    <row r="2346" spans="19:27" x14ac:dyDescent="0.2">
      <c r="S2346" s="199"/>
      <c r="T2346" s="200"/>
      <c r="W2346" s="233" t="str">
        <f t="shared" si="43"/>
        <v>1w</v>
      </c>
      <c r="X2346" s="234">
        <f>_xll.qlCalendarAdvance(Calendar,X2345,W2346,"f",FALSE)</f>
        <v>55276</v>
      </c>
      <c r="Y2346" s="237">
        <f>_xll.qlCalendarAdvance(Calendar,X2346,NDays&amp;"D")</f>
        <v>55276</v>
      </c>
      <c r="Z2346" s="238">
        <v>3.1544284368987215E-2</v>
      </c>
      <c r="AA2346" s="240">
        <v>3.1116995162738803E-2</v>
      </c>
    </row>
    <row r="2347" spans="19:27" x14ac:dyDescent="0.2">
      <c r="S2347" s="199"/>
      <c r="T2347" s="200"/>
      <c r="W2347" s="233" t="str">
        <f t="shared" si="43"/>
        <v>1w</v>
      </c>
      <c r="X2347" s="234">
        <f>_xll.qlCalendarAdvance(Calendar,X2346,W2347,"f",FALSE)</f>
        <v>55283</v>
      </c>
      <c r="Y2347" s="237">
        <f>_xll.qlCalendarAdvance(Calendar,X2347,NDays&amp;"D")</f>
        <v>55283</v>
      </c>
      <c r="Z2347" s="238">
        <v>3.1542251184953796E-2</v>
      </c>
      <c r="AA2347" s="240">
        <v>3.1114084896398664E-2</v>
      </c>
    </row>
    <row r="2348" spans="19:27" x14ac:dyDescent="0.2">
      <c r="S2348" s="199"/>
      <c r="T2348" s="200"/>
      <c r="W2348" s="233" t="str">
        <f t="shared" si="43"/>
        <v>1w</v>
      </c>
      <c r="X2348" s="234">
        <f>_xll.qlCalendarAdvance(Calendar,X2347,W2348,"f",FALSE)</f>
        <v>55290</v>
      </c>
      <c r="Y2348" s="237">
        <f>_xll.qlCalendarAdvance(Calendar,X2348,NDays&amp;"D")</f>
        <v>55290</v>
      </c>
      <c r="Z2348" s="238">
        <v>3.1540255167242515E-2</v>
      </c>
      <c r="AA2348" s="240">
        <v>3.1111210656183941E-2</v>
      </c>
    </row>
    <row r="2349" spans="19:27" x14ac:dyDescent="0.2">
      <c r="S2349" s="199"/>
      <c r="T2349" s="200"/>
      <c r="W2349" s="233" t="str">
        <f t="shared" si="43"/>
        <v>1w</v>
      </c>
      <c r="X2349" s="234">
        <f>_xll.qlCalendarAdvance(Calendar,X2348,W2349,"f",FALSE)</f>
        <v>55297</v>
      </c>
      <c r="Y2349" s="237">
        <f>_xll.qlCalendarAdvance(Calendar,X2349,NDays&amp;"D")</f>
        <v>55297</v>
      </c>
      <c r="Z2349" s="238">
        <v>3.1538296315636143E-2</v>
      </c>
      <c r="AA2349" s="240">
        <v>3.1108372442013588E-2</v>
      </c>
    </row>
    <row r="2350" spans="19:27" x14ac:dyDescent="0.2">
      <c r="S2350" s="199"/>
      <c r="T2350" s="200"/>
      <c r="W2350" s="233" t="str">
        <f t="shared" si="43"/>
        <v>1w</v>
      </c>
      <c r="X2350" s="234">
        <f>_xll.qlCalendarAdvance(Calendar,X2349,W2350,"f",FALSE)</f>
        <v>55304</v>
      </c>
      <c r="Y2350" s="237">
        <f>_xll.qlCalendarAdvance(Calendar,X2350,NDays&amp;"D")</f>
        <v>55304</v>
      </c>
      <c r="Z2350" s="238">
        <v>3.1536374629923203E-2</v>
      </c>
      <c r="AA2350" s="240">
        <v>3.1105570254049697E-2</v>
      </c>
    </row>
    <row r="2351" spans="19:27" x14ac:dyDescent="0.2">
      <c r="S2351" s="199"/>
      <c r="T2351" s="200"/>
      <c r="W2351" s="233" t="str">
        <f t="shared" si="43"/>
        <v>1w</v>
      </c>
      <c r="X2351" s="234">
        <f>_xll.qlCalendarAdvance(Calendar,X2350,W2351,"f",FALSE)</f>
        <v>55311</v>
      </c>
      <c r="Y2351" s="237">
        <f>_xll.qlCalendarAdvance(Calendar,X2351,NDays&amp;"D")</f>
        <v>55311</v>
      </c>
      <c r="Z2351" s="238">
        <v>3.1534490109894883E-2</v>
      </c>
      <c r="AA2351" s="240">
        <v>3.1102804092211223E-2</v>
      </c>
    </row>
    <row r="2352" spans="19:27" x14ac:dyDescent="0.2">
      <c r="S2352" s="199"/>
      <c r="T2352" s="200"/>
      <c r="W2352" s="233" t="str">
        <f t="shared" si="43"/>
        <v>1w</v>
      </c>
      <c r="X2352" s="234">
        <f>_xll.qlCalendarAdvance(Calendar,X2351,W2352,"f",FALSE)</f>
        <v>55318</v>
      </c>
      <c r="Y2352" s="237">
        <f>_xll.qlCalendarAdvance(Calendar,X2352,NDays&amp;"D")</f>
        <v>55318</v>
      </c>
      <c r="Z2352" s="238">
        <v>3.1532642755346577E-2</v>
      </c>
      <c r="AA2352" s="240">
        <v>3.1100073956173979E-2</v>
      </c>
    </row>
    <row r="2353" spans="19:27" x14ac:dyDescent="0.2">
      <c r="S2353" s="199"/>
      <c r="T2353" s="200"/>
      <c r="W2353" s="233" t="str">
        <f t="shared" si="43"/>
        <v>1w</v>
      </c>
      <c r="X2353" s="234">
        <f>_xll.qlCalendarAdvance(Calendar,X2352,W2353,"f",FALSE)</f>
        <v>55325</v>
      </c>
      <c r="Y2353" s="237">
        <f>_xll.qlCalendarAdvance(Calendar,X2353,NDays&amp;"D")</f>
        <v>55325</v>
      </c>
      <c r="Z2353" s="238">
        <v>3.1530832566079206E-2</v>
      </c>
      <c r="AA2353" s="240">
        <v>3.1097379846586337E-2</v>
      </c>
    </row>
    <row r="2354" spans="19:27" x14ac:dyDescent="0.2">
      <c r="S2354" s="199"/>
      <c r="T2354" s="200"/>
      <c r="W2354" s="233" t="str">
        <f t="shared" si="43"/>
        <v>1w</v>
      </c>
      <c r="X2354" s="234">
        <f>_xll.qlCalendarAdvance(Calendar,X2353,W2354,"f",FALSE)</f>
        <v>55332</v>
      </c>
      <c r="Y2354" s="237">
        <f>_xll.qlCalendarAdvance(Calendar,X2354,NDays&amp;"D")</f>
        <v>55332</v>
      </c>
      <c r="Z2354" s="238">
        <v>3.1529059541896574E-2</v>
      </c>
      <c r="AA2354" s="240">
        <v>3.1094721763124111E-2</v>
      </c>
    </row>
    <row r="2355" spans="19:27" x14ac:dyDescent="0.2">
      <c r="S2355" s="199"/>
      <c r="T2355" s="200"/>
      <c r="W2355" s="233" t="str">
        <f t="shared" si="43"/>
        <v>1w</v>
      </c>
      <c r="X2355" s="234">
        <f>_xll.qlCalendarAdvance(Calendar,X2354,W2355,"f",FALSE)</f>
        <v>55339</v>
      </c>
      <c r="Y2355" s="237">
        <f>_xll.qlCalendarAdvance(Calendar,X2355,NDays&amp;"D")</f>
        <v>55339</v>
      </c>
      <c r="Z2355" s="238">
        <v>3.1527323682605156E-2</v>
      </c>
      <c r="AA2355" s="240">
        <v>3.1092099705625209E-2</v>
      </c>
    </row>
    <row r="2356" spans="19:27" x14ac:dyDescent="0.2">
      <c r="S2356" s="199"/>
      <c r="T2356" s="200"/>
      <c r="W2356" s="233" t="str">
        <f t="shared" si="43"/>
        <v>1w</v>
      </c>
      <c r="X2356" s="234">
        <f>_xll.qlCalendarAdvance(Calendar,X2355,W2356,"f",FALSE)</f>
        <v>55346</v>
      </c>
      <c r="Y2356" s="237">
        <f>_xll.qlCalendarAdvance(Calendar,X2356,NDays&amp;"D")</f>
        <v>55346</v>
      </c>
      <c r="Z2356" s="238">
        <v>3.1525624988018051E-2</v>
      </c>
      <c r="AA2356" s="240">
        <v>3.1089513674251723E-2</v>
      </c>
    </row>
    <row r="2357" spans="19:27" x14ac:dyDescent="0.2">
      <c r="S2357" s="199"/>
      <c r="T2357" s="200"/>
      <c r="W2357" s="233" t="str">
        <f t="shared" si="43"/>
        <v>1w</v>
      </c>
      <c r="X2357" s="234">
        <f>_xll.qlCalendarAdvance(Calendar,X2356,W2357,"f",FALSE)</f>
        <v>55353</v>
      </c>
      <c r="Y2357" s="237">
        <f>_xll.qlCalendarAdvance(Calendar,X2357,NDays&amp;"D")</f>
        <v>55353</v>
      </c>
      <c r="Z2357" s="238">
        <v>3.1523963457950804E-2</v>
      </c>
      <c r="AA2357" s="240">
        <v>3.1086963669003653E-2</v>
      </c>
    </row>
    <row r="2358" spans="19:27" x14ac:dyDescent="0.2">
      <c r="S2358" s="199"/>
      <c r="T2358" s="200"/>
      <c r="W2358" s="233" t="str">
        <f t="shared" si="43"/>
        <v>1w</v>
      </c>
      <c r="X2358" s="234">
        <f>_xll.qlCalendarAdvance(Calendar,X2357,W2358,"f",FALSE)</f>
        <v>55360</v>
      </c>
      <c r="Y2358" s="237">
        <f>_xll.qlCalendarAdvance(Calendar,X2358,NDays&amp;"D")</f>
        <v>55360</v>
      </c>
      <c r="Z2358" s="238">
        <v>3.1522339092223156E-2</v>
      </c>
      <c r="AA2358" s="240">
        <v>3.1084449689718907E-2</v>
      </c>
    </row>
    <row r="2359" spans="19:27" x14ac:dyDescent="0.2">
      <c r="S2359" s="199"/>
      <c r="T2359" s="200"/>
      <c r="W2359" s="233" t="str">
        <f t="shared" si="43"/>
        <v>1w</v>
      </c>
      <c r="X2359" s="234">
        <f>_xll.qlCalendarAdvance(Calendar,X2358,W2359,"f",FALSE)</f>
        <v>55367</v>
      </c>
      <c r="Y2359" s="237">
        <f>_xll.qlCalendarAdvance(Calendar,X2359,NDays&amp;"D")</f>
        <v>55367</v>
      </c>
      <c r="Z2359" s="238">
        <v>3.1520751890659296E-2</v>
      </c>
      <c r="AA2359" s="240">
        <v>3.108197173672167E-2</v>
      </c>
    </row>
    <row r="2360" spans="19:27" x14ac:dyDescent="0.2">
      <c r="S2360" s="199"/>
      <c r="T2360" s="200"/>
      <c r="W2360" s="233" t="str">
        <f t="shared" si="43"/>
        <v>1w</v>
      </c>
      <c r="X2360" s="234">
        <f>_xll.qlCalendarAdvance(Calendar,X2359,W2360,"f",FALSE)</f>
        <v>55374</v>
      </c>
      <c r="Y2360" s="237">
        <f>_xll.qlCalendarAdvance(Calendar,X2360,NDays&amp;"D")</f>
        <v>55374</v>
      </c>
      <c r="Z2360" s="238">
        <v>3.1519201853086938E-2</v>
      </c>
      <c r="AA2360" s="240">
        <v>3.1079529809687756E-2</v>
      </c>
    </row>
    <row r="2361" spans="19:27" x14ac:dyDescent="0.2">
      <c r="S2361" s="199"/>
      <c r="T2361" s="200"/>
      <c r="W2361" s="233" t="str">
        <f t="shared" si="43"/>
        <v>1w</v>
      </c>
      <c r="X2361" s="234">
        <f>_xll.qlCalendarAdvance(Calendar,X2360,W2361,"f",FALSE)</f>
        <v>55381</v>
      </c>
      <c r="Y2361" s="237">
        <f>_xll.qlCalendarAdvance(Calendar,X2361,NDays&amp;"D")</f>
        <v>55381</v>
      </c>
      <c r="Z2361" s="238">
        <v>3.1517688979339341E-2</v>
      </c>
      <c r="AA2361" s="240">
        <v>3.1077123908941351E-2</v>
      </c>
    </row>
    <row r="2362" spans="19:27" x14ac:dyDescent="0.2">
      <c r="S2362" s="199"/>
      <c r="T2362" s="200"/>
      <c r="W2362" s="233" t="str">
        <f t="shared" si="43"/>
        <v>1w</v>
      </c>
      <c r="X2362" s="234">
        <f>_xll.qlCalendarAdvance(Calendar,X2361,W2362,"f",FALSE)</f>
        <v>55388</v>
      </c>
      <c r="Y2362" s="237">
        <f>_xll.qlCalendarAdvance(Calendar,X2362,NDays&amp;"D")</f>
        <v>55388</v>
      </c>
      <c r="Z2362" s="238">
        <v>3.1516213269250651E-2</v>
      </c>
      <c r="AA2362" s="240">
        <v>3.1074754034077223E-2</v>
      </c>
    </row>
    <row r="2363" spans="19:27" x14ac:dyDescent="0.2">
      <c r="S2363" s="199"/>
      <c r="T2363" s="200"/>
      <c r="W2363" s="233" t="str">
        <f t="shared" si="43"/>
        <v>1w</v>
      </c>
      <c r="X2363" s="234">
        <f>_xll.qlCalendarAdvance(Calendar,X2362,W2363,"f",FALSE)</f>
        <v>55395</v>
      </c>
      <c r="Y2363" s="237">
        <f>_xll.qlCalendarAdvance(Calendar,X2363,NDays&amp;"D")</f>
        <v>55395</v>
      </c>
      <c r="Z2363" s="238">
        <v>3.1514774722662092E-2</v>
      </c>
      <c r="AA2363" s="240">
        <v>3.1072420185338512E-2</v>
      </c>
    </row>
    <row r="2364" spans="19:27" x14ac:dyDescent="0.2">
      <c r="S2364" s="199"/>
      <c r="T2364" s="200"/>
      <c r="W2364" s="233" t="str">
        <f t="shared" si="43"/>
        <v>1w</v>
      </c>
      <c r="X2364" s="234">
        <f>_xll.qlCalendarAdvance(Calendar,X2363,W2364,"f",FALSE)</f>
        <v>55402</v>
      </c>
      <c r="Y2364" s="237">
        <f>_xll.qlCalendarAdvance(Calendar,X2364,NDays&amp;"D")</f>
        <v>55402</v>
      </c>
      <c r="Z2364" s="238">
        <v>3.1513373339417561E-2</v>
      </c>
      <c r="AA2364" s="240">
        <v>3.1070122362725217E-2</v>
      </c>
    </row>
    <row r="2365" spans="19:27" x14ac:dyDescent="0.2">
      <c r="S2365" s="199"/>
      <c r="T2365" s="200"/>
      <c r="W2365" s="233" t="str">
        <f t="shared" si="43"/>
        <v>1w</v>
      </c>
      <c r="X2365" s="234">
        <f>_xll.qlCalendarAdvance(Calendar,X2364,W2365,"f",FALSE)</f>
        <v>55409</v>
      </c>
      <c r="Y2365" s="237">
        <f>_xll.qlCalendarAdvance(Calendar,X2365,NDays&amp;"D")</f>
        <v>55409</v>
      </c>
      <c r="Z2365" s="238">
        <v>3.1512009119365803E-2</v>
      </c>
      <c r="AA2365" s="240">
        <v>3.1067860566480476E-2</v>
      </c>
    </row>
    <row r="2366" spans="19:27" x14ac:dyDescent="0.2">
      <c r="S2366" s="199"/>
      <c r="T2366" s="200"/>
      <c r="W2366" s="233" t="str">
        <f t="shared" si="43"/>
        <v>1w</v>
      </c>
      <c r="X2366" s="234">
        <f>_xll.qlCalendarAdvance(Calendar,X2365,W2366,"f",FALSE)</f>
        <v>55416</v>
      </c>
      <c r="Y2366" s="237">
        <f>_xll.qlCalendarAdvance(Calendar,X2366,NDays&amp;"D")</f>
        <v>55416</v>
      </c>
      <c r="Z2366" s="238">
        <v>3.1510682062357791E-2</v>
      </c>
      <c r="AA2366" s="240">
        <v>3.1065634796036967E-2</v>
      </c>
    </row>
    <row r="2367" spans="19:27" x14ac:dyDescent="0.2">
      <c r="S2367" s="199"/>
      <c r="T2367" s="200"/>
      <c r="W2367" s="233" t="str">
        <f t="shared" si="43"/>
        <v>1w</v>
      </c>
      <c r="X2367" s="234">
        <f>_xll.qlCalendarAdvance(Calendar,X2366,W2367,"f",FALSE)</f>
        <v>55423</v>
      </c>
      <c r="Y2367" s="237">
        <f>_xll.qlCalendarAdvance(Calendar,X2367,NDays&amp;"D")</f>
        <v>55423</v>
      </c>
      <c r="Z2367" s="238">
        <v>3.1509392168250265E-2</v>
      </c>
      <c r="AA2367" s="240">
        <v>3.1063445051637828E-2</v>
      </c>
    </row>
    <row r="2368" spans="19:27" x14ac:dyDescent="0.2">
      <c r="S2368" s="199"/>
      <c r="T2368" s="200"/>
      <c r="W2368" s="233" t="str">
        <f t="shared" si="43"/>
        <v>1w</v>
      </c>
      <c r="X2368" s="234">
        <f>_xll.qlCalendarAdvance(Calendar,X2367,W2368,"f",FALSE)</f>
        <v>55430</v>
      </c>
      <c r="Y2368" s="237">
        <f>_xll.qlCalendarAdvance(Calendar,X2368,NDays&amp;"D")</f>
        <v>55430</v>
      </c>
      <c r="Z2368" s="238">
        <v>3.1508139436903934E-2</v>
      </c>
      <c r="AA2368" s="240">
        <v>3.1061291333607244E-2</v>
      </c>
    </row>
    <row r="2369" spans="19:27" x14ac:dyDescent="0.2">
      <c r="S2369" s="199"/>
      <c r="T2369" s="200"/>
      <c r="W2369" s="233" t="str">
        <f t="shared" si="43"/>
        <v>1w</v>
      </c>
      <c r="X2369" s="234">
        <f>_xll.qlCalendarAdvance(Calendar,X2368,W2369,"f",FALSE)</f>
        <v>55437</v>
      </c>
      <c r="Y2369" s="237">
        <f>_xll.qlCalendarAdvance(Calendar,X2369,NDays&amp;"D")</f>
        <v>55437</v>
      </c>
      <c r="Z2369" s="238">
        <v>3.1506923868182615E-2</v>
      </c>
      <c r="AA2369" s="240">
        <v>3.1059173641539983E-2</v>
      </c>
    </row>
    <row r="2370" spans="19:27" x14ac:dyDescent="0.2">
      <c r="S2370" s="199"/>
      <c r="T2370" s="200"/>
      <c r="W2370" s="233" t="str">
        <f t="shared" si="43"/>
        <v>1w</v>
      </c>
      <c r="X2370" s="234">
        <f>_xll.qlCalendarAdvance(Calendar,X2369,W2370,"f",FALSE)</f>
        <v>55444</v>
      </c>
      <c r="Y2370" s="237">
        <f>_xll.qlCalendarAdvance(Calendar,X2370,NDays&amp;"D")</f>
        <v>55444</v>
      </c>
      <c r="Z2370" s="238">
        <v>3.1505745461953664E-2</v>
      </c>
      <c r="AA2370" s="240">
        <v>3.1057091975355E-2</v>
      </c>
    </row>
    <row r="2371" spans="19:27" x14ac:dyDescent="0.2">
      <c r="S2371" s="199"/>
      <c r="T2371" s="200"/>
      <c r="W2371" s="233" t="str">
        <f t="shared" si="43"/>
        <v>1w</v>
      </c>
      <c r="X2371" s="234">
        <f>_xll.qlCalendarAdvance(Calendar,X2370,W2371,"f",FALSE)</f>
        <v>55451</v>
      </c>
      <c r="Y2371" s="237">
        <f>_xll.qlCalendarAdvance(Calendar,X2371,NDays&amp;"D")</f>
        <v>55451</v>
      </c>
      <c r="Z2371" s="238">
        <v>3.1504604218090863E-2</v>
      </c>
      <c r="AA2371" s="240">
        <v>3.1055046335457526E-2</v>
      </c>
    </row>
    <row r="2372" spans="19:27" x14ac:dyDescent="0.2">
      <c r="S2372" s="199"/>
      <c r="T2372" s="200"/>
      <c r="W2372" s="233" t="str">
        <f t="shared" si="43"/>
        <v>1w</v>
      </c>
      <c r="X2372" s="234">
        <f>_xll.qlCalendarAdvance(Calendar,X2371,W2372,"f",FALSE)</f>
        <v>55458</v>
      </c>
      <c r="Y2372" s="237">
        <f>_xll.qlCalendarAdvance(Calendar,X2372,NDays&amp;"D")</f>
        <v>55458</v>
      </c>
      <c r="Z2372" s="238">
        <v>3.1503500136470651E-2</v>
      </c>
      <c r="AA2372" s="240">
        <v>3.1053036721766514E-2</v>
      </c>
    </row>
    <row r="2373" spans="19:27" x14ac:dyDescent="0.2">
      <c r="S2373" s="199"/>
      <c r="T2373" s="200"/>
      <c r="W2373" s="233" t="str">
        <f t="shared" si="43"/>
        <v>1w</v>
      </c>
      <c r="X2373" s="234">
        <f>_xll.qlCalendarAdvance(Calendar,X2372,W2373,"f",FALSE)</f>
        <v>55465</v>
      </c>
      <c r="Y2373" s="237">
        <f>_xll.qlCalendarAdvance(Calendar,X2373,NDays&amp;"D")</f>
        <v>55465</v>
      </c>
      <c r="Z2373" s="238">
        <v>3.1502433216971902E-2</v>
      </c>
      <c r="AA2373" s="240">
        <v>3.1051063134038825E-2</v>
      </c>
    </row>
    <row r="2374" spans="19:27" x14ac:dyDescent="0.2">
      <c r="S2374" s="199"/>
      <c r="T2374" s="200"/>
      <c r="W2374" s="233" t="str">
        <f t="shared" si="43"/>
        <v>1w</v>
      </c>
      <c r="X2374" s="234">
        <f>_xll.qlCalendarAdvance(Calendar,X2373,W2374,"f",FALSE)</f>
        <v>55472</v>
      </c>
      <c r="Y2374" s="237">
        <f>_xll.qlCalendarAdvance(Calendar,X2374,NDays&amp;"D")</f>
        <v>55472</v>
      </c>
      <c r="Z2374" s="238">
        <v>3.1501403459479459E-2</v>
      </c>
      <c r="AA2374" s="240">
        <v>3.1049125572274461E-2</v>
      </c>
    </row>
    <row r="2375" spans="19:27" x14ac:dyDescent="0.2">
      <c r="S2375" s="199"/>
      <c r="T2375" s="200"/>
      <c r="W2375" s="233" t="str">
        <f t="shared" si="43"/>
        <v>1w</v>
      </c>
      <c r="X2375" s="234">
        <f>_xll.qlCalendarAdvance(Calendar,X2374,W2375,"f",FALSE)</f>
        <v>55479</v>
      </c>
      <c r="Y2375" s="237">
        <f>_xll.qlCalendarAdvance(Calendar,X2375,NDays&amp;"D")</f>
        <v>55479</v>
      </c>
      <c r="Z2375" s="238">
        <v>3.150041086388284E-2</v>
      </c>
      <c r="AA2375" s="240">
        <v>3.1047224036797605E-2</v>
      </c>
    </row>
    <row r="2376" spans="19:27" x14ac:dyDescent="0.2">
      <c r="S2376" s="199"/>
      <c r="T2376" s="200"/>
      <c r="W2376" s="233" t="str">
        <f t="shared" si="43"/>
        <v>1w</v>
      </c>
      <c r="X2376" s="234">
        <f>_xll.qlCalendarAdvance(Calendar,X2375,W2376,"f",FALSE)</f>
        <v>55486</v>
      </c>
      <c r="Y2376" s="237">
        <f>_xll.qlCalendarAdvance(Calendar,X2376,NDays&amp;"D")</f>
        <v>55486</v>
      </c>
      <c r="Z2376" s="238">
        <v>3.1499455430073313E-2</v>
      </c>
      <c r="AA2376" s="240">
        <v>3.1045358527365119E-2</v>
      </c>
    </row>
    <row r="2377" spans="19:27" x14ac:dyDescent="0.2">
      <c r="S2377" s="199"/>
      <c r="T2377" s="200"/>
      <c r="W2377" s="233" t="str">
        <f t="shared" si="43"/>
        <v>1w</v>
      </c>
      <c r="X2377" s="234">
        <f>_xll.qlCalendarAdvance(Calendar,X2376,W2377,"f",FALSE)</f>
        <v>55493</v>
      </c>
      <c r="Y2377" s="237">
        <f>_xll.qlCalendarAdvance(Calendar,X2377,NDays&amp;"D")</f>
        <v>55493</v>
      </c>
      <c r="Z2377" s="238">
        <v>3.1498537157947898E-2</v>
      </c>
      <c r="AA2377" s="240">
        <v>3.1043529044058049E-2</v>
      </c>
    </row>
    <row r="2378" spans="19:27" x14ac:dyDescent="0.2">
      <c r="S2378" s="199"/>
      <c r="T2378" s="200"/>
      <c r="W2378" s="233" t="str">
        <f t="shared" si="43"/>
        <v>1w</v>
      </c>
      <c r="X2378" s="234">
        <f>_xll.qlCalendarAdvance(Calendar,X2377,W2378,"f",FALSE)</f>
        <v>55500</v>
      </c>
      <c r="Y2378" s="237">
        <f>_xll.qlCalendarAdvance(Calendar,X2378,NDays&amp;"D")</f>
        <v>55500</v>
      </c>
      <c r="Z2378" s="238">
        <v>3.1497656047406522E-2</v>
      </c>
      <c r="AA2378" s="240">
        <v>3.1041735586633257E-2</v>
      </c>
    </row>
    <row r="2379" spans="19:27" x14ac:dyDescent="0.2">
      <c r="S2379" s="199"/>
      <c r="T2379" s="200"/>
      <c r="W2379" s="233" t="str">
        <f t="shared" si="43"/>
        <v>1w</v>
      </c>
      <c r="X2379" s="234">
        <f>_xll.qlCalendarAdvance(Calendar,X2378,W2379,"f",FALSE)</f>
        <v>55507</v>
      </c>
      <c r="Y2379" s="237">
        <f>_xll.qlCalendarAdvance(Calendar,X2379,NDays&amp;"D")</f>
        <v>55507</v>
      </c>
      <c r="Z2379" s="238">
        <v>3.1496812098354844E-2</v>
      </c>
      <c r="AA2379" s="240">
        <v>3.1039978155577019E-2</v>
      </c>
    </row>
    <row r="2380" spans="19:27" x14ac:dyDescent="0.2">
      <c r="S2380" s="199"/>
      <c r="T2380" s="200"/>
      <c r="W2380" s="233" t="str">
        <f t="shared" si="43"/>
        <v>1w</v>
      </c>
      <c r="X2380" s="234">
        <f>_xll.qlCalendarAdvance(Calendar,X2379,W2380,"f",FALSE)</f>
        <v>55514</v>
      </c>
      <c r="Y2380" s="237">
        <f>_xll.qlCalendarAdvance(Calendar,X2380,NDays&amp;"D")</f>
        <v>55514</v>
      </c>
      <c r="Z2380" s="238">
        <v>3.1496005310700306E-2</v>
      </c>
      <c r="AA2380" s="240">
        <v>3.1038256750403059E-2</v>
      </c>
    </row>
    <row r="2381" spans="19:27" x14ac:dyDescent="0.2">
      <c r="S2381" s="199"/>
      <c r="T2381" s="200"/>
      <c r="W2381" s="233" t="str">
        <f t="shared" si="43"/>
        <v>1w</v>
      </c>
      <c r="X2381" s="234">
        <f>_xll.qlCalendarAdvance(Calendar,X2380,W2381,"f",FALSE)</f>
        <v>55521</v>
      </c>
      <c r="Y2381" s="237">
        <f>_xll.qlCalendarAdvance(Calendar,X2381,NDays&amp;"D")</f>
        <v>55521</v>
      </c>
      <c r="Z2381" s="238">
        <v>3.1495235684355437E-2</v>
      </c>
      <c r="AA2381" s="240">
        <v>3.1036571371435562E-2</v>
      </c>
    </row>
    <row r="2382" spans="19:27" x14ac:dyDescent="0.2">
      <c r="S2382" s="199"/>
      <c r="T2382" s="200"/>
      <c r="W2382" s="233" t="str">
        <f t="shared" si="43"/>
        <v>1w</v>
      </c>
      <c r="X2382" s="234">
        <f>_xll.qlCalendarAdvance(Calendar,X2381,W2382,"f",FALSE)</f>
        <v>55528</v>
      </c>
      <c r="Y2382" s="237">
        <f>_xll.qlCalendarAdvance(Calendar,X2382,NDays&amp;"D")</f>
        <v>55528</v>
      </c>
      <c r="Z2382" s="238">
        <v>3.1494503219237635E-2</v>
      </c>
      <c r="AA2382" s="240">
        <v>3.1034922018512434E-2</v>
      </c>
    </row>
    <row r="2383" spans="19:27" x14ac:dyDescent="0.2">
      <c r="S2383" s="199"/>
      <c r="T2383" s="200"/>
      <c r="W2383" s="233" t="str">
        <f t="shared" si="43"/>
        <v>1w</v>
      </c>
      <c r="X2383" s="234">
        <f>_xll.qlCalendarAdvance(Calendar,X2382,W2383,"f",FALSE)</f>
        <v>55535</v>
      </c>
      <c r="Y2383" s="237">
        <f>_xll.qlCalendarAdvance(Calendar,X2383,NDays&amp;"D")</f>
        <v>55535</v>
      </c>
      <c r="Z2383" s="238">
        <v>3.1493807915267416E-2</v>
      </c>
      <c r="AA2383" s="240">
        <v>3.1033308691714723E-2</v>
      </c>
    </row>
    <row r="2384" spans="19:27" x14ac:dyDescent="0.2">
      <c r="S2384" s="199"/>
      <c r="T2384" s="200"/>
      <c r="W2384" s="233" t="str">
        <f t="shared" si="43"/>
        <v>1w</v>
      </c>
      <c r="X2384" s="234">
        <f>_xll.qlCalendarAdvance(Calendar,X2383,W2384,"f",FALSE)</f>
        <v>55542</v>
      </c>
      <c r="Y2384" s="237">
        <f>_xll.qlCalendarAdvance(Calendar,X2384,NDays&amp;"D")</f>
        <v>55542</v>
      </c>
      <c r="Z2384" s="238">
        <v>3.1493149772368827E-2</v>
      </c>
      <c r="AA2384" s="240">
        <v>3.1031731390961381E-2</v>
      </c>
    </row>
    <row r="2385" spans="19:27" x14ac:dyDescent="0.2">
      <c r="S2385" s="199"/>
      <c r="T2385" s="200"/>
      <c r="W2385" s="233" t="str">
        <f t="shared" si="43"/>
        <v>1w</v>
      </c>
      <c r="X2385" s="234">
        <f>_xll.qlCalendarAdvance(Calendar,X2384,W2385,"f",FALSE)</f>
        <v>55549</v>
      </c>
      <c r="Y2385" s="237">
        <f>_xll.qlCalendarAdvance(Calendar,X2385,NDays&amp;"D")</f>
        <v>55549</v>
      </c>
      <c r="Z2385" s="238">
        <v>3.1492528790470327E-2</v>
      </c>
      <c r="AA2385" s="240">
        <v>3.1030190116171363E-2</v>
      </c>
    </row>
    <row r="2386" spans="19:27" x14ac:dyDescent="0.2">
      <c r="S2386" s="199"/>
      <c r="T2386" s="200"/>
      <c r="W2386" s="233" t="str">
        <f t="shared" si="43"/>
        <v>1w</v>
      </c>
      <c r="X2386" s="234">
        <f>_xll.qlCalendarAdvance(Calendar,X2385,W2386,"f",FALSE)</f>
        <v>55556</v>
      </c>
      <c r="Y2386" s="237">
        <f>_xll.qlCalendarAdvance(Calendar,X2386,NDays&amp;"D")</f>
        <v>55556</v>
      </c>
      <c r="Z2386" s="238">
        <v>3.1491944969505727E-2</v>
      </c>
      <c r="AA2386" s="240">
        <v>3.1028684867668854E-2</v>
      </c>
    </row>
    <row r="2387" spans="19:27" x14ac:dyDescent="0.2">
      <c r="S2387" s="199"/>
      <c r="T2387" s="200"/>
      <c r="W2387" s="233" t="str">
        <f t="shared" si="43"/>
        <v>1w</v>
      </c>
      <c r="X2387" s="234">
        <f>_xll.qlCalendarAdvance(Calendar,X2386,W2387,"f",FALSE)</f>
        <v>55563</v>
      </c>
      <c r="Y2387" s="237">
        <f>_xll.qlCalendarAdvance(Calendar,X2387,NDays&amp;"D")</f>
        <v>55563</v>
      </c>
      <c r="Z2387" s="238">
        <v>3.1491398309411459E-2</v>
      </c>
      <c r="AA2387" s="240">
        <v>3.1027215645210715E-2</v>
      </c>
    </row>
    <row r="2388" spans="19:27" x14ac:dyDescent="0.2">
      <c r="S2388" s="199"/>
      <c r="T2388" s="200"/>
      <c r="W2388" s="233" t="str">
        <f t="shared" si="43"/>
        <v>1w</v>
      </c>
      <c r="X2388" s="234">
        <f>_xll.qlCalendarAdvance(Calendar,X2387,W2388,"f",FALSE)</f>
        <v>55570</v>
      </c>
      <c r="Y2388" s="237">
        <f>_xll.qlCalendarAdvance(Calendar,X2388,NDays&amp;"D")</f>
        <v>55570</v>
      </c>
      <c r="Z2388" s="238">
        <v>3.1490888810127293E-2</v>
      </c>
      <c r="AA2388" s="240">
        <v>3.1025782448634853E-2</v>
      </c>
    </row>
    <row r="2389" spans="19:27" x14ac:dyDescent="0.2">
      <c r="S2389" s="199"/>
      <c r="T2389" s="200"/>
      <c r="W2389" s="233" t="str">
        <f t="shared" ref="W2389:W2452" si="44">W2388</f>
        <v>1w</v>
      </c>
      <c r="X2389" s="234">
        <f>_xll.qlCalendarAdvance(Calendar,X2388,W2389,"f",FALSE)</f>
        <v>55577</v>
      </c>
      <c r="Y2389" s="237">
        <f>_xll.qlCalendarAdvance(Calendar,X2389,NDays&amp;"D")</f>
        <v>55577</v>
      </c>
      <c r="Z2389" s="238">
        <v>3.1490416471599204E-2</v>
      </c>
      <c r="AA2389" s="240">
        <v>3.1024385278427546E-2</v>
      </c>
    </row>
    <row r="2390" spans="19:27" x14ac:dyDescent="0.2">
      <c r="S2390" s="199"/>
      <c r="T2390" s="200"/>
      <c r="W2390" s="233" t="str">
        <f t="shared" si="44"/>
        <v>1w</v>
      </c>
      <c r="X2390" s="234">
        <f>_xll.qlCalendarAdvance(Calendar,X2389,W2390,"f",FALSE)</f>
        <v>55584</v>
      </c>
      <c r="Y2390" s="237">
        <f>_xll.qlCalendarAdvance(Calendar,X2390,NDays&amp;"D")</f>
        <v>55584</v>
      </c>
      <c r="Z2390" s="238">
        <v>3.1488643778125436E-2</v>
      </c>
      <c r="AA2390" s="240">
        <v>3.102302413426461E-2</v>
      </c>
    </row>
    <row r="2391" spans="19:27" x14ac:dyDescent="0.2">
      <c r="S2391" s="199"/>
      <c r="T2391" s="200"/>
      <c r="W2391" s="233" t="str">
        <f t="shared" si="44"/>
        <v>1w</v>
      </c>
      <c r="X2391" s="234">
        <f>_xll.qlCalendarAdvance(Calendar,X2390,W2391,"f",FALSE)</f>
        <v>55591</v>
      </c>
      <c r="Y2391" s="237">
        <f>_xll.qlCalendarAdvance(Calendar,X2391,NDays&amp;"D")</f>
        <v>55591</v>
      </c>
      <c r="Z2391" s="238">
        <v>3.1488243140667782E-2</v>
      </c>
      <c r="AA2391" s="240">
        <v>3.102169901598395E-2</v>
      </c>
    </row>
    <row r="2392" spans="19:27" x14ac:dyDescent="0.2">
      <c r="S2392" s="199"/>
      <c r="T2392" s="200"/>
      <c r="W2392" s="233" t="str">
        <f t="shared" si="44"/>
        <v>1w</v>
      </c>
      <c r="X2392" s="234">
        <f>_xll.qlCalendarAdvance(Calendar,X2391,W2392,"f",FALSE)</f>
        <v>55598</v>
      </c>
      <c r="Y2392" s="237">
        <f>_xll.qlCalendarAdvance(Calendar,X2392,NDays&amp;"D")</f>
        <v>55598</v>
      </c>
      <c r="Z2392" s="238">
        <v>3.1487879660670348E-2</v>
      </c>
      <c r="AA2392" s="240">
        <v>3.1020409923909753E-2</v>
      </c>
    </row>
    <row r="2393" spans="19:27" x14ac:dyDescent="0.2">
      <c r="S2393" s="199"/>
      <c r="T2393" s="200"/>
      <c r="W2393" s="233" t="str">
        <f t="shared" si="44"/>
        <v>1w</v>
      </c>
      <c r="X2393" s="234">
        <f>_xll.qlCalendarAdvance(Calendar,X2392,W2393,"f",FALSE)</f>
        <v>55605</v>
      </c>
      <c r="Y2393" s="237">
        <f>_xll.qlCalendarAdvance(Calendar,X2393,NDays&amp;"D")</f>
        <v>55605</v>
      </c>
      <c r="Z2393" s="238">
        <v>3.1487553338092944E-2</v>
      </c>
      <c r="AA2393" s="240">
        <v>3.1019156858042018E-2</v>
      </c>
    </row>
    <row r="2394" spans="19:27" x14ac:dyDescent="0.2">
      <c r="S2394" s="199"/>
      <c r="T2394" s="200"/>
      <c r="W2394" s="233" t="str">
        <f t="shared" si="44"/>
        <v>1w</v>
      </c>
      <c r="X2394" s="234">
        <f>_xll.qlCalendarAdvance(Calendar,X2393,W2394,"f",FALSE)</f>
        <v>55612</v>
      </c>
      <c r="Y2394" s="237">
        <f>_xll.qlCalendarAdvance(Calendar,X2394,NDays&amp;"D")</f>
        <v>55612</v>
      </c>
      <c r="Z2394" s="238">
        <v>3.1487264172900709E-2</v>
      </c>
      <c r="AA2394" s="240">
        <v>3.1017939818137608E-2</v>
      </c>
    </row>
    <row r="2395" spans="19:27" x14ac:dyDescent="0.2">
      <c r="S2395" s="199"/>
      <c r="T2395" s="200"/>
      <c r="W2395" s="233" t="str">
        <f t="shared" si="44"/>
        <v>1w</v>
      </c>
      <c r="X2395" s="234">
        <f>_xll.qlCalendarAdvance(Calendar,X2394,W2395,"f",FALSE)</f>
        <v>55619</v>
      </c>
      <c r="Y2395" s="237">
        <f>_xll.qlCalendarAdvance(Calendar,X2395,NDays&amp;"D")</f>
        <v>55619</v>
      </c>
      <c r="Z2395" s="238">
        <v>3.1487012165062334E-2</v>
      </c>
      <c r="AA2395" s="240">
        <v>3.101675880419652E-2</v>
      </c>
    </row>
    <row r="2396" spans="19:27" x14ac:dyDescent="0.2">
      <c r="S2396" s="199"/>
      <c r="T2396" s="200"/>
      <c r="W2396" s="233" t="str">
        <f t="shared" si="44"/>
        <v>1w</v>
      </c>
      <c r="X2396" s="234">
        <f>_xll.qlCalendarAdvance(Calendar,X2395,W2396,"f",FALSE)</f>
        <v>55626</v>
      </c>
      <c r="Y2396" s="237">
        <f>_xll.qlCalendarAdvance(Calendar,X2396,NDays&amp;"D")</f>
        <v>55626</v>
      </c>
      <c r="Z2396" s="238">
        <v>3.1486797314550286E-2</v>
      </c>
      <c r="AA2396" s="240">
        <v>3.1015613816380849E-2</v>
      </c>
    </row>
    <row r="2397" spans="19:27" x14ac:dyDescent="0.2">
      <c r="S2397" s="199"/>
      <c r="T2397" s="200"/>
      <c r="W2397" s="233" t="str">
        <f t="shared" si="44"/>
        <v>1w</v>
      </c>
      <c r="X2397" s="234">
        <f>_xll.qlCalendarAdvance(Calendar,X2396,W2397,"f",FALSE)</f>
        <v>55633</v>
      </c>
      <c r="Y2397" s="237">
        <f>_xll.qlCalendarAdvance(Calendar,X2397,NDays&amp;"D")</f>
        <v>55633</v>
      </c>
      <c r="Z2397" s="238">
        <v>3.1486619621341916E-2</v>
      </c>
      <c r="AA2397" s="240">
        <v>3.1014504854852687E-2</v>
      </c>
    </row>
    <row r="2398" spans="19:27" x14ac:dyDescent="0.2">
      <c r="S2398" s="199"/>
      <c r="T2398" s="200"/>
      <c r="W2398" s="233" t="str">
        <f t="shared" si="44"/>
        <v>1w</v>
      </c>
      <c r="X2398" s="234">
        <f>_xll.qlCalendarAdvance(Calendar,X2397,W2398,"f",FALSE)</f>
        <v>55640</v>
      </c>
      <c r="Y2398" s="237">
        <f>_xll.qlCalendarAdvance(Calendar,X2398,NDays&amp;"D")</f>
        <v>55640</v>
      </c>
      <c r="Z2398" s="238">
        <v>3.1486479085417685E-2</v>
      </c>
      <c r="AA2398" s="240">
        <v>3.1013431919287848E-2</v>
      </c>
    </row>
    <row r="2399" spans="19:27" x14ac:dyDescent="0.2">
      <c r="S2399" s="199"/>
      <c r="T2399" s="200"/>
      <c r="W2399" s="233" t="str">
        <f t="shared" si="44"/>
        <v>1w</v>
      </c>
      <c r="X2399" s="234">
        <f>_xll.qlCalendarAdvance(Calendar,X2398,W2399,"f",FALSE)</f>
        <v>55647</v>
      </c>
      <c r="Y2399" s="237">
        <f>_xll.qlCalendarAdvance(Calendar,X2399,NDays&amp;"D")</f>
        <v>55647</v>
      </c>
      <c r="Z2399" s="238">
        <v>3.1486375706762049E-2</v>
      </c>
      <c r="AA2399" s="240">
        <v>3.1012395009524241E-2</v>
      </c>
    </row>
    <row r="2400" spans="19:27" x14ac:dyDescent="0.2">
      <c r="S2400" s="199"/>
      <c r="T2400" s="200"/>
      <c r="W2400" s="233" t="str">
        <f t="shared" si="44"/>
        <v>1w</v>
      </c>
      <c r="X2400" s="234">
        <f>_xll.qlCalendarAdvance(Calendar,X2399,W2400,"f",FALSE)</f>
        <v>55654</v>
      </c>
      <c r="Y2400" s="237">
        <f>_xll.qlCalendarAdvance(Calendar,X2400,NDays&amp;"D")</f>
        <v>55654</v>
      </c>
      <c r="Z2400" s="238">
        <v>3.1486309485365016E-2</v>
      </c>
      <c r="AA2400" s="240">
        <v>3.1011394126291281E-2</v>
      </c>
    </row>
    <row r="2401" spans="19:27" x14ac:dyDescent="0.2">
      <c r="S2401" s="199"/>
      <c r="T2401" s="200"/>
      <c r="W2401" s="233" t="str">
        <f t="shared" si="44"/>
        <v>1w</v>
      </c>
      <c r="X2401" s="234">
        <f>_xll.qlCalendarAdvance(Calendar,X2400,W2401,"f",FALSE)</f>
        <v>55661</v>
      </c>
      <c r="Y2401" s="237">
        <f>_xll.qlCalendarAdvance(Calendar,X2401,NDays&amp;"D")</f>
        <v>55661</v>
      </c>
      <c r="Z2401" s="238">
        <v>3.1486280421218149E-2</v>
      </c>
      <c r="AA2401" s="240">
        <v>3.1010429269021644E-2</v>
      </c>
    </row>
    <row r="2402" spans="19:27" x14ac:dyDescent="0.2">
      <c r="S2402" s="199"/>
      <c r="T2402" s="200"/>
      <c r="W2402" s="233" t="str">
        <f t="shared" si="44"/>
        <v>1w</v>
      </c>
      <c r="X2402" s="234">
        <f>_xll.qlCalendarAdvance(Calendar,X2401,W2402,"f",FALSE)</f>
        <v>55668</v>
      </c>
      <c r="Y2402" s="237">
        <f>_xll.qlCalendarAdvance(Calendar,X2402,NDays&amp;"D")</f>
        <v>55668</v>
      </c>
      <c r="Z2402" s="238">
        <v>3.1486288514318561E-2</v>
      </c>
      <c r="AA2402" s="240">
        <v>3.1009500437553239E-2</v>
      </c>
    </row>
    <row r="2403" spans="19:27" x14ac:dyDescent="0.2">
      <c r="S2403" s="199"/>
      <c r="T2403" s="200"/>
      <c r="W2403" s="233" t="str">
        <f t="shared" si="44"/>
        <v>1w</v>
      </c>
      <c r="X2403" s="234">
        <f>_xll.qlCalendarAdvance(Calendar,X2402,W2403,"f",FALSE)</f>
        <v>55675</v>
      </c>
      <c r="Y2403" s="237">
        <f>_xll.qlCalendarAdvance(Calendar,X2403,NDays&amp;"D")</f>
        <v>55675</v>
      </c>
      <c r="Z2403" s="238">
        <v>3.1486333764667584E-2</v>
      </c>
      <c r="AA2403" s="240">
        <v>3.1008607632453389E-2</v>
      </c>
    </row>
    <row r="2404" spans="19:27" x14ac:dyDescent="0.2">
      <c r="S2404" s="199"/>
      <c r="T2404" s="200"/>
      <c r="W2404" s="233" t="str">
        <f t="shared" si="44"/>
        <v>1w</v>
      </c>
      <c r="X2404" s="234">
        <f>_xll.qlCalendarAdvance(Calendar,X2403,W2404,"f",FALSE)</f>
        <v>55682</v>
      </c>
      <c r="Y2404" s="237">
        <f>_xll.qlCalendarAdvance(Calendar,X2404,NDays&amp;"D")</f>
        <v>55682</v>
      </c>
      <c r="Z2404" s="238">
        <v>3.1486416172270104E-2</v>
      </c>
      <c r="AA2404" s="240">
        <v>3.1007750853397908E-2</v>
      </c>
    </row>
    <row r="2405" spans="19:27" x14ac:dyDescent="0.2">
      <c r="S2405" s="199"/>
      <c r="T2405" s="200"/>
      <c r="W2405" s="233" t="str">
        <f t="shared" si="44"/>
        <v>1w</v>
      </c>
      <c r="X2405" s="234">
        <f>_xll.qlCalendarAdvance(Calendar,X2404,W2405,"f",FALSE)</f>
        <v>55689</v>
      </c>
      <c r="Y2405" s="237">
        <f>_xll.qlCalendarAdvance(Calendar,X2405,NDays&amp;"D")</f>
        <v>55689</v>
      </c>
      <c r="Z2405" s="238">
        <v>3.148653573713478E-2</v>
      </c>
      <c r="AA2405" s="240">
        <v>3.1006930100386798E-2</v>
      </c>
    </row>
    <row r="2406" spans="19:27" x14ac:dyDescent="0.2">
      <c r="S2406" s="199"/>
      <c r="T2406" s="200"/>
      <c r="W2406" s="233" t="str">
        <f t="shared" si="44"/>
        <v>1w</v>
      </c>
      <c r="X2406" s="234">
        <f>_xll.qlCalendarAdvance(Calendar,X2405,W2406,"f",FALSE)</f>
        <v>55696</v>
      </c>
      <c r="Y2406" s="237">
        <f>_xll.qlCalendarAdvance(Calendar,X2406,NDays&amp;"D")</f>
        <v>55696</v>
      </c>
      <c r="Z2406" s="238">
        <v>3.1486692459274268E-2</v>
      </c>
      <c r="AA2406" s="240">
        <v>3.1006145373339011E-2</v>
      </c>
    </row>
    <row r="2407" spans="19:27" x14ac:dyDescent="0.2">
      <c r="S2407" s="199"/>
      <c r="T2407" s="200"/>
      <c r="W2407" s="233" t="str">
        <f t="shared" si="44"/>
        <v>1w</v>
      </c>
      <c r="X2407" s="234">
        <f>_xll.qlCalendarAdvance(Calendar,X2406,W2407,"f",FALSE)</f>
        <v>55703</v>
      </c>
      <c r="Y2407" s="237">
        <f>_xll.qlCalendarAdvance(Calendar,X2407,NDays&amp;"D")</f>
        <v>55703</v>
      </c>
      <c r="Z2407" s="238">
        <v>3.1486886338705666E-2</v>
      </c>
      <c r="AA2407" s="240">
        <v>3.1005396672335594E-2</v>
      </c>
    </row>
    <row r="2408" spans="19:27" x14ac:dyDescent="0.2">
      <c r="S2408" s="199"/>
      <c r="T2408" s="200"/>
      <c r="W2408" s="233" t="str">
        <f t="shared" si="44"/>
        <v>1w</v>
      </c>
      <c r="X2408" s="234">
        <f>_xll.qlCalendarAdvance(Calendar,X2407,W2408,"f",FALSE)</f>
        <v>55710</v>
      </c>
      <c r="Y2408" s="237">
        <f>_xll.qlCalendarAdvance(Calendar,X2408,NDays&amp;"D")</f>
        <v>55710</v>
      </c>
      <c r="Z2408" s="238">
        <v>3.1487117375450735E-2</v>
      </c>
      <c r="AA2408" s="240">
        <v>3.1004683997781779E-2</v>
      </c>
    </row>
    <row r="2409" spans="19:27" x14ac:dyDescent="0.2">
      <c r="S2409" s="199"/>
      <c r="T2409" s="200"/>
      <c r="W2409" s="233" t="str">
        <f t="shared" si="44"/>
        <v>1w</v>
      </c>
      <c r="X2409" s="234">
        <f>_xll.qlCalendarAdvance(Calendar,X2408,W2409,"f",FALSE)</f>
        <v>55717</v>
      </c>
      <c r="Y2409" s="237">
        <f>_xll.qlCalendarAdvance(Calendar,X2409,NDays&amp;"D")</f>
        <v>55717</v>
      </c>
      <c r="Z2409" s="238">
        <v>3.1487385569533233E-2</v>
      </c>
      <c r="AA2409" s="240">
        <v>3.1004007348948148E-2</v>
      </c>
    </row>
    <row r="2410" spans="19:27" x14ac:dyDescent="0.2">
      <c r="S2410" s="199"/>
      <c r="T2410" s="200"/>
      <c r="W2410" s="233" t="str">
        <f t="shared" si="44"/>
        <v>1w</v>
      </c>
      <c r="X2410" s="234">
        <f>_xll.qlCalendarAdvance(Calendar,X2409,W2410,"f",FALSE)</f>
        <v>55724</v>
      </c>
      <c r="Y2410" s="237">
        <f>_xll.qlCalendarAdvance(Calendar,X2410,NDays&amp;"D")</f>
        <v>55724</v>
      </c>
      <c r="Z2410" s="238">
        <v>3.1487690920982692E-2</v>
      </c>
      <c r="AA2410" s="240">
        <v>3.1003366726239934E-2</v>
      </c>
    </row>
    <row r="2411" spans="19:27" x14ac:dyDescent="0.2">
      <c r="S2411" s="199"/>
      <c r="T2411" s="200"/>
      <c r="W2411" s="233" t="str">
        <f t="shared" si="44"/>
        <v>1w</v>
      </c>
      <c r="X2411" s="234">
        <f>_xll.qlCalendarAdvance(Calendar,X2410,W2411,"f",FALSE)</f>
        <v>55731</v>
      </c>
      <c r="Y2411" s="237">
        <f>_xll.qlCalendarAdvance(Calendar,X2411,NDays&amp;"D")</f>
        <v>55731</v>
      </c>
      <c r="Z2411" s="238">
        <v>3.1488033429832196E-2</v>
      </c>
      <c r="AA2411" s="240">
        <v>3.1002762129657135E-2</v>
      </c>
    </row>
    <row r="2412" spans="19:27" x14ac:dyDescent="0.2">
      <c r="S2412" s="199"/>
      <c r="T2412" s="200"/>
      <c r="W2412" s="233" t="str">
        <f t="shared" si="44"/>
        <v>1w</v>
      </c>
      <c r="X2412" s="234">
        <f>_xll.qlCalendarAdvance(Calendar,X2411,W2412,"f",FALSE)</f>
        <v>55738</v>
      </c>
      <c r="Y2412" s="237">
        <f>_xll.qlCalendarAdvance(Calendar,X2412,NDays&amp;"D")</f>
        <v>55738</v>
      </c>
      <c r="Z2412" s="238">
        <v>3.1488413096118606E-2</v>
      </c>
      <c r="AA2412" s="240">
        <v>3.1002193559361846E-2</v>
      </c>
    </row>
    <row r="2413" spans="19:27" x14ac:dyDescent="0.2">
      <c r="S2413" s="199"/>
      <c r="T2413" s="200"/>
      <c r="W2413" s="233" t="str">
        <f t="shared" si="44"/>
        <v>1w</v>
      </c>
      <c r="X2413" s="234">
        <f>_xll.qlCalendarAdvance(Calendar,X2412,W2413,"f",FALSE)</f>
        <v>55745</v>
      </c>
      <c r="Y2413" s="237">
        <f>_xll.qlCalendarAdvance(Calendar,X2413,NDays&amp;"D")</f>
        <v>55745</v>
      </c>
      <c r="Z2413" s="238">
        <v>3.1488829919882999E-2</v>
      </c>
      <c r="AA2413" s="240">
        <v>3.1001661014786741E-2</v>
      </c>
    </row>
    <row r="2414" spans="19:27" x14ac:dyDescent="0.2">
      <c r="S2414" s="199"/>
      <c r="T2414" s="200"/>
      <c r="W2414" s="233" t="str">
        <f t="shared" si="44"/>
        <v>1w</v>
      </c>
      <c r="X2414" s="234">
        <f>_xll.qlCalendarAdvance(Calendar,X2413,W2414,"f",FALSE)</f>
        <v>55752</v>
      </c>
      <c r="Y2414" s="237">
        <f>_xll.qlCalendarAdvance(Calendar,X2414,NDays&amp;"D")</f>
        <v>55752</v>
      </c>
      <c r="Z2414" s="238">
        <v>3.1489283901170673E-2</v>
      </c>
      <c r="AA2414" s="240">
        <v>3.1001164496418099E-2</v>
      </c>
    </row>
    <row r="2415" spans="19:27" x14ac:dyDescent="0.2">
      <c r="S2415" s="199"/>
      <c r="T2415" s="200"/>
      <c r="W2415" s="233" t="str">
        <f t="shared" si="44"/>
        <v>1w</v>
      </c>
      <c r="X2415" s="234">
        <f>_xll.qlCalendarAdvance(Calendar,X2414,W2415,"f",FALSE)</f>
        <v>55759</v>
      </c>
      <c r="Y2415" s="237">
        <f>_xll.qlCalendarAdvance(Calendar,X2415,NDays&amp;"D")</f>
        <v>55759</v>
      </c>
      <c r="Z2415" s="238">
        <v>3.1489775040030255E-2</v>
      </c>
      <c r="AA2415" s="240">
        <v>3.1000704004174873E-2</v>
      </c>
    </row>
    <row r="2416" spans="19:27" x14ac:dyDescent="0.2">
      <c r="S2416" s="199"/>
      <c r="T2416" s="200"/>
      <c r="W2416" s="233" t="str">
        <f t="shared" si="44"/>
        <v>1w</v>
      </c>
      <c r="X2416" s="234">
        <f>_xll.qlCalendarAdvance(Calendar,X2415,W2416,"f",FALSE)</f>
        <v>55766</v>
      </c>
      <c r="Y2416" s="237">
        <f>_xll.qlCalendarAdvance(Calendar,X2416,NDays&amp;"D")</f>
        <v>55766</v>
      </c>
      <c r="Z2416" s="238">
        <v>3.1490303336514813E-2</v>
      </c>
      <c r="AA2416" s="240">
        <v>3.1000279538057063E-2</v>
      </c>
    </row>
    <row r="2417" spans="19:27" x14ac:dyDescent="0.2">
      <c r="S2417" s="199"/>
      <c r="T2417" s="200"/>
      <c r="W2417" s="233" t="str">
        <f t="shared" si="44"/>
        <v>1w</v>
      </c>
      <c r="X2417" s="234">
        <f>_xll.qlCalendarAdvance(Calendar,X2416,W2417,"f",FALSE)</f>
        <v>55773</v>
      </c>
      <c r="Y2417" s="237">
        <f>_xll.qlCalendarAdvance(Calendar,X2417,NDays&amp;"D")</f>
        <v>55773</v>
      </c>
      <c r="Z2417" s="238">
        <v>3.1490868790682081E-2</v>
      </c>
      <c r="AA2417" s="240">
        <v>3.099989109782153E-2</v>
      </c>
    </row>
    <row r="2418" spans="19:27" x14ac:dyDescent="0.2">
      <c r="S2418" s="199"/>
      <c r="T2418" s="200"/>
      <c r="W2418" s="233" t="str">
        <f t="shared" si="44"/>
        <v>1w</v>
      </c>
      <c r="X2418" s="234">
        <f>_xll.qlCalendarAdvance(Calendar,X2417,W2418,"f",FALSE)</f>
        <v>55780</v>
      </c>
      <c r="Y2418" s="237">
        <f>_xll.qlCalendarAdvance(Calendar,X2418,NDays&amp;"D")</f>
        <v>55780</v>
      </c>
      <c r="Z2418" s="238">
        <v>3.149147140259223E-2</v>
      </c>
      <c r="AA2418" s="240">
        <v>3.099953868379246E-2</v>
      </c>
    </row>
    <row r="2419" spans="19:27" x14ac:dyDescent="0.2">
      <c r="S2419" s="199"/>
      <c r="T2419" s="200"/>
      <c r="W2419" s="233" t="str">
        <f t="shared" si="44"/>
        <v>1w</v>
      </c>
      <c r="X2419" s="234">
        <f>_xll.qlCalendarAdvance(Calendar,X2418,W2419,"f",FALSE)</f>
        <v>55787</v>
      </c>
      <c r="Y2419" s="237">
        <f>_xll.qlCalendarAdvance(Calendar,X2419,NDays&amp;"D")</f>
        <v>55787</v>
      </c>
      <c r="Z2419" s="238">
        <v>3.149211117231121E-2</v>
      </c>
      <c r="AA2419" s="240">
        <v>3.0999222295969853E-2</v>
      </c>
    </row>
    <row r="2420" spans="19:27" x14ac:dyDescent="0.2">
      <c r="S2420" s="199"/>
      <c r="T2420" s="200"/>
      <c r="W2420" s="233" t="str">
        <f t="shared" si="44"/>
        <v>1w</v>
      </c>
      <c r="X2420" s="234">
        <f>_xll.qlCalendarAdvance(Calendar,X2419,W2420,"f",FALSE)</f>
        <v>55794</v>
      </c>
      <c r="Y2420" s="237">
        <f>_xll.qlCalendarAdvance(Calendar,X2420,NDays&amp;"D")</f>
        <v>55794</v>
      </c>
      <c r="Z2420" s="238">
        <v>3.1492788099907632E-2</v>
      </c>
      <c r="AA2420" s="240">
        <v>3.0998941934029522E-2</v>
      </c>
    </row>
    <row r="2421" spans="19:27" x14ac:dyDescent="0.2">
      <c r="S2421" s="199"/>
      <c r="T2421" s="200"/>
      <c r="W2421" s="233" t="str">
        <f t="shared" si="44"/>
        <v>1w</v>
      </c>
      <c r="X2421" s="234">
        <f>_xll.qlCalendarAdvance(Calendar,X2420,W2421,"f",FALSE)</f>
        <v>55801</v>
      </c>
      <c r="Y2421" s="237">
        <f>_xll.qlCalendarAdvance(Calendar,X2421,NDays&amp;"D")</f>
        <v>55801</v>
      </c>
      <c r="Z2421" s="238">
        <v>3.1493502185455435E-2</v>
      </c>
      <c r="AA2421" s="240">
        <v>3.0998697598214608E-2</v>
      </c>
    </row>
    <row r="2422" spans="19:27" x14ac:dyDescent="0.2">
      <c r="S2422" s="199"/>
      <c r="T2422" s="200"/>
      <c r="W2422" s="233" t="str">
        <f t="shared" si="44"/>
        <v>1w</v>
      </c>
      <c r="X2422" s="234">
        <f>_xll.qlCalendarAdvance(Calendar,X2421,W2422,"f",FALSE)</f>
        <v>55808</v>
      </c>
      <c r="Y2422" s="237">
        <f>_xll.qlCalendarAdvance(Calendar,X2422,NDays&amp;"D")</f>
        <v>55808</v>
      </c>
      <c r="Z2422" s="238">
        <v>3.1494253429030561E-2</v>
      </c>
      <c r="AA2422" s="240">
        <v>3.0998489288444064E-2</v>
      </c>
    </row>
    <row r="2423" spans="19:27" x14ac:dyDescent="0.2">
      <c r="S2423" s="199"/>
      <c r="T2423" s="200"/>
      <c r="W2423" s="233" t="str">
        <f t="shared" si="44"/>
        <v>1w</v>
      </c>
      <c r="X2423" s="234">
        <f>_xll.qlCalendarAdvance(Calendar,X2422,W2423,"f",FALSE)</f>
        <v>55815</v>
      </c>
      <c r="Y2423" s="237">
        <f>_xll.qlCalendarAdvance(Calendar,X2423,NDays&amp;"D")</f>
        <v>55815</v>
      </c>
      <c r="Z2423" s="238">
        <v>3.1495041830714943E-2</v>
      </c>
      <c r="AA2423" s="240">
        <v>3.0998317004879983E-2</v>
      </c>
    </row>
    <row r="2424" spans="19:27" x14ac:dyDescent="0.2">
      <c r="S2424" s="199"/>
      <c r="T2424" s="200"/>
      <c r="W2424" s="233" t="str">
        <f t="shared" si="44"/>
        <v>1w</v>
      </c>
      <c r="X2424" s="234">
        <f>_xll.qlCalendarAdvance(Calendar,X2423,W2424,"f",FALSE)</f>
        <v>55822</v>
      </c>
      <c r="Y2424" s="237">
        <f>_xll.qlCalendarAdvance(Calendar,X2424,NDays&amp;"D")</f>
        <v>55822</v>
      </c>
      <c r="Z2424" s="238">
        <v>3.1495867390593846E-2</v>
      </c>
      <c r="AA2424" s="240">
        <v>3.0998180747279225E-2</v>
      </c>
    </row>
    <row r="2425" spans="19:27" x14ac:dyDescent="0.2">
      <c r="S2425" s="199"/>
      <c r="T2425" s="200"/>
      <c r="W2425" s="233" t="str">
        <f t="shared" si="44"/>
        <v>1w</v>
      </c>
      <c r="X2425" s="234">
        <f>_xll.qlCalendarAdvance(Calendar,X2424,W2425,"f",FALSE)</f>
        <v>55829</v>
      </c>
      <c r="Y2425" s="237">
        <f>_xll.qlCalendarAdvance(Calendar,X2425,NDays&amp;"D")</f>
        <v>55829</v>
      </c>
      <c r="Z2425" s="238">
        <v>3.1496730108756088E-2</v>
      </c>
      <c r="AA2425" s="240">
        <v>3.099808051564179E-2</v>
      </c>
    </row>
    <row r="2426" spans="19:27" x14ac:dyDescent="0.2">
      <c r="S2426" s="199"/>
      <c r="T2426" s="200"/>
      <c r="W2426" s="233" t="str">
        <f t="shared" si="44"/>
        <v>1w</v>
      </c>
      <c r="X2426" s="234">
        <f>_xll.qlCalendarAdvance(Calendar,X2425,W2426,"f",FALSE)</f>
        <v>55836</v>
      </c>
      <c r="Y2426" s="237">
        <f>_xll.qlCalendarAdvance(Calendar,X2426,NDays&amp;"D")</f>
        <v>55836</v>
      </c>
      <c r="Z2426" s="238">
        <v>3.1497629985295372E-2</v>
      </c>
      <c r="AA2426" s="240">
        <v>3.0998016310372911E-2</v>
      </c>
    </row>
    <row r="2427" spans="19:27" x14ac:dyDescent="0.2">
      <c r="S2427" s="199"/>
      <c r="T2427" s="200"/>
      <c r="W2427" s="233" t="str">
        <f t="shared" si="44"/>
        <v>1w</v>
      </c>
      <c r="X2427" s="234">
        <f>_xll.qlCalendarAdvance(Calendar,X2426,W2427,"f",FALSE)</f>
        <v>55843</v>
      </c>
      <c r="Y2427" s="237">
        <f>_xll.qlCalendarAdvance(Calendar,X2427,NDays&amp;"D")</f>
        <v>55843</v>
      </c>
      <c r="Z2427" s="238">
        <v>3.1498567020308732E-2</v>
      </c>
      <c r="AA2427" s="240">
        <v>3.0997988131067356E-2</v>
      </c>
    </row>
    <row r="2428" spans="19:27" x14ac:dyDescent="0.2">
      <c r="S2428" s="199"/>
      <c r="T2428" s="200"/>
      <c r="W2428" s="233" t="str">
        <f t="shared" si="44"/>
        <v>1w</v>
      </c>
      <c r="X2428" s="234">
        <f>_xll.qlCalendarAdvance(Calendar,X2427,W2428,"f",FALSE)</f>
        <v>55850</v>
      </c>
      <c r="Y2428" s="237">
        <f>_xll.qlCalendarAdvance(Calendar,X2428,NDays&amp;"D")</f>
        <v>55850</v>
      </c>
      <c r="Z2428" s="238">
        <v>3.1499541213897198E-2</v>
      </c>
      <c r="AA2428" s="240">
        <v>3.0997995977644077E-2</v>
      </c>
    </row>
    <row r="2429" spans="19:27" x14ac:dyDescent="0.2">
      <c r="S2429" s="199"/>
      <c r="T2429" s="200"/>
      <c r="W2429" s="233" t="str">
        <f t="shared" si="44"/>
        <v>1w</v>
      </c>
      <c r="X2429" s="234">
        <f>_xll.qlCalendarAdvance(Calendar,X2428,W2429,"f",FALSE)</f>
        <v>55857</v>
      </c>
      <c r="Y2429" s="237">
        <f>_xll.qlCalendarAdvance(Calendar,X2429,NDays&amp;"D")</f>
        <v>55857</v>
      </c>
      <c r="Z2429" s="238">
        <v>3.150055256616624E-2</v>
      </c>
      <c r="AA2429" s="240">
        <v>3.0998039850427261E-2</v>
      </c>
    </row>
    <row r="2430" spans="19:27" x14ac:dyDescent="0.2">
      <c r="S2430" s="199"/>
      <c r="T2430" s="200"/>
      <c r="W2430" s="233" t="str">
        <f t="shared" si="44"/>
        <v>1w</v>
      </c>
      <c r="X2430" s="234">
        <f>_xll.qlCalendarAdvance(Calendar,X2429,W2430,"f",FALSE)</f>
        <v>55864</v>
      </c>
      <c r="Y2430" s="237">
        <f>_xll.qlCalendarAdvance(Calendar,X2430,NDays&amp;"D")</f>
        <v>55864</v>
      </c>
      <c r="Z2430" s="238">
        <v>3.1501601077225549E-2</v>
      </c>
      <c r="AA2430" s="240">
        <v>3.0998119749416908E-2</v>
      </c>
    </row>
    <row r="2431" spans="19:27" x14ac:dyDescent="0.2">
      <c r="S2431" s="199"/>
      <c r="T2431" s="200"/>
      <c r="W2431" s="233" t="str">
        <f t="shared" si="44"/>
        <v>1w</v>
      </c>
      <c r="X2431" s="234">
        <f>_xll.qlCalendarAdvance(Calendar,X2430,W2431,"f",FALSE)</f>
        <v>55871</v>
      </c>
      <c r="Y2431" s="237">
        <f>_xll.qlCalendarAdvance(Calendar,X2431,NDays&amp;"D")</f>
        <v>55871</v>
      </c>
      <c r="Z2431" s="238">
        <v>3.1502686747187925E-2</v>
      </c>
      <c r="AA2431" s="240">
        <v>3.0998235674450925E-2</v>
      </c>
    </row>
    <row r="2432" spans="19:27" x14ac:dyDescent="0.2">
      <c r="S2432" s="199"/>
      <c r="T2432" s="200"/>
      <c r="W2432" s="233" t="str">
        <f t="shared" si="44"/>
        <v>1w</v>
      </c>
      <c r="X2432" s="234">
        <f>_xll.qlCalendarAdvance(Calendar,X2431,W2432,"f",FALSE)</f>
        <v>55880</v>
      </c>
      <c r="Y2432" s="237">
        <f>_xll.qlCalendarAdvance(Calendar,X2432,NDays&amp;"D")</f>
        <v>55880</v>
      </c>
      <c r="Z2432" s="238">
        <v>3.1507039703728472E-2</v>
      </c>
      <c r="AA2432" s="240">
        <v>3.1001096711037832E-2</v>
      </c>
    </row>
    <row r="2433" spans="19:27" x14ac:dyDescent="0.2">
      <c r="S2433" s="199"/>
      <c r="T2433" s="200"/>
      <c r="W2433" s="233" t="str">
        <f t="shared" si="44"/>
        <v>1w</v>
      </c>
      <c r="X2433" s="234">
        <f>_xll.qlCalendarAdvance(Calendar,X2432,W2433,"f",FALSE)</f>
        <v>55887</v>
      </c>
      <c r="Y2433" s="237">
        <f>_xll.qlCalendarAdvance(Calendar,X2433,NDays&amp;"D")</f>
        <v>55887</v>
      </c>
      <c r="Z2433" s="238">
        <v>3.1508215817173287E-2</v>
      </c>
      <c r="AA2433" s="240">
        <v>3.1001300162462057E-2</v>
      </c>
    </row>
    <row r="2434" spans="19:27" x14ac:dyDescent="0.2">
      <c r="S2434" s="199"/>
      <c r="T2434" s="200"/>
      <c r="W2434" s="233" t="str">
        <f t="shared" si="44"/>
        <v>1w</v>
      </c>
      <c r="X2434" s="234">
        <f>_xll.qlCalendarAdvance(Calendar,X2433,W2434,"f",FALSE)</f>
        <v>55894</v>
      </c>
      <c r="Y2434" s="237">
        <f>_xll.qlCalendarAdvance(Calendar,X2434,NDays&amp;"D")</f>
        <v>55894</v>
      </c>
      <c r="Z2434" s="238">
        <v>3.1509429096265924E-2</v>
      </c>
      <c r="AA2434" s="240">
        <v>3.1001539646063156E-2</v>
      </c>
    </row>
    <row r="2435" spans="19:27" x14ac:dyDescent="0.2">
      <c r="S2435" s="199"/>
      <c r="T2435" s="200"/>
      <c r="W2435" s="233" t="str">
        <f t="shared" si="44"/>
        <v>1w</v>
      </c>
      <c r="X2435" s="234">
        <f>_xll.qlCalendarAdvance(Calendar,X2434,W2435,"f",FALSE)</f>
        <v>55901</v>
      </c>
      <c r="Y2435" s="237">
        <f>_xll.qlCalendarAdvance(Calendar,X2435,NDays&amp;"D")</f>
        <v>55901</v>
      </c>
      <c r="Z2435" s="238">
        <v>3.1510679541138238E-2</v>
      </c>
      <c r="AA2435" s="240">
        <v>3.1001815161814109E-2</v>
      </c>
    </row>
    <row r="2436" spans="19:27" x14ac:dyDescent="0.2">
      <c r="S2436" s="199"/>
      <c r="T2436" s="200"/>
      <c r="W2436" s="233" t="str">
        <f t="shared" si="44"/>
        <v>1w</v>
      </c>
      <c r="X2436" s="234">
        <f>_xll.qlCalendarAdvance(Calendar,X2435,W2436,"f",FALSE)</f>
        <v>55908</v>
      </c>
      <c r="Y2436" s="237">
        <f>_xll.qlCalendarAdvance(Calendar,X2436,NDays&amp;"D")</f>
        <v>55908</v>
      </c>
      <c r="Z2436" s="238">
        <v>3.1511967151926244E-2</v>
      </c>
      <c r="AA2436" s="240">
        <v>3.100212670976895E-2</v>
      </c>
    </row>
    <row r="2437" spans="19:27" x14ac:dyDescent="0.2">
      <c r="S2437" s="199"/>
      <c r="T2437" s="200"/>
      <c r="W2437" s="233" t="str">
        <f t="shared" si="44"/>
        <v>1w</v>
      </c>
      <c r="X2437" s="234">
        <f>_xll.qlCalendarAdvance(Calendar,X2436,W2437,"f",FALSE)</f>
        <v>55915</v>
      </c>
      <c r="Y2437" s="237">
        <f>_xll.qlCalendarAdvance(Calendar,X2437,NDays&amp;"D")</f>
        <v>55915</v>
      </c>
      <c r="Z2437" s="238">
        <v>3.1508897303568983E-2</v>
      </c>
      <c r="AA2437" s="240">
        <v>3.1002474290008727E-2</v>
      </c>
    </row>
    <row r="2438" spans="19:27" x14ac:dyDescent="0.2">
      <c r="S2438" s="199"/>
      <c r="T2438" s="200"/>
      <c r="W2438" s="233" t="str">
        <f t="shared" si="44"/>
        <v>1w</v>
      </c>
      <c r="X2438" s="234">
        <f>_xll.qlCalendarAdvance(Calendar,X2437,W2438,"f",FALSE)</f>
        <v>55922</v>
      </c>
      <c r="Y2438" s="237">
        <f>_xll.qlCalendarAdvance(Calendar,X2438,NDays&amp;"D")</f>
        <v>55922</v>
      </c>
      <c r="Z2438" s="238">
        <v>3.1514653871812938E-2</v>
      </c>
      <c r="AA2438" s="240">
        <v>3.1002857902344326E-2</v>
      </c>
    </row>
    <row r="2439" spans="19:27" x14ac:dyDescent="0.2">
      <c r="S2439" s="199"/>
      <c r="T2439" s="200"/>
      <c r="W2439" s="233" t="str">
        <f t="shared" si="44"/>
        <v>1w</v>
      </c>
      <c r="X2439" s="234">
        <f>_xll.qlCalendarAdvance(Calendar,X2438,W2439,"f",FALSE)</f>
        <v>55929</v>
      </c>
      <c r="Y2439" s="237">
        <f>_xll.qlCalendarAdvance(Calendar,X2439,NDays&amp;"D")</f>
        <v>55929</v>
      </c>
      <c r="Z2439" s="238">
        <v>3.1516052981203344E-2</v>
      </c>
      <c r="AA2439" s="240">
        <v>3.1003277546937845E-2</v>
      </c>
    </row>
    <row r="2440" spans="19:27" x14ac:dyDescent="0.2">
      <c r="S2440" s="199"/>
      <c r="T2440" s="200"/>
      <c r="W2440" s="233" t="str">
        <f t="shared" si="44"/>
        <v>1w</v>
      </c>
      <c r="X2440" s="234">
        <f>_xll.qlCalendarAdvance(Calendar,X2439,W2440,"f",FALSE)</f>
        <v>55936</v>
      </c>
      <c r="Y2440" s="237">
        <f>_xll.qlCalendarAdvance(Calendar,X2440,NDays&amp;"D")</f>
        <v>55936</v>
      </c>
      <c r="Z2440" s="238">
        <v>3.151748925709378E-2</v>
      </c>
      <c r="AA2440" s="240">
        <v>3.1003733223708238E-2</v>
      </c>
    </row>
    <row r="2441" spans="19:27" x14ac:dyDescent="0.2">
      <c r="S2441" s="199"/>
      <c r="T2441" s="200"/>
      <c r="W2441" s="233" t="str">
        <f t="shared" si="44"/>
        <v>1w</v>
      </c>
      <c r="X2441" s="234">
        <f>_xll.qlCalendarAdvance(Calendar,X2440,W2441,"f",FALSE)</f>
        <v>55943</v>
      </c>
      <c r="Y2441" s="237">
        <f>_xll.qlCalendarAdvance(Calendar,X2441,NDays&amp;"D")</f>
        <v>55943</v>
      </c>
      <c r="Z2441" s="238">
        <v>3.1514534779251167E-2</v>
      </c>
      <c r="AA2441" s="240">
        <v>3.1004224932709532E-2</v>
      </c>
    </row>
    <row r="2442" spans="19:27" x14ac:dyDescent="0.2">
      <c r="S2442" s="199"/>
      <c r="T2442" s="200"/>
      <c r="W2442" s="233" t="str">
        <f t="shared" si="44"/>
        <v>1w</v>
      </c>
      <c r="X2442" s="234">
        <f>_xll.qlCalendarAdvance(Calendar,X2441,W2442,"f",FALSE)</f>
        <v>55950</v>
      </c>
      <c r="Y2442" s="237">
        <f>_xll.qlCalendarAdvance(Calendar,X2442,NDays&amp;"D")</f>
        <v>55950</v>
      </c>
      <c r="Z2442" s="238">
        <v>3.1520473309001019E-2</v>
      </c>
      <c r="AA2442" s="240">
        <v>3.1004752673887696E-2</v>
      </c>
    </row>
    <row r="2443" spans="19:27" x14ac:dyDescent="0.2">
      <c r="S2443" s="199"/>
      <c r="T2443" s="200"/>
      <c r="W2443" s="233" t="str">
        <f t="shared" si="44"/>
        <v>1w</v>
      </c>
      <c r="X2443" s="234">
        <f>_xll.qlCalendarAdvance(Calendar,X2442,W2443,"f",FALSE)</f>
        <v>55957</v>
      </c>
      <c r="Y2443" s="237">
        <f>_xll.qlCalendarAdvance(Calendar,X2443,NDays&amp;"D")</f>
        <v>55957</v>
      </c>
      <c r="Z2443" s="238">
        <v>3.1522021085342231E-2</v>
      </c>
      <c r="AA2443" s="240">
        <v>3.1005316447215717E-2</v>
      </c>
    </row>
    <row r="2444" spans="19:27" x14ac:dyDescent="0.2">
      <c r="S2444" s="199"/>
      <c r="T2444" s="200"/>
      <c r="W2444" s="233" t="str">
        <f t="shared" si="44"/>
        <v>1w</v>
      </c>
      <c r="X2444" s="234">
        <f>_xll.qlCalendarAdvance(Calendar,X2443,W2444,"f",FALSE)</f>
        <v>55964</v>
      </c>
      <c r="Y2444" s="237">
        <f>_xll.qlCalendarAdvance(Calendar,X2444,NDays&amp;"D")</f>
        <v>55964</v>
      </c>
      <c r="Z2444" s="238">
        <v>3.1523606028832064E-2</v>
      </c>
      <c r="AA2444" s="240">
        <v>3.1005916252801656E-2</v>
      </c>
    </row>
    <row r="2445" spans="19:27" x14ac:dyDescent="0.2">
      <c r="S2445" s="199"/>
      <c r="T2445" s="200"/>
      <c r="W2445" s="233" t="str">
        <f t="shared" si="44"/>
        <v>1w</v>
      </c>
      <c r="X2445" s="234">
        <f>_xll.qlCalendarAdvance(Calendar,X2444,W2445,"f",FALSE)</f>
        <v>55971</v>
      </c>
      <c r="Y2445" s="237">
        <f>_xll.qlCalendarAdvance(Calendar,X2445,NDays&amp;"D")</f>
        <v>55971</v>
      </c>
      <c r="Z2445" s="238">
        <v>3.1526715968814636E-2</v>
      </c>
      <c r="AA2445" s="240">
        <v>3.1006552090537452E-2</v>
      </c>
    </row>
    <row r="2446" spans="19:27" x14ac:dyDescent="0.2">
      <c r="S2446" s="199"/>
      <c r="T2446" s="200"/>
      <c r="W2446" s="233" t="str">
        <f t="shared" si="44"/>
        <v>1w</v>
      </c>
      <c r="X2446" s="234">
        <f>_xll.qlCalendarAdvance(Calendar,X2445,W2446,"f",FALSE)</f>
        <v>55982</v>
      </c>
      <c r="Y2446" s="237">
        <f>_xll.qlCalendarAdvance(Calendar,X2446,NDays&amp;"D")</f>
        <v>55982</v>
      </c>
      <c r="Z2446" s="238">
        <v>3.1524868877249368E-2</v>
      </c>
      <c r="AA2446" s="240">
        <v>3.1004888908147121E-2</v>
      </c>
    </row>
    <row r="2447" spans="19:27" x14ac:dyDescent="0.2">
      <c r="S2447" s="199"/>
      <c r="T2447" s="200"/>
      <c r="W2447" s="233" t="str">
        <f t="shared" si="44"/>
        <v>1w</v>
      </c>
      <c r="X2447" s="234">
        <f>_xll.qlCalendarAdvance(Calendar,X2446,W2447,"f",FALSE)</f>
        <v>55989</v>
      </c>
      <c r="Y2447" s="237">
        <f>_xll.qlCalendarAdvance(Calendar,X2447,NDays&amp;"D")</f>
        <v>55989</v>
      </c>
      <c r="Z2447" s="238">
        <v>3.1526580961005468E-2</v>
      </c>
      <c r="AA2447" s="240">
        <v>3.1005612129820781E-2</v>
      </c>
    </row>
    <row r="2448" spans="19:27" x14ac:dyDescent="0.2">
      <c r="S2448" s="199"/>
      <c r="T2448" s="200"/>
      <c r="W2448" s="233" t="str">
        <f t="shared" si="44"/>
        <v>1w</v>
      </c>
      <c r="X2448" s="234">
        <f>_xll.qlCalendarAdvance(Calendar,X2447,W2448,"f",FALSE)</f>
        <v>55996</v>
      </c>
      <c r="Y2448" s="237">
        <f>_xll.qlCalendarAdvance(Calendar,X2448,NDays&amp;"D")</f>
        <v>55996</v>
      </c>
      <c r="Z2448" s="238">
        <v>3.1528330206364474E-2</v>
      </c>
      <c r="AA2448" s="240">
        <v>3.1006371377538811E-2</v>
      </c>
    </row>
    <row r="2449" spans="19:27" x14ac:dyDescent="0.2">
      <c r="S2449" s="199"/>
      <c r="T2449" s="200"/>
      <c r="W2449" s="233" t="str">
        <f t="shared" si="44"/>
        <v>1w</v>
      </c>
      <c r="X2449" s="234">
        <f>_xll.qlCalendarAdvance(Calendar,X2448,W2449,"f",FALSE)</f>
        <v>56003</v>
      </c>
      <c r="Y2449" s="237">
        <f>_xll.qlCalendarAdvance(Calendar,X2449,NDays&amp;"D")</f>
        <v>56003</v>
      </c>
      <c r="Z2449" s="238">
        <v>3.1530116613515347E-2</v>
      </c>
      <c r="AA2449" s="240">
        <v>3.1007166651463303E-2</v>
      </c>
    </row>
    <row r="2450" spans="19:27" x14ac:dyDescent="0.2">
      <c r="S2450" s="199"/>
      <c r="T2450" s="200"/>
      <c r="W2450" s="233" t="str">
        <f t="shared" si="44"/>
        <v>1w</v>
      </c>
      <c r="X2450" s="234">
        <f>_xll.qlCalendarAdvance(Calendar,X2449,W2450,"f",FALSE)</f>
        <v>56010</v>
      </c>
      <c r="Y2450" s="237">
        <f>_xll.qlCalendarAdvance(Calendar,X2450,NDays&amp;"D")</f>
        <v>56010</v>
      </c>
      <c r="Z2450" s="238">
        <v>3.1531940182651041E-2</v>
      </c>
      <c r="AA2450" s="240">
        <v>3.1007997951351118E-2</v>
      </c>
    </row>
    <row r="2451" spans="19:27" x14ac:dyDescent="0.2">
      <c r="S2451" s="199"/>
      <c r="T2451" s="200"/>
      <c r="W2451" s="233" t="str">
        <f t="shared" si="44"/>
        <v>1w</v>
      </c>
      <c r="X2451" s="234">
        <f>_xll.qlCalendarAdvance(Calendar,X2450,W2451,"f",FALSE)</f>
        <v>56017</v>
      </c>
      <c r="Y2451" s="237">
        <f>_xll.qlCalendarAdvance(Calendar,X2451,NDays&amp;"D")</f>
        <v>56017</v>
      </c>
      <c r="Z2451" s="238">
        <v>3.1533800913968957E-2</v>
      </c>
      <c r="AA2451" s="240">
        <v>3.1008865277283304E-2</v>
      </c>
    </row>
    <row r="2452" spans="19:27" x14ac:dyDescent="0.2">
      <c r="S2452" s="199"/>
      <c r="T2452" s="200"/>
      <c r="W2452" s="233" t="str">
        <f t="shared" si="44"/>
        <v>1w</v>
      </c>
      <c r="X2452" s="234">
        <f>_xll.qlCalendarAdvance(Calendar,X2451,W2452,"f",FALSE)</f>
        <v>56024</v>
      </c>
      <c r="Y2452" s="237">
        <f>_xll.qlCalendarAdvance(Calendar,X2452,NDays&amp;"D")</f>
        <v>56024</v>
      </c>
      <c r="Z2452" s="238">
        <v>3.1535698807669599E-2</v>
      </c>
      <c r="AA2452" s="240">
        <v>3.1009768629340906E-2</v>
      </c>
    </row>
    <row r="2453" spans="19:27" x14ac:dyDescent="0.2">
      <c r="S2453" s="199"/>
      <c r="T2453" s="200"/>
      <c r="W2453" s="233" t="str">
        <f t="shared" ref="W2453:W2516" si="45">W2452</f>
        <v>1w</v>
      </c>
      <c r="X2453" s="234">
        <f>_xll.qlCalendarAdvance(Calendar,X2452,W2453,"f",FALSE)</f>
        <v>56031</v>
      </c>
      <c r="Y2453" s="237">
        <f>_xll.qlCalendarAdvance(Calendar,X2453,NDays&amp;"D")</f>
        <v>56031</v>
      </c>
      <c r="Z2453" s="238">
        <v>3.1537633863958359E-2</v>
      </c>
      <c r="AA2453" s="240">
        <v>3.1010708007523924E-2</v>
      </c>
    </row>
    <row r="2454" spans="19:27" x14ac:dyDescent="0.2">
      <c r="S2454" s="199"/>
      <c r="T2454" s="200"/>
      <c r="W2454" s="233" t="str">
        <f t="shared" si="45"/>
        <v>1w</v>
      </c>
      <c r="X2454" s="234">
        <f>_xll.qlCalendarAdvance(Calendar,X2453,W2454,"f",FALSE)</f>
        <v>56038</v>
      </c>
      <c r="Y2454" s="237">
        <f>_xll.qlCalendarAdvance(Calendar,X2454,NDays&amp;"D")</f>
        <v>56038</v>
      </c>
      <c r="Z2454" s="238">
        <v>3.1539606083045069E-2</v>
      </c>
      <c r="AA2454" s="240">
        <v>3.1011683411751312E-2</v>
      </c>
    </row>
    <row r="2455" spans="19:27" x14ac:dyDescent="0.2">
      <c r="S2455" s="199"/>
      <c r="T2455" s="200"/>
      <c r="W2455" s="233" t="str">
        <f t="shared" si="45"/>
        <v>1w</v>
      </c>
      <c r="X2455" s="234">
        <f>_xll.qlCalendarAdvance(Calendar,X2454,W2455,"f",FALSE)</f>
        <v>56045</v>
      </c>
      <c r="Y2455" s="237">
        <f>_xll.qlCalendarAdvance(Calendar,X2455,NDays&amp;"D")</f>
        <v>56045</v>
      </c>
      <c r="Z2455" s="238">
        <v>3.1541615465141781E-2</v>
      </c>
      <c r="AA2455" s="240">
        <v>3.1012694841942023E-2</v>
      </c>
    </row>
    <row r="2456" spans="19:27" x14ac:dyDescent="0.2">
      <c r="S2456" s="199"/>
      <c r="T2456" s="200"/>
      <c r="W2456" s="233" t="str">
        <f t="shared" si="45"/>
        <v>1w</v>
      </c>
      <c r="X2456" s="234">
        <f>_xll.qlCalendarAdvance(Calendar,X2455,W2456,"f",FALSE)</f>
        <v>56052</v>
      </c>
      <c r="Y2456" s="237">
        <f>_xll.qlCalendarAdvance(Calendar,X2456,NDays&amp;"D")</f>
        <v>56052</v>
      </c>
      <c r="Z2456" s="238">
        <v>3.15436620104661E-2</v>
      </c>
      <c r="AA2456" s="240">
        <v>3.1013742298339197E-2</v>
      </c>
    </row>
    <row r="2457" spans="19:27" x14ac:dyDescent="0.2">
      <c r="S2457" s="199"/>
      <c r="T2457" s="200"/>
      <c r="W2457" s="233" t="str">
        <f t="shared" si="45"/>
        <v>1w</v>
      </c>
      <c r="X2457" s="234">
        <f>_xll.qlCalendarAdvance(Calendar,X2456,W2457,"f",FALSE)</f>
        <v>56059</v>
      </c>
      <c r="Y2457" s="237">
        <f>_xll.qlCalendarAdvance(Calendar,X2457,NDays&amp;"D")</f>
        <v>56059</v>
      </c>
      <c r="Z2457" s="238">
        <v>3.1545745719239404E-2</v>
      </c>
      <c r="AA2457" s="240">
        <v>3.1014825780861788E-2</v>
      </c>
    </row>
    <row r="2458" spans="19:27" x14ac:dyDescent="0.2">
      <c r="S2458" s="199"/>
      <c r="T2458" s="200"/>
      <c r="W2458" s="233" t="str">
        <f t="shared" si="45"/>
        <v>1w</v>
      </c>
      <c r="X2458" s="234">
        <f>_xll.qlCalendarAdvance(Calendar,X2457,W2458,"f",FALSE)</f>
        <v>56066</v>
      </c>
      <c r="Y2458" s="237">
        <f>_xll.qlCalendarAdvance(Calendar,X2458,NDays&amp;"D")</f>
        <v>56066</v>
      </c>
      <c r="Z2458" s="238">
        <v>3.1547866589535456E-2</v>
      </c>
      <c r="AA2458" s="240">
        <v>3.1015945289347702E-2</v>
      </c>
    </row>
    <row r="2459" spans="19:27" x14ac:dyDescent="0.2">
      <c r="S2459" s="199"/>
      <c r="T2459" s="200"/>
      <c r="W2459" s="233" t="str">
        <f t="shared" si="45"/>
        <v>1w</v>
      </c>
      <c r="X2459" s="234">
        <f>_xll.qlCalendarAdvance(Calendar,X2458,W2459,"f",FALSE)</f>
        <v>56073</v>
      </c>
      <c r="Y2459" s="237">
        <f>_xll.qlCalendarAdvance(Calendar,X2459,NDays&amp;"D")</f>
        <v>56073</v>
      </c>
      <c r="Z2459" s="238">
        <v>3.1550024431991286E-2</v>
      </c>
      <c r="AA2459" s="240">
        <v>3.1017100823959032E-2</v>
      </c>
    </row>
    <row r="2460" spans="19:27" x14ac:dyDescent="0.2">
      <c r="S2460" s="199"/>
      <c r="T2460" s="200"/>
      <c r="W2460" s="233" t="str">
        <f t="shared" si="45"/>
        <v>1w</v>
      </c>
      <c r="X2460" s="234">
        <f>_xll.qlCalendarAdvance(Calendar,X2459,W2460,"f",FALSE)</f>
        <v>56080</v>
      </c>
      <c r="Y2460" s="237">
        <f>_xll.qlCalendarAdvance(Calendar,X2460,NDays&amp;"D")</f>
        <v>56080</v>
      </c>
      <c r="Z2460" s="238">
        <v>3.1552218727007642E-2</v>
      </c>
      <c r="AA2460" s="240">
        <v>3.1018292384695778E-2</v>
      </c>
    </row>
    <row r="2461" spans="19:27" x14ac:dyDescent="0.2">
      <c r="S2461" s="199"/>
      <c r="T2461" s="200"/>
      <c r="W2461" s="233" t="str">
        <f t="shared" si="45"/>
        <v>1w</v>
      </c>
      <c r="X2461" s="234">
        <f>_xll.qlCalendarAdvance(Calendar,X2460,W2461,"f",FALSE)</f>
        <v>56087</v>
      </c>
      <c r="Y2461" s="237">
        <f>_xll.qlCalendarAdvance(Calendar,X2461,NDays&amp;"D")</f>
        <v>56087</v>
      </c>
      <c r="Z2461" s="238">
        <v>3.1554448921368383E-2</v>
      </c>
      <c r="AA2461" s="240">
        <v>3.1019519971476894E-2</v>
      </c>
    </row>
    <row r="2462" spans="19:27" x14ac:dyDescent="0.2">
      <c r="S2462" s="199"/>
      <c r="T2462" s="200"/>
      <c r="W2462" s="233" t="str">
        <f t="shared" si="45"/>
        <v>1w</v>
      </c>
      <c r="X2462" s="234">
        <f>_xll.qlCalendarAdvance(Calendar,X2461,W2462,"f",FALSE)</f>
        <v>56094</v>
      </c>
      <c r="Y2462" s="237">
        <f>_xll.qlCalendarAdvance(Calendar,X2462,NDays&amp;"D")</f>
        <v>56094</v>
      </c>
      <c r="Z2462" s="238">
        <v>3.1556714461855595E-2</v>
      </c>
      <c r="AA2462" s="240">
        <v>3.102078358430238E-2</v>
      </c>
    </row>
    <row r="2463" spans="19:27" x14ac:dyDescent="0.2">
      <c r="S2463" s="199"/>
      <c r="T2463" s="200"/>
      <c r="W2463" s="233" t="str">
        <f t="shared" si="45"/>
        <v>1w</v>
      </c>
      <c r="X2463" s="234">
        <f>_xll.qlCalendarAdvance(Calendar,X2462,W2463,"f",FALSE)</f>
        <v>56101</v>
      </c>
      <c r="Y2463" s="237">
        <f>_xll.qlCalendarAdvance(Calendar,X2463,NDays&amp;"D")</f>
        <v>56101</v>
      </c>
      <c r="Z2463" s="238">
        <v>3.1559014795252249E-2</v>
      </c>
      <c r="AA2463" s="240">
        <v>3.1022083223334329E-2</v>
      </c>
    </row>
    <row r="2464" spans="19:27" x14ac:dyDescent="0.2">
      <c r="S2464" s="199"/>
      <c r="T2464" s="200"/>
      <c r="W2464" s="233" t="str">
        <f t="shared" si="45"/>
        <v>1w</v>
      </c>
      <c r="X2464" s="234">
        <f>_xll.qlCalendarAdvance(Calendar,X2463,W2464,"f",FALSE)</f>
        <v>56108</v>
      </c>
      <c r="Y2464" s="237">
        <f>_xll.qlCalendarAdvance(Calendar,X2464,NDays&amp;"D")</f>
        <v>56108</v>
      </c>
      <c r="Z2464" s="238">
        <v>3.1561349368337765E-2</v>
      </c>
      <c r="AA2464" s="240">
        <v>3.1023418888329601E-2</v>
      </c>
    </row>
    <row r="2465" spans="19:27" x14ac:dyDescent="0.2">
      <c r="S2465" s="199"/>
      <c r="T2465" s="200"/>
      <c r="W2465" s="233" t="str">
        <f t="shared" si="45"/>
        <v>1w</v>
      </c>
      <c r="X2465" s="234">
        <f>_xll.qlCalendarAdvance(Calendar,X2464,W2465,"f",FALSE)</f>
        <v>56115</v>
      </c>
      <c r="Y2465" s="237">
        <f>_xll.qlCalendarAdvance(Calendar,X2465,NDays&amp;"D")</f>
        <v>56115</v>
      </c>
      <c r="Z2465" s="238">
        <v>3.1563717627891119E-2</v>
      </c>
      <c r="AA2465" s="240">
        <v>3.102479057945029E-2</v>
      </c>
    </row>
    <row r="2466" spans="19:27" x14ac:dyDescent="0.2">
      <c r="S2466" s="199"/>
      <c r="T2466" s="200"/>
      <c r="W2466" s="233" t="str">
        <f t="shared" si="45"/>
        <v>1w</v>
      </c>
      <c r="X2466" s="234">
        <f>_xll.qlCalendarAdvance(Calendar,X2465,W2466,"f",FALSE)</f>
        <v>56122</v>
      </c>
      <c r="Y2466" s="237">
        <f>_xll.qlCalendarAdvance(Calendar,X2466,NDays&amp;"D")</f>
        <v>56122</v>
      </c>
      <c r="Z2466" s="238">
        <v>3.1566119020689953E-2</v>
      </c>
      <c r="AA2466" s="240">
        <v>3.1026198296534302E-2</v>
      </c>
    </row>
    <row r="2467" spans="19:27" x14ac:dyDescent="0.2">
      <c r="S2467" s="199"/>
      <c r="T2467" s="200"/>
      <c r="W2467" s="233" t="str">
        <f t="shared" si="45"/>
        <v>1w</v>
      </c>
      <c r="X2467" s="234">
        <f>_xll.qlCalendarAdvance(Calendar,X2466,W2467,"f",FALSE)</f>
        <v>56129</v>
      </c>
      <c r="Y2467" s="237">
        <f>_xll.qlCalendarAdvance(Calendar,X2467,NDays&amp;"D")</f>
        <v>56129</v>
      </c>
      <c r="Z2467" s="238">
        <v>3.1568552993508803E-2</v>
      </c>
      <c r="AA2467" s="240">
        <v>3.1027642039986869E-2</v>
      </c>
    </row>
    <row r="2468" spans="19:27" x14ac:dyDescent="0.2">
      <c r="S2468" s="199"/>
      <c r="T2468" s="200"/>
      <c r="W2468" s="233" t="str">
        <f t="shared" si="45"/>
        <v>1w</v>
      </c>
      <c r="X2468" s="234">
        <f>_xll.qlCalendarAdvance(Calendar,X2467,W2468,"f",FALSE)</f>
        <v>56136</v>
      </c>
      <c r="Y2468" s="237">
        <f>_xll.qlCalendarAdvance(Calendar,X2468,NDays&amp;"D")</f>
        <v>56136</v>
      </c>
      <c r="Z2468" s="238">
        <v>3.1571018993120425E-2</v>
      </c>
      <c r="AA2468" s="240">
        <v>3.1029121809321714E-2</v>
      </c>
    </row>
    <row r="2469" spans="19:27" x14ac:dyDescent="0.2">
      <c r="S2469" s="199"/>
      <c r="T2469" s="200"/>
      <c r="W2469" s="233" t="str">
        <f t="shared" si="45"/>
        <v>1w</v>
      </c>
      <c r="X2469" s="234">
        <f>_xll.qlCalendarAdvance(Calendar,X2468,W2469,"f",FALSE)</f>
        <v>56143</v>
      </c>
      <c r="Y2469" s="237">
        <f>_xll.qlCalendarAdvance(Calendar,X2469,NDays&amp;"D")</f>
        <v>56143</v>
      </c>
      <c r="Z2469" s="238">
        <v>3.1573516466296692E-2</v>
      </c>
      <c r="AA2469" s="240">
        <v>3.1030637604619882E-2</v>
      </c>
    </row>
    <row r="2470" spans="19:27" x14ac:dyDescent="0.2">
      <c r="S2470" s="199"/>
      <c r="T2470" s="200"/>
      <c r="W2470" s="233" t="str">
        <f t="shared" si="45"/>
        <v>1w</v>
      </c>
      <c r="X2470" s="234">
        <f>_xll.qlCalendarAdvance(Calendar,X2469,W2470,"f",FALSE)</f>
        <v>56150</v>
      </c>
      <c r="Y2470" s="237">
        <f>_xll.qlCalendarAdvance(Calendar,X2470,NDays&amp;"D")</f>
        <v>56150</v>
      </c>
      <c r="Z2470" s="238">
        <v>3.1576044859804586E-2</v>
      </c>
      <c r="AA2470" s="240">
        <v>3.1032189426205559E-2</v>
      </c>
    </row>
    <row r="2471" spans="19:27" x14ac:dyDescent="0.2">
      <c r="S2471" s="199"/>
      <c r="T2471" s="200"/>
      <c r="W2471" s="233" t="str">
        <f t="shared" si="45"/>
        <v>1w</v>
      </c>
      <c r="X2471" s="234">
        <f>_xll.qlCalendarAdvance(Calendar,X2470,W2471,"f",FALSE)</f>
        <v>56157</v>
      </c>
      <c r="Y2471" s="237">
        <f>_xll.qlCalendarAdvance(Calendar,X2471,NDays&amp;"D")</f>
        <v>56157</v>
      </c>
      <c r="Z2471" s="238">
        <v>3.157860362041065E-2</v>
      </c>
      <c r="AA2471" s="240">
        <v>3.1033777273916652E-2</v>
      </c>
    </row>
    <row r="2472" spans="19:27" x14ac:dyDescent="0.2">
      <c r="S2472" s="199"/>
      <c r="T2472" s="200"/>
      <c r="W2472" s="233" t="str">
        <f t="shared" si="45"/>
        <v>1w</v>
      </c>
      <c r="X2472" s="234">
        <f>_xll.qlCalendarAdvance(Calendar,X2471,W2472,"f",FALSE)</f>
        <v>56164</v>
      </c>
      <c r="Y2472" s="237">
        <f>_xll.qlCalendarAdvance(Calendar,X2472,NDays&amp;"D")</f>
        <v>56164</v>
      </c>
      <c r="Z2472" s="238">
        <v>3.1581192194877206E-2</v>
      </c>
      <c r="AA2472" s="240">
        <v>3.1035401147591068E-2</v>
      </c>
    </row>
    <row r="2473" spans="19:27" x14ac:dyDescent="0.2">
      <c r="S2473" s="199"/>
      <c r="T2473" s="200"/>
      <c r="W2473" s="233" t="str">
        <f t="shared" si="45"/>
        <v>1w</v>
      </c>
      <c r="X2473" s="234">
        <f>_xll.qlCalendarAdvance(Calendar,X2472,W2473,"f",FALSE)</f>
        <v>56171</v>
      </c>
      <c r="Y2473" s="237">
        <f>_xll.qlCalendarAdvance(Calendar,X2473,NDays&amp;"D")</f>
        <v>56171</v>
      </c>
      <c r="Z2473" s="238">
        <v>3.1583810029964798E-2</v>
      </c>
      <c r="AA2473" s="240">
        <v>3.1037061047309855E-2</v>
      </c>
    </row>
    <row r="2474" spans="19:27" x14ac:dyDescent="0.2">
      <c r="S2474" s="199"/>
      <c r="T2474" s="200"/>
      <c r="W2474" s="233" t="str">
        <f t="shared" si="45"/>
        <v>1w</v>
      </c>
      <c r="X2474" s="234">
        <f>_xll.qlCalendarAdvance(Calendar,X2473,W2474,"f",FALSE)</f>
        <v>56178</v>
      </c>
      <c r="Y2474" s="237">
        <f>_xll.qlCalendarAdvance(Calendar,X2474,NDays&amp;"D")</f>
        <v>56178</v>
      </c>
      <c r="Z2474" s="238">
        <v>3.1586456572429977E-2</v>
      </c>
      <c r="AA2474" s="240">
        <v>3.1038756973235104E-2</v>
      </c>
    </row>
    <row r="2475" spans="19:27" x14ac:dyDescent="0.2">
      <c r="S2475" s="199"/>
      <c r="T2475" s="200"/>
      <c r="W2475" s="233" t="str">
        <f t="shared" si="45"/>
        <v>1w</v>
      </c>
      <c r="X2475" s="234">
        <f>_xll.qlCalendarAdvance(Calendar,X2474,W2475,"f",FALSE)</f>
        <v>56185</v>
      </c>
      <c r="Y2475" s="237">
        <f>_xll.qlCalendarAdvance(Calendar,X2475,NDays&amp;"D")</f>
        <v>56185</v>
      </c>
      <c r="Z2475" s="238">
        <v>3.1589131269026183E-2</v>
      </c>
      <c r="AA2475" s="240">
        <v>3.1040488925123677E-2</v>
      </c>
    </row>
    <row r="2476" spans="19:27" x14ac:dyDescent="0.2">
      <c r="S2476" s="199"/>
      <c r="T2476" s="200"/>
      <c r="W2476" s="233" t="str">
        <f t="shared" si="45"/>
        <v>1w</v>
      </c>
      <c r="X2476" s="234">
        <f>_xll.qlCalendarAdvance(Calendar,X2475,W2476,"f",FALSE)</f>
        <v>56192</v>
      </c>
      <c r="Y2476" s="237">
        <f>_xll.qlCalendarAdvance(Calendar,X2476,NDays&amp;"D")</f>
        <v>56192</v>
      </c>
      <c r="Z2476" s="238">
        <v>3.1591833566504413E-2</v>
      </c>
      <c r="AA2476" s="240">
        <v>3.1042256903218712E-2</v>
      </c>
    </row>
    <row r="2477" spans="19:27" x14ac:dyDescent="0.2">
      <c r="S2477" s="199"/>
      <c r="T2477" s="200"/>
      <c r="W2477" s="233" t="str">
        <f t="shared" si="45"/>
        <v>1w</v>
      </c>
      <c r="X2477" s="234">
        <f>_xll.qlCalendarAdvance(Calendar,X2476,W2477,"f",FALSE)</f>
        <v>56199</v>
      </c>
      <c r="Y2477" s="237">
        <f>_xll.qlCalendarAdvance(Calendar,X2477,NDays&amp;"D")</f>
        <v>56199</v>
      </c>
      <c r="Z2477" s="238">
        <v>3.1594562911610558E-2</v>
      </c>
      <c r="AA2477" s="240">
        <v>3.1044060907439164E-2</v>
      </c>
    </row>
    <row r="2478" spans="19:27" x14ac:dyDescent="0.2">
      <c r="S2478" s="199"/>
      <c r="T2478" s="200"/>
      <c r="W2478" s="233" t="str">
        <f t="shared" si="45"/>
        <v>1w</v>
      </c>
      <c r="X2478" s="234">
        <f>_xll.qlCalendarAdvance(Calendar,X2477,W2478,"f",FALSE)</f>
        <v>56206</v>
      </c>
      <c r="Y2478" s="237">
        <f>_xll.qlCalendarAdvance(Calendar,X2478,NDays&amp;"D")</f>
        <v>56206</v>
      </c>
      <c r="Z2478" s="238">
        <v>3.15973187510874E-2</v>
      </c>
      <c r="AA2478" s="240">
        <v>3.1045900937622939E-2</v>
      </c>
    </row>
    <row r="2479" spans="19:27" x14ac:dyDescent="0.2">
      <c r="S2479" s="199"/>
      <c r="T2479" s="200"/>
      <c r="W2479" s="233" t="str">
        <f t="shared" si="45"/>
        <v>1w</v>
      </c>
      <c r="X2479" s="234">
        <f>_xll.qlCalendarAdvance(Calendar,X2478,W2479,"f",FALSE)</f>
        <v>56213</v>
      </c>
      <c r="Y2479" s="237">
        <f>_xll.qlCalendarAdvance(Calendar,X2479,NDays&amp;"D")</f>
        <v>56213</v>
      </c>
      <c r="Z2479" s="238">
        <v>3.1600100531675057E-2</v>
      </c>
      <c r="AA2479" s="240">
        <v>3.1047776994013176E-2</v>
      </c>
    </row>
    <row r="2480" spans="19:27" x14ac:dyDescent="0.2">
      <c r="S2480" s="199"/>
      <c r="T2480" s="200"/>
      <c r="W2480" s="233" t="str">
        <f t="shared" si="45"/>
        <v>1w</v>
      </c>
      <c r="X2480" s="234">
        <f>_xll.qlCalendarAdvance(Calendar,X2479,W2480,"f",FALSE)</f>
        <v>56220</v>
      </c>
      <c r="Y2480" s="237">
        <f>_xll.qlCalendarAdvance(Calendar,X2480,NDays&amp;"D")</f>
        <v>56220</v>
      </c>
      <c r="Z2480" s="238">
        <v>3.1602907700108096E-2</v>
      </c>
      <c r="AA2480" s="240">
        <v>3.1049689076366738E-2</v>
      </c>
    </row>
    <row r="2481" spans="19:27" x14ac:dyDescent="0.2">
      <c r="S2481" s="199"/>
      <c r="T2481" s="200"/>
      <c r="W2481" s="233" t="str">
        <f t="shared" si="45"/>
        <v>1w</v>
      </c>
      <c r="X2481" s="234">
        <f>_xll.qlCalendarAdvance(Calendar,X2480,W2481,"f",FALSE)</f>
        <v>56227</v>
      </c>
      <c r="Y2481" s="237">
        <f>_xll.qlCalendarAdvance(Calendar,X2481,NDays&amp;"D")</f>
        <v>56227</v>
      </c>
      <c r="Z2481" s="238">
        <v>3.1605739703117086E-2</v>
      </c>
      <c r="AA2481" s="240">
        <v>3.1051637184845715E-2</v>
      </c>
    </row>
    <row r="2482" spans="19:27" x14ac:dyDescent="0.2">
      <c r="S2482" s="199"/>
      <c r="T2482" s="200"/>
      <c r="W2482" s="233" t="str">
        <f t="shared" si="45"/>
        <v>1w</v>
      </c>
      <c r="X2482" s="234">
        <f>_xll.qlCalendarAdvance(Calendar,X2481,W2482,"f",FALSE)</f>
        <v>56234</v>
      </c>
      <c r="Y2482" s="237">
        <f>_xll.qlCalendarAdvance(Calendar,X2482,NDays&amp;"D")</f>
        <v>56234</v>
      </c>
      <c r="Z2482" s="238">
        <v>3.1608595987429489E-2</v>
      </c>
      <c r="AA2482" s="240">
        <v>3.1053621319531155E-2</v>
      </c>
    </row>
    <row r="2483" spans="19:27" x14ac:dyDescent="0.2">
      <c r="S2483" s="199"/>
      <c r="T2483" s="200"/>
      <c r="W2483" s="233" t="str">
        <f t="shared" si="45"/>
        <v>1w</v>
      </c>
      <c r="X2483" s="234">
        <f>_xll.qlCalendarAdvance(Calendar,X2482,W2483,"f",FALSE)</f>
        <v>56241</v>
      </c>
      <c r="Y2483" s="237">
        <f>_xll.qlCalendarAdvance(Calendar,X2483,NDays&amp;"D")</f>
        <v>56241</v>
      </c>
      <c r="Z2483" s="238">
        <v>3.1611475999766991E-2</v>
      </c>
      <c r="AA2483" s="240">
        <v>3.1055641480098872E-2</v>
      </c>
    </row>
    <row r="2484" spans="19:27" x14ac:dyDescent="0.2">
      <c r="S2484" s="199"/>
      <c r="T2484" s="200"/>
      <c r="W2484" s="233" t="str">
        <f t="shared" si="45"/>
        <v>1w</v>
      </c>
      <c r="X2484" s="234">
        <f>_xll.qlCalendarAdvance(Calendar,X2483,W2484,"f",FALSE)</f>
        <v>56248</v>
      </c>
      <c r="Y2484" s="237">
        <f>_xll.qlCalendarAdvance(Calendar,X2484,NDays&amp;"D")</f>
        <v>56248</v>
      </c>
      <c r="Z2484" s="238">
        <v>3.1614379186848396E-2</v>
      </c>
      <c r="AA2484" s="240">
        <v>3.1057697666873052E-2</v>
      </c>
    </row>
    <row r="2485" spans="19:27" x14ac:dyDescent="0.2">
      <c r="S2485" s="199"/>
      <c r="T2485" s="200"/>
      <c r="W2485" s="233" t="str">
        <f t="shared" si="45"/>
        <v>1w</v>
      </c>
      <c r="X2485" s="234">
        <f>_xll.qlCalendarAdvance(Calendar,X2484,W2485,"f",FALSE)</f>
        <v>56255</v>
      </c>
      <c r="Y2485" s="237">
        <f>_xll.qlCalendarAdvance(Calendar,X2485,NDays&amp;"D")</f>
        <v>56255</v>
      </c>
      <c r="Z2485" s="238">
        <v>3.1617304995386064E-2</v>
      </c>
      <c r="AA2485" s="240">
        <v>3.1059789879853694E-2</v>
      </c>
    </row>
    <row r="2486" spans="19:27" x14ac:dyDescent="0.2">
      <c r="S2486" s="199"/>
      <c r="T2486" s="200"/>
      <c r="W2486" s="233" t="str">
        <f t="shared" si="45"/>
        <v>1w</v>
      </c>
      <c r="X2486" s="234">
        <f>_xll.qlCalendarAdvance(Calendar,X2485,W2486,"f",FALSE)</f>
        <v>56262</v>
      </c>
      <c r="Y2486" s="237">
        <f>_xll.qlCalendarAdvance(Calendar,X2486,NDays&amp;"D")</f>
        <v>56262</v>
      </c>
      <c r="Z2486" s="238">
        <v>3.1620252872089027E-2</v>
      </c>
      <c r="AA2486" s="240">
        <v>3.106191811879766E-2</v>
      </c>
    </row>
    <row r="2487" spans="19:27" x14ac:dyDescent="0.2">
      <c r="S2487" s="199"/>
      <c r="T2487" s="200"/>
      <c r="W2487" s="233" t="str">
        <f t="shared" si="45"/>
        <v>1w</v>
      </c>
      <c r="X2487" s="234">
        <f>_xll.qlCalendarAdvance(Calendar,X2486,W2487,"f",FALSE)</f>
        <v>56269</v>
      </c>
      <c r="Y2487" s="237">
        <f>_xll.qlCalendarAdvance(Calendar,X2487,NDays&amp;"D")</f>
        <v>56269</v>
      </c>
      <c r="Z2487" s="238">
        <v>3.1623222263659878E-2</v>
      </c>
      <c r="AA2487" s="240">
        <v>3.1064082383785996E-2</v>
      </c>
    </row>
    <row r="2488" spans="19:27" x14ac:dyDescent="0.2">
      <c r="S2488" s="199"/>
      <c r="T2488" s="200"/>
      <c r="W2488" s="233" t="str">
        <f t="shared" si="45"/>
        <v>1w</v>
      </c>
      <c r="X2488" s="234">
        <f>_xll.qlCalendarAdvance(Calendar,X2487,W2488,"f",FALSE)</f>
        <v>56276</v>
      </c>
      <c r="Y2488" s="237">
        <f>_xll.qlCalendarAdvance(Calendar,X2488,NDays&amp;"D")</f>
        <v>56276</v>
      </c>
      <c r="Z2488" s="238">
        <v>3.1626212616798766E-2</v>
      </c>
      <c r="AA2488" s="240">
        <v>3.1066282674980794E-2</v>
      </c>
    </row>
    <row r="2489" spans="19:27" x14ac:dyDescent="0.2">
      <c r="S2489" s="199"/>
      <c r="T2489" s="200"/>
      <c r="W2489" s="233" t="str">
        <f t="shared" si="45"/>
        <v>1w</v>
      </c>
      <c r="X2489" s="234">
        <f>_xll.qlCalendarAdvance(Calendar,X2488,W2489,"f",FALSE)</f>
        <v>56283</v>
      </c>
      <c r="Y2489" s="237">
        <f>_xll.qlCalendarAdvance(Calendar,X2489,NDays&amp;"D")</f>
        <v>56283</v>
      </c>
      <c r="Z2489" s="238">
        <v>3.1629223378197624E-2</v>
      </c>
      <c r="AA2489" s="240">
        <v>3.1068518992382055E-2</v>
      </c>
    </row>
    <row r="2490" spans="19:27" x14ac:dyDescent="0.2">
      <c r="S2490" s="199"/>
      <c r="T2490" s="200"/>
      <c r="W2490" s="233" t="str">
        <f t="shared" si="45"/>
        <v>1w</v>
      </c>
      <c r="X2490" s="234">
        <f>_xll.qlCalendarAdvance(Calendar,X2489,W2490,"f",FALSE)</f>
        <v>56290</v>
      </c>
      <c r="Y2490" s="237">
        <f>_xll.qlCalendarAdvance(Calendar,X2490,NDays&amp;"D")</f>
        <v>56290</v>
      </c>
      <c r="Z2490" s="238">
        <v>3.1632253994545279E-2</v>
      </c>
      <c r="AA2490" s="240">
        <v>3.1070791335584547E-2</v>
      </c>
    </row>
    <row r="2491" spans="19:27" x14ac:dyDescent="0.2">
      <c r="S2491" s="199"/>
      <c r="T2491" s="200"/>
      <c r="W2491" s="233" t="str">
        <f t="shared" si="45"/>
        <v>1w</v>
      </c>
      <c r="X2491" s="234">
        <f>_xll.qlCalendarAdvance(Calendar,X2490,W2491,"f",FALSE)</f>
        <v>56297</v>
      </c>
      <c r="Y2491" s="237">
        <f>_xll.qlCalendarAdvance(Calendar,X2491,NDays&amp;"D")</f>
        <v>56297</v>
      </c>
      <c r="Z2491" s="238">
        <v>3.1635303912524337E-2</v>
      </c>
      <c r="AA2491" s="240">
        <v>3.1073099704993501E-2</v>
      </c>
    </row>
    <row r="2492" spans="19:27" x14ac:dyDescent="0.2">
      <c r="S2492" s="199"/>
      <c r="T2492" s="200"/>
      <c r="W2492" s="233" t="str">
        <f t="shared" si="45"/>
        <v>1w</v>
      </c>
      <c r="X2492" s="234">
        <f>_xll.qlCalendarAdvance(Calendar,X2491,W2492,"f",FALSE)</f>
        <v>56304</v>
      </c>
      <c r="Y2492" s="237">
        <f>_xll.qlCalendarAdvance(Calendar,X2492,NDays&amp;"D")</f>
        <v>56304</v>
      </c>
      <c r="Z2492" s="238">
        <v>3.1638372578812746E-2</v>
      </c>
      <c r="AA2492" s="240">
        <v>3.1075444100689964E-2</v>
      </c>
    </row>
    <row r="2493" spans="19:27" x14ac:dyDescent="0.2">
      <c r="S2493" s="199"/>
      <c r="T2493" s="200"/>
      <c r="W2493" s="233" t="str">
        <f t="shared" si="45"/>
        <v>1w</v>
      </c>
      <c r="X2493" s="234">
        <f>_xll.qlCalendarAdvance(Calendar,X2492,W2493,"f",FALSE)</f>
        <v>56311</v>
      </c>
      <c r="Y2493" s="237">
        <f>_xll.qlCalendarAdvance(Calendar,X2493,NDays&amp;"D")</f>
        <v>56311</v>
      </c>
      <c r="Z2493" s="238">
        <v>3.1641459440082009E-2</v>
      </c>
      <c r="AA2493" s="240">
        <v>3.1077824522268704E-2</v>
      </c>
    </row>
    <row r="2494" spans="19:27" x14ac:dyDescent="0.2">
      <c r="S2494" s="199"/>
      <c r="T2494" s="200"/>
      <c r="W2494" s="233" t="str">
        <f t="shared" si="45"/>
        <v>1w</v>
      </c>
      <c r="X2494" s="234">
        <f>_xll.qlCalendarAdvance(Calendar,X2493,W2494,"f",FALSE)</f>
        <v>56318</v>
      </c>
      <c r="Y2494" s="237">
        <f>_xll.qlCalendarAdvance(Calendar,X2494,NDays&amp;"D")</f>
        <v>56318</v>
      </c>
      <c r="Z2494" s="238">
        <v>3.1644563942998305E-2</v>
      </c>
      <c r="AA2494" s="240">
        <v>3.1080240969891815E-2</v>
      </c>
    </row>
    <row r="2495" spans="19:27" x14ac:dyDescent="0.2">
      <c r="S2495" s="199"/>
      <c r="T2495" s="200"/>
      <c r="W2495" s="233" t="str">
        <f t="shared" si="45"/>
        <v>1w</v>
      </c>
      <c r="X2495" s="234">
        <f>_xll.qlCalendarAdvance(Calendar,X2494,W2495,"f",FALSE)</f>
        <v>56325</v>
      </c>
      <c r="Y2495" s="237">
        <f>_xll.qlCalendarAdvance(Calendar,X2495,NDays&amp;"D")</f>
        <v>56325</v>
      </c>
      <c r="Z2495" s="238">
        <v>3.1647685534222258E-2</v>
      </c>
      <c r="AA2495" s="240">
        <v>3.1082693443802434E-2</v>
      </c>
    </row>
    <row r="2496" spans="19:27" x14ac:dyDescent="0.2">
      <c r="S2496" s="199"/>
      <c r="T2496" s="200"/>
      <c r="W2496" s="233" t="str">
        <f t="shared" si="45"/>
        <v>1w</v>
      </c>
      <c r="X2496" s="234">
        <f>_xll.qlCalendarAdvance(Calendar,X2495,W2496,"f",FALSE)</f>
        <v>56332</v>
      </c>
      <c r="Y2496" s="237">
        <f>_xll.qlCalendarAdvance(Calendar,X2496,NDays&amp;"D")</f>
        <v>56332</v>
      </c>
      <c r="Z2496" s="238">
        <v>3.1650823660408944E-2</v>
      </c>
      <c r="AA2496" s="240">
        <v>3.1085181943757423E-2</v>
      </c>
    </row>
    <row r="2497" spans="19:27" x14ac:dyDescent="0.2">
      <c r="S2497" s="199"/>
      <c r="T2497" s="200"/>
      <c r="W2497" s="233" t="str">
        <f t="shared" si="45"/>
        <v>1w</v>
      </c>
      <c r="X2497" s="234">
        <f>_xll.qlCalendarAdvance(Calendar,X2496,W2497,"f",FALSE)</f>
        <v>56339</v>
      </c>
      <c r="Y2497" s="237">
        <f>_xll.qlCalendarAdvance(Calendar,X2497,NDays&amp;"D")</f>
        <v>56339</v>
      </c>
      <c r="Z2497" s="238">
        <v>3.1653977768206332E-2</v>
      </c>
      <c r="AA2497" s="240">
        <v>3.1087706469837828E-2</v>
      </c>
    </row>
    <row r="2498" spans="19:27" x14ac:dyDescent="0.2">
      <c r="S2498" s="199"/>
      <c r="T2498" s="200"/>
      <c r="W2498" s="233" t="str">
        <f t="shared" si="45"/>
        <v>1w</v>
      </c>
      <c r="X2498" s="234">
        <f>_xll.qlCalendarAdvance(Calendar,X2497,W2498,"f",FALSE)</f>
        <v>56346</v>
      </c>
      <c r="Y2498" s="237">
        <f>_xll.qlCalendarAdvance(Calendar,X2498,NDays&amp;"D")</f>
        <v>56346</v>
      </c>
      <c r="Z2498" s="238">
        <v>3.1657147304257505E-2</v>
      </c>
      <c r="AA2498" s="240">
        <v>3.1090267021962603E-2</v>
      </c>
    </row>
    <row r="2499" spans="19:27" x14ac:dyDescent="0.2">
      <c r="S2499" s="199"/>
      <c r="T2499" s="200"/>
      <c r="W2499" s="233" t="str">
        <f t="shared" si="45"/>
        <v>1w</v>
      </c>
      <c r="X2499" s="234">
        <f>_xll.qlCalendarAdvance(Calendar,X2498,W2499,"f",FALSE)</f>
        <v>56353</v>
      </c>
      <c r="Y2499" s="237">
        <f>_xll.qlCalendarAdvance(Calendar,X2499,NDays&amp;"D")</f>
        <v>56353</v>
      </c>
      <c r="Z2499" s="238">
        <v>3.166033171519933E-2</v>
      </c>
      <c r="AA2499" s="240">
        <v>3.1092863600293841E-2</v>
      </c>
    </row>
    <row r="2500" spans="19:27" x14ac:dyDescent="0.2">
      <c r="S2500" s="199"/>
      <c r="T2500" s="200"/>
      <c r="W2500" s="233" t="str">
        <f t="shared" si="45"/>
        <v>1w</v>
      </c>
      <c r="X2500" s="234">
        <f>_xll.qlCalendarAdvance(Calendar,X2499,W2500,"f",FALSE)</f>
        <v>56360</v>
      </c>
      <c r="Y2500" s="237">
        <f>_xll.qlCalendarAdvance(Calendar,X2500,NDays&amp;"D")</f>
        <v>56360</v>
      </c>
      <c r="Z2500" s="238">
        <v>3.1663530447662014E-2</v>
      </c>
      <c r="AA2500" s="240">
        <v>3.1095496204507356E-2</v>
      </c>
    </row>
    <row r="2501" spans="19:27" x14ac:dyDescent="0.2">
      <c r="S2501" s="199"/>
      <c r="T2501" s="200"/>
      <c r="W2501" s="233" t="str">
        <f t="shared" si="45"/>
        <v>1w</v>
      </c>
      <c r="X2501" s="234">
        <f>_xll.qlCalendarAdvance(Calendar,X2500,W2501,"f",FALSE)</f>
        <v>56367</v>
      </c>
      <c r="Y2501" s="237">
        <f>_xll.qlCalendarAdvance(Calendar,X2501,NDays&amp;"D")</f>
        <v>56367</v>
      </c>
      <c r="Z2501" s="238">
        <v>3.1666742948269988E-2</v>
      </c>
      <c r="AA2501" s="240">
        <v>3.1098164835089426E-2</v>
      </c>
    </row>
    <row r="2502" spans="19:27" x14ac:dyDescent="0.2">
      <c r="S2502" s="199"/>
      <c r="T2502" s="200"/>
      <c r="W2502" s="233" t="str">
        <f t="shared" si="45"/>
        <v>1w</v>
      </c>
      <c r="X2502" s="234">
        <f>_xll.qlCalendarAdvance(Calendar,X2501,W2502,"f",FALSE)</f>
        <v>56374</v>
      </c>
      <c r="Y2502" s="237">
        <f>_xll.qlCalendarAdvance(Calendar,X2502,NDays&amp;"D")</f>
        <v>56374</v>
      </c>
      <c r="Z2502" s="238">
        <v>3.1669968663640802E-2</v>
      </c>
      <c r="AA2502" s="240">
        <v>3.1100869491472727E-2</v>
      </c>
    </row>
    <row r="2503" spans="19:27" x14ac:dyDescent="0.2">
      <c r="S2503" s="199"/>
      <c r="T2503" s="200"/>
      <c r="W2503" s="233" t="str">
        <f t="shared" si="45"/>
        <v>1w</v>
      </c>
      <c r="X2503" s="234">
        <f>_xll.qlCalendarAdvance(Calendar,X2502,W2503,"f",FALSE)</f>
        <v>56381</v>
      </c>
      <c r="Y2503" s="237">
        <f>_xll.qlCalendarAdvance(Calendar,X2503,NDays&amp;"D")</f>
        <v>56381</v>
      </c>
      <c r="Z2503" s="238">
        <v>3.1673207040386675E-2</v>
      </c>
      <c r="AA2503" s="240">
        <v>3.1103610174305629E-2</v>
      </c>
    </row>
    <row r="2504" spans="19:27" x14ac:dyDescent="0.2">
      <c r="S2504" s="199"/>
      <c r="T2504" s="200"/>
      <c r="W2504" s="233" t="str">
        <f t="shared" si="45"/>
        <v>1w</v>
      </c>
      <c r="X2504" s="234">
        <f>_xll.qlCalendarAdvance(Calendar,X2503,W2504,"f",FALSE)</f>
        <v>56388</v>
      </c>
      <c r="Y2504" s="237">
        <f>_xll.qlCalendarAdvance(Calendar,X2504,NDays&amp;"D")</f>
        <v>56388</v>
      </c>
      <c r="Z2504" s="238">
        <v>3.167645752511139E-2</v>
      </c>
      <c r="AA2504" s="240">
        <v>3.1106386883020809E-2</v>
      </c>
    </row>
    <row r="2505" spans="19:27" x14ac:dyDescent="0.2">
      <c r="S2505" s="199"/>
      <c r="T2505" s="200"/>
      <c r="W2505" s="233" t="str">
        <f t="shared" si="45"/>
        <v>1w</v>
      </c>
      <c r="X2505" s="234">
        <f>_xll.qlCalendarAdvance(Calendar,X2504,W2505,"f",FALSE)</f>
        <v>56395</v>
      </c>
      <c r="Y2505" s="237">
        <f>_xll.qlCalendarAdvance(Calendar,X2505,NDays&amp;"D")</f>
        <v>56395</v>
      </c>
      <c r="Z2505" s="238">
        <v>3.1679719564414954E-2</v>
      </c>
      <c r="AA2505" s="240">
        <v>3.1109199617780359E-2</v>
      </c>
    </row>
    <row r="2506" spans="19:27" x14ac:dyDescent="0.2">
      <c r="S2506" s="199"/>
      <c r="T2506" s="200"/>
      <c r="W2506" s="233" t="str">
        <f t="shared" si="45"/>
        <v>1w</v>
      </c>
      <c r="X2506" s="234">
        <f>_xll.qlCalendarAdvance(Calendar,X2505,W2506,"f",FALSE)</f>
        <v>56402</v>
      </c>
      <c r="Y2506" s="237">
        <f>_xll.qlCalendarAdvance(Calendar,X2506,NDays&amp;"D")</f>
        <v>56402</v>
      </c>
      <c r="Z2506" s="238">
        <v>3.1682992604888049E-2</v>
      </c>
      <c r="AA2506" s="240">
        <v>3.1112048378827417E-2</v>
      </c>
    </row>
    <row r="2507" spans="19:27" x14ac:dyDescent="0.2">
      <c r="S2507" s="199"/>
      <c r="T2507" s="200"/>
      <c r="W2507" s="233" t="str">
        <f t="shared" si="45"/>
        <v>1w</v>
      </c>
      <c r="X2507" s="234">
        <f>_xll.qlCalendarAdvance(Calendar,X2506,W2507,"f",FALSE)</f>
        <v>56409</v>
      </c>
      <c r="Y2507" s="237">
        <f>_xll.qlCalendarAdvance(Calendar,X2507,NDays&amp;"D")</f>
        <v>56409</v>
      </c>
      <c r="Z2507" s="238">
        <v>3.168627609311625E-2</v>
      </c>
      <c r="AA2507" s="240">
        <v>3.1114933165999892E-2</v>
      </c>
    </row>
    <row r="2508" spans="19:27" x14ac:dyDescent="0.2">
      <c r="S2508" s="199"/>
      <c r="T2508" s="200"/>
      <c r="W2508" s="233" t="str">
        <f t="shared" si="45"/>
        <v>1w</v>
      </c>
      <c r="X2508" s="234">
        <f>_xll.qlCalendarAdvance(Calendar,X2507,W2508,"f",FALSE)</f>
        <v>56416</v>
      </c>
      <c r="Y2508" s="237">
        <f>_xll.qlCalendarAdvance(Calendar,X2508,NDays&amp;"D")</f>
        <v>56416</v>
      </c>
      <c r="Z2508" s="238">
        <v>3.1689569475678692E-2</v>
      </c>
      <c r="AA2508" s="240">
        <v>3.1117853979216736E-2</v>
      </c>
    </row>
    <row r="2509" spans="19:27" x14ac:dyDescent="0.2">
      <c r="S2509" s="199"/>
      <c r="T2509" s="200"/>
      <c r="W2509" s="233" t="str">
        <f t="shared" si="45"/>
        <v>1w</v>
      </c>
      <c r="X2509" s="234">
        <f>_xll.qlCalendarAdvance(Calendar,X2508,W2509,"f",FALSE)</f>
        <v>56423</v>
      </c>
      <c r="Y2509" s="237">
        <f>_xll.qlCalendarAdvance(Calendar,X2509,NDays&amp;"D")</f>
        <v>56423</v>
      </c>
      <c r="Z2509" s="238">
        <v>3.1692872199146294E-2</v>
      </c>
      <c r="AA2509" s="240">
        <v>3.1120810818477951E-2</v>
      </c>
    </row>
    <row r="2510" spans="19:27" x14ac:dyDescent="0.2">
      <c r="S2510" s="199"/>
      <c r="T2510" s="200"/>
      <c r="W2510" s="233" t="str">
        <f t="shared" si="45"/>
        <v>1w</v>
      </c>
      <c r="X2510" s="234">
        <f>_xll.qlCalendarAdvance(Calendar,X2509,W2510,"f",FALSE)</f>
        <v>56430</v>
      </c>
      <c r="Y2510" s="237">
        <f>_xll.qlCalendarAdvance(Calendar,X2510,NDays&amp;"D")</f>
        <v>56430</v>
      </c>
      <c r="Z2510" s="238">
        <v>3.1696183710353321E-2</v>
      </c>
      <c r="AA2510" s="240">
        <v>3.1123803017826246E-2</v>
      </c>
    </row>
    <row r="2511" spans="19:27" x14ac:dyDescent="0.2">
      <c r="S2511" s="199"/>
      <c r="T2511" s="200"/>
      <c r="W2511" s="233" t="str">
        <f t="shared" si="45"/>
        <v>1w</v>
      </c>
      <c r="X2511" s="234">
        <f>_xll.qlCalendarAdvance(Calendar,X2510,W2511,"f",FALSE)</f>
        <v>56437</v>
      </c>
      <c r="Y2511" s="237">
        <f>_xll.qlCalendarAdvance(Calendar,X2511,NDays&amp;"D")</f>
        <v>56437</v>
      </c>
      <c r="Z2511" s="238">
        <v>3.1699503592760081E-2</v>
      </c>
      <c r="AA2511" s="240">
        <v>3.112681192502742E-2</v>
      </c>
    </row>
    <row r="2512" spans="19:27" x14ac:dyDescent="0.2">
      <c r="S2512" s="199"/>
      <c r="T2512" s="200"/>
      <c r="W2512" s="233" t="str">
        <f t="shared" si="45"/>
        <v>1w</v>
      </c>
      <c r="X2512" s="234">
        <f>_xll.qlCalendarAdvance(Calendar,X2511,W2512,"f",FALSE)</f>
        <v>56444</v>
      </c>
      <c r="Y2512" s="237">
        <f>_xll.qlCalendarAdvance(Calendar,X2512,NDays&amp;"D")</f>
        <v>56444</v>
      </c>
      <c r="Z2512" s="238">
        <v>3.1702831788350538E-2</v>
      </c>
      <c r="AA2512" s="240">
        <v>3.1129828880448462E-2</v>
      </c>
    </row>
    <row r="2513" spans="19:27" x14ac:dyDescent="0.2">
      <c r="S2513" s="199"/>
      <c r="T2513" s="200"/>
      <c r="W2513" s="233" t="str">
        <f t="shared" si="45"/>
        <v>1w</v>
      </c>
      <c r="X2513" s="234">
        <f>_xll.qlCalendarAdvance(Calendar,X2512,W2513,"f",FALSE)</f>
        <v>56451</v>
      </c>
      <c r="Y2513" s="237">
        <f>_xll.qlCalendarAdvance(Calendar,X2513,NDays&amp;"D")</f>
        <v>56451</v>
      </c>
      <c r="Z2513" s="238">
        <v>3.1706168297205961E-2</v>
      </c>
      <c r="AA2513" s="240">
        <v>3.1132853883765188E-2</v>
      </c>
    </row>
    <row r="2514" spans="19:27" x14ac:dyDescent="0.2">
      <c r="S2514" s="199"/>
      <c r="T2514" s="200"/>
      <c r="W2514" s="233" t="str">
        <f t="shared" si="45"/>
        <v>1w</v>
      </c>
      <c r="X2514" s="234">
        <f>_xll.qlCalendarAdvance(Calendar,X2513,W2514,"f",FALSE)</f>
        <v>56458</v>
      </c>
      <c r="Y2514" s="237">
        <f>_xll.qlCalendarAdvance(Calendar,X2514,NDays&amp;"D")</f>
        <v>56458</v>
      </c>
      <c r="Z2514" s="238">
        <v>3.1709513119406285E-2</v>
      </c>
      <c r="AA2514" s="240">
        <v>3.1135886935301782E-2</v>
      </c>
    </row>
    <row r="2515" spans="19:27" x14ac:dyDescent="0.2">
      <c r="S2515" s="199"/>
      <c r="T2515" s="200"/>
      <c r="W2515" s="233" t="str">
        <f t="shared" si="45"/>
        <v>1w</v>
      </c>
      <c r="X2515" s="234">
        <f>_xll.qlCalendarAdvance(Calendar,X2514,W2515,"f",FALSE)</f>
        <v>56465</v>
      </c>
      <c r="Y2515" s="237">
        <f>_xll.qlCalendarAdvance(Calendar,X2515,NDays&amp;"D")</f>
        <v>56465</v>
      </c>
      <c r="Z2515" s="238">
        <v>3.1712866255032779E-2</v>
      </c>
      <c r="AA2515" s="240">
        <v>3.1138928034896152E-2</v>
      </c>
    </row>
    <row r="2516" spans="19:27" x14ac:dyDescent="0.2">
      <c r="S2516" s="199"/>
      <c r="T2516" s="200"/>
      <c r="W2516" s="233" t="str">
        <f t="shared" si="45"/>
        <v>1w</v>
      </c>
      <c r="X2516" s="234">
        <f>_xll.qlCalendarAdvance(Calendar,X2515,W2516,"f",FALSE)</f>
        <v>56472</v>
      </c>
      <c r="Y2516" s="237">
        <f>_xll.qlCalendarAdvance(Calendar,X2516,NDays&amp;"D")</f>
        <v>56472</v>
      </c>
      <c r="Z2516" s="238">
        <v>3.1716227704166045E-2</v>
      </c>
      <c r="AA2516" s="240">
        <v>3.1141977182467251E-2</v>
      </c>
    </row>
    <row r="2517" spans="19:27" x14ac:dyDescent="0.2">
      <c r="S2517" s="199"/>
      <c r="T2517" s="200"/>
      <c r="W2517" s="233" t="str">
        <f t="shared" ref="W2517:W2580" si="46">W2516</f>
        <v>1w</v>
      </c>
      <c r="X2517" s="234">
        <f>_xll.qlCalendarAdvance(Calendar,X2516,W2517,"f",FALSE)</f>
        <v>56479</v>
      </c>
      <c r="Y2517" s="237">
        <f>_xll.qlCalendarAdvance(Calendar,X2517,NDays&amp;"D")</f>
        <v>56479</v>
      </c>
      <c r="Z2517" s="238">
        <v>3.1719597466887794E-2</v>
      </c>
      <c r="AA2517" s="240">
        <v>3.1145034378339265E-2</v>
      </c>
    </row>
    <row r="2518" spans="19:27" x14ac:dyDescent="0.2">
      <c r="S2518" s="199"/>
      <c r="T2518" s="200"/>
      <c r="W2518" s="233" t="str">
        <f t="shared" si="46"/>
        <v>1w</v>
      </c>
      <c r="X2518" s="234">
        <f>_xll.qlCalendarAdvance(Calendar,X2517,W2518,"f",FALSE)</f>
        <v>56486</v>
      </c>
      <c r="Y2518" s="237">
        <f>_xll.qlCalendarAdvance(Calendar,X2518,NDays&amp;"D")</f>
        <v>56486</v>
      </c>
      <c r="Z2518" s="238">
        <v>3.1722975543278631E-2</v>
      </c>
      <c r="AA2518" s="240">
        <v>3.1148099622269054E-2</v>
      </c>
    </row>
    <row r="2519" spans="19:27" x14ac:dyDescent="0.2">
      <c r="S2519" s="199"/>
      <c r="T2519" s="200"/>
      <c r="W2519" s="233" t="str">
        <f t="shared" si="46"/>
        <v>1w</v>
      </c>
      <c r="X2519" s="234">
        <f>_xll.qlCalendarAdvance(Calendar,X2518,W2519,"f",FALSE)</f>
        <v>56493</v>
      </c>
      <c r="Y2519" s="237">
        <f>_xll.qlCalendarAdvance(Calendar,X2519,NDays&amp;"D")</f>
        <v>56493</v>
      </c>
      <c r="Z2519" s="238">
        <v>3.172636193342071E-2</v>
      </c>
      <c r="AA2519" s="240">
        <v>3.115117291425662E-2</v>
      </c>
    </row>
    <row r="2520" spans="19:27" x14ac:dyDescent="0.2">
      <c r="S2520" s="199"/>
      <c r="T2520" s="200"/>
      <c r="W2520" s="233" t="str">
        <f t="shared" si="46"/>
        <v>1w</v>
      </c>
      <c r="X2520" s="234">
        <f>_xll.qlCalendarAdvance(Calendar,X2519,W2520,"f",FALSE)</f>
        <v>56500</v>
      </c>
      <c r="Y2520" s="237">
        <f>_xll.qlCalendarAdvance(Calendar,X2520,NDays&amp;"D")</f>
        <v>56500</v>
      </c>
      <c r="Z2520" s="238">
        <v>3.1729756637395745E-2</v>
      </c>
      <c r="AA2520" s="240">
        <v>3.1154254254139868E-2</v>
      </c>
    </row>
    <row r="2521" spans="19:27" x14ac:dyDescent="0.2">
      <c r="S2521" s="199"/>
      <c r="T2521" s="200"/>
      <c r="W2521" s="233" t="str">
        <f t="shared" si="46"/>
        <v>1w</v>
      </c>
      <c r="X2521" s="234">
        <f>_xll.qlCalendarAdvance(Calendar,X2520,W2521,"f",FALSE)</f>
        <v>56507</v>
      </c>
      <c r="Y2521" s="237">
        <f>_xll.qlCalendarAdvance(Calendar,X2521,NDays&amp;"D")</f>
        <v>56507</v>
      </c>
      <c r="Z2521" s="238">
        <v>3.1733159655285448E-2</v>
      </c>
      <c r="AA2521" s="240">
        <v>3.1157343642405078E-2</v>
      </c>
    </row>
    <row r="2522" spans="19:27" x14ac:dyDescent="0.2">
      <c r="S2522" s="199"/>
      <c r="T2522" s="200"/>
      <c r="W2522" s="233" t="str">
        <f t="shared" si="46"/>
        <v>1w</v>
      </c>
      <c r="X2522" s="234">
        <f>_xll.qlCalendarAdvance(Calendar,X2521,W2522,"f",FALSE)</f>
        <v>56514</v>
      </c>
      <c r="Y2522" s="237">
        <f>_xll.qlCalendarAdvance(Calendar,X2522,NDays&amp;"D")</f>
        <v>56514</v>
      </c>
      <c r="Z2522" s="238">
        <v>3.1736570987172419E-2</v>
      </c>
      <c r="AA2522" s="240">
        <v>3.116044107856597E-2</v>
      </c>
    </row>
    <row r="2523" spans="19:27" x14ac:dyDescent="0.2">
      <c r="S2523" s="199"/>
      <c r="T2523" s="200"/>
      <c r="W2523" s="233" t="str">
        <f t="shared" si="46"/>
        <v>1w</v>
      </c>
      <c r="X2523" s="234">
        <f>_xll.qlCalendarAdvance(Calendar,X2522,W2523,"f",FALSE)</f>
        <v>56521</v>
      </c>
      <c r="Y2523" s="237">
        <f>_xll.qlCalendarAdvance(Calendar,X2523,NDays&amp;"D")</f>
        <v>56521</v>
      </c>
      <c r="Z2523" s="238">
        <v>3.1739990633138593E-2</v>
      </c>
      <c r="AA2523" s="240">
        <v>3.1163546562784639E-2</v>
      </c>
    </row>
    <row r="2524" spans="19:27" x14ac:dyDescent="0.2">
      <c r="S2524" s="199"/>
      <c r="T2524" s="200"/>
      <c r="W2524" s="233" t="str">
        <f t="shared" si="46"/>
        <v>1w</v>
      </c>
      <c r="X2524" s="234">
        <f>_xll.qlCalendarAdvance(Calendar,X2523,W2524,"f",FALSE)</f>
        <v>56528</v>
      </c>
      <c r="Y2524" s="237">
        <f>_xll.qlCalendarAdvance(Calendar,X2524,NDays&amp;"D")</f>
        <v>56528</v>
      </c>
      <c r="Z2524" s="238">
        <v>3.1743418593267236E-2</v>
      </c>
      <c r="AA2524" s="240">
        <v>3.1166660095142129E-2</v>
      </c>
    </row>
    <row r="2525" spans="19:27" x14ac:dyDescent="0.2">
      <c r="S2525" s="199"/>
      <c r="T2525" s="200"/>
      <c r="W2525" s="233" t="str">
        <f t="shared" si="46"/>
        <v>1w</v>
      </c>
      <c r="X2525" s="234">
        <f>_xll.qlCalendarAdvance(Calendar,X2524,W2525,"f",FALSE)</f>
        <v>56535</v>
      </c>
      <c r="Y2525" s="237">
        <f>_xll.qlCalendarAdvance(Calendar,X2525,NDays&amp;"D")</f>
        <v>56535</v>
      </c>
      <c r="Z2525" s="238">
        <v>3.1746854867640284E-2</v>
      </c>
      <c r="AA2525" s="240">
        <v>3.1169781675800534E-2</v>
      </c>
    </row>
    <row r="2526" spans="19:27" x14ac:dyDescent="0.2">
      <c r="S2526" s="199"/>
      <c r="T2526" s="200"/>
      <c r="W2526" s="233" t="str">
        <f t="shared" si="46"/>
        <v>1w</v>
      </c>
      <c r="X2526" s="234">
        <f>_xll.qlCalendarAdvance(Calendar,X2525,W2526,"f",FALSE)</f>
        <v>56542</v>
      </c>
      <c r="Y2526" s="237">
        <f>_xll.qlCalendarAdvance(Calendar,X2526,NDays&amp;"D")</f>
        <v>56542</v>
      </c>
      <c r="Z2526" s="238">
        <v>3.1750299456341446E-2</v>
      </c>
      <c r="AA2526" s="240">
        <v>3.1172911304435669E-2</v>
      </c>
    </row>
    <row r="2527" spans="19:27" x14ac:dyDescent="0.2">
      <c r="S2527" s="199"/>
      <c r="T2527" s="200"/>
      <c r="W2527" s="233" t="str">
        <f t="shared" si="46"/>
        <v>1w</v>
      </c>
      <c r="X2527" s="234">
        <f>_xll.qlCalendarAdvance(Calendar,X2526,W2527,"f",FALSE)</f>
        <v>56549</v>
      </c>
      <c r="Y2527" s="237">
        <f>_xll.qlCalendarAdvance(Calendar,X2527,NDays&amp;"D")</f>
        <v>56549</v>
      </c>
      <c r="Z2527" s="238">
        <v>3.1753752359453991E-2</v>
      </c>
      <c r="AA2527" s="240">
        <v>3.1176048980966486E-2</v>
      </c>
    </row>
    <row r="2528" spans="19:27" x14ac:dyDescent="0.2">
      <c r="S2528" s="199"/>
      <c r="T2528" s="200"/>
      <c r="W2528" s="233" t="str">
        <f t="shared" si="46"/>
        <v>1w</v>
      </c>
      <c r="X2528" s="234">
        <f>_xll.qlCalendarAdvance(Calendar,X2527,W2528,"f",FALSE)</f>
        <v>56556</v>
      </c>
      <c r="Y2528" s="237">
        <f>_xll.qlCalendarAdvance(Calendar,X2528,NDays&amp;"D")</f>
        <v>56556</v>
      </c>
      <c r="Z2528" s="238">
        <v>3.1757213577060295E-2</v>
      </c>
      <c r="AA2528" s="240">
        <v>3.1179194705717173E-2</v>
      </c>
    </row>
    <row r="2529" spans="19:27" x14ac:dyDescent="0.2">
      <c r="S2529" s="199"/>
      <c r="T2529" s="200"/>
      <c r="W2529" s="233" t="str">
        <f t="shared" si="46"/>
        <v>1w</v>
      </c>
      <c r="X2529" s="234">
        <f>_xll.qlCalendarAdvance(Calendar,X2528,W2529,"f",FALSE)</f>
        <v>56563</v>
      </c>
      <c r="Y2529" s="237">
        <f>_xll.qlCalendarAdvance(Calendar,X2529,NDays&amp;"D")</f>
        <v>56563</v>
      </c>
      <c r="Z2529" s="238">
        <v>3.1760683109244958E-2</v>
      </c>
      <c r="AA2529" s="240">
        <v>3.1182348478606681E-2</v>
      </c>
    </row>
    <row r="2530" spans="19:27" x14ac:dyDescent="0.2">
      <c r="S2530" s="199"/>
      <c r="T2530" s="200"/>
      <c r="W2530" s="233" t="str">
        <f t="shared" si="46"/>
        <v>1w</v>
      </c>
      <c r="X2530" s="234">
        <f>_xll.qlCalendarAdvance(Calendar,X2529,W2530,"f",FALSE)</f>
        <v>56570</v>
      </c>
      <c r="Y2530" s="237">
        <f>_xll.qlCalendarAdvance(Calendar,X2530,NDays&amp;"D")</f>
        <v>56570</v>
      </c>
      <c r="Z2530" s="238">
        <v>3.176416095609147E-2</v>
      </c>
      <c r="AA2530" s="240">
        <v>3.1185510299553965E-2</v>
      </c>
    </row>
    <row r="2531" spans="19:27" x14ac:dyDescent="0.2">
      <c r="S2531" s="199"/>
      <c r="T2531" s="200"/>
      <c r="W2531" s="233" t="str">
        <f t="shared" si="46"/>
        <v>1w</v>
      </c>
      <c r="X2531" s="234">
        <f>_xll.qlCalendarAdvance(Calendar,X2530,W2531,"f",FALSE)</f>
        <v>56577</v>
      </c>
      <c r="Y2531" s="237">
        <f>_xll.qlCalendarAdvance(Calendar,X2531,NDays&amp;"D")</f>
        <v>56577</v>
      </c>
      <c r="Z2531" s="238">
        <v>3.1767647117683762E-2</v>
      </c>
      <c r="AA2531" s="240">
        <v>3.1188680168559024E-2</v>
      </c>
    </row>
    <row r="2532" spans="19:27" x14ac:dyDescent="0.2">
      <c r="S2532" s="199"/>
      <c r="T2532" s="200"/>
      <c r="W2532" s="233" t="str">
        <f t="shared" si="46"/>
        <v>1w</v>
      </c>
      <c r="X2532" s="234">
        <f>_xll.qlCalendarAdvance(Calendar,X2531,W2532,"f",FALSE)</f>
        <v>56584</v>
      </c>
      <c r="Y2532" s="237">
        <f>_xll.qlCalendarAdvance(Calendar,X2532,NDays&amp;"D")</f>
        <v>56584</v>
      </c>
      <c r="Z2532" s="238">
        <v>3.1771141594106433E-2</v>
      </c>
      <c r="AA2532" s="240">
        <v>3.1191858085783952E-2</v>
      </c>
    </row>
    <row r="2533" spans="19:27" x14ac:dyDescent="0.2">
      <c r="S2533" s="199"/>
      <c r="T2533" s="200"/>
      <c r="W2533" s="233" t="str">
        <f t="shared" si="46"/>
        <v>1w</v>
      </c>
      <c r="X2533" s="234">
        <f>_xll.qlCalendarAdvance(Calendar,X2532,W2533,"f",FALSE)</f>
        <v>56591</v>
      </c>
      <c r="Y2533" s="237">
        <f>_xll.qlCalendarAdvance(Calendar,X2533,NDays&amp;"D")</f>
        <v>56591</v>
      </c>
      <c r="Z2533" s="238">
        <v>3.1774644385442974E-2</v>
      </c>
      <c r="AA2533" s="240">
        <v>3.1195044050904563E-2</v>
      </c>
    </row>
    <row r="2534" spans="19:27" x14ac:dyDescent="0.2">
      <c r="S2534" s="199"/>
      <c r="T2534" s="200"/>
      <c r="W2534" s="233" t="str">
        <f t="shared" si="46"/>
        <v>1w</v>
      </c>
      <c r="X2534" s="234">
        <f>_xll.qlCalendarAdvance(Calendar,X2533,W2534,"f",FALSE)</f>
        <v>56598</v>
      </c>
      <c r="Y2534" s="237">
        <f>_xll.qlCalendarAdvance(Calendar,X2534,NDays&amp;"D")</f>
        <v>56598</v>
      </c>
      <c r="Z2534" s="238">
        <v>3.1778155491779092E-2</v>
      </c>
      <c r="AA2534" s="240">
        <v>3.1198238064245043E-2</v>
      </c>
    </row>
    <row r="2535" spans="19:27" x14ac:dyDescent="0.2">
      <c r="S2535" s="199"/>
      <c r="T2535" s="200"/>
      <c r="W2535" s="233" t="str">
        <f t="shared" si="46"/>
        <v>1w</v>
      </c>
      <c r="X2535" s="234">
        <f>_xll.qlCalendarAdvance(Calendar,X2534,W2535,"f",FALSE)</f>
        <v>56605</v>
      </c>
      <c r="Y2535" s="237">
        <f>_xll.qlCalendarAdvance(Calendar,X2535,NDays&amp;"D")</f>
        <v>56605</v>
      </c>
      <c r="Z2535" s="238">
        <v>3.1781674913198943E-2</v>
      </c>
      <c r="AA2535" s="240">
        <v>3.1201440125562252E-2</v>
      </c>
    </row>
    <row r="2536" spans="19:27" x14ac:dyDescent="0.2">
      <c r="S2536" s="199"/>
      <c r="T2536" s="200"/>
      <c r="W2536" s="233" t="str">
        <f t="shared" si="46"/>
        <v>1w</v>
      </c>
      <c r="X2536" s="234">
        <f>_xll.qlCalendarAdvance(Calendar,X2535,W2536,"f",FALSE)</f>
        <v>56612</v>
      </c>
      <c r="Y2536" s="237">
        <f>_xll.qlCalendarAdvance(Calendar,X2536,NDays&amp;"D")</f>
        <v>56612</v>
      </c>
      <c r="Z2536" s="238">
        <v>3.1785202649787569E-2</v>
      </c>
      <c r="AA2536" s="240">
        <v>3.1204650235180376E-2</v>
      </c>
    </row>
    <row r="2537" spans="19:27" x14ac:dyDescent="0.2">
      <c r="S2537" s="199"/>
      <c r="T2537" s="200"/>
      <c r="W2537" s="233" t="str">
        <f t="shared" si="46"/>
        <v>1w</v>
      </c>
      <c r="X2537" s="234">
        <f>_xll.qlCalendarAdvance(Calendar,X2536,W2537,"f",FALSE)</f>
        <v>56619</v>
      </c>
      <c r="Y2537" s="237">
        <f>_xll.qlCalendarAdvance(Calendar,X2537,NDays&amp;"D")</f>
        <v>56619</v>
      </c>
      <c r="Z2537" s="238">
        <v>3.1788738701630015E-2</v>
      </c>
      <c r="AA2537" s="240">
        <v>3.1207868392694182E-2</v>
      </c>
    </row>
    <row r="2538" spans="19:27" x14ac:dyDescent="0.2">
      <c r="S2538" s="199"/>
      <c r="T2538" s="200"/>
      <c r="W2538" s="233" t="str">
        <f t="shared" si="46"/>
        <v>1w</v>
      </c>
      <c r="X2538" s="234">
        <f>_xll.qlCalendarAdvance(Calendar,X2537,W2538,"f",FALSE)</f>
        <v>56626</v>
      </c>
      <c r="Y2538" s="237">
        <f>_xll.qlCalendarAdvance(Calendar,X2538,NDays&amp;"D")</f>
        <v>56626</v>
      </c>
      <c r="Z2538" s="238">
        <v>3.1792283068812432E-2</v>
      </c>
      <c r="AA2538" s="240">
        <v>3.1211094598346811E-2</v>
      </c>
    </row>
    <row r="2539" spans="19:27" x14ac:dyDescent="0.2">
      <c r="S2539" s="199"/>
      <c r="T2539" s="200"/>
      <c r="W2539" s="233" t="str">
        <f t="shared" si="46"/>
        <v>1w</v>
      </c>
      <c r="X2539" s="234">
        <f>_xll.qlCalendarAdvance(Calendar,X2538,W2539,"f",FALSE)</f>
        <v>56633</v>
      </c>
      <c r="Y2539" s="237">
        <f>_xll.qlCalendarAdvance(Calendar,X2539,NDays&amp;"D")</f>
        <v>56633</v>
      </c>
      <c r="Z2539" s="238">
        <v>3.1795835751419865E-2</v>
      </c>
      <c r="AA2539" s="240">
        <v>3.1214328852138262E-2</v>
      </c>
    </row>
    <row r="2540" spans="19:27" x14ac:dyDescent="0.2">
      <c r="S2540" s="199"/>
      <c r="T2540" s="200"/>
      <c r="W2540" s="233" t="str">
        <f t="shared" si="46"/>
        <v>1w</v>
      </c>
      <c r="X2540" s="234">
        <f>_xll.qlCalendarAdvance(Calendar,X2539,W2540,"f",FALSE)</f>
        <v>56640</v>
      </c>
      <c r="Y2540" s="237">
        <f>_xll.qlCalendarAdvance(Calendar,X2540,NDays&amp;"D")</f>
        <v>56640</v>
      </c>
      <c r="Z2540" s="238">
        <v>3.1799396749538245E-2</v>
      </c>
      <c r="AA2540" s="240">
        <v>3.1217571154149582E-2</v>
      </c>
    </row>
    <row r="2541" spans="19:27" x14ac:dyDescent="0.2">
      <c r="S2541" s="199"/>
      <c r="T2541" s="200"/>
      <c r="W2541" s="233" t="str">
        <f t="shared" si="46"/>
        <v>1w</v>
      </c>
      <c r="X2541" s="234">
        <f>_xll.qlCalendarAdvance(Calendar,X2540,W2541,"f",FALSE)</f>
        <v>56647</v>
      </c>
      <c r="Y2541" s="237">
        <f>_xll.qlCalendarAdvance(Calendar,X2541,NDays&amp;"D")</f>
        <v>56647</v>
      </c>
      <c r="Z2541" s="238">
        <v>3.180296606325328E-2</v>
      </c>
      <c r="AA2541" s="240">
        <v>3.1220821503975538E-2</v>
      </c>
    </row>
    <row r="2542" spans="19:27" x14ac:dyDescent="0.2">
      <c r="S2542" s="199"/>
      <c r="T2542" s="200"/>
      <c r="W2542" s="233" t="str">
        <f t="shared" si="46"/>
        <v>1w</v>
      </c>
      <c r="X2542" s="234">
        <f>_xll.qlCalendarAdvance(Calendar,X2541,W2542,"f",FALSE)</f>
        <v>56654</v>
      </c>
      <c r="Y2542" s="237">
        <f>_xll.qlCalendarAdvance(Calendar,X2542,NDays&amp;"D")</f>
        <v>56654</v>
      </c>
      <c r="Z2542" s="238">
        <v>3.1806543692651568E-2</v>
      </c>
      <c r="AA2542" s="240">
        <v>3.1224079901940316E-2</v>
      </c>
    </row>
    <row r="2543" spans="19:27" x14ac:dyDescent="0.2">
      <c r="S2543" s="199"/>
      <c r="T2543" s="200"/>
      <c r="W2543" s="233" t="str">
        <f t="shared" si="46"/>
        <v>1w</v>
      </c>
      <c r="X2543" s="234">
        <f>_xll.qlCalendarAdvance(Calendar,X2542,W2543,"f",FALSE)</f>
        <v>56661</v>
      </c>
      <c r="Y2543" s="237">
        <f>_xll.qlCalendarAdvance(Calendar,X2543,NDays&amp;"D")</f>
        <v>56661</v>
      </c>
      <c r="Z2543" s="238">
        <v>3.1810129637819706E-2</v>
      </c>
      <c r="AA2543" s="240">
        <v>3.1227346348206009E-2</v>
      </c>
    </row>
    <row r="2544" spans="19:27" x14ac:dyDescent="0.2">
      <c r="S2544" s="199"/>
      <c r="T2544" s="200"/>
      <c r="W2544" s="233" t="str">
        <f t="shared" si="46"/>
        <v>1w</v>
      </c>
      <c r="X2544" s="234">
        <f>_xll.qlCalendarAdvance(Calendar,X2543,W2544,"f",FALSE)</f>
        <v>56668</v>
      </c>
      <c r="Y2544" s="237">
        <f>_xll.qlCalendarAdvance(Calendar,X2544,NDays&amp;"D")</f>
        <v>56668</v>
      </c>
      <c r="Z2544" s="238">
        <v>3.1813723898843849E-2</v>
      </c>
      <c r="AA2544" s="240">
        <v>3.1230620842529477E-2</v>
      </c>
    </row>
    <row r="2545" spans="19:27" x14ac:dyDescent="0.2">
      <c r="S2545" s="199"/>
      <c r="T2545" s="200"/>
      <c r="W2545" s="233" t="str">
        <f t="shared" si="46"/>
        <v>1w</v>
      </c>
      <c r="X2545" s="234">
        <f>_xll.qlCalendarAdvance(Calendar,X2544,W2545,"f",FALSE)</f>
        <v>56675</v>
      </c>
      <c r="Y2545" s="237">
        <f>_xll.qlCalendarAdvance(Calendar,X2545,NDays&amp;"D")</f>
        <v>56675</v>
      </c>
      <c r="Z2545" s="238">
        <v>3.181896163631661E-2</v>
      </c>
      <c r="AA2545" s="240">
        <v>3.1233903384748629E-2</v>
      </c>
    </row>
    <row r="2546" spans="19:27" x14ac:dyDescent="0.2">
      <c r="S2546" s="199"/>
      <c r="T2546" s="200"/>
      <c r="W2546" s="233" t="str">
        <f t="shared" si="46"/>
        <v>1w</v>
      </c>
      <c r="X2546" s="234">
        <f>_xll.qlCalendarAdvance(Calendar,X2545,W2546,"f",FALSE)</f>
        <v>56682</v>
      </c>
      <c r="Y2546" s="237">
        <f>_xll.qlCalendarAdvance(Calendar,X2546,NDays&amp;"D")</f>
        <v>56682</v>
      </c>
      <c r="Z2546" s="238">
        <v>3.182257343328207E-2</v>
      </c>
      <c r="AA2546" s="240">
        <v>3.1237193975268696E-2</v>
      </c>
    </row>
    <row r="2547" spans="19:27" x14ac:dyDescent="0.2">
      <c r="S2547" s="199"/>
      <c r="T2547" s="200"/>
      <c r="W2547" s="233" t="str">
        <f t="shared" si="46"/>
        <v>1w</v>
      </c>
      <c r="X2547" s="234">
        <f>_xll.qlCalendarAdvance(Calendar,X2546,W2547,"f",FALSE)</f>
        <v>56689</v>
      </c>
      <c r="Y2547" s="237">
        <f>_xll.qlCalendarAdvance(Calendar,X2547,NDays&amp;"D")</f>
        <v>56689</v>
      </c>
      <c r="Z2547" s="238">
        <v>3.1826193547119214E-2</v>
      </c>
      <c r="AA2547" s="240">
        <v>3.1240492613765491E-2</v>
      </c>
    </row>
    <row r="2548" spans="19:27" x14ac:dyDescent="0.2">
      <c r="S2548" s="199"/>
      <c r="T2548" s="200"/>
      <c r="W2548" s="233" t="str">
        <f t="shared" si="46"/>
        <v>1w</v>
      </c>
      <c r="X2548" s="234">
        <f>_xll.qlCalendarAdvance(Calendar,X2547,W2548,"f",FALSE)</f>
        <v>56696</v>
      </c>
      <c r="Y2548" s="237">
        <f>_xll.qlCalendarAdvance(Calendar,X2548,NDays&amp;"D")</f>
        <v>56696</v>
      </c>
      <c r="Z2548" s="238">
        <v>3.1829821977916173E-2</v>
      </c>
      <c r="AA2548" s="240">
        <v>3.1243799300401109E-2</v>
      </c>
    </row>
    <row r="2549" spans="19:27" x14ac:dyDescent="0.2">
      <c r="S2549" s="199"/>
      <c r="T2549" s="200"/>
      <c r="W2549" s="233" t="str">
        <f t="shared" si="46"/>
        <v>1w</v>
      </c>
      <c r="X2549" s="234">
        <f>_xll.qlCalendarAdvance(Calendar,X2548,W2549,"f",FALSE)</f>
        <v>56703</v>
      </c>
      <c r="Y2549" s="237">
        <f>_xll.qlCalendarAdvance(Calendar,X2549,NDays&amp;"D")</f>
        <v>56703</v>
      </c>
      <c r="Z2549" s="238">
        <v>3.1833458725760419E-2</v>
      </c>
      <c r="AA2549" s="240">
        <v>3.1247114035094503E-2</v>
      </c>
    </row>
    <row r="2550" spans="19:27" x14ac:dyDescent="0.2">
      <c r="S2550" s="199"/>
      <c r="T2550" s="200"/>
      <c r="W2550" s="233" t="str">
        <f t="shared" si="46"/>
        <v>1w</v>
      </c>
      <c r="X2550" s="234">
        <f>_xll.qlCalendarAdvance(Calendar,X2549,W2550,"f",FALSE)</f>
        <v>56710</v>
      </c>
      <c r="Y2550" s="237">
        <f>_xll.qlCalendarAdvance(Calendar,X2550,NDays&amp;"D")</f>
        <v>56710</v>
      </c>
      <c r="Z2550" s="238">
        <v>3.1837103790740513E-2</v>
      </c>
      <c r="AA2550" s="240">
        <v>3.1250436817926719E-2</v>
      </c>
    </row>
    <row r="2551" spans="19:27" x14ac:dyDescent="0.2">
      <c r="S2551" s="199"/>
      <c r="T2551" s="200"/>
      <c r="W2551" s="233" t="str">
        <f t="shared" si="46"/>
        <v>1w</v>
      </c>
      <c r="X2551" s="234">
        <f>_xll.qlCalendarAdvance(Calendar,X2550,W2551,"f",FALSE)</f>
        <v>56717</v>
      </c>
      <c r="Y2551" s="237">
        <f>_xll.qlCalendarAdvance(Calendar,X2551,NDays&amp;"D")</f>
        <v>56717</v>
      </c>
      <c r="Z2551" s="238">
        <v>3.1840757172944378E-2</v>
      </c>
      <c r="AA2551" s="240">
        <v>3.125376764881671E-2</v>
      </c>
    </row>
    <row r="2552" spans="19:27" x14ac:dyDescent="0.2">
      <c r="S2552" s="199"/>
      <c r="T2552" s="200"/>
      <c r="W2552" s="233" t="str">
        <f t="shared" si="46"/>
        <v>1w</v>
      </c>
      <c r="X2552" s="234">
        <f>_xll.qlCalendarAdvance(Calendar,X2551,W2552,"f",FALSE)</f>
        <v>56724</v>
      </c>
      <c r="Y2552" s="237">
        <f>_xll.qlCalendarAdvance(Calendar,X2552,NDays&amp;"D")</f>
        <v>56724</v>
      </c>
      <c r="Z2552" s="238">
        <v>3.1844418872460582E-2</v>
      </c>
      <c r="AA2552" s="240">
        <v>3.1257106527764478E-2</v>
      </c>
    </row>
    <row r="2553" spans="19:27" x14ac:dyDescent="0.2">
      <c r="S2553" s="199"/>
      <c r="T2553" s="200"/>
      <c r="W2553" s="233" t="str">
        <f t="shared" si="46"/>
        <v>1w</v>
      </c>
      <c r="X2553" s="234">
        <f>_xll.qlCalendarAdvance(Calendar,X2552,W2553,"f",FALSE)</f>
        <v>56731</v>
      </c>
      <c r="Y2553" s="237">
        <f>_xll.qlCalendarAdvance(Calendar,X2553,NDays&amp;"D")</f>
        <v>56731</v>
      </c>
      <c r="Z2553" s="238">
        <v>3.1848088889378151E-2</v>
      </c>
      <c r="AA2553" s="240">
        <v>3.1260453454932113E-2</v>
      </c>
    </row>
    <row r="2554" spans="19:27" x14ac:dyDescent="0.2">
      <c r="S2554" s="199"/>
      <c r="T2554" s="200"/>
      <c r="W2554" s="233" t="str">
        <f t="shared" si="46"/>
        <v>1w</v>
      </c>
      <c r="X2554" s="234">
        <f>_xll.qlCalendarAdvance(Calendar,X2553,W2554,"f",FALSE)</f>
        <v>56738</v>
      </c>
      <c r="Y2554" s="237">
        <f>_xll.qlCalendarAdvance(Calendar,X2554,NDays&amp;"D")</f>
        <v>56738</v>
      </c>
      <c r="Z2554" s="238">
        <v>3.185176722378566E-2</v>
      </c>
      <c r="AA2554" s="240">
        <v>3.1263808430238571E-2</v>
      </c>
    </row>
    <row r="2555" spans="19:27" x14ac:dyDescent="0.2">
      <c r="S2555" s="199"/>
      <c r="T2555" s="200"/>
      <c r="W2555" s="233" t="str">
        <f t="shared" si="46"/>
        <v>1w</v>
      </c>
      <c r="X2555" s="234">
        <f>_xll.qlCalendarAdvance(Calendar,X2554,W2555,"f",FALSE)</f>
        <v>56745</v>
      </c>
      <c r="Y2555" s="237">
        <f>_xll.qlCalendarAdvance(Calendar,X2555,NDays&amp;"D")</f>
        <v>56745</v>
      </c>
      <c r="Z2555" s="238">
        <v>3.1855453875771898E-2</v>
      </c>
      <c r="AA2555" s="240">
        <v>3.1267171453440712E-2</v>
      </c>
    </row>
    <row r="2556" spans="19:27" x14ac:dyDescent="0.2">
      <c r="S2556" s="199"/>
      <c r="T2556" s="200"/>
      <c r="W2556" s="233" t="str">
        <f t="shared" si="46"/>
        <v>1w</v>
      </c>
      <c r="X2556" s="234">
        <f>_xll.qlCalendarAdvance(Calendar,X2555,W2556,"f",FALSE)</f>
        <v>56752</v>
      </c>
      <c r="Y2556" s="237">
        <f>_xll.qlCalendarAdvance(Calendar,X2556,NDays&amp;"D")</f>
        <v>56752</v>
      </c>
      <c r="Z2556" s="238">
        <v>3.1859148845426545E-2</v>
      </c>
      <c r="AA2556" s="240">
        <v>3.1270542524700629E-2</v>
      </c>
    </row>
    <row r="2557" spans="19:27" x14ac:dyDescent="0.2">
      <c r="S2557" s="199"/>
      <c r="T2557" s="200"/>
      <c r="W2557" s="233" t="str">
        <f t="shared" si="46"/>
        <v>1w</v>
      </c>
      <c r="X2557" s="234">
        <f>_xll.qlCalendarAdvance(Calendar,X2556,W2557,"f",FALSE)</f>
        <v>56759</v>
      </c>
      <c r="Y2557" s="237">
        <f>_xll.qlCalendarAdvance(Calendar,X2557,NDays&amp;"D")</f>
        <v>56759</v>
      </c>
      <c r="Z2557" s="238">
        <v>3.1862852132839521E-2</v>
      </c>
      <c r="AA2557" s="240">
        <v>3.1273921644423552E-2</v>
      </c>
    </row>
    <row r="2558" spans="19:27" x14ac:dyDescent="0.2">
      <c r="S2558" s="199"/>
      <c r="T2558" s="200"/>
      <c r="W2558" s="233" t="str">
        <f t="shared" si="46"/>
        <v>1w</v>
      </c>
      <c r="X2558" s="234">
        <f>_xll.qlCalendarAdvance(Calendar,X2557,W2558,"f",FALSE)</f>
        <v>56766</v>
      </c>
      <c r="Y2558" s="237">
        <f>_xll.qlCalendarAdvance(Calendar,X2558,NDays&amp;"D")</f>
        <v>56766</v>
      </c>
      <c r="Z2558" s="238">
        <v>3.1866563738099825E-2</v>
      </c>
      <c r="AA2558" s="240">
        <v>3.1277308811961113E-2</v>
      </c>
    </row>
    <row r="2559" spans="19:27" x14ac:dyDescent="0.2">
      <c r="S2559" s="199"/>
      <c r="T2559" s="200"/>
      <c r="W2559" s="233" t="str">
        <f t="shared" si="46"/>
        <v>1w</v>
      </c>
      <c r="X2559" s="234">
        <f>_xll.qlCalendarAdvance(Calendar,X2558,W2559,"f",FALSE)</f>
        <v>56773</v>
      </c>
      <c r="Y2559" s="237">
        <f>_xll.qlCalendarAdvance(Calendar,X2559,NDays&amp;"D")</f>
        <v>56773</v>
      </c>
      <c r="Z2559" s="238">
        <v>3.1870283661297592E-2</v>
      </c>
      <c r="AA2559" s="240">
        <v>3.128070402755645E-2</v>
      </c>
    </row>
    <row r="2560" spans="19:27" x14ac:dyDescent="0.2">
      <c r="S2560" s="199"/>
      <c r="T2560" s="200"/>
      <c r="W2560" s="233" t="str">
        <f t="shared" si="46"/>
        <v>1w</v>
      </c>
      <c r="X2560" s="234">
        <f>_xll.qlCalendarAdvance(Calendar,X2559,W2560,"f",FALSE)</f>
        <v>56780</v>
      </c>
      <c r="Y2560" s="237">
        <f>_xll.qlCalendarAdvance(Calendar,X2560,NDays&amp;"D")</f>
        <v>56780</v>
      </c>
      <c r="Z2560" s="238">
        <v>3.1874011902522287E-2</v>
      </c>
      <c r="AA2560" s="240">
        <v>3.1284107291290608E-2</v>
      </c>
    </row>
    <row r="2561" spans="19:27" x14ac:dyDescent="0.2">
      <c r="S2561" s="199"/>
      <c r="T2561" s="200"/>
      <c r="W2561" s="233" t="str">
        <f t="shared" si="46"/>
        <v>1w</v>
      </c>
      <c r="X2561" s="234">
        <f>_xll.qlCalendarAdvance(Calendar,X2560,W2561,"f",FALSE)</f>
        <v>56787</v>
      </c>
      <c r="Y2561" s="237">
        <f>_xll.qlCalendarAdvance(Calendar,X2561,NDays&amp;"D")</f>
        <v>56787</v>
      </c>
      <c r="Z2561" s="238">
        <v>3.1877748461866022E-2</v>
      </c>
      <c r="AA2561" s="240">
        <v>3.1287518603406728E-2</v>
      </c>
    </row>
    <row r="2562" spans="19:27" x14ac:dyDescent="0.2">
      <c r="S2562" s="199"/>
      <c r="T2562" s="200"/>
      <c r="W2562" s="233" t="str">
        <f t="shared" si="46"/>
        <v>1w</v>
      </c>
      <c r="X2562" s="234">
        <f>_xll.qlCalendarAdvance(Calendar,X2561,W2562,"f",FALSE)</f>
        <v>56794</v>
      </c>
      <c r="Y2562" s="237">
        <f>_xll.qlCalendarAdvance(Calendar,X2562,NDays&amp;"D")</f>
        <v>56794</v>
      </c>
      <c r="Z2562" s="238">
        <v>3.1881493339417151E-2</v>
      </c>
      <c r="AA2562" s="240">
        <v>3.1290937963337484E-2</v>
      </c>
    </row>
    <row r="2563" spans="19:27" x14ac:dyDescent="0.2">
      <c r="S2563" s="199"/>
      <c r="T2563" s="200"/>
      <c r="W2563" s="233" t="str">
        <f t="shared" si="46"/>
        <v>1w</v>
      </c>
      <c r="X2563" s="234">
        <f>_xll.qlCalendarAdvance(Calendar,X2562,W2563,"f",FALSE)</f>
        <v>56801</v>
      </c>
      <c r="Y2563" s="237">
        <f>_xll.qlCalendarAdvance(Calendar,X2563,NDays&amp;"D")</f>
        <v>56801</v>
      </c>
      <c r="Z2563" s="238">
        <v>3.188524653526735E-2</v>
      </c>
      <c r="AA2563" s="240">
        <v>3.1294365371326016E-2</v>
      </c>
    </row>
    <row r="2564" spans="19:27" x14ac:dyDescent="0.2">
      <c r="S2564" s="199"/>
      <c r="T2564" s="200"/>
      <c r="W2564" s="233" t="str">
        <f t="shared" si="46"/>
        <v>1w</v>
      </c>
      <c r="X2564" s="234">
        <f>_xll.qlCalendarAdvance(Calendar,X2563,W2564,"f",FALSE)</f>
        <v>56808</v>
      </c>
      <c r="Y2564" s="237">
        <f>_xll.qlCalendarAdvance(Calendar,X2564,NDays&amp;"D")</f>
        <v>56808</v>
      </c>
      <c r="Z2564" s="238">
        <v>3.1889008049508297E-2</v>
      </c>
      <c r="AA2564" s="240">
        <v>3.1297800827534417E-2</v>
      </c>
    </row>
    <row r="2565" spans="19:27" x14ac:dyDescent="0.2">
      <c r="S2565" s="199"/>
      <c r="T2565" s="200"/>
      <c r="W2565" s="233" t="str">
        <f t="shared" si="46"/>
        <v>1w</v>
      </c>
      <c r="X2565" s="234">
        <f>_xll.qlCalendarAdvance(Calendar,X2564,W2565,"f",FALSE)</f>
        <v>56815</v>
      </c>
      <c r="Y2565" s="237">
        <f>_xll.qlCalendarAdvance(Calendar,X2565,NDays&amp;"D")</f>
        <v>56815</v>
      </c>
      <c r="Z2565" s="238">
        <v>3.1892777882229668E-2</v>
      </c>
      <c r="AA2565" s="240">
        <v>3.1301244331800593E-2</v>
      </c>
    </row>
    <row r="2566" spans="19:27" x14ac:dyDescent="0.2">
      <c r="S2566" s="199"/>
      <c r="T2566" s="200"/>
      <c r="W2566" s="233" t="str">
        <f t="shared" si="46"/>
        <v>1w</v>
      </c>
      <c r="X2566" s="234">
        <f>_xll.qlCalendarAdvance(Calendar,X2565,W2566,"f",FALSE)</f>
        <v>56822</v>
      </c>
      <c r="Y2566" s="237">
        <f>_xll.qlCalendarAdvance(Calendar,X2566,NDays&amp;"D")</f>
        <v>56822</v>
      </c>
      <c r="Z2566" s="238">
        <v>3.1896556033523808E-2</v>
      </c>
      <c r="AA2566" s="240">
        <v>3.1304695884124545E-2</v>
      </c>
    </row>
    <row r="2567" spans="19:27" x14ac:dyDescent="0.2">
      <c r="S2567" s="199"/>
      <c r="T2567" s="200"/>
      <c r="W2567" s="233" t="str">
        <f t="shared" si="46"/>
        <v>1w</v>
      </c>
      <c r="X2567" s="234">
        <f>_xll.qlCalendarAdvance(Calendar,X2566,W2567,"f",FALSE)</f>
        <v>56829</v>
      </c>
      <c r="Y2567" s="237">
        <f>_xll.qlCalendarAdvance(Calendar,X2567,NDays&amp;"D")</f>
        <v>56829</v>
      </c>
      <c r="Z2567" s="238">
        <v>3.1900342503481505E-2</v>
      </c>
      <c r="AA2567" s="240">
        <v>3.1308155484587319E-2</v>
      </c>
    </row>
    <row r="2568" spans="19:27" x14ac:dyDescent="0.2">
      <c r="S2568" s="199"/>
      <c r="T2568" s="200"/>
      <c r="W2568" s="233" t="str">
        <f t="shared" si="46"/>
        <v>1w</v>
      </c>
      <c r="X2568" s="234">
        <f>_xll.qlCalendarAdvance(Calendar,X2567,W2568,"f",FALSE)</f>
        <v>56836</v>
      </c>
      <c r="Y2568" s="237">
        <f>_xll.qlCalendarAdvance(Calendar,X2568,NDays&amp;"D")</f>
        <v>56836</v>
      </c>
      <c r="Z2568" s="238">
        <v>3.1904137292195094E-2</v>
      </c>
      <c r="AA2568" s="240">
        <v>3.1311623133269961E-2</v>
      </c>
    </row>
    <row r="2569" spans="19:27" x14ac:dyDescent="0.2">
      <c r="S2569" s="199"/>
      <c r="T2569" s="200"/>
      <c r="W2569" s="233" t="str">
        <f t="shared" si="46"/>
        <v>1w</v>
      </c>
      <c r="X2569" s="234">
        <f>_xll.qlCalendarAdvance(Calendar,X2568,W2569,"f",FALSE)</f>
        <v>56843</v>
      </c>
      <c r="Y2569" s="237">
        <f>_xll.qlCalendarAdvance(Calendar,X2569,NDays&amp;"D")</f>
        <v>56843</v>
      </c>
      <c r="Z2569" s="238">
        <v>3.1907940399756259E-2</v>
      </c>
      <c r="AA2569" s="240">
        <v>3.1315098829929333E-2</v>
      </c>
    </row>
    <row r="2570" spans="19:27" x14ac:dyDescent="0.2">
      <c r="S2570" s="199"/>
      <c r="T2570" s="200"/>
      <c r="W2570" s="233" t="str">
        <f t="shared" si="46"/>
        <v>1w</v>
      </c>
      <c r="X2570" s="234">
        <f>_xll.qlCalendarAdvance(Calendar,X2569,W2570,"f",FALSE)</f>
        <v>56850</v>
      </c>
      <c r="Y2570" s="237">
        <f>_xll.qlCalendarAdvance(Calendar,X2570,NDays&amp;"D")</f>
        <v>56850</v>
      </c>
      <c r="Z2570" s="238">
        <v>3.1911751826256676E-2</v>
      </c>
      <c r="AA2570" s="240">
        <v>3.1318582574646481E-2</v>
      </c>
    </row>
    <row r="2571" spans="19:27" x14ac:dyDescent="0.2">
      <c r="S2571" s="199"/>
      <c r="T2571" s="200"/>
      <c r="W2571" s="233" t="str">
        <f t="shared" si="46"/>
        <v>1w</v>
      </c>
      <c r="X2571" s="234">
        <f>_xll.qlCalendarAdvance(Calendar,X2570,W2571,"f",FALSE)</f>
        <v>56857</v>
      </c>
      <c r="Y2571" s="237">
        <f>_xll.qlCalendarAdvance(Calendar,X2571,NDays&amp;"D")</f>
        <v>56857</v>
      </c>
      <c r="Z2571" s="238">
        <v>3.1915571571789335E-2</v>
      </c>
      <c r="AA2571" s="240">
        <v>3.1322074367421404E-2</v>
      </c>
    </row>
    <row r="2572" spans="19:27" x14ac:dyDescent="0.2">
      <c r="S2572" s="199"/>
      <c r="T2572" s="200"/>
      <c r="W2572" s="233" t="str">
        <f t="shared" si="46"/>
        <v>1w</v>
      </c>
      <c r="X2572" s="234">
        <f>_xll.qlCalendarAdvance(Calendar,X2571,W2572,"f",FALSE)</f>
        <v>56864</v>
      </c>
      <c r="Y2572" s="237">
        <f>_xll.qlCalendarAdvance(Calendar,X2572,NDays&amp;"D")</f>
        <v>56864</v>
      </c>
      <c r="Z2572" s="238">
        <v>3.1919399636447035E-2</v>
      </c>
      <c r="AA2572" s="240">
        <v>3.1325574208578288E-2</v>
      </c>
    </row>
    <row r="2573" spans="19:27" x14ac:dyDescent="0.2">
      <c r="S2573" s="199"/>
      <c r="T2573" s="200"/>
      <c r="W2573" s="233" t="str">
        <f t="shared" si="46"/>
        <v>1w</v>
      </c>
      <c r="X2573" s="234">
        <f>_xll.qlCalendarAdvance(Calendar,X2572,W2573,"f",FALSE)</f>
        <v>56871</v>
      </c>
      <c r="Y2573" s="237">
        <f>_xll.qlCalendarAdvance(Calendar,X2573,NDays&amp;"D")</f>
        <v>56871</v>
      </c>
      <c r="Z2573" s="238">
        <v>3.192323602032144E-2</v>
      </c>
      <c r="AA2573" s="240">
        <v>3.1329082097630856E-2</v>
      </c>
    </row>
    <row r="2574" spans="19:27" x14ac:dyDescent="0.2">
      <c r="S2574" s="199"/>
      <c r="T2574" s="200"/>
      <c r="W2574" s="233" t="str">
        <f t="shared" si="46"/>
        <v>1w</v>
      </c>
      <c r="X2574" s="234">
        <f>_xll.qlCalendarAdvance(Calendar,X2573,W2574,"f",FALSE)</f>
        <v>56878</v>
      </c>
      <c r="Y2574" s="237">
        <f>_xll.qlCalendarAdvance(Calendar,X2574,NDays&amp;"D")</f>
        <v>56878</v>
      </c>
      <c r="Z2574" s="238">
        <v>3.192708072350578E-2</v>
      </c>
      <c r="AA2574" s="240">
        <v>3.1332598034741199E-2</v>
      </c>
    </row>
    <row r="2575" spans="19:27" x14ac:dyDescent="0.2">
      <c r="S2575" s="199"/>
      <c r="T2575" s="200"/>
      <c r="W2575" s="233" t="str">
        <f t="shared" si="46"/>
        <v>1w</v>
      </c>
      <c r="X2575" s="234">
        <f>_xll.qlCalendarAdvance(Calendar,X2574,W2575,"f",FALSE)</f>
        <v>56885</v>
      </c>
      <c r="Y2575" s="237">
        <f>_xll.qlCalendarAdvance(Calendar,X2575,NDays&amp;"D")</f>
        <v>56885</v>
      </c>
      <c r="Z2575" s="238">
        <v>3.1930933746093945E-2</v>
      </c>
      <c r="AA2575" s="240">
        <v>3.1336122020152457E-2</v>
      </c>
    </row>
    <row r="2576" spans="19:27" x14ac:dyDescent="0.2">
      <c r="S2576" s="199"/>
      <c r="T2576" s="200"/>
      <c r="W2576" s="233" t="str">
        <f t="shared" si="46"/>
        <v>1w</v>
      </c>
      <c r="X2576" s="234">
        <f>_xll.qlCalendarAdvance(Calendar,X2575,W2576,"f",FALSE)</f>
        <v>56892</v>
      </c>
      <c r="Y2576" s="237">
        <f>_xll.qlCalendarAdvance(Calendar,X2576,NDays&amp;"D")</f>
        <v>56892</v>
      </c>
      <c r="Z2576" s="238">
        <v>3.1934795088178494E-2</v>
      </c>
      <c r="AA2576" s="240">
        <v>3.1339654053540444E-2</v>
      </c>
    </row>
    <row r="2577" spans="19:27" x14ac:dyDescent="0.2">
      <c r="S2577" s="199"/>
      <c r="T2577" s="200"/>
      <c r="W2577" s="233" t="str">
        <f t="shared" si="46"/>
        <v>1w</v>
      </c>
      <c r="X2577" s="234">
        <f>_xll.qlCalendarAdvance(Calendar,X2576,W2577,"f",FALSE)</f>
        <v>56899</v>
      </c>
      <c r="Y2577" s="237">
        <f>_xll.qlCalendarAdvance(Calendar,X2577,NDays&amp;"D")</f>
        <v>56899</v>
      </c>
      <c r="Z2577" s="238">
        <v>3.1938664749853102E-2</v>
      </c>
      <c r="AA2577" s="240">
        <v>3.1343194134905161E-2</v>
      </c>
    </row>
    <row r="2578" spans="19:27" x14ac:dyDescent="0.2">
      <c r="S2578" s="199"/>
      <c r="T2578" s="200"/>
      <c r="W2578" s="233" t="str">
        <f t="shared" si="46"/>
        <v>1w</v>
      </c>
      <c r="X2578" s="234">
        <f>_xll.qlCalendarAdvance(Calendar,X2577,W2578,"f",FALSE)</f>
        <v>56906</v>
      </c>
      <c r="Y2578" s="237">
        <f>_xll.qlCalendarAdvance(Calendar,X2578,NDays&amp;"D")</f>
        <v>56906</v>
      </c>
      <c r="Z2578" s="238">
        <v>3.19425427312112E-2</v>
      </c>
      <c r="AA2578" s="240">
        <v>3.13467422644087E-2</v>
      </c>
    </row>
    <row r="2579" spans="19:27" x14ac:dyDescent="0.2">
      <c r="S2579" s="199"/>
      <c r="T2579" s="200"/>
      <c r="W2579" s="233" t="str">
        <f t="shared" si="46"/>
        <v>1w</v>
      </c>
      <c r="X2579" s="234">
        <f>_xll.qlCalendarAdvance(Calendar,X2578,W2579,"f",FALSE)</f>
        <v>56913</v>
      </c>
      <c r="Y2579" s="237">
        <f>_xll.qlCalendarAdvance(Calendar,X2579,NDays&amp;"D")</f>
        <v>56913</v>
      </c>
      <c r="Z2579" s="238">
        <v>3.1946429032347803E-2</v>
      </c>
      <c r="AA2579" s="240">
        <v>3.1350298442213154E-2</v>
      </c>
    </row>
    <row r="2580" spans="19:27" x14ac:dyDescent="0.2">
      <c r="S2580" s="199"/>
      <c r="T2580" s="200"/>
      <c r="W2580" s="233" t="str">
        <f t="shared" si="46"/>
        <v>1w</v>
      </c>
      <c r="X2580" s="234">
        <f>_xll.qlCalendarAdvance(Calendar,X2579,W2580,"f",FALSE)</f>
        <v>56920</v>
      </c>
      <c r="Y2580" s="237">
        <f>_xll.qlCalendarAdvance(Calendar,X2580,NDays&amp;"D")</f>
        <v>56920</v>
      </c>
      <c r="Z2580" s="238">
        <v>3.1950323653356344E-2</v>
      </c>
      <c r="AA2580" s="240">
        <v>3.1353862668075383E-2</v>
      </c>
    </row>
    <row r="2581" spans="19:27" x14ac:dyDescent="0.2">
      <c r="S2581" s="199"/>
      <c r="T2581" s="200"/>
      <c r="W2581" s="233" t="str">
        <f t="shared" ref="W2581:W2644" si="47">W2580</f>
        <v>1w</v>
      </c>
      <c r="X2581" s="234">
        <f>_xll.qlCalendarAdvance(Calendar,X2580,W2581,"f",FALSE)</f>
        <v>56927</v>
      </c>
      <c r="Y2581" s="237">
        <f>_xll.qlCalendarAdvance(Calendar,X2581,NDays&amp;"D")</f>
        <v>56927</v>
      </c>
      <c r="Z2581" s="238">
        <v>3.1954226594330504E-2</v>
      </c>
      <c r="AA2581" s="240">
        <v>3.1357434941833295E-2</v>
      </c>
    </row>
    <row r="2582" spans="19:27" x14ac:dyDescent="0.2">
      <c r="S2582" s="199"/>
      <c r="T2582" s="200"/>
      <c r="W2582" s="233" t="str">
        <f t="shared" si="47"/>
        <v>1w</v>
      </c>
      <c r="X2582" s="234">
        <f>_xll.qlCalendarAdvance(Calendar,X2581,W2582,"f",FALSE)</f>
        <v>56934</v>
      </c>
      <c r="Y2582" s="237">
        <f>_xll.qlCalendarAdvance(Calendar,X2582,NDays&amp;"D")</f>
        <v>56934</v>
      </c>
      <c r="Z2582" s="238">
        <v>3.1958137855365935E-2</v>
      </c>
      <c r="AA2582" s="240">
        <v>3.1361015263811076E-2</v>
      </c>
    </row>
    <row r="2583" spans="19:27" x14ac:dyDescent="0.2">
      <c r="S2583" s="199"/>
      <c r="T2583" s="200"/>
      <c r="W2583" s="233" t="str">
        <f t="shared" si="47"/>
        <v>1w</v>
      </c>
      <c r="X2583" s="234">
        <f>_xll.qlCalendarAdvance(Calendar,X2582,W2583,"f",FALSE)</f>
        <v>56941</v>
      </c>
      <c r="Y2583" s="237">
        <f>_xll.qlCalendarAdvance(Calendar,X2583,NDays&amp;"D")</f>
        <v>56941</v>
      </c>
      <c r="Z2583" s="238">
        <v>3.1962057436556966E-2</v>
      </c>
      <c r="AA2583" s="240">
        <v>3.1364603634008725E-2</v>
      </c>
    </row>
    <row r="2584" spans="19:27" x14ac:dyDescent="0.2">
      <c r="S2584" s="199"/>
      <c r="T2584" s="200"/>
      <c r="W2584" s="233" t="str">
        <f t="shared" si="47"/>
        <v>1w</v>
      </c>
      <c r="X2584" s="234">
        <f>_xll.qlCalendarAdvance(Calendar,X2583,W2584,"f",FALSE)</f>
        <v>56948</v>
      </c>
      <c r="Y2584" s="237">
        <f>_xll.qlCalendarAdvance(Calendar,X2584,NDays&amp;"D")</f>
        <v>56948</v>
      </c>
      <c r="Z2584" s="238">
        <v>3.1965985337998382E-2</v>
      </c>
      <c r="AA2584" s="240">
        <v>3.136820005226415E-2</v>
      </c>
    </row>
    <row r="2585" spans="19:27" x14ac:dyDescent="0.2">
      <c r="S2585" s="199"/>
      <c r="T2585" s="200"/>
      <c r="W2585" s="233" t="str">
        <f t="shared" si="47"/>
        <v>1w</v>
      </c>
      <c r="X2585" s="234">
        <f>_xll.qlCalendarAdvance(Calendar,X2584,W2585,"f",FALSE)</f>
        <v>56955</v>
      </c>
      <c r="Y2585" s="237">
        <f>_xll.qlCalendarAdvance(Calendar,X2585,NDays&amp;"D")</f>
        <v>56955</v>
      </c>
      <c r="Z2585" s="238">
        <v>3.1969921559785397E-2</v>
      </c>
      <c r="AA2585" s="240">
        <v>3.1371804518496305E-2</v>
      </c>
    </row>
    <row r="2586" spans="19:27" x14ac:dyDescent="0.2">
      <c r="S2586" s="199"/>
      <c r="T2586" s="200"/>
      <c r="W2586" s="233" t="str">
        <f t="shared" si="47"/>
        <v>1w</v>
      </c>
      <c r="X2586" s="234">
        <f>_xll.qlCalendarAdvance(Calendar,X2585,W2586,"f",FALSE)</f>
        <v>56962</v>
      </c>
      <c r="Y2586" s="237">
        <f>_xll.qlCalendarAdvance(Calendar,X2586,NDays&amp;"D")</f>
        <v>56962</v>
      </c>
      <c r="Z2586" s="238">
        <v>3.1973866102013679E-2</v>
      </c>
      <c r="AA2586" s="240">
        <v>3.1375417032948327E-2</v>
      </c>
    </row>
    <row r="2587" spans="19:27" x14ac:dyDescent="0.2">
      <c r="S2587" s="199"/>
      <c r="T2587" s="200"/>
      <c r="W2587" s="233" t="str">
        <f t="shared" si="47"/>
        <v>1w</v>
      </c>
      <c r="X2587" s="234">
        <f>_xll.qlCalendarAdvance(Calendar,X2586,W2587,"f",FALSE)</f>
        <v>56969</v>
      </c>
      <c r="Y2587" s="237">
        <f>_xll.qlCalendarAdvance(Calendar,X2587,NDays&amp;"D")</f>
        <v>56969</v>
      </c>
      <c r="Z2587" s="238">
        <v>3.1977818964778207E-2</v>
      </c>
      <c r="AA2587" s="240">
        <v>3.1379037595377079E-2</v>
      </c>
    </row>
    <row r="2588" spans="19:27" x14ac:dyDescent="0.2">
      <c r="S2588" s="199"/>
      <c r="T2588" s="200"/>
      <c r="W2588" s="233" t="str">
        <f t="shared" si="47"/>
        <v>1w</v>
      </c>
      <c r="X2588" s="234">
        <f>_xll.qlCalendarAdvance(Calendar,X2587,W2588,"f",FALSE)</f>
        <v>56977</v>
      </c>
      <c r="Y2588" s="237">
        <f>_xll.qlCalendarAdvance(Calendar,X2588,NDays&amp;"D")</f>
        <v>56977</v>
      </c>
      <c r="Z2588" s="238">
        <v>3.1982346710758489E-2</v>
      </c>
      <c r="AA2588" s="240">
        <v>3.1383185236052435E-2</v>
      </c>
    </row>
    <row r="2589" spans="19:27" x14ac:dyDescent="0.2">
      <c r="S2589" s="199"/>
      <c r="T2589" s="200"/>
      <c r="W2589" s="233" t="str">
        <f t="shared" si="47"/>
        <v>1w</v>
      </c>
      <c r="X2589" s="234">
        <f>_xll.qlCalendarAdvance(Calendar,X2588,W2589,"f",FALSE)</f>
        <v>56984</v>
      </c>
      <c r="Y2589" s="237">
        <f>_xll.qlCalendarAdvance(Calendar,X2589,NDays&amp;"D")</f>
        <v>56984</v>
      </c>
      <c r="Z2589" s="238">
        <v>3.1986317403567062E-2</v>
      </c>
      <c r="AA2589" s="240">
        <v>3.1386823044481371E-2</v>
      </c>
    </row>
    <row r="2590" spans="19:27" x14ac:dyDescent="0.2">
      <c r="S2590" s="199"/>
      <c r="T2590" s="200"/>
      <c r="W2590" s="233" t="str">
        <f t="shared" si="47"/>
        <v>1w</v>
      </c>
      <c r="X2590" s="234">
        <f>_xll.qlCalendarAdvance(Calendar,X2589,W2590,"f",FALSE)</f>
        <v>56991</v>
      </c>
      <c r="Y2590" s="237">
        <f>_xll.qlCalendarAdvance(Calendar,X2590,NDays&amp;"D")</f>
        <v>56991</v>
      </c>
      <c r="Z2590" s="238">
        <v>3.1990296417213494E-2</v>
      </c>
      <c r="AA2590" s="240">
        <v>3.1390468900968083E-2</v>
      </c>
    </row>
    <row r="2591" spans="19:27" x14ac:dyDescent="0.2">
      <c r="S2591" s="199"/>
      <c r="T2591" s="200"/>
      <c r="W2591" s="233" t="str">
        <f t="shared" si="47"/>
        <v>1w</v>
      </c>
      <c r="X2591" s="234">
        <f>_xll.qlCalendarAdvance(Calendar,X2590,W2591,"f",FALSE)</f>
        <v>56998</v>
      </c>
      <c r="Y2591" s="237">
        <f>_xll.qlCalendarAdvance(Calendar,X2591,NDays&amp;"D")</f>
        <v>56998</v>
      </c>
      <c r="Z2591" s="238">
        <v>3.1994283751794993E-2</v>
      </c>
      <c r="AA2591" s="240">
        <v>3.1394122805674662E-2</v>
      </c>
    </row>
    <row r="2592" spans="19:27" x14ac:dyDescent="0.2">
      <c r="S2592" s="199"/>
      <c r="T2592" s="200"/>
      <c r="W2592" s="233" t="str">
        <f t="shared" si="47"/>
        <v>1w</v>
      </c>
      <c r="X2592" s="234">
        <f>_xll.qlCalendarAdvance(Calendar,X2591,W2592,"f",FALSE)</f>
        <v>57005</v>
      </c>
      <c r="Y2592" s="237">
        <f>_xll.qlCalendarAdvance(Calendar,X2592,NDays&amp;"D")</f>
        <v>57005</v>
      </c>
      <c r="Z2592" s="238">
        <v>3.1998279407407224E-2</v>
      </c>
      <c r="AA2592" s="240">
        <v>3.1397784758520064E-2</v>
      </c>
    </row>
    <row r="2593" spans="19:27" x14ac:dyDescent="0.2">
      <c r="S2593" s="199"/>
      <c r="T2593" s="200"/>
      <c r="W2593" s="233" t="str">
        <f t="shared" si="47"/>
        <v>1w</v>
      </c>
      <c r="X2593" s="234">
        <f>_xll.qlCalendarAdvance(Calendar,X2592,W2593,"f",FALSE)</f>
        <v>57012</v>
      </c>
      <c r="Y2593" s="237">
        <f>_xll.qlCalendarAdvance(Calendar,X2593,NDays&amp;"D")</f>
        <v>57012</v>
      </c>
      <c r="Z2593" s="238">
        <v>3.2002283384147165E-2</v>
      </c>
      <c r="AA2593" s="240">
        <v>3.1401454759261149E-2</v>
      </c>
    </row>
    <row r="2594" spans="19:27" x14ac:dyDescent="0.2">
      <c r="S2594" s="199"/>
      <c r="T2594" s="200"/>
      <c r="W2594" s="233" t="str">
        <f t="shared" si="47"/>
        <v>1w</v>
      </c>
      <c r="X2594" s="234">
        <f>_xll.qlCalendarAdvance(Calendar,X2593,W2594,"f",FALSE)</f>
        <v>57019</v>
      </c>
      <c r="Y2594" s="237">
        <f>_xll.qlCalendarAdvance(Calendar,X2594,NDays&amp;"D")</f>
        <v>57019</v>
      </c>
      <c r="Z2594" s="238">
        <v>3.2006295682112482E-2</v>
      </c>
      <c r="AA2594" s="240">
        <v>3.1405132808222103E-2</v>
      </c>
    </row>
    <row r="2595" spans="19:27" x14ac:dyDescent="0.2">
      <c r="S2595" s="199"/>
      <c r="T2595" s="200"/>
      <c r="W2595" s="233" t="str">
        <f t="shared" si="47"/>
        <v>1w</v>
      </c>
      <c r="X2595" s="234">
        <f>_xll.qlCalendarAdvance(Calendar,X2594,W2595,"f",FALSE)</f>
        <v>57026</v>
      </c>
      <c r="Y2595" s="237">
        <f>_xll.qlCalendarAdvance(Calendar,X2595,NDays&amp;"D")</f>
        <v>57026</v>
      </c>
      <c r="Z2595" s="238">
        <v>3.2010316301399722E-2</v>
      </c>
      <c r="AA2595" s="240">
        <v>3.1408818905402924E-2</v>
      </c>
    </row>
    <row r="2596" spans="19:27" x14ac:dyDescent="0.2">
      <c r="S2596" s="199"/>
      <c r="T2596" s="200"/>
      <c r="W2596" s="233" t="str">
        <f t="shared" si="47"/>
        <v>1w</v>
      </c>
      <c r="X2596" s="234">
        <f>_xll.qlCalendarAdvance(Calendar,X2595,W2596,"f",FALSE)</f>
        <v>57033</v>
      </c>
      <c r="Y2596" s="237">
        <f>_xll.qlCalendarAdvance(Calendar,X2596,NDays&amp;"D")</f>
        <v>57033</v>
      </c>
      <c r="Z2596" s="238">
        <v>3.2014345242106751E-2</v>
      </c>
      <c r="AA2596" s="240">
        <v>3.1412513050641522E-2</v>
      </c>
    </row>
    <row r="2597" spans="19:27" x14ac:dyDescent="0.2">
      <c r="S2597" s="199"/>
      <c r="T2597" s="200"/>
      <c r="W2597" s="233" t="str">
        <f t="shared" si="47"/>
        <v>1w</v>
      </c>
      <c r="X2597" s="234">
        <f>_xll.qlCalendarAdvance(Calendar,X2596,W2597,"f",FALSE)</f>
        <v>57040</v>
      </c>
      <c r="Y2597" s="237">
        <f>_xll.qlCalendarAdvance(Calendar,X2597,NDays&amp;"D")</f>
        <v>57040</v>
      </c>
      <c r="Z2597" s="238">
        <v>3.2016699196010023E-2</v>
      </c>
      <c r="AA2597" s="240">
        <v>3.1416215243856849E-2</v>
      </c>
    </row>
    <row r="2598" spans="19:27" x14ac:dyDescent="0.2">
      <c r="S2598" s="199"/>
      <c r="T2598" s="200"/>
      <c r="W2598" s="233" t="str">
        <f t="shared" si="47"/>
        <v>1w</v>
      </c>
      <c r="X2598" s="234">
        <f>_xll.qlCalendarAdvance(Calendar,X2597,W2598,"f",FALSE)</f>
        <v>57047</v>
      </c>
      <c r="Y2598" s="237">
        <f>_xll.qlCalendarAdvance(Calendar,X2598,NDays&amp;"D")</f>
        <v>57047</v>
      </c>
      <c r="Z2598" s="238">
        <v>3.2020743836164822E-2</v>
      </c>
      <c r="AA2598" s="240">
        <v>3.1419925485210998E-2</v>
      </c>
    </row>
    <row r="2599" spans="19:27" x14ac:dyDescent="0.2">
      <c r="S2599" s="199"/>
      <c r="T2599" s="200"/>
      <c r="W2599" s="233" t="str">
        <f t="shared" si="47"/>
        <v>1w</v>
      </c>
      <c r="X2599" s="234">
        <f>_xll.qlCalendarAdvance(Calendar,X2598,W2599,"f",FALSE)</f>
        <v>57054</v>
      </c>
      <c r="Y2599" s="237">
        <f>_xll.qlCalendarAdvance(Calendar,X2599,NDays&amp;"D")</f>
        <v>57054</v>
      </c>
      <c r="Z2599" s="238">
        <v>3.2024796797263555E-2</v>
      </c>
      <c r="AA2599" s="240">
        <v>3.1423643774785015E-2</v>
      </c>
    </row>
    <row r="2600" spans="19:27" x14ac:dyDescent="0.2">
      <c r="S2600" s="199"/>
      <c r="T2600" s="200"/>
      <c r="W2600" s="233" t="str">
        <f t="shared" si="47"/>
        <v>1w</v>
      </c>
      <c r="X2600" s="234">
        <f>_xll.qlCalendarAdvance(Calendar,X2599,W2600,"f",FALSE)</f>
        <v>57061</v>
      </c>
      <c r="Y2600" s="237">
        <f>_xll.qlCalendarAdvance(Calendar,X2600,NDays&amp;"D")</f>
        <v>57061</v>
      </c>
      <c r="Z2600" s="238">
        <v>3.2028858079403477E-2</v>
      </c>
      <c r="AA2600" s="240">
        <v>3.1427370112416808E-2</v>
      </c>
    </row>
    <row r="2601" spans="19:27" x14ac:dyDescent="0.2">
      <c r="S2601" s="199"/>
      <c r="T2601" s="200"/>
      <c r="W2601" s="233" t="str">
        <f t="shared" si="47"/>
        <v>1w</v>
      </c>
      <c r="X2601" s="234">
        <f>_xll.qlCalendarAdvance(Calendar,X2600,W2601,"f",FALSE)</f>
        <v>57068</v>
      </c>
      <c r="Y2601" s="237">
        <f>_xll.qlCalendarAdvance(Calendar,X2601,NDays&amp;"D")</f>
        <v>57068</v>
      </c>
      <c r="Z2601" s="238">
        <v>3.2032927682683621E-2</v>
      </c>
      <c r="AA2601" s="240">
        <v>3.1431104498025331E-2</v>
      </c>
    </row>
    <row r="2602" spans="19:27" x14ac:dyDescent="0.2">
      <c r="S2602" s="199"/>
      <c r="T2602" s="200"/>
      <c r="W2602" s="233" t="str">
        <f t="shared" si="47"/>
        <v>1w</v>
      </c>
      <c r="X2602" s="234">
        <f>_xll.qlCalendarAdvance(Calendar,X2601,W2602,"f",FALSE)</f>
        <v>57075</v>
      </c>
      <c r="Y2602" s="237">
        <f>_xll.qlCalendarAdvance(Calendar,X2602,NDays&amp;"D")</f>
        <v>57075</v>
      </c>
      <c r="Z2602" s="238">
        <v>3.2037005607201463E-2</v>
      </c>
      <c r="AA2602" s="240">
        <v>3.1434846931934768E-2</v>
      </c>
    </row>
    <row r="2603" spans="19:27" x14ac:dyDescent="0.2">
      <c r="S2603" s="199"/>
      <c r="T2603" s="200"/>
      <c r="W2603" s="233" t="str">
        <f t="shared" si="47"/>
        <v>1w</v>
      </c>
      <c r="X2603" s="234">
        <f>_xll.qlCalendarAdvance(Calendar,X2602,W2603,"f",FALSE)</f>
        <v>57082</v>
      </c>
      <c r="Y2603" s="237">
        <f>_xll.qlCalendarAdvance(Calendar,X2603,NDays&amp;"D")</f>
        <v>57082</v>
      </c>
      <c r="Z2603" s="238">
        <v>3.2041091853056258E-2</v>
      </c>
      <c r="AA2603" s="240">
        <v>3.1438597413901981E-2</v>
      </c>
    </row>
    <row r="2604" spans="19:27" x14ac:dyDescent="0.2">
      <c r="S2604" s="199"/>
      <c r="T2604" s="200"/>
      <c r="W2604" s="233" t="str">
        <f t="shared" si="47"/>
        <v>1w</v>
      </c>
      <c r="X2604" s="234">
        <f>_xll.qlCalendarAdvance(Calendar,X2603,W2604,"f",FALSE)</f>
        <v>57089</v>
      </c>
      <c r="Y2604" s="237">
        <f>_xll.qlCalendarAdvance(Calendar,X2604,NDays&amp;"D")</f>
        <v>57089</v>
      </c>
      <c r="Z2604" s="238">
        <v>3.2045186420345928E-2</v>
      </c>
      <c r="AA2604" s="240">
        <v>3.1442355943845923E-2</v>
      </c>
    </row>
    <row r="2605" spans="19:27" x14ac:dyDescent="0.2">
      <c r="S2605" s="199"/>
      <c r="T2605" s="200"/>
      <c r="W2605" s="233" t="str">
        <f t="shared" si="47"/>
        <v>1w</v>
      </c>
      <c r="X2605" s="234">
        <f>_xll.qlCalendarAdvance(Calendar,X2604,W2605,"f",FALSE)</f>
        <v>57096</v>
      </c>
      <c r="Y2605" s="237">
        <f>_xll.qlCalendarAdvance(Calendar,X2605,NDays&amp;"D")</f>
        <v>57096</v>
      </c>
      <c r="Z2605" s="238">
        <v>3.2049289309170392E-2</v>
      </c>
      <c r="AA2605" s="240">
        <v>3.1446122522171827E-2</v>
      </c>
    </row>
    <row r="2606" spans="19:27" x14ac:dyDescent="0.2">
      <c r="S2606" s="199"/>
      <c r="T2606" s="200"/>
      <c r="W2606" s="233" t="str">
        <f t="shared" si="47"/>
        <v>1w</v>
      </c>
      <c r="X2606" s="234">
        <f>_xll.qlCalendarAdvance(Calendar,X2605,W2606,"f",FALSE)</f>
        <v>57103</v>
      </c>
      <c r="Y2606" s="237">
        <f>_xll.qlCalendarAdvance(Calendar,X2606,NDays&amp;"D")</f>
        <v>57103</v>
      </c>
      <c r="Z2606" s="238">
        <v>3.2053400519627795E-2</v>
      </c>
      <c r="AA2606" s="240">
        <v>3.1449897148393413E-2</v>
      </c>
    </row>
    <row r="2607" spans="19:27" x14ac:dyDescent="0.2">
      <c r="S2607" s="199"/>
      <c r="T2607" s="200"/>
      <c r="W2607" s="233" t="str">
        <f t="shared" si="47"/>
        <v>1w</v>
      </c>
      <c r="X2607" s="234">
        <f>_xll.qlCalendarAdvance(Calendar,X2606,W2607,"f",FALSE)</f>
        <v>57110</v>
      </c>
      <c r="Y2607" s="237">
        <f>_xll.qlCalendarAdvance(Calendar,X2607,NDays&amp;"D")</f>
        <v>57110</v>
      </c>
      <c r="Z2607" s="238">
        <v>3.2057520051818056E-2</v>
      </c>
      <c r="AA2607" s="240">
        <v>3.1453679822834868E-2</v>
      </c>
    </row>
    <row r="2608" spans="19:27" x14ac:dyDescent="0.2">
      <c r="S2608" s="199"/>
      <c r="T2608" s="200"/>
      <c r="W2608" s="233" t="str">
        <f t="shared" si="47"/>
        <v>1w</v>
      </c>
      <c r="X2608" s="234">
        <f>_xll.qlCalendarAdvance(Calendar,X2607,W2608,"f",FALSE)</f>
        <v>57117</v>
      </c>
      <c r="Y2608" s="237">
        <f>_xll.qlCalendarAdvance(Calendar,X2608,NDays&amp;"D")</f>
        <v>57117</v>
      </c>
      <c r="Z2608" s="238">
        <v>3.2061647905840207E-2</v>
      </c>
      <c r="AA2608" s="240">
        <v>3.1457470545253052E-2</v>
      </c>
    </row>
    <row r="2609" spans="19:27" x14ac:dyDescent="0.2">
      <c r="S2609" s="199"/>
      <c r="T2609" s="200"/>
      <c r="W2609" s="233" t="str">
        <f t="shared" si="47"/>
        <v>1w</v>
      </c>
      <c r="X2609" s="234">
        <f>_xll.qlCalendarAdvance(Calendar,X2608,W2609,"f",FALSE)</f>
        <v>57124</v>
      </c>
      <c r="Y2609" s="237">
        <f>_xll.qlCalendarAdvance(Calendar,X2609,NDays&amp;"D")</f>
        <v>57124</v>
      </c>
      <c r="Z2609" s="238">
        <v>3.2065784081794613E-2</v>
      </c>
      <c r="AA2609" s="240">
        <v>3.1461269315891105E-2</v>
      </c>
    </row>
    <row r="2610" spans="19:27" x14ac:dyDescent="0.2">
      <c r="S2610" s="199"/>
      <c r="T2610" s="200"/>
      <c r="W2610" s="233" t="str">
        <f t="shared" si="47"/>
        <v>1w</v>
      </c>
      <c r="X2610" s="234">
        <f>_xll.qlCalendarAdvance(Calendar,X2609,W2610,"f",FALSE)</f>
        <v>57131</v>
      </c>
      <c r="Y2610" s="237">
        <f>_xll.qlCalendarAdvance(Calendar,X2610,NDays&amp;"D")</f>
        <v>57131</v>
      </c>
      <c r="Z2610" s="238">
        <v>3.2069928579780527E-2</v>
      </c>
      <c r="AA2610" s="240">
        <v>3.1465076134586933E-2</v>
      </c>
    </row>
    <row r="2611" spans="19:27" x14ac:dyDescent="0.2">
      <c r="S2611" s="199"/>
      <c r="T2611" s="200"/>
      <c r="W2611" s="233" t="str">
        <f t="shared" si="47"/>
        <v>1w</v>
      </c>
      <c r="X2611" s="234">
        <f>_xll.qlCalendarAdvance(Calendar,X2610,W2611,"f",FALSE)</f>
        <v>57138</v>
      </c>
      <c r="Y2611" s="237">
        <f>_xll.qlCalendarAdvance(Calendar,X2611,NDays&amp;"D")</f>
        <v>57138</v>
      </c>
      <c r="Z2611" s="238">
        <v>3.2074081399898313E-2</v>
      </c>
      <c r="AA2611" s="240">
        <v>3.1468891001421584E-2</v>
      </c>
    </row>
    <row r="2612" spans="19:27" x14ac:dyDescent="0.2">
      <c r="S2612" s="199"/>
      <c r="T2612" s="200"/>
      <c r="W2612" s="233" t="str">
        <f t="shared" si="47"/>
        <v>1w</v>
      </c>
      <c r="X2612" s="234">
        <f>_xll.qlCalendarAdvance(Calendar,X2611,W2612,"f",FALSE)</f>
        <v>57145</v>
      </c>
      <c r="Y2612" s="237">
        <f>_xll.qlCalendarAdvance(Calendar,X2612,NDays&amp;"D")</f>
        <v>57145</v>
      </c>
      <c r="Z2612" s="238">
        <v>3.2078242542248558E-2</v>
      </c>
      <c r="AA2612" s="240">
        <v>3.1472713916232964E-2</v>
      </c>
    </row>
    <row r="2613" spans="19:27" x14ac:dyDescent="0.2">
      <c r="S2613" s="199"/>
      <c r="T2613" s="200"/>
      <c r="W2613" s="233" t="str">
        <f t="shared" si="47"/>
        <v>1w</v>
      </c>
      <c r="X2613" s="234">
        <f>_xll.qlCalendarAdvance(Calendar,X2612,W2613,"f",FALSE)</f>
        <v>57152</v>
      </c>
      <c r="Y2613" s="237">
        <f>_xll.qlCalendarAdvance(Calendar,X2613,NDays&amp;"D")</f>
        <v>57152</v>
      </c>
      <c r="Z2613" s="238">
        <v>3.2082412006931627E-2</v>
      </c>
      <c r="AA2613" s="240">
        <v>3.1476544879345258E-2</v>
      </c>
    </row>
    <row r="2614" spans="19:27" x14ac:dyDescent="0.2">
      <c r="S2614" s="199"/>
      <c r="T2614" s="200"/>
      <c r="W2614" s="233" t="str">
        <f t="shared" si="47"/>
        <v>1w</v>
      </c>
      <c r="X2614" s="234">
        <f>_xll.qlCalendarAdvance(Calendar,X2613,W2614,"f",FALSE)</f>
        <v>57159</v>
      </c>
      <c r="Y2614" s="237">
        <f>_xll.qlCalendarAdvance(Calendar,X2614,NDays&amp;"D")</f>
        <v>57159</v>
      </c>
      <c r="Z2614" s="238">
        <v>3.2086589794048104E-2</v>
      </c>
      <c r="AA2614" s="240">
        <v>3.1480383890515329E-2</v>
      </c>
    </row>
    <row r="2615" spans="19:27" x14ac:dyDescent="0.2">
      <c r="S2615" s="199"/>
      <c r="T2615" s="200"/>
      <c r="W2615" s="233" t="str">
        <f t="shared" si="47"/>
        <v>1w</v>
      </c>
      <c r="X2615" s="234">
        <f>_xll.qlCalendarAdvance(Calendar,X2614,W2615,"f",FALSE)</f>
        <v>57166</v>
      </c>
      <c r="Y2615" s="237">
        <f>_xll.qlCalendarAdvance(Calendar,X2615,NDays&amp;"D")</f>
        <v>57166</v>
      </c>
      <c r="Z2615" s="238">
        <v>3.2090775903699242E-2</v>
      </c>
      <c r="AA2615" s="240">
        <v>3.1484230949743175E-2</v>
      </c>
    </row>
    <row r="2616" spans="19:27" x14ac:dyDescent="0.2">
      <c r="S2616" s="199"/>
      <c r="T2616" s="200"/>
      <c r="W2616" s="233" t="str">
        <f t="shared" si="47"/>
        <v>1w</v>
      </c>
      <c r="X2616" s="234">
        <f>_xll.qlCalendarAdvance(Calendar,X2615,W2616,"f",FALSE)</f>
        <v>57173</v>
      </c>
      <c r="Y2616" s="237">
        <f>_xll.qlCalendarAdvance(Calendar,X2616,NDays&amp;"D")</f>
        <v>57173</v>
      </c>
      <c r="Z2616" s="238">
        <v>3.2094970335985851E-2</v>
      </c>
      <c r="AA2616" s="240">
        <v>3.1488086057109843E-2</v>
      </c>
    </row>
    <row r="2617" spans="19:27" x14ac:dyDescent="0.2">
      <c r="S2617" s="199"/>
      <c r="T2617" s="200"/>
      <c r="W2617" s="233" t="str">
        <f t="shared" si="47"/>
        <v>1w</v>
      </c>
      <c r="X2617" s="234">
        <f>_xll.qlCalendarAdvance(Calendar,X2616,W2617,"f",FALSE)</f>
        <v>57180</v>
      </c>
      <c r="Y2617" s="237">
        <f>_xll.qlCalendarAdvance(Calendar,X2617,NDays&amp;"D")</f>
        <v>57180</v>
      </c>
      <c r="Z2617" s="238">
        <v>3.2099173091009403E-2</v>
      </c>
      <c r="AA2617" s="240">
        <v>3.1491949212615333E-2</v>
      </c>
    </row>
    <row r="2618" spans="19:27" x14ac:dyDescent="0.2">
      <c r="S2618" s="199"/>
      <c r="T2618" s="200"/>
      <c r="W2618" s="233" t="str">
        <f t="shared" si="47"/>
        <v>1w</v>
      </c>
      <c r="X2618" s="234">
        <f>_xll.qlCalendarAdvance(Calendar,X2617,W2618,"f",FALSE)</f>
        <v>57187</v>
      </c>
      <c r="Y2618" s="237">
        <f>_xll.qlCalendarAdvance(Calendar,X2618,NDays&amp;"D")</f>
        <v>57187</v>
      </c>
      <c r="Z2618" s="238">
        <v>3.2103384168871152E-2</v>
      </c>
      <c r="AA2618" s="240">
        <v>3.1495820416259646E-2</v>
      </c>
    </row>
    <row r="2619" spans="19:27" x14ac:dyDescent="0.2">
      <c r="S2619" s="199"/>
      <c r="T2619" s="200"/>
      <c r="W2619" s="233" t="str">
        <f t="shared" si="47"/>
        <v>1w</v>
      </c>
      <c r="X2619" s="234">
        <f>_xll.qlCalendarAdvance(Calendar,X2618,W2619,"f",FALSE)</f>
        <v>57194</v>
      </c>
      <c r="Y2619" s="237">
        <f>_xll.qlCalendarAdvance(Calendar,X2619,NDays&amp;"D")</f>
        <v>57194</v>
      </c>
      <c r="Z2619" s="238">
        <v>3.210760356967346E-2</v>
      </c>
      <c r="AA2619" s="240">
        <v>3.1499699667880687E-2</v>
      </c>
    </row>
    <row r="2620" spans="19:27" x14ac:dyDescent="0.2">
      <c r="S2620" s="199"/>
      <c r="T2620" s="200"/>
      <c r="W2620" s="233" t="str">
        <f t="shared" si="47"/>
        <v>1w</v>
      </c>
      <c r="X2620" s="234">
        <f>_xll.qlCalendarAdvance(Calendar,X2619,W2620,"f",FALSE)</f>
        <v>57201</v>
      </c>
      <c r="Y2620" s="237">
        <f>_xll.qlCalendarAdvance(Calendar,X2620,NDays&amp;"D")</f>
        <v>57201</v>
      </c>
      <c r="Z2620" s="238">
        <v>3.2111831293517801E-2</v>
      </c>
      <c r="AA2620" s="240">
        <v>3.1503586967721597E-2</v>
      </c>
    </row>
    <row r="2621" spans="19:27" x14ac:dyDescent="0.2">
      <c r="S2621" s="199"/>
      <c r="T2621" s="200"/>
      <c r="W2621" s="233" t="str">
        <f t="shared" si="47"/>
        <v>1w</v>
      </c>
      <c r="X2621" s="234">
        <f>_xll.qlCalendarAdvance(Calendar,X2620,W2621,"f",FALSE)</f>
        <v>57208</v>
      </c>
      <c r="Y2621" s="237">
        <f>_xll.qlCalendarAdvance(Calendar,X2621,NDays&amp;"D")</f>
        <v>57208</v>
      </c>
      <c r="Z2621" s="238">
        <v>3.2116067340506316E-2</v>
      </c>
      <c r="AA2621" s="240">
        <v>3.150748231570133E-2</v>
      </c>
    </row>
    <row r="2622" spans="19:27" x14ac:dyDescent="0.2">
      <c r="S2622" s="199"/>
      <c r="T2622" s="200"/>
      <c r="W2622" s="233" t="str">
        <f t="shared" si="47"/>
        <v>1w</v>
      </c>
      <c r="X2622" s="234">
        <f>_xll.qlCalendarAdvance(Calendar,X2621,W2622,"f",FALSE)</f>
        <v>57215</v>
      </c>
      <c r="Y2622" s="237">
        <f>_xll.qlCalendarAdvance(Calendar,X2622,NDays&amp;"D")</f>
        <v>57215</v>
      </c>
      <c r="Z2622" s="238">
        <v>3.2120311710741589E-2</v>
      </c>
      <c r="AA2622" s="240">
        <v>3.1511385711657791E-2</v>
      </c>
    </row>
    <row r="2623" spans="19:27" x14ac:dyDescent="0.2">
      <c r="S2623" s="199"/>
      <c r="T2623" s="200"/>
      <c r="W2623" s="233" t="str">
        <f t="shared" si="47"/>
        <v>1w</v>
      </c>
      <c r="X2623" s="234">
        <f>_xll.qlCalendarAdvance(Calendar,X2622,W2623,"f",FALSE)</f>
        <v>57222</v>
      </c>
      <c r="Y2623" s="237">
        <f>_xll.qlCalendarAdvance(Calendar,X2623,NDays&amp;"D")</f>
        <v>57222</v>
      </c>
      <c r="Z2623" s="238">
        <v>3.2124564404325984E-2</v>
      </c>
      <c r="AA2623" s="240">
        <v>3.1515297155834121E-2</v>
      </c>
    </row>
    <row r="2624" spans="19:27" x14ac:dyDescent="0.2">
      <c r="S2624" s="199"/>
      <c r="T2624" s="200"/>
      <c r="W2624" s="233" t="str">
        <f t="shared" si="47"/>
        <v>1w</v>
      </c>
      <c r="X2624" s="234">
        <f>_xll.qlCalendarAdvance(Calendar,X2623,W2624,"f",FALSE)</f>
        <v>57229</v>
      </c>
      <c r="Y2624" s="237">
        <f>_xll.qlCalendarAdvance(Calendar,X2624,NDays&amp;"D")</f>
        <v>57229</v>
      </c>
      <c r="Z2624" s="238">
        <v>3.2128825421361862E-2</v>
      </c>
      <c r="AA2624" s="240">
        <v>3.1519216648230319E-2</v>
      </c>
    </row>
    <row r="2625" spans="19:27" x14ac:dyDescent="0.2">
      <c r="S2625" s="199"/>
      <c r="T2625" s="200"/>
      <c r="W2625" s="233" t="str">
        <f t="shared" si="47"/>
        <v>1w</v>
      </c>
      <c r="X2625" s="234">
        <f>_xll.qlCalendarAdvance(Calendar,X2624,W2625,"f",FALSE)</f>
        <v>57236</v>
      </c>
      <c r="Y2625" s="237">
        <f>_xll.qlCalendarAdvance(Calendar,X2625,NDays&amp;"D")</f>
        <v>57236</v>
      </c>
      <c r="Z2625" s="238">
        <v>3.2133094761952696E-2</v>
      </c>
      <c r="AA2625" s="240">
        <v>3.1523144188522201E-2</v>
      </c>
    </row>
    <row r="2626" spans="19:27" x14ac:dyDescent="0.2">
      <c r="S2626" s="199"/>
      <c r="T2626" s="200"/>
      <c r="W2626" s="233" t="str">
        <f t="shared" si="47"/>
        <v>1w</v>
      </c>
      <c r="X2626" s="234">
        <f>_xll.qlCalendarAdvance(Calendar,X2625,W2626,"f",FALSE)</f>
        <v>57243</v>
      </c>
      <c r="Y2626" s="237">
        <f>_xll.qlCalendarAdvance(Calendar,X2626,NDays&amp;"D")</f>
        <v>57243</v>
      </c>
      <c r="Z2626" s="238">
        <v>3.213737242620196E-2</v>
      </c>
      <c r="AA2626" s="240">
        <v>3.1527079777033951E-2</v>
      </c>
    </row>
    <row r="2627" spans="19:27" x14ac:dyDescent="0.2">
      <c r="S2627" s="199"/>
      <c r="T2627" s="200"/>
      <c r="W2627" s="233" t="str">
        <f t="shared" si="47"/>
        <v>1w</v>
      </c>
      <c r="X2627" s="234">
        <f>_xll.qlCalendarAdvance(Calendar,X2626,W2627,"f",FALSE)</f>
        <v>57250</v>
      </c>
      <c r="Y2627" s="237">
        <f>_xll.qlCalendarAdvance(Calendar,X2627,NDays&amp;"D")</f>
        <v>57250</v>
      </c>
      <c r="Z2627" s="238">
        <v>3.2141658414212015E-2</v>
      </c>
      <c r="AA2627" s="240">
        <v>3.1531023413684522E-2</v>
      </c>
    </row>
    <row r="2628" spans="19:27" x14ac:dyDescent="0.2">
      <c r="S2628" s="199"/>
      <c r="T2628" s="200"/>
      <c r="W2628" s="233" t="str">
        <f t="shared" si="47"/>
        <v>1w</v>
      </c>
      <c r="X2628" s="234">
        <f>_xll.qlCalendarAdvance(Calendar,X2627,W2628,"f",FALSE)</f>
        <v>57257</v>
      </c>
      <c r="Y2628" s="237">
        <f>_xll.qlCalendarAdvance(Calendar,X2628,NDays&amp;"D")</f>
        <v>57257</v>
      </c>
      <c r="Z2628" s="238">
        <v>3.2145952726087224E-2</v>
      </c>
      <c r="AA2628" s="240">
        <v>3.1534975098473916E-2</v>
      </c>
    </row>
    <row r="2629" spans="19:27" x14ac:dyDescent="0.2">
      <c r="S2629" s="199"/>
      <c r="T2629" s="200"/>
      <c r="W2629" s="233" t="str">
        <f t="shared" si="47"/>
        <v>1w</v>
      </c>
      <c r="X2629" s="234">
        <f>_xll.qlCalendarAdvance(Calendar,X2628,W2629,"f",FALSE)</f>
        <v>57264</v>
      </c>
      <c r="Y2629" s="237">
        <f>_xll.qlCalendarAdvance(Calendar,X2629,NDays&amp;"D")</f>
        <v>57264</v>
      </c>
      <c r="Z2629" s="238">
        <v>3.2150255361930613E-2</v>
      </c>
      <c r="AA2629" s="240">
        <v>3.153893483124004E-2</v>
      </c>
    </row>
    <row r="2630" spans="19:27" x14ac:dyDescent="0.2">
      <c r="S2630" s="199"/>
      <c r="T2630" s="200"/>
      <c r="W2630" s="233" t="str">
        <f t="shared" si="47"/>
        <v>1w</v>
      </c>
      <c r="X2630" s="234">
        <f>_xll.qlCalendarAdvance(Calendar,X2629,W2630,"f",FALSE)</f>
        <v>57271</v>
      </c>
      <c r="Y2630" s="237">
        <f>_xll.qlCalendarAdvance(Calendar,X2630,NDays&amp;"D")</f>
        <v>57271</v>
      </c>
      <c r="Z2630" s="238">
        <v>3.2154566321846989E-2</v>
      </c>
      <c r="AA2630" s="240">
        <v>3.1542902612144985E-2</v>
      </c>
    </row>
    <row r="2631" spans="19:27" x14ac:dyDescent="0.2">
      <c r="S2631" s="199"/>
      <c r="T2631" s="200"/>
      <c r="W2631" s="233" t="str">
        <f t="shared" si="47"/>
        <v>1w</v>
      </c>
      <c r="X2631" s="234">
        <f>_xll.qlCalendarAdvance(Calendar,X2630,W2631,"f",FALSE)</f>
        <v>57278</v>
      </c>
      <c r="Y2631" s="237">
        <f>_xll.qlCalendarAdvance(Calendar,X2631,NDays&amp;"D")</f>
        <v>57278</v>
      </c>
      <c r="Z2631" s="238">
        <v>3.2158885605940046E-2</v>
      </c>
      <c r="AA2631" s="240">
        <v>3.1546878441269799E-2</v>
      </c>
    </row>
    <row r="2632" spans="19:27" x14ac:dyDescent="0.2">
      <c r="S2632" s="199"/>
      <c r="T2632" s="200"/>
      <c r="W2632" s="233" t="str">
        <f t="shared" si="47"/>
        <v>1w</v>
      </c>
      <c r="X2632" s="234">
        <f>_xll.qlCalendarAdvance(Calendar,X2631,W2632,"f",FALSE)</f>
        <v>57285</v>
      </c>
      <c r="Y2632" s="237">
        <f>_xll.qlCalendarAdvance(Calendar,X2632,NDays&amp;"D")</f>
        <v>57285</v>
      </c>
      <c r="Z2632" s="238">
        <v>3.2163213214313702E-2</v>
      </c>
      <c r="AA2632" s="240">
        <v>3.1550862318533435E-2</v>
      </c>
    </row>
    <row r="2633" spans="19:27" x14ac:dyDescent="0.2">
      <c r="S2633" s="199"/>
      <c r="T2633" s="200"/>
      <c r="W2633" s="233" t="str">
        <f t="shared" si="47"/>
        <v>1w</v>
      </c>
      <c r="X2633" s="234">
        <f>_xll.qlCalendarAdvance(Calendar,X2632,W2633,"f",FALSE)</f>
        <v>57292</v>
      </c>
      <c r="Y2633" s="237">
        <f>_xll.qlCalendarAdvance(Calendar,X2633,NDays&amp;"D")</f>
        <v>57292</v>
      </c>
      <c r="Z2633" s="238">
        <v>3.2167549147073426E-2</v>
      </c>
      <c r="AA2633" s="240">
        <v>3.1554854243692754E-2</v>
      </c>
    </row>
    <row r="2634" spans="19:27" x14ac:dyDescent="0.2">
      <c r="S2634" s="199"/>
      <c r="T2634" s="200"/>
      <c r="W2634" s="233" t="str">
        <f t="shared" si="47"/>
        <v>1w</v>
      </c>
      <c r="X2634" s="234">
        <f>_xll.qlCalendarAdvance(Calendar,X2633,W2634,"f",FALSE)</f>
        <v>57299</v>
      </c>
      <c r="Y2634" s="237">
        <f>_xll.qlCalendarAdvance(Calendar,X2634,NDays&amp;"D")</f>
        <v>57299</v>
      </c>
      <c r="Z2634" s="238">
        <v>3.2171893404323137E-2</v>
      </c>
      <c r="AA2634" s="240">
        <v>3.1558854217152987E-2</v>
      </c>
    </row>
    <row r="2635" spans="19:27" x14ac:dyDescent="0.2">
      <c r="S2635" s="199"/>
      <c r="T2635" s="200"/>
      <c r="W2635" s="233" t="str">
        <f t="shared" si="47"/>
        <v>1w</v>
      </c>
      <c r="X2635" s="234">
        <f>_xll.qlCalendarAdvance(Calendar,X2634,W2635,"f",FALSE)</f>
        <v>57306</v>
      </c>
      <c r="Y2635" s="237">
        <f>_xll.qlCalendarAdvance(Calendar,X2635,NDays&amp;"D")</f>
        <v>57306</v>
      </c>
      <c r="Z2635" s="238">
        <v>3.2176245986168528E-2</v>
      </c>
      <c r="AA2635" s="240">
        <v>3.1562862238752043E-2</v>
      </c>
    </row>
    <row r="2636" spans="19:27" x14ac:dyDescent="0.2">
      <c r="S2636" s="199"/>
      <c r="T2636" s="200"/>
      <c r="W2636" s="233" t="str">
        <f t="shared" si="47"/>
        <v>1w</v>
      </c>
      <c r="X2636" s="234">
        <f>_xll.qlCalendarAdvance(Calendar,X2635,W2636,"f",FALSE)</f>
        <v>57313</v>
      </c>
      <c r="Y2636" s="237">
        <f>_xll.qlCalendarAdvance(Calendar,X2636,NDays&amp;"D")</f>
        <v>57313</v>
      </c>
      <c r="Z2636" s="238">
        <v>3.2180606892714403E-2</v>
      </c>
      <c r="AA2636" s="240">
        <v>3.1566878308408874E-2</v>
      </c>
    </row>
    <row r="2637" spans="19:27" x14ac:dyDescent="0.2">
      <c r="S2637" s="199"/>
      <c r="T2637" s="200"/>
      <c r="W2637" s="233" t="str">
        <f t="shared" si="47"/>
        <v>1w</v>
      </c>
      <c r="X2637" s="234">
        <f>_xll.qlCalendarAdvance(Calendar,X2636,W2637,"f",FALSE)</f>
        <v>57320</v>
      </c>
      <c r="Y2637" s="237">
        <f>_xll.qlCalendarAdvance(Calendar,X2637,NDays&amp;"D")</f>
        <v>57320</v>
      </c>
      <c r="Z2637" s="238">
        <v>3.2184976124066234E-2</v>
      </c>
      <c r="AA2637" s="240">
        <v>3.1570902426123482E-2</v>
      </c>
    </row>
    <row r="2638" spans="19:27" x14ac:dyDescent="0.2">
      <c r="S2638" s="199"/>
      <c r="T2638" s="200"/>
      <c r="W2638" s="233" t="str">
        <f t="shared" si="47"/>
        <v>1w</v>
      </c>
      <c r="X2638" s="234">
        <f>_xll.qlCalendarAdvance(Calendar,X2637,W2638,"f",FALSE)</f>
        <v>57327</v>
      </c>
      <c r="Y2638" s="237">
        <f>_xll.qlCalendarAdvance(Calendar,X2638,NDays&amp;"D")</f>
        <v>57327</v>
      </c>
      <c r="Z2638" s="238">
        <v>3.2189353680328825E-2</v>
      </c>
      <c r="AA2638" s="240">
        <v>3.1574934592057957E-2</v>
      </c>
    </row>
    <row r="2639" spans="19:27" x14ac:dyDescent="0.2">
      <c r="S2639" s="199"/>
      <c r="T2639" s="200"/>
      <c r="W2639" s="233" t="str">
        <f t="shared" si="47"/>
        <v>1w</v>
      </c>
      <c r="X2639" s="234">
        <f>_xll.qlCalendarAdvance(Calendar,X2638,W2639,"f",FALSE)</f>
        <v>57334</v>
      </c>
      <c r="Y2639" s="237">
        <f>_xll.qlCalendarAdvance(Calendar,X2639,NDays&amp;"D")</f>
        <v>57334</v>
      </c>
      <c r="Z2639" s="238">
        <v>3.2193739561609203E-2</v>
      </c>
      <c r="AA2639" s="240">
        <v>3.1578974806131255E-2</v>
      </c>
    </row>
    <row r="2640" spans="19:27" x14ac:dyDescent="0.2">
      <c r="S2640" s="199"/>
      <c r="T2640" s="200"/>
      <c r="W2640" s="233" t="str">
        <f t="shared" si="47"/>
        <v>1w</v>
      </c>
      <c r="X2640" s="234">
        <f>_xll.qlCalendarAdvance(Calendar,X2639,W2640,"f",FALSE)</f>
        <v>57341</v>
      </c>
      <c r="Y2640" s="237">
        <f>_xll.qlCalendarAdvance(Calendar,X2640,NDays&amp;"D")</f>
        <v>57341</v>
      </c>
      <c r="Z2640" s="238">
        <v>3.2198133768012616E-2</v>
      </c>
      <c r="AA2640" s="240">
        <v>3.1583023068181282E-2</v>
      </c>
    </row>
    <row r="2641" spans="19:27" x14ac:dyDescent="0.2">
      <c r="S2641" s="199"/>
      <c r="T2641" s="200"/>
      <c r="W2641" s="233" t="str">
        <f t="shared" si="47"/>
        <v>1w</v>
      </c>
      <c r="X2641" s="234">
        <f>_xll.qlCalendarAdvance(Calendar,X2640,W2641,"f",FALSE)</f>
        <v>57348</v>
      </c>
      <c r="Y2641" s="237">
        <f>_xll.qlCalendarAdvance(Calendar,X2641,NDays&amp;"D")</f>
        <v>57348</v>
      </c>
      <c r="Z2641" s="238">
        <v>3.2202536299644979E-2</v>
      </c>
      <c r="AA2641" s="240">
        <v>3.1587079378370131E-2</v>
      </c>
    </row>
    <row r="2642" spans="19:27" x14ac:dyDescent="0.2">
      <c r="S2642" s="199"/>
      <c r="T2642" s="200"/>
      <c r="W2642" s="233" t="str">
        <f t="shared" si="47"/>
        <v>1w</v>
      </c>
      <c r="X2642" s="234">
        <f>_xll.qlCalendarAdvance(Calendar,X2641,W2642,"f",FALSE)</f>
        <v>57355</v>
      </c>
      <c r="Y2642" s="237">
        <f>_xll.qlCalendarAdvance(Calendar,X2642,NDays&amp;"D")</f>
        <v>57355</v>
      </c>
      <c r="Z2642" s="238">
        <v>3.2206947156612875E-2</v>
      </c>
      <c r="AA2642" s="240">
        <v>3.1591143736697802E-2</v>
      </c>
    </row>
    <row r="2643" spans="19:27" x14ac:dyDescent="0.2">
      <c r="S2643" s="199"/>
      <c r="T2643" s="200"/>
      <c r="W2643" s="233" t="str">
        <f t="shared" si="47"/>
        <v>1w</v>
      </c>
      <c r="X2643" s="234">
        <f>_xll.qlCalendarAdvance(Calendar,X2642,W2643,"f",FALSE)</f>
        <v>57362</v>
      </c>
      <c r="Y2643" s="237">
        <f>_xll.qlCalendarAdvance(Calendar,X2643,NDays&amp;"D")</f>
        <v>57362</v>
      </c>
      <c r="Z2643" s="238">
        <v>3.2211366339023551E-2</v>
      </c>
      <c r="AA2643" s="240">
        <v>3.1595216143245342E-2</v>
      </c>
    </row>
    <row r="2644" spans="19:27" x14ac:dyDescent="0.2">
      <c r="S2644" s="199"/>
      <c r="T2644" s="200"/>
      <c r="W2644" s="233" t="str">
        <f t="shared" si="47"/>
        <v>1w</v>
      </c>
      <c r="X2644" s="234">
        <f>_xll.qlCalendarAdvance(Calendar,X2643,W2644,"f",FALSE)</f>
        <v>57369</v>
      </c>
      <c r="Y2644" s="237">
        <f>_xll.qlCalendarAdvance(Calendar,X2644,NDays&amp;"D")</f>
        <v>57369</v>
      </c>
      <c r="Z2644" s="238">
        <v>3.2215793846983143E-2</v>
      </c>
      <c r="AA2644" s="240">
        <v>3.1599296597769611E-2</v>
      </c>
    </row>
    <row r="2645" spans="19:27" x14ac:dyDescent="0.2">
      <c r="S2645" s="199"/>
      <c r="T2645" s="200"/>
      <c r="W2645" s="233" t="str">
        <f t="shared" ref="W2645:W2708" si="48">W2644</f>
        <v>1w</v>
      </c>
      <c r="X2645" s="234">
        <f>_xll.qlCalendarAdvance(Calendar,X2644,W2645,"f",FALSE)</f>
        <v>57376</v>
      </c>
      <c r="Y2645" s="237">
        <f>_xll.qlCalendarAdvance(Calendar,X2645,NDays&amp;"D")</f>
        <v>57376</v>
      </c>
      <c r="Z2645" s="238">
        <v>3.2220229680598456E-2</v>
      </c>
      <c r="AA2645" s="240">
        <v>3.1603385100594794E-2</v>
      </c>
    </row>
    <row r="2646" spans="19:27" x14ac:dyDescent="0.2">
      <c r="S2646" s="199"/>
      <c r="T2646" s="200"/>
      <c r="W2646" s="233" t="str">
        <f t="shared" si="48"/>
        <v>1w</v>
      </c>
      <c r="X2646" s="234">
        <f>_xll.qlCalendarAdvance(Calendar,X2645,W2646,"f",FALSE)</f>
        <v>57383</v>
      </c>
      <c r="Y2646" s="237">
        <f>_xll.qlCalendarAdvance(Calendar,X2646,NDays&amp;"D")</f>
        <v>57383</v>
      </c>
      <c r="Z2646" s="238">
        <v>3.2224673839976958E-2</v>
      </c>
      <c r="AA2646" s="240">
        <v>3.1607481651396707E-2</v>
      </c>
    </row>
    <row r="2647" spans="19:27" x14ac:dyDescent="0.2">
      <c r="S2647" s="199"/>
      <c r="T2647" s="200"/>
      <c r="W2647" s="233" t="str">
        <f t="shared" si="48"/>
        <v>1w</v>
      </c>
      <c r="X2647" s="234">
        <f>_xll.qlCalendarAdvance(Calendar,X2646,W2647,"f",FALSE)</f>
        <v>57390</v>
      </c>
      <c r="Y2647" s="237">
        <f>_xll.qlCalendarAdvance(Calendar,X2647,NDays&amp;"D")</f>
        <v>57390</v>
      </c>
      <c r="Z2647" s="238">
        <v>3.2229126325226343E-2</v>
      </c>
      <c r="AA2647" s="240">
        <v>3.1611586250337442E-2</v>
      </c>
    </row>
    <row r="2648" spans="19:27" x14ac:dyDescent="0.2">
      <c r="S2648" s="199"/>
      <c r="T2648" s="200"/>
      <c r="W2648" s="233" t="str">
        <f t="shared" si="48"/>
        <v>1w</v>
      </c>
      <c r="X2648" s="234">
        <f>_xll.qlCalendarAdvance(Calendar,X2647,W2648,"f",FALSE)</f>
        <v>57397</v>
      </c>
      <c r="Y2648" s="237">
        <f>_xll.qlCalendarAdvance(Calendar,X2648,NDays&amp;"D")</f>
        <v>57397</v>
      </c>
      <c r="Z2648" s="238">
        <v>3.223358713645319E-2</v>
      </c>
      <c r="AA2648" s="240">
        <v>3.1615698897335953E-2</v>
      </c>
    </row>
    <row r="2649" spans="19:27" x14ac:dyDescent="0.2">
      <c r="S2649" s="199"/>
      <c r="T2649" s="200"/>
      <c r="W2649" s="233" t="str">
        <f t="shared" si="48"/>
        <v>1w</v>
      </c>
      <c r="X2649" s="234">
        <f>_xll.qlCalendarAdvance(Calendar,X2648,W2649,"f",FALSE)</f>
        <v>57404</v>
      </c>
      <c r="Y2649" s="237">
        <f>_xll.qlCalendarAdvance(Calendar,X2649,NDays&amp;"D")</f>
        <v>57404</v>
      </c>
      <c r="Z2649" s="238">
        <v>3.2238056273766302E-2</v>
      </c>
      <c r="AA2649" s="240">
        <v>3.1619819592635379E-2</v>
      </c>
    </row>
    <row r="2650" spans="19:27" x14ac:dyDescent="0.2">
      <c r="S2650" s="199"/>
      <c r="T2650" s="200"/>
      <c r="W2650" s="233" t="str">
        <f t="shared" si="48"/>
        <v>1w</v>
      </c>
      <c r="X2650" s="234">
        <f>_xll.qlCalendarAdvance(Calendar,X2649,W2650,"f",FALSE)</f>
        <v>57411</v>
      </c>
      <c r="Y2650" s="237">
        <f>_xll.qlCalendarAdvance(Calendar,X2650,NDays&amp;"D")</f>
        <v>57411</v>
      </c>
      <c r="Z2650" s="238">
        <v>3.2242533737273149E-2</v>
      </c>
      <c r="AA2650" s="240">
        <v>3.1623948335911534E-2</v>
      </c>
    </row>
    <row r="2651" spans="19:27" x14ac:dyDescent="0.2">
      <c r="S2651" s="199"/>
      <c r="T2651" s="200"/>
      <c r="W2651" s="233" t="str">
        <f t="shared" si="48"/>
        <v>1w</v>
      </c>
      <c r="X2651" s="234">
        <f>_xll.qlCalendarAdvance(Calendar,X2650,W2651,"f",FALSE)</f>
        <v>57418</v>
      </c>
      <c r="Y2651" s="237">
        <f>_xll.qlCalendarAdvance(Calendar,X2651,NDays&amp;"D")</f>
        <v>57418</v>
      </c>
      <c r="Z2651" s="238">
        <v>3.2247019527082088E-2</v>
      </c>
      <c r="AA2651" s="240">
        <v>3.1628085127326511E-2</v>
      </c>
    </row>
    <row r="2652" spans="19:27" x14ac:dyDescent="0.2">
      <c r="S2652" s="199"/>
      <c r="T2652" s="200"/>
      <c r="W2652" s="233" t="str">
        <f t="shared" si="48"/>
        <v>1w</v>
      </c>
      <c r="X2652" s="234">
        <f>_xll.qlCalendarAdvance(Calendar,X2651,W2652,"f",FALSE)</f>
        <v>57425</v>
      </c>
      <c r="Y2652" s="237">
        <f>_xll.qlCalendarAdvance(Calendar,X2652,NDays&amp;"D")</f>
        <v>57425</v>
      </c>
      <c r="Z2652" s="238">
        <v>3.2251513643301255E-2</v>
      </c>
      <c r="AA2652" s="240">
        <v>3.1632229966799263E-2</v>
      </c>
    </row>
    <row r="2653" spans="19:27" x14ac:dyDescent="0.2">
      <c r="S2653" s="199"/>
      <c r="T2653" s="200"/>
      <c r="W2653" s="233" t="str">
        <f t="shared" si="48"/>
        <v>1w</v>
      </c>
      <c r="X2653" s="234">
        <f>_xll.qlCalendarAdvance(Calendar,X2652,W2653,"f",FALSE)</f>
        <v>57432</v>
      </c>
      <c r="Y2653" s="237">
        <f>_xll.qlCalendarAdvance(Calendar,X2653,NDays&amp;"D")</f>
        <v>57432</v>
      </c>
      <c r="Z2653" s="238">
        <v>3.2256016086039452E-2</v>
      </c>
      <c r="AA2653" s="240">
        <v>3.1636382854572931E-2</v>
      </c>
    </row>
    <row r="2654" spans="19:27" x14ac:dyDescent="0.2">
      <c r="S2654" s="199"/>
      <c r="T2654" s="200"/>
      <c r="W2654" s="233" t="str">
        <f t="shared" si="48"/>
        <v>1w</v>
      </c>
      <c r="X2654" s="234">
        <f>_xll.qlCalendarAdvance(Calendar,X2653,W2654,"f",FALSE)</f>
        <v>57439</v>
      </c>
      <c r="Y2654" s="237">
        <f>_xll.qlCalendarAdvance(Calendar,X2654,NDays&amp;"D")</f>
        <v>57439</v>
      </c>
      <c r="Z2654" s="238">
        <v>3.2260526855405702E-2</v>
      </c>
      <c r="AA2654" s="240">
        <v>3.1640543790404374E-2</v>
      </c>
    </row>
    <row r="2655" spans="19:27" x14ac:dyDescent="0.2">
      <c r="S2655" s="199"/>
      <c r="T2655" s="200"/>
      <c r="W2655" s="233" t="str">
        <f t="shared" si="48"/>
        <v>1w</v>
      </c>
      <c r="X2655" s="234">
        <f>_xll.qlCalendarAdvance(Calendar,X2654,W2655,"f",FALSE)</f>
        <v>57446</v>
      </c>
      <c r="Y2655" s="237">
        <f>_xll.qlCalendarAdvance(Calendar,X2655,NDays&amp;"D")</f>
        <v>57446</v>
      </c>
      <c r="Z2655" s="238">
        <v>3.2265045951508364E-2</v>
      </c>
      <c r="AA2655" s="240">
        <v>3.1644712774212547E-2</v>
      </c>
    </row>
    <row r="2656" spans="19:27" x14ac:dyDescent="0.2">
      <c r="S2656" s="199"/>
      <c r="T2656" s="200"/>
      <c r="W2656" s="233" t="str">
        <f t="shared" si="48"/>
        <v>1w</v>
      </c>
      <c r="X2656" s="234">
        <f>_xll.qlCalendarAdvance(Calendar,X2655,W2656,"f",FALSE)</f>
        <v>57453</v>
      </c>
      <c r="Y2656" s="237">
        <f>_xll.qlCalendarAdvance(Calendar,X2656,NDays&amp;"D")</f>
        <v>57453</v>
      </c>
      <c r="Z2656" s="238">
        <v>3.2269573374457128E-2</v>
      </c>
      <c r="AA2656" s="240">
        <v>3.1648889806321634E-2</v>
      </c>
    </row>
    <row r="2657" spans="19:27" x14ac:dyDescent="0.2">
      <c r="S2657" s="199"/>
      <c r="T2657" s="200"/>
      <c r="W2657" s="233" t="str">
        <f t="shared" si="48"/>
        <v>1w</v>
      </c>
      <c r="X2657" s="234">
        <f>_xll.qlCalendarAdvance(Calendar,X2656,W2657,"f",FALSE)</f>
        <v>57460</v>
      </c>
      <c r="Y2657" s="237">
        <f>_xll.qlCalendarAdvance(Calendar,X2657,NDays&amp;"D")</f>
        <v>57460</v>
      </c>
      <c r="Z2657" s="238">
        <v>3.2274109124361017E-2</v>
      </c>
      <c r="AA2657" s="240">
        <v>3.1653074886488497E-2</v>
      </c>
    </row>
    <row r="2658" spans="19:27" x14ac:dyDescent="0.2">
      <c r="S2658" s="199"/>
      <c r="T2658" s="200"/>
      <c r="W2658" s="233" t="str">
        <f t="shared" si="48"/>
        <v>1w</v>
      </c>
      <c r="X2658" s="234">
        <f>_xll.qlCalendarAdvance(Calendar,X2657,W2658,"f",FALSE)</f>
        <v>57467</v>
      </c>
      <c r="Y2658" s="237">
        <f>_xll.qlCalendarAdvance(Calendar,X2658,NDays&amp;"D")</f>
        <v>57467</v>
      </c>
      <c r="Z2658" s="238">
        <v>3.2278653201330165E-2</v>
      </c>
      <c r="AA2658" s="240">
        <v>3.165726801463209E-2</v>
      </c>
    </row>
    <row r="2659" spans="19:27" x14ac:dyDescent="0.2">
      <c r="S2659" s="199"/>
      <c r="T2659" s="200"/>
      <c r="W2659" s="233" t="str">
        <f t="shared" si="48"/>
        <v>1w</v>
      </c>
      <c r="X2659" s="234">
        <f>_xll.qlCalendarAdvance(Calendar,X2658,W2659,"f",FALSE)</f>
        <v>57474</v>
      </c>
      <c r="Y2659" s="237">
        <f>_xll.qlCalendarAdvance(Calendar,X2659,NDays&amp;"D")</f>
        <v>57474</v>
      </c>
      <c r="Z2659" s="238">
        <v>3.2283205605474263E-2</v>
      </c>
      <c r="AA2659" s="240">
        <v>3.1661469191157643E-2</v>
      </c>
    </row>
    <row r="2660" spans="19:27" x14ac:dyDescent="0.2">
      <c r="S2660" s="199"/>
      <c r="T2660" s="200"/>
      <c r="W2660" s="233" t="str">
        <f t="shared" si="48"/>
        <v>1w</v>
      </c>
      <c r="X2660" s="234">
        <f>_xll.qlCalendarAdvance(Calendar,X2659,W2660,"f",FALSE)</f>
        <v>57481</v>
      </c>
      <c r="Y2660" s="237">
        <f>_xll.qlCalendarAdvance(Calendar,X2660,NDays&amp;"D")</f>
        <v>57481</v>
      </c>
      <c r="Z2660" s="238">
        <v>3.2287766336902335E-2</v>
      </c>
      <c r="AA2660" s="240">
        <v>3.1665678415740972E-2</v>
      </c>
    </row>
    <row r="2661" spans="19:27" x14ac:dyDescent="0.2">
      <c r="S2661" s="199"/>
      <c r="T2661" s="200"/>
      <c r="W2661" s="233" t="str">
        <f t="shared" si="48"/>
        <v>1w</v>
      </c>
      <c r="X2661" s="234">
        <f>_xll.qlCalendarAdvance(Calendar,X2660,W2661,"f",FALSE)</f>
        <v>57488</v>
      </c>
      <c r="Y2661" s="237">
        <f>_xll.qlCalendarAdvance(Calendar,X2661,NDays&amp;"D")</f>
        <v>57488</v>
      </c>
      <c r="Z2661" s="238">
        <v>3.2292335395725846E-2</v>
      </c>
      <c r="AA2661" s="240">
        <v>3.1669895688463123E-2</v>
      </c>
    </row>
    <row r="2662" spans="19:27" x14ac:dyDescent="0.2">
      <c r="S2662" s="199"/>
      <c r="T2662" s="200"/>
      <c r="W2662" s="233" t="str">
        <f t="shared" si="48"/>
        <v>1w</v>
      </c>
      <c r="X2662" s="234">
        <f>_xll.qlCalendarAdvance(Calendar,X2661,W2662,"f",FALSE)</f>
        <v>57495</v>
      </c>
      <c r="Y2662" s="237">
        <f>_xll.qlCalendarAdvance(Calendar,X2662,NDays&amp;"D")</f>
        <v>57495</v>
      </c>
      <c r="Z2662" s="238">
        <v>3.2296912782054266E-2</v>
      </c>
      <c r="AA2662" s="240">
        <v>3.1674121009162004E-2</v>
      </c>
    </row>
    <row r="2663" spans="19:27" x14ac:dyDescent="0.2">
      <c r="S2663" s="199"/>
      <c r="T2663" s="200"/>
      <c r="W2663" s="233" t="str">
        <f t="shared" si="48"/>
        <v>1w</v>
      </c>
      <c r="X2663" s="234">
        <f>_xll.qlCalendarAdvance(Calendar,X2662,W2663,"f",FALSE)</f>
        <v>57502</v>
      </c>
      <c r="Y2663" s="237">
        <f>_xll.qlCalendarAdvance(Calendar,X2663,NDays&amp;"D")</f>
        <v>57502</v>
      </c>
      <c r="Z2663" s="238">
        <v>3.2301498495998837E-2</v>
      </c>
      <c r="AA2663" s="240">
        <v>3.1678354377999707E-2</v>
      </c>
    </row>
    <row r="2664" spans="19:27" x14ac:dyDescent="0.2">
      <c r="S2664" s="199"/>
      <c r="T2664" s="200"/>
      <c r="W2664" s="233" t="str">
        <f t="shared" si="48"/>
        <v>1w</v>
      </c>
      <c r="X2664" s="234">
        <f>_xll.qlCalendarAdvance(Calendar,X2663,W2664,"f",FALSE)</f>
        <v>57509</v>
      </c>
      <c r="Y2664" s="237">
        <f>_xll.qlCalendarAdvance(Calendar,X2664,NDays&amp;"D")</f>
        <v>57509</v>
      </c>
      <c r="Z2664" s="238">
        <v>3.2306092537670139E-2</v>
      </c>
      <c r="AA2664" s="240">
        <v>3.1682595795138324E-2</v>
      </c>
    </row>
    <row r="2665" spans="19:27" x14ac:dyDescent="0.2">
      <c r="S2665" s="199"/>
      <c r="T2665" s="200"/>
      <c r="W2665" s="233" t="str">
        <f t="shared" si="48"/>
        <v>1w</v>
      </c>
      <c r="X2665" s="234">
        <f>_xll.qlCalendarAdvance(Calendar,X2664,W2665,"f",FALSE)</f>
        <v>57516</v>
      </c>
      <c r="Y2665" s="237">
        <f>_xll.qlCalendarAdvance(Calendar,X2665,NDays&amp;"D")</f>
        <v>57516</v>
      </c>
      <c r="Z2665" s="238">
        <v>3.2310694907178972E-2</v>
      </c>
      <c r="AA2665" s="240">
        <v>3.1686845260334717E-2</v>
      </c>
    </row>
    <row r="2666" spans="19:27" x14ac:dyDescent="0.2">
      <c r="S2666" s="199"/>
      <c r="T2666" s="200"/>
      <c r="W2666" s="233" t="str">
        <f t="shared" si="48"/>
        <v>1w</v>
      </c>
      <c r="X2666" s="234">
        <f>_xll.qlCalendarAdvance(Calendar,X2665,W2666,"f",FALSE)</f>
        <v>57523</v>
      </c>
      <c r="Y2666" s="237">
        <f>_xll.qlCalendarAdvance(Calendar,X2666,NDays&amp;"D")</f>
        <v>57523</v>
      </c>
      <c r="Z2666" s="238">
        <v>3.2315305604636801E-2</v>
      </c>
      <c r="AA2666" s="240">
        <v>3.1691102773426794E-2</v>
      </c>
    </row>
    <row r="2667" spans="19:27" x14ac:dyDescent="0.2">
      <c r="S2667" s="199"/>
      <c r="T2667" s="200"/>
      <c r="W2667" s="233" t="str">
        <f t="shared" si="48"/>
        <v>1w</v>
      </c>
      <c r="X2667" s="234">
        <f>_xll.qlCalendarAdvance(Calendar,X2666,W2667,"f",FALSE)</f>
        <v>57530</v>
      </c>
      <c r="Y2667" s="237">
        <f>_xll.qlCalendarAdvance(Calendar,X2667,NDays&amp;"D")</f>
        <v>57530</v>
      </c>
      <c r="Z2667" s="238">
        <v>3.2319924630154873E-2</v>
      </c>
      <c r="AA2667" s="240">
        <v>3.1695368334900831E-2</v>
      </c>
    </row>
    <row r="2668" spans="19:27" x14ac:dyDescent="0.2">
      <c r="S2668" s="199"/>
      <c r="T2668" s="200"/>
      <c r="W2668" s="233" t="str">
        <f t="shared" si="48"/>
        <v>1w</v>
      </c>
      <c r="X2668" s="234">
        <f>_xll.qlCalendarAdvance(Calendar,X2667,W2668,"f",FALSE)</f>
        <v>57537</v>
      </c>
      <c r="Y2668" s="237">
        <f>_xll.qlCalendarAdvance(Calendar,X2668,NDays&amp;"D")</f>
        <v>57537</v>
      </c>
      <c r="Z2668" s="238">
        <v>3.2324551983844874E-2</v>
      </c>
      <c r="AA2668" s="240">
        <v>3.169964194451369E-2</v>
      </c>
    </row>
    <row r="2669" spans="19:27" x14ac:dyDescent="0.2">
      <c r="S2669" s="199"/>
      <c r="T2669" s="200"/>
      <c r="W2669" s="233" t="str">
        <f t="shared" si="48"/>
        <v>1w</v>
      </c>
      <c r="X2669" s="234">
        <f>_xll.qlCalendarAdvance(Calendar,X2668,W2669,"f",FALSE)</f>
        <v>57544</v>
      </c>
      <c r="Y2669" s="237">
        <f>_xll.qlCalendarAdvance(Calendar,X2669,NDays&amp;"D")</f>
        <v>57544</v>
      </c>
      <c r="Z2669" s="238">
        <v>3.2329187665818715E-2</v>
      </c>
      <c r="AA2669" s="240">
        <v>3.1703923602103279E-2</v>
      </c>
    </row>
    <row r="2670" spans="19:27" x14ac:dyDescent="0.2">
      <c r="S2670" s="199"/>
      <c r="T2670" s="200"/>
      <c r="W2670" s="233" t="str">
        <f t="shared" si="48"/>
        <v>1w</v>
      </c>
      <c r="X2670" s="234">
        <f>_xll.qlCalendarAdvance(Calendar,X2669,W2670,"f",FALSE)</f>
        <v>57551</v>
      </c>
      <c r="Y2670" s="237">
        <f>_xll.qlCalendarAdvance(Calendar,X2670,NDays&amp;"D")</f>
        <v>57551</v>
      </c>
      <c r="Z2670" s="238">
        <v>3.2333831676188085E-2</v>
      </c>
      <c r="AA2670" s="240">
        <v>3.170821330783169E-2</v>
      </c>
    </row>
    <row r="2671" spans="19:27" x14ac:dyDescent="0.2">
      <c r="S2671" s="199"/>
      <c r="T2671" s="200"/>
      <c r="W2671" s="233" t="str">
        <f t="shared" si="48"/>
        <v>1w</v>
      </c>
      <c r="X2671" s="234">
        <f>_xll.qlCalendarAdvance(Calendar,X2670,W2671,"f",FALSE)</f>
        <v>57558</v>
      </c>
      <c r="Y2671" s="237">
        <f>_xll.qlCalendarAdvance(Calendar,X2671,NDays&amp;"D")</f>
        <v>57558</v>
      </c>
      <c r="Z2671" s="238">
        <v>3.2338484015065339E-2</v>
      </c>
      <c r="AA2671" s="240">
        <v>3.1712511061779969E-2</v>
      </c>
    </row>
    <row r="2672" spans="19:27" x14ac:dyDescent="0.2">
      <c r="S2672" s="199"/>
      <c r="T2672" s="200"/>
      <c r="W2672" s="233" t="str">
        <f t="shared" si="48"/>
        <v>1w</v>
      </c>
      <c r="X2672" s="234">
        <f>_xll.qlCalendarAdvance(Calendar,X2671,W2672,"f",FALSE)</f>
        <v>57565</v>
      </c>
      <c r="Y2672" s="237">
        <f>_xll.qlCalendarAdvance(Calendar,X2672,NDays&amp;"D")</f>
        <v>57565</v>
      </c>
      <c r="Z2672" s="238">
        <v>3.2343144682563274E-2</v>
      </c>
      <c r="AA2672" s="240">
        <v>3.171681686386707E-2</v>
      </c>
    </row>
    <row r="2673" spans="19:27" x14ac:dyDescent="0.2">
      <c r="S2673" s="199"/>
      <c r="T2673" s="200"/>
      <c r="W2673" s="233" t="str">
        <f t="shared" si="48"/>
        <v>1w</v>
      </c>
      <c r="X2673" s="234">
        <f>_xll.qlCalendarAdvance(Calendar,X2672,W2673,"f",FALSE)</f>
        <v>57572</v>
      </c>
      <c r="Y2673" s="237">
        <f>_xll.qlCalendarAdvance(Calendar,X2673,NDays&amp;"D")</f>
        <v>57572</v>
      </c>
      <c r="Z2673" s="238">
        <v>3.234781367879358E-2</v>
      </c>
      <c r="AA2673" s="240">
        <v>3.1721130713849854E-2</v>
      </c>
    </row>
    <row r="2674" spans="19:27" x14ac:dyDescent="0.2">
      <c r="S2674" s="199"/>
      <c r="T2674" s="200"/>
      <c r="W2674" s="233" t="str">
        <f t="shared" si="48"/>
        <v>1w</v>
      </c>
      <c r="X2674" s="234">
        <f>_xll.qlCalendarAdvance(Calendar,X2673,W2674,"f",FALSE)</f>
        <v>57579</v>
      </c>
      <c r="Y2674" s="237">
        <f>_xll.qlCalendarAdvance(Calendar,X2674,NDays&amp;"D")</f>
        <v>57579</v>
      </c>
      <c r="Z2674" s="238">
        <v>3.2352491003870165E-2</v>
      </c>
      <c r="AA2674" s="240">
        <v>3.1725452612295646E-2</v>
      </c>
    </row>
    <row r="2675" spans="19:27" x14ac:dyDescent="0.2">
      <c r="S2675" s="199"/>
      <c r="T2675" s="200"/>
      <c r="W2675" s="233" t="str">
        <f t="shared" si="48"/>
        <v>1w</v>
      </c>
      <c r="X2675" s="234">
        <f>_xll.qlCalendarAdvance(Calendar,X2674,W2675,"f",FALSE)</f>
        <v>57586</v>
      </c>
      <c r="Y2675" s="237">
        <f>_xll.qlCalendarAdvance(Calendar,X2675,NDays&amp;"D")</f>
        <v>57586</v>
      </c>
      <c r="Z2675" s="238">
        <v>3.2357176657905606E-2</v>
      </c>
      <c r="AA2675" s="240">
        <v>3.1729782558718167E-2</v>
      </c>
    </row>
    <row r="2676" spans="19:27" x14ac:dyDescent="0.2">
      <c r="S2676" s="199"/>
      <c r="T2676" s="200"/>
      <c r="W2676" s="233" t="str">
        <f t="shared" si="48"/>
        <v>1w</v>
      </c>
      <c r="X2676" s="234">
        <f>_xll.qlCalendarAdvance(Calendar,X2675,W2676,"f",FALSE)</f>
        <v>57593</v>
      </c>
      <c r="Y2676" s="237">
        <f>_xll.qlCalendarAdvance(Calendar,X2676,NDays&amp;"D")</f>
        <v>57593</v>
      </c>
      <c r="Z2676" s="238">
        <v>3.2361870641012702E-2</v>
      </c>
      <c r="AA2676" s="240">
        <v>3.1734120553198464E-2</v>
      </c>
    </row>
    <row r="2677" spans="19:27" x14ac:dyDescent="0.2">
      <c r="S2677" s="199"/>
      <c r="T2677" s="200"/>
      <c r="W2677" s="233" t="str">
        <f t="shared" si="48"/>
        <v>1w</v>
      </c>
      <c r="X2677" s="234">
        <f>_xll.qlCalendarAdvance(Calendar,X2676,W2677,"f",FALSE)</f>
        <v>57600</v>
      </c>
      <c r="Y2677" s="237">
        <f>_xll.qlCalendarAdvance(Calendar,X2677,NDays&amp;"D")</f>
        <v>57600</v>
      </c>
      <c r="Z2677" s="238">
        <v>3.2366572953305361E-2</v>
      </c>
      <c r="AA2677" s="240">
        <v>3.1738466595817583E-2</v>
      </c>
    </row>
    <row r="2678" spans="19:27" x14ac:dyDescent="0.2">
      <c r="S2678" s="199"/>
      <c r="T2678" s="200"/>
      <c r="W2678" s="233" t="str">
        <f t="shared" si="48"/>
        <v>1w</v>
      </c>
      <c r="X2678" s="234">
        <f>_xll.qlCalendarAdvance(Calendar,X2677,W2678,"f",FALSE)</f>
        <v>57607</v>
      </c>
      <c r="Y2678" s="237">
        <f>_xll.qlCalendarAdvance(Calendar,X2678,NDays&amp;"D")</f>
        <v>57607</v>
      </c>
      <c r="Z2678" s="238">
        <v>3.2371283594897271E-2</v>
      </c>
      <c r="AA2678" s="240">
        <v>3.1742820686737616E-2</v>
      </c>
    </row>
    <row r="2679" spans="19:27" x14ac:dyDescent="0.2">
      <c r="S2679" s="199"/>
      <c r="T2679" s="200"/>
      <c r="W2679" s="233" t="str">
        <f t="shared" si="48"/>
        <v>1w</v>
      </c>
      <c r="X2679" s="234">
        <f>_xll.qlCalendarAdvance(Calendar,X2678,W2679,"f",FALSE)</f>
        <v>57614</v>
      </c>
      <c r="Y2679" s="237">
        <f>_xll.qlCalendarAdvance(Calendar,X2679,NDays&amp;"D")</f>
        <v>57614</v>
      </c>
      <c r="Z2679" s="238">
        <v>3.2376002565901896E-2</v>
      </c>
      <c r="AA2679" s="240">
        <v>3.1747182825634379E-2</v>
      </c>
    </row>
    <row r="2680" spans="19:27" x14ac:dyDescent="0.2">
      <c r="S2680" s="199"/>
      <c r="T2680" s="200"/>
      <c r="W2680" s="233" t="str">
        <f t="shared" si="48"/>
        <v>1w</v>
      </c>
      <c r="X2680" s="234">
        <f>_xll.qlCalendarAdvance(Calendar,X2679,W2680,"f",FALSE)</f>
        <v>57621</v>
      </c>
      <c r="Y2680" s="237">
        <f>_xll.qlCalendarAdvance(Calendar,X2680,NDays&amp;"D")</f>
        <v>57621</v>
      </c>
      <c r="Z2680" s="238">
        <v>3.2380729866433366E-2</v>
      </c>
      <c r="AA2680" s="240">
        <v>3.1751553012669964E-2</v>
      </c>
    </row>
    <row r="2681" spans="19:27" x14ac:dyDescent="0.2">
      <c r="S2681" s="199"/>
      <c r="T2681" s="200"/>
      <c r="W2681" s="233" t="str">
        <f t="shared" si="48"/>
        <v>1w</v>
      </c>
      <c r="X2681" s="234">
        <f>_xll.qlCalendarAdvance(Calendar,X2680,W2681,"f",FALSE)</f>
        <v>57628</v>
      </c>
      <c r="Y2681" s="237">
        <f>_xll.qlCalendarAdvance(Calendar,X2681,NDays&amp;"D")</f>
        <v>57628</v>
      </c>
      <c r="Z2681" s="238">
        <v>3.2385465496606036E-2</v>
      </c>
      <c r="AA2681" s="240">
        <v>3.1755931247763325E-2</v>
      </c>
    </row>
    <row r="2682" spans="19:27" x14ac:dyDescent="0.2">
      <c r="S2682" s="199"/>
      <c r="T2682" s="200"/>
      <c r="W2682" s="233" t="str">
        <f t="shared" si="48"/>
        <v>1w</v>
      </c>
      <c r="X2682" s="234">
        <f>_xll.qlCalendarAdvance(Calendar,X2681,W2682,"f",FALSE)</f>
        <v>57635</v>
      </c>
      <c r="Y2682" s="237">
        <f>_xll.qlCalendarAdvance(Calendar,X2682,NDays&amp;"D")</f>
        <v>57635</v>
      </c>
      <c r="Z2682" s="238">
        <v>3.2390209456534258E-2</v>
      </c>
      <c r="AA2682" s="240">
        <v>3.1760317531238647E-2</v>
      </c>
    </row>
    <row r="2683" spans="19:27" x14ac:dyDescent="0.2">
      <c r="S2683" s="199"/>
      <c r="T2683" s="200"/>
      <c r="W2683" s="233" t="str">
        <f t="shared" si="48"/>
        <v>1w</v>
      </c>
      <c r="X2683" s="234">
        <f>_xll.qlCalendarAdvance(Calendar,X2682,W2683,"f",FALSE)</f>
        <v>57642</v>
      </c>
      <c r="Y2683" s="237">
        <f>_xll.qlCalendarAdvance(Calendar,X2683,NDays&amp;"D")</f>
        <v>57642</v>
      </c>
      <c r="Z2683" s="238">
        <v>3.2394961746332607E-2</v>
      </c>
      <c r="AA2683" s="240">
        <v>3.1764711862609651E-2</v>
      </c>
    </row>
    <row r="2684" spans="19:27" x14ac:dyDescent="0.2">
      <c r="S2684" s="199"/>
      <c r="T2684" s="200"/>
      <c r="W2684" s="233" t="str">
        <f t="shared" si="48"/>
        <v>1w</v>
      </c>
      <c r="X2684" s="234">
        <f>_xll.qlCalendarAdvance(Calendar,X2683,W2684,"f",FALSE)</f>
        <v>57649</v>
      </c>
      <c r="Y2684" s="237">
        <f>_xll.qlCalendarAdvance(Calendar,X2684,NDays&amp;"D")</f>
        <v>57649</v>
      </c>
      <c r="Z2684" s="238">
        <v>3.239972236611588E-2</v>
      </c>
      <c r="AA2684" s="240">
        <v>3.1769114242119478E-2</v>
      </c>
    </row>
    <row r="2685" spans="19:27" x14ac:dyDescent="0.2">
      <c r="S2685" s="199"/>
      <c r="T2685" s="200"/>
      <c r="W2685" s="233" t="str">
        <f t="shared" si="48"/>
        <v>1w</v>
      </c>
      <c r="X2685" s="234">
        <f>_xll.qlCalendarAdvance(Calendar,X2684,W2685,"f",FALSE)</f>
        <v>57656</v>
      </c>
      <c r="Y2685" s="237">
        <f>_xll.qlCalendarAdvance(Calendar,X2685,NDays&amp;"D")</f>
        <v>57656</v>
      </c>
      <c r="Z2685" s="238">
        <v>3.2404491315999318E-2</v>
      </c>
      <c r="AA2685" s="240">
        <v>3.1773524669849174E-2</v>
      </c>
    </row>
    <row r="2686" spans="19:27" x14ac:dyDescent="0.2">
      <c r="S2686" s="199"/>
      <c r="T2686" s="200"/>
      <c r="W2686" s="233" t="str">
        <f t="shared" si="48"/>
        <v>1w</v>
      </c>
      <c r="X2686" s="234">
        <f>_xll.qlCalendarAdvance(Calendar,X2685,W2686,"f",FALSE)</f>
        <v>57663</v>
      </c>
      <c r="Y2686" s="237">
        <f>_xll.qlCalendarAdvance(Calendar,X2686,NDays&amp;"D")</f>
        <v>57663</v>
      </c>
      <c r="Z2686" s="238">
        <v>3.2409268596098162E-2</v>
      </c>
      <c r="AA2686" s="240">
        <v>3.1777943145717691E-2</v>
      </c>
    </row>
    <row r="2687" spans="19:27" x14ac:dyDescent="0.2">
      <c r="S2687" s="199"/>
      <c r="T2687" s="200"/>
      <c r="W2687" s="233" t="str">
        <f t="shared" si="48"/>
        <v>1w</v>
      </c>
      <c r="X2687" s="234">
        <f>_xll.qlCalendarAdvance(Calendar,X2686,W2687,"f",FALSE)</f>
        <v>57670</v>
      </c>
      <c r="Y2687" s="237">
        <f>_xll.qlCalendarAdvance(Calendar,X2687,NDays&amp;"D")</f>
        <v>57670</v>
      </c>
      <c r="Z2687" s="238">
        <v>3.2414054206527432E-2</v>
      </c>
      <c r="AA2687" s="240">
        <v>3.1782369669562938E-2</v>
      </c>
    </row>
    <row r="2688" spans="19:27" x14ac:dyDescent="0.2">
      <c r="S2688" s="199"/>
      <c r="T2688" s="200"/>
      <c r="W2688" s="233" t="str">
        <f t="shared" si="48"/>
        <v>1w</v>
      </c>
      <c r="X2688" s="234">
        <f>_xll.qlCalendarAdvance(Calendar,X2687,W2688,"f",FALSE)</f>
        <v>57677</v>
      </c>
      <c r="Y2688" s="237">
        <f>_xll.qlCalendarAdvance(Calendar,X2688,NDays&amp;"D")</f>
        <v>57677</v>
      </c>
      <c r="Z2688" s="238">
        <v>3.2418848147403256E-2</v>
      </c>
      <c r="AA2688" s="240">
        <v>3.1786804241628053E-2</v>
      </c>
    </row>
    <row r="2689" spans="19:27" x14ac:dyDescent="0.2">
      <c r="S2689" s="199"/>
      <c r="T2689" s="200"/>
      <c r="W2689" s="233" t="str">
        <f t="shared" si="48"/>
        <v>1w</v>
      </c>
      <c r="X2689" s="234">
        <f>_xll.qlCalendarAdvance(Calendar,X2688,W2689,"f",FALSE)</f>
        <v>57684</v>
      </c>
      <c r="Y2689" s="237">
        <f>_xll.qlCalendarAdvance(Calendar,X2689,NDays&amp;"D")</f>
        <v>57684</v>
      </c>
      <c r="Z2689" s="238">
        <v>3.2423650418841321E-2</v>
      </c>
      <c r="AA2689" s="240">
        <v>3.1791246862075129E-2</v>
      </c>
    </row>
    <row r="2690" spans="19:27" x14ac:dyDescent="0.2">
      <c r="S2690" s="199"/>
      <c r="T2690" s="200"/>
      <c r="W2690" s="233" t="str">
        <f t="shared" si="48"/>
        <v>1w</v>
      </c>
      <c r="X2690" s="234">
        <f>_xll.qlCalendarAdvance(Calendar,X2689,W2690,"f",FALSE)</f>
        <v>57691</v>
      </c>
      <c r="Y2690" s="237">
        <f>_xll.qlCalendarAdvance(Calendar,X2690,NDays&amp;"D")</f>
        <v>57691</v>
      </c>
      <c r="Z2690" s="238">
        <v>3.2428461020957533E-2</v>
      </c>
      <c r="AA2690" s="240">
        <v>3.1795697530417888E-2</v>
      </c>
    </row>
    <row r="2691" spans="19:27" x14ac:dyDescent="0.2">
      <c r="S2691" s="199"/>
      <c r="T2691" s="200"/>
      <c r="W2691" s="233" t="str">
        <f t="shared" si="48"/>
        <v>1w</v>
      </c>
      <c r="X2691" s="234">
        <f>_xll.qlCalendarAdvance(Calendar,X2690,W2691,"f",FALSE)</f>
        <v>57698</v>
      </c>
      <c r="Y2691" s="237">
        <f>_xll.qlCalendarAdvance(Calendar,X2691,NDays&amp;"D")</f>
        <v>57698</v>
      </c>
      <c r="Z2691" s="238">
        <v>3.2433279953868466E-2</v>
      </c>
      <c r="AA2691" s="240">
        <v>3.1800156246737377E-2</v>
      </c>
    </row>
    <row r="2692" spans="19:27" x14ac:dyDescent="0.2">
      <c r="S2692" s="199"/>
      <c r="T2692" s="200"/>
      <c r="W2692" s="233" t="str">
        <f t="shared" si="48"/>
        <v>1w</v>
      </c>
      <c r="X2692" s="234">
        <f>_xll.qlCalendarAdvance(Calendar,X2691,W2692,"f",FALSE)</f>
        <v>57706</v>
      </c>
      <c r="Y2692" s="237">
        <f>_xll.qlCalendarAdvance(Calendar,X2692,NDays&amp;"D")</f>
        <v>57706</v>
      </c>
      <c r="Z2692" s="238">
        <v>3.2438797506888495E-2</v>
      </c>
      <c r="AA2692" s="240">
        <v>3.180526177753884E-2</v>
      </c>
    </row>
    <row r="2693" spans="19:27" x14ac:dyDescent="0.2">
      <c r="S2693" s="199"/>
      <c r="T2693" s="200"/>
      <c r="W2693" s="233" t="str">
        <f t="shared" si="48"/>
        <v>1w</v>
      </c>
      <c r="X2693" s="234">
        <f>_xll.qlCalendarAdvance(Calendar,X2692,W2693,"f",FALSE)</f>
        <v>57713</v>
      </c>
      <c r="Y2693" s="237">
        <f>_xll.qlCalendarAdvance(Calendar,X2693,NDays&amp;"D")</f>
        <v>57713</v>
      </c>
      <c r="Z2693" s="238">
        <v>3.2443634291893897E-2</v>
      </c>
      <c r="AA2693" s="240">
        <v>3.1809737740101651E-2</v>
      </c>
    </row>
    <row r="2694" spans="19:27" x14ac:dyDescent="0.2">
      <c r="S2694" s="199"/>
      <c r="T2694" s="200"/>
      <c r="W2694" s="233" t="str">
        <f t="shared" si="48"/>
        <v>1w</v>
      </c>
      <c r="X2694" s="234">
        <f>_xll.qlCalendarAdvance(Calendar,X2693,W2694,"f",FALSE)</f>
        <v>57720</v>
      </c>
      <c r="Y2694" s="237">
        <f>_xll.qlCalendarAdvance(Calendar,X2694,NDays&amp;"D")</f>
        <v>57720</v>
      </c>
      <c r="Z2694" s="238">
        <v>3.2448479408060615E-2</v>
      </c>
      <c r="AA2694" s="240">
        <v>3.1814221750803284E-2</v>
      </c>
    </row>
    <row r="2695" spans="19:27" x14ac:dyDescent="0.2">
      <c r="S2695" s="199"/>
      <c r="T2695" s="200"/>
      <c r="W2695" s="233" t="str">
        <f t="shared" si="48"/>
        <v>1w</v>
      </c>
      <c r="X2695" s="234">
        <f>_xll.qlCalendarAdvance(Calendar,X2694,W2695,"f",FALSE)</f>
        <v>57727</v>
      </c>
      <c r="Y2695" s="237">
        <f>_xll.qlCalendarAdvance(Calendar,X2695,NDays&amp;"D")</f>
        <v>57727</v>
      </c>
      <c r="Z2695" s="238">
        <v>3.2453332855505224E-2</v>
      </c>
      <c r="AA2695" s="240">
        <v>3.1818713809562693E-2</v>
      </c>
    </row>
    <row r="2696" spans="19:27" x14ac:dyDescent="0.2">
      <c r="S2696" s="199"/>
      <c r="T2696" s="200"/>
      <c r="W2696" s="233" t="str">
        <f t="shared" si="48"/>
        <v>1w</v>
      </c>
      <c r="X2696" s="234">
        <f>_xll.qlCalendarAdvance(Calendar,X2695,W2696,"f",FALSE)</f>
        <v>57734</v>
      </c>
      <c r="Y2696" s="237">
        <f>_xll.qlCalendarAdvance(Calendar,X2696,NDays&amp;"D")</f>
        <v>57734</v>
      </c>
      <c r="Z2696" s="238">
        <v>3.2458194634345849E-2</v>
      </c>
      <c r="AA2696" s="240">
        <v>3.1823213916379878E-2</v>
      </c>
    </row>
    <row r="2697" spans="19:27" x14ac:dyDescent="0.2">
      <c r="S2697" s="199"/>
      <c r="T2697" s="200"/>
      <c r="W2697" s="233" t="str">
        <f t="shared" si="48"/>
        <v>1w</v>
      </c>
      <c r="X2697" s="234">
        <f>_xll.qlCalendarAdvance(Calendar,X2696,W2697,"f",FALSE)</f>
        <v>57741</v>
      </c>
      <c r="Y2697" s="237">
        <f>_xll.qlCalendarAdvance(Calendar,X2697,NDays&amp;"D")</f>
        <v>57741</v>
      </c>
      <c r="Z2697" s="238">
        <v>3.2463064744699066E-2</v>
      </c>
      <c r="AA2697" s="240">
        <v>3.1827722071416931E-2</v>
      </c>
    </row>
    <row r="2698" spans="19:27" x14ac:dyDescent="0.2">
      <c r="S2698" s="199"/>
      <c r="T2698" s="200"/>
      <c r="W2698" s="233" t="str">
        <f t="shared" si="48"/>
        <v>1w</v>
      </c>
      <c r="X2698" s="234">
        <f>_xll.qlCalendarAdvance(Calendar,X2697,W2698,"f",FALSE)</f>
        <v>57748</v>
      </c>
      <c r="Y2698" s="237">
        <f>_xll.qlCalendarAdvance(Calendar,X2698,NDays&amp;"D")</f>
        <v>57748</v>
      </c>
      <c r="Z2698" s="238">
        <v>3.2467943186683001E-2</v>
      </c>
      <c r="AA2698" s="240">
        <v>3.1832238274592806E-2</v>
      </c>
    </row>
    <row r="2699" spans="19:27" x14ac:dyDescent="0.2">
      <c r="S2699" s="199"/>
      <c r="T2699" s="200"/>
      <c r="W2699" s="233" t="str">
        <f t="shared" si="48"/>
        <v>1w</v>
      </c>
      <c r="X2699" s="234">
        <f>_xll.qlCalendarAdvance(Calendar,X2698,W2699,"f",FALSE)</f>
        <v>57755</v>
      </c>
      <c r="Y2699" s="237">
        <f>_xll.qlCalendarAdvance(Calendar,X2699,NDays&amp;"D")</f>
        <v>57755</v>
      </c>
      <c r="Z2699" s="238">
        <v>3.2472829960415339E-2</v>
      </c>
      <c r="AA2699" s="240">
        <v>3.1836762525907503E-2</v>
      </c>
    </row>
    <row r="2700" spans="19:27" x14ac:dyDescent="0.2">
      <c r="S2700" s="199"/>
      <c r="T2700" s="200"/>
      <c r="W2700" s="233" t="str">
        <f t="shared" si="48"/>
        <v>1w</v>
      </c>
      <c r="X2700" s="234">
        <f>_xll.qlCalendarAdvance(Calendar,X2699,W2700,"f",FALSE)</f>
        <v>57762</v>
      </c>
      <c r="Y2700" s="237">
        <f>_xll.qlCalendarAdvance(Calendar,X2700,NDays&amp;"D")</f>
        <v>57762</v>
      </c>
      <c r="Z2700" s="238">
        <v>3.2477725066014651E-2</v>
      </c>
      <c r="AA2700" s="240">
        <v>3.1841294825279975E-2</v>
      </c>
    </row>
    <row r="2701" spans="19:27" x14ac:dyDescent="0.2">
      <c r="S2701" s="199"/>
      <c r="T2701" s="200"/>
      <c r="W2701" s="233" t="str">
        <f t="shared" si="48"/>
        <v>1w</v>
      </c>
      <c r="X2701" s="234">
        <f>_xll.qlCalendarAdvance(Calendar,X2700,W2701,"f",FALSE)</f>
        <v>57769</v>
      </c>
      <c r="Y2701" s="237">
        <f>_xll.qlCalendarAdvance(Calendar,X2701,NDays&amp;"D")</f>
        <v>57769</v>
      </c>
      <c r="Z2701" s="238">
        <v>3.2482628503598621E-2</v>
      </c>
      <c r="AA2701" s="240">
        <v>3.1845835172872317E-2</v>
      </c>
    </row>
    <row r="2702" spans="19:27" x14ac:dyDescent="0.2">
      <c r="S2702" s="199"/>
      <c r="T2702" s="200"/>
      <c r="W2702" s="233" t="str">
        <f t="shared" si="48"/>
        <v>1w</v>
      </c>
      <c r="X2702" s="234">
        <f>_xll.qlCalendarAdvance(Calendar,X2701,W2702,"f",FALSE)</f>
        <v>57776</v>
      </c>
      <c r="Y2702" s="237">
        <f>_xll.qlCalendarAdvance(Calendar,X2702,NDays&amp;"D")</f>
        <v>57776</v>
      </c>
      <c r="Z2702" s="238">
        <v>3.248754027328582E-2</v>
      </c>
      <c r="AA2702" s="240">
        <v>3.185038356860348E-2</v>
      </c>
    </row>
    <row r="2703" spans="19:27" x14ac:dyDescent="0.2">
      <c r="S2703" s="199"/>
      <c r="T2703" s="200"/>
      <c r="W2703" s="233" t="str">
        <f t="shared" si="48"/>
        <v>1w</v>
      </c>
      <c r="X2703" s="234">
        <f>_xll.qlCalendarAdvance(Calendar,X2702,W2703,"f",FALSE)</f>
        <v>57783</v>
      </c>
      <c r="Y2703" s="237">
        <f>_xll.qlCalendarAdvance(Calendar,X2703,NDays&amp;"D")</f>
        <v>57783</v>
      </c>
      <c r="Z2703" s="238">
        <v>3.2492460375195265E-2</v>
      </c>
      <c r="AA2703" s="240">
        <v>3.1854940012311372E-2</v>
      </c>
    </row>
    <row r="2704" spans="19:27" x14ac:dyDescent="0.2">
      <c r="S2704" s="199"/>
      <c r="T2704" s="200"/>
      <c r="W2704" s="233" t="str">
        <f t="shared" si="48"/>
        <v>1w</v>
      </c>
      <c r="X2704" s="234">
        <f>_xll.qlCalendarAdvance(Calendar,X2703,W2704,"f",FALSE)</f>
        <v>57790</v>
      </c>
      <c r="Y2704" s="237">
        <f>_xll.qlCalendarAdvance(Calendar,X2704,NDays&amp;"D")</f>
        <v>57790</v>
      </c>
      <c r="Z2704" s="238">
        <v>3.2497388809445749E-2</v>
      </c>
      <c r="AA2704" s="240">
        <v>3.185950450432018E-2</v>
      </c>
    </row>
    <row r="2705" spans="19:27" x14ac:dyDescent="0.2">
      <c r="S2705" s="199"/>
      <c r="T2705" s="200"/>
      <c r="W2705" s="233" t="str">
        <f t="shared" si="48"/>
        <v>1w</v>
      </c>
      <c r="X2705" s="234">
        <f>_xll.qlCalendarAdvance(Calendar,X2704,W2705,"f",FALSE)</f>
        <v>57797</v>
      </c>
      <c r="Y2705" s="237">
        <f>_xll.qlCalendarAdvance(Calendar,X2705,NDays&amp;"D")</f>
        <v>57797</v>
      </c>
      <c r="Z2705" s="238">
        <v>3.2500535899737629E-2</v>
      </c>
      <c r="AA2705" s="240">
        <v>3.1864077044467809E-2</v>
      </c>
    </row>
    <row r="2706" spans="19:27" x14ac:dyDescent="0.2">
      <c r="S2706" s="199"/>
      <c r="T2706" s="200"/>
      <c r="W2706" s="233" t="str">
        <f t="shared" si="48"/>
        <v>1w</v>
      </c>
      <c r="X2706" s="234">
        <f>_xll.qlCalendarAdvance(Calendar,X2705,W2706,"f",FALSE)</f>
        <v>57804</v>
      </c>
      <c r="Y2706" s="237">
        <f>_xll.qlCalendarAdvance(Calendar,X2706,NDays&amp;"D")</f>
        <v>57804</v>
      </c>
      <c r="Z2706" s="238">
        <v>3.250727067544612E-2</v>
      </c>
      <c r="AA2706" s="240">
        <v>3.1868657632673214E-2</v>
      </c>
    </row>
    <row r="2707" spans="19:27" x14ac:dyDescent="0.2">
      <c r="S2707" s="199"/>
      <c r="T2707" s="200"/>
      <c r="W2707" s="233" t="str">
        <f t="shared" si="48"/>
        <v>1w</v>
      </c>
      <c r="X2707" s="234">
        <f>_xll.qlCalendarAdvance(Calendar,X2706,W2707,"f",FALSE)</f>
        <v>57811</v>
      </c>
      <c r="Y2707" s="237">
        <f>_xll.qlCalendarAdvance(Calendar,X2707,NDays&amp;"D")</f>
        <v>57811</v>
      </c>
      <c r="Z2707" s="238">
        <v>3.2512224107434928E-2</v>
      </c>
      <c r="AA2707" s="240">
        <v>3.1880126491496075E-2</v>
      </c>
    </row>
    <row r="2708" spans="19:27" x14ac:dyDescent="0.2">
      <c r="S2708" s="199"/>
      <c r="T2708" s="200"/>
      <c r="W2708" s="233" t="str">
        <f t="shared" si="48"/>
        <v>1w</v>
      </c>
      <c r="X2708" s="234">
        <f>_xll.qlCalendarAdvance(Calendar,X2707,W2708,"f",FALSE)</f>
        <v>57818</v>
      </c>
      <c r="Y2708" s="237">
        <f>_xll.qlCalendarAdvance(Calendar,X2708,NDays&amp;"D")</f>
        <v>57818</v>
      </c>
      <c r="Z2708" s="238">
        <v>3.2517185872242393E-2</v>
      </c>
      <c r="AA2708" s="240">
        <v>3.1877842953581537E-2</v>
      </c>
    </row>
    <row r="2709" spans="19:27" x14ac:dyDescent="0.2">
      <c r="S2709" s="199"/>
      <c r="T2709" s="200"/>
      <c r="W2709" s="233" t="str">
        <f t="shared" ref="W2709:W2772" si="49">W2708</f>
        <v>1w</v>
      </c>
      <c r="X2709" s="234">
        <f>_xll.qlCalendarAdvance(Calendar,X2708,W2709,"f",FALSE)</f>
        <v>57825</v>
      </c>
      <c r="Y2709" s="237">
        <f>_xll.qlCalendarAdvance(Calendar,X2709,NDays&amp;"D")</f>
        <v>57825</v>
      </c>
      <c r="Z2709" s="238">
        <v>3.2522155969988198E-2</v>
      </c>
      <c r="AA2709" s="240">
        <v>3.1882447686284454E-2</v>
      </c>
    </row>
    <row r="2710" spans="19:27" x14ac:dyDescent="0.2">
      <c r="S2710" s="199"/>
      <c r="T2710" s="200"/>
      <c r="W2710" s="233" t="str">
        <f t="shared" si="49"/>
        <v>1w</v>
      </c>
      <c r="X2710" s="234">
        <f>_xll.qlCalendarAdvance(Calendar,X2709,W2710,"f",FALSE)</f>
        <v>57832</v>
      </c>
      <c r="Y2710" s="237">
        <f>_xll.qlCalendarAdvance(Calendar,X2710,NDays&amp;"D")</f>
        <v>57832</v>
      </c>
      <c r="Z2710" s="238">
        <v>3.2527134400792468E-2</v>
      </c>
      <c r="AA2710" s="240">
        <v>3.1887060466964101E-2</v>
      </c>
    </row>
    <row r="2711" spans="19:27" x14ac:dyDescent="0.2">
      <c r="S2711" s="199"/>
      <c r="T2711" s="200"/>
      <c r="W2711" s="233" t="str">
        <f t="shared" si="49"/>
        <v>1w</v>
      </c>
      <c r="X2711" s="234">
        <f>_xll.qlCalendarAdvance(Calendar,X2710,W2711,"f",FALSE)</f>
        <v>57839</v>
      </c>
      <c r="Y2711" s="237">
        <f>_xll.qlCalendarAdvance(Calendar,X2711,NDays&amp;"D")</f>
        <v>57839</v>
      </c>
      <c r="Z2711" s="238">
        <v>3.2532121164775551E-2</v>
      </c>
      <c r="AA2711" s="240">
        <v>3.189168129578257E-2</v>
      </c>
    </row>
    <row r="2712" spans="19:27" x14ac:dyDescent="0.2">
      <c r="S2712" s="199"/>
      <c r="T2712" s="200"/>
      <c r="W2712" s="233" t="str">
        <f t="shared" si="49"/>
        <v>1w</v>
      </c>
      <c r="X2712" s="234">
        <f>_xll.qlCalendarAdvance(Calendar,X2711,W2712,"f",FALSE)</f>
        <v>57846</v>
      </c>
      <c r="Y2712" s="237">
        <f>_xll.qlCalendarAdvance(Calendar,X2712,NDays&amp;"D")</f>
        <v>57846</v>
      </c>
      <c r="Z2712" s="238">
        <v>3.2537116262058241E-2</v>
      </c>
      <c r="AA2712" s="240">
        <v>3.1896310173064046E-2</v>
      </c>
    </row>
    <row r="2713" spans="19:27" x14ac:dyDescent="0.2">
      <c r="S2713" s="199"/>
      <c r="T2713" s="200"/>
      <c r="W2713" s="233" t="str">
        <f t="shared" si="49"/>
        <v>1w</v>
      </c>
      <c r="X2713" s="234">
        <f>_xll.qlCalendarAdvance(Calendar,X2712,W2713,"f",FALSE)</f>
        <v>57853</v>
      </c>
      <c r="Y2713" s="237">
        <f>_xll.qlCalendarAdvance(Calendar,X2713,NDays&amp;"D")</f>
        <v>57853</v>
      </c>
      <c r="Z2713" s="238">
        <v>3.2542119692761329E-2</v>
      </c>
      <c r="AA2713" s="240">
        <v>3.1900947098241206E-2</v>
      </c>
    </row>
    <row r="2714" spans="19:27" x14ac:dyDescent="0.2">
      <c r="S2714" s="199"/>
      <c r="T2714" s="200"/>
      <c r="W2714" s="233" t="str">
        <f t="shared" si="49"/>
        <v>1w</v>
      </c>
      <c r="X2714" s="234">
        <f>_xll.qlCalendarAdvance(Calendar,X2713,W2714,"f",FALSE)</f>
        <v>57860</v>
      </c>
      <c r="Y2714" s="237">
        <f>_xll.qlCalendarAdvance(Calendar,X2714,NDays&amp;"D")</f>
        <v>57860</v>
      </c>
      <c r="Z2714" s="238">
        <v>3.2547131457004941E-2</v>
      </c>
      <c r="AA2714" s="240">
        <v>3.1905592071476141E-2</v>
      </c>
    </row>
    <row r="2715" spans="19:27" x14ac:dyDescent="0.2">
      <c r="S2715" s="199"/>
      <c r="T2715" s="200"/>
      <c r="W2715" s="233" t="str">
        <f t="shared" si="49"/>
        <v>1w</v>
      </c>
      <c r="X2715" s="234">
        <f>_xll.qlCalendarAdvance(Calendar,X2714,W2715,"f",FALSE)</f>
        <v>57867</v>
      </c>
      <c r="Y2715" s="237">
        <f>_xll.qlCalendarAdvance(Calendar,X2715,NDays&amp;"D")</f>
        <v>57867</v>
      </c>
      <c r="Z2715" s="238">
        <v>3.2552151554910758E-2</v>
      </c>
      <c r="AA2715" s="240">
        <v>3.1910245093011991E-2</v>
      </c>
    </row>
    <row r="2716" spans="19:27" x14ac:dyDescent="0.2">
      <c r="S2716" s="199"/>
      <c r="T2716" s="200"/>
      <c r="W2716" s="233" t="str">
        <f t="shared" si="49"/>
        <v>1w</v>
      </c>
      <c r="X2716" s="234">
        <f>_xll.qlCalendarAdvance(Calendar,X2715,W2716,"f",FALSE)</f>
        <v>57874</v>
      </c>
      <c r="Y2716" s="237">
        <f>_xll.qlCalendarAdvance(Calendar,X2716,NDays&amp;"D")</f>
        <v>57874</v>
      </c>
      <c r="Z2716" s="238">
        <v>3.2557179986600238E-2</v>
      </c>
      <c r="AA2716" s="240">
        <v>3.1914906162686663E-2</v>
      </c>
    </row>
    <row r="2717" spans="19:27" x14ac:dyDescent="0.2">
      <c r="S2717" s="199"/>
      <c r="T2717" s="200"/>
      <c r="W2717" s="233" t="str">
        <f t="shared" si="49"/>
        <v>1w</v>
      </c>
      <c r="X2717" s="234">
        <f>_xll.qlCalendarAdvance(Calendar,X2716,W2717,"f",FALSE)</f>
        <v>57881</v>
      </c>
      <c r="Y2717" s="237">
        <f>_xll.qlCalendarAdvance(Calendar,X2717,NDays&amp;"D")</f>
        <v>57881</v>
      </c>
      <c r="Z2717" s="238">
        <v>3.2562216752194617E-2</v>
      </c>
      <c r="AA2717" s="240">
        <v>3.191957528041911E-2</v>
      </c>
    </row>
    <row r="2718" spans="19:27" x14ac:dyDescent="0.2">
      <c r="S2718" s="199"/>
      <c r="T2718" s="200"/>
      <c r="W2718" s="233" t="str">
        <f t="shared" si="49"/>
        <v>1w</v>
      </c>
      <c r="X2718" s="234">
        <f>_xll.qlCalendarAdvance(Calendar,X2717,W2718,"f",FALSE)</f>
        <v>57888</v>
      </c>
      <c r="Y2718" s="237">
        <f>_xll.qlCalendarAdvance(Calendar,X2718,NDays&amp;"D")</f>
        <v>57888</v>
      </c>
      <c r="Z2718" s="238">
        <v>3.2567261851815354E-2</v>
      </c>
      <c r="AA2718" s="240">
        <v>3.1924252446209334E-2</v>
      </c>
    </row>
    <row r="2719" spans="19:27" x14ac:dyDescent="0.2">
      <c r="S2719" s="199"/>
      <c r="T2719" s="200"/>
      <c r="W2719" s="233" t="str">
        <f t="shared" si="49"/>
        <v>1w</v>
      </c>
      <c r="X2719" s="234">
        <f>_xll.qlCalendarAdvance(Calendar,X2718,W2719,"f",FALSE)</f>
        <v>57895</v>
      </c>
      <c r="Y2719" s="237">
        <f>_xll.qlCalendarAdvance(Calendar,X2719,NDays&amp;"D")</f>
        <v>57895</v>
      </c>
      <c r="Z2719" s="238">
        <v>3.2572315285585018E-2</v>
      </c>
      <c r="AA2719" s="240">
        <v>3.1928937660300472E-2</v>
      </c>
    </row>
    <row r="2720" spans="19:27" x14ac:dyDescent="0.2">
      <c r="S2720" s="199"/>
      <c r="T2720" s="200"/>
      <c r="W2720" s="233" t="str">
        <f t="shared" si="49"/>
        <v>1w</v>
      </c>
      <c r="X2720" s="234">
        <f>_xll.qlCalendarAdvance(Calendar,X2719,W2720,"f",FALSE)</f>
        <v>57902</v>
      </c>
      <c r="Y2720" s="237">
        <f>_xll.qlCalendarAdvance(Calendar,X2720,NDays&amp;"D")</f>
        <v>57902</v>
      </c>
      <c r="Z2720" s="238">
        <v>3.2577377053625289E-2</v>
      </c>
      <c r="AA2720" s="240">
        <v>3.1933630922530432E-2</v>
      </c>
    </row>
    <row r="2721" spans="19:27" x14ac:dyDescent="0.2">
      <c r="S2721" s="199"/>
      <c r="T2721" s="200"/>
      <c r="W2721" s="233" t="str">
        <f t="shared" si="49"/>
        <v>1w</v>
      </c>
      <c r="X2721" s="234">
        <f>_xll.qlCalendarAdvance(Calendar,X2720,W2721,"f",FALSE)</f>
        <v>57909</v>
      </c>
      <c r="Y2721" s="237">
        <f>_xll.qlCalendarAdvance(Calendar,X2721,NDays&amp;"D")</f>
        <v>57909</v>
      </c>
      <c r="Z2721" s="238">
        <v>3.2582447156058514E-2</v>
      </c>
      <c r="AA2721" s="240">
        <v>3.1938332232737121E-2</v>
      </c>
    </row>
    <row r="2722" spans="19:27" x14ac:dyDescent="0.2">
      <c r="S2722" s="199"/>
      <c r="T2722" s="200"/>
      <c r="W2722" s="233" t="str">
        <f t="shared" si="49"/>
        <v>1w</v>
      </c>
      <c r="X2722" s="234">
        <f>_xll.qlCalendarAdvance(Calendar,X2721,W2722,"f",FALSE)</f>
        <v>57916</v>
      </c>
      <c r="Y2722" s="237">
        <f>_xll.qlCalendarAdvance(Calendar,X2722,NDays&amp;"D")</f>
        <v>57916</v>
      </c>
      <c r="Z2722" s="238">
        <v>3.2587525593007483E-2</v>
      </c>
      <c r="AA2722" s="240">
        <v>3.1943041591244725E-2</v>
      </c>
    </row>
    <row r="2723" spans="19:27" x14ac:dyDescent="0.2">
      <c r="S2723" s="199"/>
      <c r="T2723" s="200"/>
      <c r="W2723" s="233" t="str">
        <f t="shared" si="49"/>
        <v>1w</v>
      </c>
      <c r="X2723" s="234">
        <f>_xll.qlCalendarAdvance(Calendar,X2722,W2723,"f",FALSE)</f>
        <v>57923</v>
      </c>
      <c r="Y2723" s="237">
        <f>_xll.qlCalendarAdvance(Calendar,X2723,NDays&amp;"D")</f>
        <v>57923</v>
      </c>
      <c r="Z2723" s="238">
        <v>3.2592612364594764E-2</v>
      </c>
      <c r="AA2723" s="240">
        <v>3.1947758997891151E-2</v>
      </c>
    </row>
    <row r="2724" spans="19:27" x14ac:dyDescent="0.2">
      <c r="S2724" s="199"/>
      <c r="T2724" s="200"/>
      <c r="W2724" s="233" t="str">
        <f t="shared" si="49"/>
        <v>1w</v>
      </c>
      <c r="X2724" s="234">
        <f>_xll.qlCalendarAdvance(Calendar,X2723,W2724,"f",FALSE)</f>
        <v>57930</v>
      </c>
      <c r="Y2724" s="237">
        <f>_xll.qlCalendarAdvance(Calendar,X2724,NDays&amp;"D")</f>
        <v>57930</v>
      </c>
      <c r="Z2724" s="238">
        <v>3.2597707470942927E-2</v>
      </c>
      <c r="AA2724" s="240">
        <v>3.19524844526764E-2</v>
      </c>
    </row>
    <row r="2725" spans="19:27" x14ac:dyDescent="0.2">
      <c r="S2725" s="199"/>
      <c r="T2725" s="200"/>
      <c r="W2725" s="233" t="str">
        <f t="shared" si="49"/>
        <v>1w</v>
      </c>
      <c r="X2725" s="234">
        <f>_xll.qlCalendarAdvance(Calendar,X2724,W2725,"f",FALSE)</f>
        <v>57937</v>
      </c>
      <c r="Y2725" s="237">
        <f>_xll.qlCalendarAdvance(Calendar,X2725,NDays&amp;"D")</f>
        <v>57937</v>
      </c>
      <c r="Z2725" s="238">
        <v>3.2602810912175872E-2</v>
      </c>
      <c r="AA2725" s="240">
        <v>3.1957217955519424E-2</v>
      </c>
    </row>
    <row r="2726" spans="19:27" x14ac:dyDescent="0.2">
      <c r="S2726" s="199"/>
      <c r="T2726" s="200"/>
      <c r="W2726" s="233" t="str">
        <f t="shared" si="49"/>
        <v>1w</v>
      </c>
      <c r="X2726" s="234">
        <f>_xll.qlCalendarAdvance(Calendar,X2725,W2726,"f",FALSE)</f>
        <v>57944</v>
      </c>
      <c r="Y2726" s="237">
        <f>_xll.qlCalendarAdvance(Calendar,X2726,NDays&amp;"D")</f>
        <v>57944</v>
      </c>
      <c r="Z2726" s="238">
        <v>3.2607922688416169E-2</v>
      </c>
      <c r="AA2726" s="240">
        <v>3.1961959506582316E-2</v>
      </c>
    </row>
    <row r="2727" spans="19:27" x14ac:dyDescent="0.2">
      <c r="S2727" s="199"/>
      <c r="T2727" s="200"/>
      <c r="W2727" s="233" t="str">
        <f t="shared" si="49"/>
        <v>1w</v>
      </c>
      <c r="X2727" s="234">
        <f>_xll.qlCalendarAdvance(Calendar,X2726,W2727,"f",FALSE)</f>
        <v>57951</v>
      </c>
      <c r="Y2727" s="237">
        <f>_xll.qlCalendarAdvance(Calendar,X2727,NDays&amp;"D")</f>
        <v>57951</v>
      </c>
      <c r="Z2727" s="238">
        <v>3.2613042799787717E-2</v>
      </c>
      <c r="AA2727" s="240">
        <v>3.196670910578403E-2</v>
      </c>
    </row>
    <row r="2728" spans="19:27" x14ac:dyDescent="0.2">
      <c r="S2728" s="199"/>
      <c r="T2728" s="200"/>
      <c r="W2728" s="233" t="str">
        <f t="shared" si="49"/>
        <v>1w</v>
      </c>
      <c r="X2728" s="234">
        <f>_xll.qlCalendarAdvance(Calendar,X2727,W2728,"f",FALSE)</f>
        <v>57958</v>
      </c>
      <c r="Y2728" s="237">
        <f>_xll.qlCalendarAdvance(Calendar,X2728,NDays&amp;"D")</f>
        <v>57958</v>
      </c>
      <c r="Z2728" s="238">
        <v>3.261817124641464E-2</v>
      </c>
      <c r="AA2728" s="240">
        <v>3.1971466753124567E-2</v>
      </c>
    </row>
    <row r="2729" spans="19:27" x14ac:dyDescent="0.2">
      <c r="S2729" s="199"/>
      <c r="T2729" s="200"/>
      <c r="W2729" s="233" t="str">
        <f t="shared" si="49"/>
        <v>1w</v>
      </c>
      <c r="X2729" s="234">
        <f>_xll.qlCalendarAdvance(Calendar,X2728,W2729,"f",FALSE)</f>
        <v>57965</v>
      </c>
      <c r="Y2729" s="237">
        <f>_xll.qlCalendarAdvance(Calendar,X2729,NDays&amp;"D")</f>
        <v>57965</v>
      </c>
      <c r="Z2729" s="238">
        <v>3.2623308028420173E-2</v>
      </c>
      <c r="AA2729" s="240">
        <v>3.1976232448441833E-2</v>
      </c>
    </row>
    <row r="2730" spans="19:27" x14ac:dyDescent="0.2">
      <c r="S2730" s="199"/>
      <c r="T2730" s="200"/>
      <c r="W2730" s="233" t="str">
        <f t="shared" si="49"/>
        <v>1w</v>
      </c>
      <c r="X2730" s="234">
        <f>_xll.qlCalendarAdvance(Calendar,X2729,W2730,"f",FALSE)</f>
        <v>57972</v>
      </c>
      <c r="Y2730" s="237">
        <f>_xll.qlCalendarAdvance(Calendar,X2730,NDays&amp;"D")</f>
        <v>57972</v>
      </c>
      <c r="Z2730" s="238">
        <v>3.2628453145928438E-2</v>
      </c>
      <c r="AA2730" s="240">
        <v>3.1981006192141059E-2</v>
      </c>
    </row>
    <row r="2731" spans="19:27" x14ac:dyDescent="0.2">
      <c r="S2731" s="199"/>
      <c r="T2731" s="200"/>
      <c r="W2731" s="233" t="str">
        <f t="shared" si="49"/>
        <v>1w</v>
      </c>
      <c r="X2731" s="234">
        <f>_xll.qlCalendarAdvance(Calendar,X2730,W2731,"f",FALSE)</f>
        <v>57979</v>
      </c>
      <c r="Y2731" s="237">
        <f>_xll.qlCalendarAdvance(Calendar,X2731,NDays&amp;"D")</f>
        <v>57979</v>
      </c>
      <c r="Z2731" s="238">
        <v>3.2633606599064446E-2</v>
      </c>
      <c r="AA2731" s="240">
        <v>3.1985787983898062E-2</v>
      </c>
    </row>
    <row r="2732" spans="19:27" x14ac:dyDescent="0.2">
      <c r="S2732" s="199"/>
      <c r="T2732" s="200"/>
      <c r="W2732" s="233" t="str">
        <f t="shared" si="49"/>
        <v>1w</v>
      </c>
      <c r="X2732" s="234">
        <f>_xll.qlCalendarAdvance(Calendar,X2731,W2732,"f",FALSE)</f>
        <v>57986</v>
      </c>
      <c r="Y2732" s="237">
        <f>_xll.qlCalendarAdvance(Calendar,X2732,NDays&amp;"D")</f>
        <v>57986</v>
      </c>
      <c r="Z2732" s="238">
        <v>3.2638768387952322E-2</v>
      </c>
      <c r="AA2732" s="240">
        <v>3.199057782371284E-2</v>
      </c>
    </row>
    <row r="2733" spans="19:27" x14ac:dyDescent="0.2">
      <c r="S2733" s="199"/>
      <c r="T2733" s="200"/>
      <c r="W2733" s="233" t="str">
        <f t="shared" si="49"/>
        <v>1w</v>
      </c>
      <c r="X2733" s="234">
        <f>_xll.qlCalendarAdvance(Calendar,X2732,W2733,"f",FALSE)</f>
        <v>57993</v>
      </c>
      <c r="Y2733" s="237">
        <f>_xll.qlCalendarAdvance(Calendar,X2733,NDays&amp;"D")</f>
        <v>57993</v>
      </c>
      <c r="Z2733" s="238">
        <v>3.264393851271663E-2</v>
      </c>
      <c r="AA2733" s="240">
        <v>3.1995375711666441E-2</v>
      </c>
    </row>
    <row r="2734" spans="19:27" x14ac:dyDescent="0.2">
      <c r="S2734" s="199"/>
      <c r="T2734" s="200"/>
      <c r="W2734" s="233" t="str">
        <f t="shared" si="49"/>
        <v>1w</v>
      </c>
      <c r="X2734" s="234">
        <f>_xll.qlCalendarAdvance(Calendar,X2733,W2734,"f",FALSE)</f>
        <v>58000</v>
      </c>
      <c r="Y2734" s="237">
        <f>_xll.qlCalendarAdvance(Calendar,X2734,NDays&amp;"D")</f>
        <v>58000</v>
      </c>
      <c r="Z2734" s="238">
        <v>3.2649116973482828E-2</v>
      </c>
      <c r="AA2734" s="240">
        <v>3.2000181648002002E-2</v>
      </c>
    </row>
    <row r="2735" spans="19:27" x14ac:dyDescent="0.2">
      <c r="S2735" s="199"/>
      <c r="T2735" s="200"/>
      <c r="W2735" s="233" t="str">
        <f t="shared" si="49"/>
        <v>1w</v>
      </c>
      <c r="X2735" s="234">
        <f>_xll.qlCalendarAdvance(Calendar,X2734,W2735,"f",FALSE)</f>
        <v>58007</v>
      </c>
      <c r="Y2735" s="237">
        <f>_xll.qlCalendarAdvance(Calendar,X2735,NDays&amp;"D")</f>
        <v>58007</v>
      </c>
      <c r="Z2735" s="238">
        <v>3.2654303770375481E-2</v>
      </c>
      <c r="AA2735" s="240">
        <v>3.2004995632314293E-2</v>
      </c>
    </row>
    <row r="2736" spans="19:27" x14ac:dyDescent="0.2">
      <c r="S2736" s="199"/>
      <c r="T2736" s="200"/>
      <c r="W2736" s="233" t="str">
        <f t="shared" si="49"/>
        <v>1w</v>
      </c>
      <c r="X2736" s="234">
        <f>_xll.qlCalendarAdvance(Calendar,X2735,W2736,"f",FALSE)</f>
        <v>58014</v>
      </c>
      <c r="Y2736" s="237">
        <f>_xll.qlCalendarAdvance(Calendar,X2736,NDays&amp;"D")</f>
        <v>58014</v>
      </c>
      <c r="Z2736" s="238">
        <v>3.2659498903520712E-2</v>
      </c>
      <c r="AA2736" s="240">
        <v>3.2009817664684359E-2</v>
      </c>
    </row>
    <row r="2737" spans="19:27" x14ac:dyDescent="0.2">
      <c r="S2737" s="199"/>
      <c r="T2737" s="200"/>
      <c r="W2737" s="233" t="str">
        <f t="shared" si="49"/>
        <v>1w</v>
      </c>
      <c r="X2737" s="234">
        <f>_xll.qlCalendarAdvance(Calendar,X2736,W2737,"f",FALSE)</f>
        <v>58021</v>
      </c>
      <c r="Y2737" s="237">
        <f>_xll.qlCalendarAdvance(Calendar,X2737,NDays&amp;"D")</f>
        <v>58021</v>
      </c>
      <c r="Z2737" s="238">
        <v>3.2664702373043308E-2</v>
      </c>
      <c r="AA2737" s="240">
        <v>3.2014647745436386E-2</v>
      </c>
    </row>
    <row r="2738" spans="19:27" x14ac:dyDescent="0.2">
      <c r="S2738" s="199"/>
      <c r="T2738" s="200"/>
      <c r="W2738" s="233" t="str">
        <f t="shared" si="49"/>
        <v>1w</v>
      </c>
      <c r="X2738" s="234">
        <f>_xll.qlCalendarAdvance(Calendar,X2737,W2738,"f",FALSE)</f>
        <v>58028</v>
      </c>
      <c r="Y2738" s="237">
        <f>_xll.qlCalendarAdvance(Calendar,X2738,NDays&amp;"D")</f>
        <v>58028</v>
      </c>
      <c r="Z2738" s="238">
        <v>3.2669914179069393E-2</v>
      </c>
      <c r="AA2738" s="240">
        <v>3.2019485874165143E-2</v>
      </c>
    </row>
    <row r="2739" spans="19:27" x14ac:dyDescent="0.2">
      <c r="S2739" s="199"/>
      <c r="T2739" s="200"/>
      <c r="W2739" s="233" t="str">
        <f t="shared" si="49"/>
        <v>1w</v>
      </c>
      <c r="X2739" s="234">
        <f>_xll.qlCalendarAdvance(Calendar,X2738,W2739,"f",FALSE)</f>
        <v>58035</v>
      </c>
      <c r="Y2739" s="237">
        <f>_xll.qlCalendarAdvance(Calendar,X2739,NDays&amp;"D")</f>
        <v>58035</v>
      </c>
      <c r="Z2739" s="238">
        <v>3.2675134321724641E-2</v>
      </c>
      <c r="AA2739" s="240">
        <v>3.2024332051032722E-2</v>
      </c>
    </row>
    <row r="2740" spans="19:27" x14ac:dyDescent="0.2">
      <c r="S2740" s="199"/>
      <c r="T2740" s="200"/>
      <c r="W2740" s="233" t="str">
        <f t="shared" si="49"/>
        <v>1w</v>
      </c>
      <c r="X2740" s="234">
        <f>_xll.qlCalendarAdvance(Calendar,X2739,W2740,"f",FALSE)</f>
        <v>58042</v>
      </c>
      <c r="Y2740" s="237">
        <f>_xll.qlCalendarAdvance(Calendar,X2740,NDays&amp;"D")</f>
        <v>58042</v>
      </c>
      <c r="Z2740" s="238">
        <v>3.2680362801135843E-2</v>
      </c>
      <c r="AA2740" s="240">
        <v>3.2029186276201216E-2</v>
      </c>
    </row>
    <row r="2741" spans="19:27" x14ac:dyDescent="0.2">
      <c r="S2741" s="199"/>
      <c r="T2741" s="200"/>
      <c r="W2741" s="233" t="str">
        <f t="shared" si="49"/>
        <v>1w</v>
      </c>
      <c r="X2741" s="234">
        <f>_xll.qlCalendarAdvance(Calendar,X2740,W2741,"f",FALSE)</f>
        <v>58049</v>
      </c>
      <c r="Y2741" s="237">
        <f>_xll.qlCalendarAdvance(Calendar,X2741,NDays&amp;"D")</f>
        <v>58049</v>
      </c>
      <c r="Z2741" s="238">
        <v>3.2685599617428451E-2</v>
      </c>
      <c r="AA2741" s="240">
        <v>3.2034048549346439E-2</v>
      </c>
    </row>
    <row r="2742" spans="19:27" x14ac:dyDescent="0.2">
      <c r="S2742" s="199"/>
      <c r="T2742" s="200"/>
      <c r="W2742" s="233" t="str">
        <f t="shared" si="49"/>
        <v>1w</v>
      </c>
      <c r="X2742" s="234">
        <f>_xll.qlCalendarAdvance(Calendar,X2741,W2742,"f",FALSE)</f>
        <v>58056</v>
      </c>
      <c r="Y2742" s="237">
        <f>_xll.qlCalendarAdvance(Calendar,X2742,NDays&amp;"D")</f>
        <v>58056</v>
      </c>
      <c r="Z2742" s="238">
        <v>3.2690844770729921E-2</v>
      </c>
      <c r="AA2742" s="240">
        <v>3.2038918870792576E-2</v>
      </c>
    </row>
    <row r="2743" spans="19:27" x14ac:dyDescent="0.2">
      <c r="S2743" s="199"/>
      <c r="T2743" s="200"/>
      <c r="W2743" s="233" t="str">
        <f t="shared" si="49"/>
        <v>1w</v>
      </c>
      <c r="X2743" s="234">
        <f>_xll.qlCalendarAdvance(Calendar,X2742,W2743,"f",FALSE)</f>
        <v>58063</v>
      </c>
      <c r="Y2743" s="237">
        <f>_xll.qlCalendarAdvance(Calendar,X2743,NDays&amp;"D")</f>
        <v>58063</v>
      </c>
      <c r="Z2743" s="238">
        <v>3.2696098261166151E-2</v>
      </c>
      <c r="AA2743" s="240">
        <v>3.2043797240134397E-2</v>
      </c>
    </row>
    <row r="2744" spans="19:27" x14ac:dyDescent="0.2">
      <c r="S2744" s="199"/>
      <c r="T2744" s="200"/>
      <c r="W2744" s="233" t="str">
        <f t="shared" si="49"/>
        <v>1w</v>
      </c>
      <c r="X2744" s="234">
        <f>_xll.qlCalendarAdvance(Calendar,X2743,W2744,"f",FALSE)</f>
        <v>58071</v>
      </c>
      <c r="Y2744" s="237">
        <f>_xll.qlCalendarAdvance(Calendar,X2744,NDays&amp;"D")</f>
        <v>58071</v>
      </c>
      <c r="Z2744" s="238">
        <v>3.2705774164641974E-2</v>
      </c>
      <c r="AA2744" s="240">
        <v>3.2052895660194723E-2</v>
      </c>
    </row>
    <row r="2745" spans="19:27" x14ac:dyDescent="0.2">
      <c r="S2745" s="199"/>
      <c r="T2745" s="200"/>
      <c r="W2745" s="233" t="str">
        <f t="shared" si="49"/>
        <v>1w</v>
      </c>
      <c r="X2745" s="234">
        <f>_xll.qlCalendarAdvance(Calendar,X2744,W2745,"f",FALSE)</f>
        <v>58078</v>
      </c>
      <c r="Y2745" s="237">
        <f>_xll.qlCalendarAdvance(Calendar,X2745,NDays&amp;"D")</f>
        <v>58078</v>
      </c>
      <c r="Z2745" s="238">
        <v>3.2711047641761477E-2</v>
      </c>
      <c r="AA2745" s="240">
        <v>3.2057793285592551E-2</v>
      </c>
    </row>
    <row r="2746" spans="19:27" x14ac:dyDescent="0.2">
      <c r="S2746" s="199"/>
      <c r="T2746" s="200"/>
      <c r="W2746" s="233" t="str">
        <f t="shared" si="49"/>
        <v>1w</v>
      </c>
      <c r="X2746" s="234">
        <f>_xll.qlCalendarAdvance(Calendar,X2745,W2746,"f",FALSE)</f>
        <v>58085</v>
      </c>
      <c r="Y2746" s="237">
        <f>_xll.qlCalendarAdvance(Calendar,X2746,NDays&amp;"D")</f>
        <v>58085</v>
      </c>
      <c r="Z2746" s="238">
        <v>3.2716329458051696E-2</v>
      </c>
      <c r="AA2746" s="240">
        <v>3.2062698960615053E-2</v>
      </c>
    </row>
    <row r="2747" spans="19:27" x14ac:dyDescent="0.2">
      <c r="S2747" s="199"/>
      <c r="T2747" s="200"/>
      <c r="W2747" s="233" t="str">
        <f t="shared" si="49"/>
        <v>1w</v>
      </c>
      <c r="X2747" s="234">
        <f>_xll.qlCalendarAdvance(Calendar,X2746,W2747,"f",FALSE)</f>
        <v>58092</v>
      </c>
      <c r="Y2747" s="237">
        <f>_xll.qlCalendarAdvance(Calendar,X2747,NDays&amp;"D")</f>
        <v>58092</v>
      </c>
      <c r="Z2747" s="238">
        <v>3.2721619613642262E-2</v>
      </c>
      <c r="AA2747" s="240">
        <v>3.2067612685343271E-2</v>
      </c>
    </row>
    <row r="2748" spans="19:27" x14ac:dyDescent="0.2">
      <c r="S2748" s="199"/>
      <c r="T2748" s="200"/>
      <c r="W2748" s="233" t="str">
        <f t="shared" si="49"/>
        <v>1w</v>
      </c>
      <c r="X2748" s="234">
        <f>_xll.qlCalendarAdvance(Calendar,X2747,W2748,"f",FALSE)</f>
        <v>58099</v>
      </c>
      <c r="Y2748" s="237">
        <f>_xll.qlCalendarAdvance(Calendar,X2748,NDays&amp;"D")</f>
        <v>58099</v>
      </c>
      <c r="Z2748" s="238">
        <v>3.2726918108660817E-2</v>
      </c>
      <c r="AA2748" s="240">
        <v>3.2072534459723176E-2</v>
      </c>
    </row>
    <row r="2749" spans="19:27" x14ac:dyDescent="0.2">
      <c r="S2749" s="199"/>
      <c r="T2749" s="200"/>
      <c r="W2749" s="233" t="str">
        <f t="shared" si="49"/>
        <v>1w</v>
      </c>
      <c r="X2749" s="234">
        <f>_xll.qlCalendarAdvance(Calendar,X2748,W2749,"f",FALSE)</f>
        <v>58106</v>
      </c>
      <c r="Y2749" s="237">
        <f>_xll.qlCalendarAdvance(Calendar,X2749,NDays&amp;"D")</f>
        <v>58106</v>
      </c>
      <c r="Z2749" s="238">
        <v>3.2726716768372258E-2</v>
      </c>
      <c r="AA2749" s="240">
        <v>3.2077464283862822E-2</v>
      </c>
    </row>
    <row r="2750" spans="19:27" x14ac:dyDescent="0.2">
      <c r="S2750" s="199"/>
      <c r="T2750" s="200"/>
      <c r="W2750" s="233" t="str">
        <f t="shared" si="49"/>
        <v>1w</v>
      </c>
      <c r="X2750" s="234">
        <f>_xll.qlCalendarAdvance(Calendar,X2749,W2750,"f",FALSE)</f>
        <v>58113</v>
      </c>
      <c r="Y2750" s="237">
        <f>_xll.qlCalendarAdvance(Calendar,X2750,NDays&amp;"D")</f>
        <v>58113</v>
      </c>
      <c r="Z2750" s="238">
        <v>3.2737540117498867E-2</v>
      </c>
      <c r="AA2750" s="240">
        <v>3.2082402157681177E-2</v>
      </c>
    </row>
    <row r="2751" spans="19:27" x14ac:dyDescent="0.2">
      <c r="S2751" s="199"/>
      <c r="T2751" s="200"/>
      <c r="W2751" s="233" t="str">
        <f t="shared" si="49"/>
        <v>1w</v>
      </c>
      <c r="X2751" s="234">
        <f>_xll.qlCalendarAdvance(Calendar,X2750,W2751,"f",FALSE)</f>
        <v>58120</v>
      </c>
      <c r="Y2751" s="237">
        <f>_xll.qlCalendarAdvance(Calendar,X2751,NDays&amp;"D")</f>
        <v>58120</v>
      </c>
      <c r="Z2751" s="238">
        <v>3.2742863631576295E-2</v>
      </c>
      <c r="AA2751" s="240">
        <v>3.2087348081205246E-2</v>
      </c>
    </row>
    <row r="2752" spans="19:27" x14ac:dyDescent="0.2">
      <c r="S2752" s="199"/>
      <c r="T2752" s="200"/>
      <c r="W2752" s="233" t="str">
        <f t="shared" si="49"/>
        <v>1w</v>
      </c>
      <c r="X2752" s="234">
        <f>_xll.qlCalendarAdvance(Calendar,X2751,W2752,"f",FALSE)</f>
        <v>58127</v>
      </c>
      <c r="Y2752" s="237">
        <f>_xll.qlCalendarAdvance(Calendar,X2752,NDays&amp;"D")</f>
        <v>58127</v>
      </c>
      <c r="Z2752" s="238">
        <v>3.2748195485598243E-2</v>
      </c>
      <c r="AA2752" s="240">
        <v>3.2092302054408016E-2</v>
      </c>
    </row>
    <row r="2753" spans="19:27" x14ac:dyDescent="0.2">
      <c r="S2753" s="199"/>
      <c r="T2753" s="200"/>
      <c r="W2753" s="233" t="str">
        <f t="shared" si="49"/>
        <v>1w</v>
      </c>
      <c r="X2753" s="234">
        <f>_xll.qlCalendarAdvance(Calendar,X2752,W2753,"f",FALSE)</f>
        <v>58134</v>
      </c>
      <c r="Y2753" s="237">
        <f>_xll.qlCalendarAdvance(Calendar,X2753,NDays&amp;"D")</f>
        <v>58134</v>
      </c>
      <c r="Z2753" s="238">
        <v>3.274801471608052E-2</v>
      </c>
      <c r="AA2753" s="240">
        <v>3.2097264077316501E-2</v>
      </c>
    </row>
    <row r="2754" spans="19:27" x14ac:dyDescent="0.2">
      <c r="S2754" s="199"/>
      <c r="T2754" s="200"/>
      <c r="W2754" s="233" t="str">
        <f t="shared" si="49"/>
        <v>1w</v>
      </c>
      <c r="X2754" s="234">
        <f>_xll.qlCalendarAdvance(Calendar,X2753,W2754,"f",FALSE)</f>
        <v>58141</v>
      </c>
      <c r="Y2754" s="237">
        <f>_xll.qlCalendarAdvance(Calendar,X2754,NDays&amp;"D")</f>
        <v>58141</v>
      </c>
      <c r="Z2754" s="238">
        <v>3.2758884213994886E-2</v>
      </c>
      <c r="AA2754" s="240">
        <v>3.2102234149930707E-2</v>
      </c>
    </row>
    <row r="2755" spans="19:27" x14ac:dyDescent="0.2">
      <c r="S2755" s="199"/>
      <c r="T2755" s="200"/>
      <c r="W2755" s="233" t="str">
        <f t="shared" si="49"/>
        <v>1w</v>
      </c>
      <c r="X2755" s="234">
        <f>_xll.qlCalendarAdvance(Calendar,X2754,W2755,"f",FALSE)</f>
        <v>58148</v>
      </c>
      <c r="Y2755" s="237">
        <f>_xll.qlCalendarAdvance(Calendar,X2755,NDays&amp;"D")</f>
        <v>58148</v>
      </c>
      <c r="Z2755" s="238">
        <v>3.276424108862884E-2</v>
      </c>
      <c r="AA2755" s="240">
        <v>3.2107212272223615E-2</v>
      </c>
    </row>
    <row r="2756" spans="19:27" x14ac:dyDescent="0.2">
      <c r="S2756" s="199"/>
      <c r="T2756" s="200"/>
      <c r="W2756" s="233" t="str">
        <f t="shared" si="49"/>
        <v>1w</v>
      </c>
      <c r="X2756" s="234">
        <f>_xll.qlCalendarAdvance(Calendar,X2755,W2756,"f",FALSE)</f>
        <v>58155</v>
      </c>
      <c r="Y2756" s="237">
        <f>_xll.qlCalendarAdvance(Calendar,X2756,NDays&amp;"D")</f>
        <v>58155</v>
      </c>
      <c r="Z2756" s="238">
        <v>3.2769606303727154E-2</v>
      </c>
      <c r="AA2756" s="240">
        <v>3.2112198444303283E-2</v>
      </c>
    </row>
    <row r="2757" spans="19:27" x14ac:dyDescent="0.2">
      <c r="S2757" s="199"/>
      <c r="T2757" s="200"/>
      <c r="W2757" s="233" t="str">
        <f t="shared" si="49"/>
        <v>1w</v>
      </c>
      <c r="X2757" s="234">
        <f>_xll.qlCalendarAdvance(Calendar,X2756,W2757,"f",FALSE)</f>
        <v>58166</v>
      </c>
      <c r="Y2757" s="237">
        <f>_xll.qlCalendarAdvance(Calendar,X2757,NDays&amp;"D")</f>
        <v>58166</v>
      </c>
      <c r="Z2757" s="238">
        <v>3.2776208786783452E-2</v>
      </c>
      <c r="AA2757" s="240">
        <v>3.2116509427571049E-2</v>
      </c>
    </row>
    <row r="2758" spans="19:27" x14ac:dyDescent="0.2">
      <c r="S2758" s="199"/>
      <c r="T2758" s="200"/>
      <c r="W2758" s="233" t="str">
        <f t="shared" si="49"/>
        <v>1w</v>
      </c>
      <c r="X2758" s="234">
        <f>_xll.qlCalendarAdvance(Calendar,X2757,W2758,"f",FALSE)</f>
        <v>58173</v>
      </c>
      <c r="Y2758" s="237">
        <f>_xll.qlCalendarAdvance(Calendar,X2758,NDays&amp;"D")</f>
        <v>58173</v>
      </c>
      <c r="Z2758" s="238">
        <v>3.2781594377688968E-2</v>
      </c>
      <c r="AA2758" s="240">
        <v>3.2121514268013129E-2</v>
      </c>
    </row>
    <row r="2759" spans="19:27" x14ac:dyDescent="0.2">
      <c r="S2759" s="199"/>
      <c r="T2759" s="200"/>
      <c r="W2759" s="233" t="str">
        <f t="shared" si="49"/>
        <v>1w</v>
      </c>
      <c r="X2759" s="234">
        <f>_xll.qlCalendarAdvance(Calendar,X2758,W2759,"f",FALSE)</f>
        <v>58180</v>
      </c>
      <c r="Y2759" s="237">
        <f>_xll.qlCalendarAdvance(Calendar,X2759,NDays&amp;"D")</f>
        <v>58180</v>
      </c>
      <c r="Z2759" s="238">
        <v>3.2786988308702754E-2</v>
      </c>
      <c r="AA2759" s="240">
        <v>3.2126527156675078E-2</v>
      </c>
    </row>
    <row r="2760" spans="19:27" x14ac:dyDescent="0.2">
      <c r="S2760" s="199"/>
      <c r="T2760" s="200"/>
      <c r="W2760" s="233" t="str">
        <f t="shared" si="49"/>
        <v>1w</v>
      </c>
      <c r="X2760" s="234">
        <f>_xll.qlCalendarAdvance(Calendar,X2759,W2760,"f",FALSE)</f>
        <v>58187</v>
      </c>
      <c r="Y2760" s="237">
        <f>_xll.qlCalendarAdvance(Calendar,X2760,NDays&amp;"D")</f>
        <v>58187</v>
      </c>
      <c r="Z2760" s="238">
        <v>3.2792390579953909E-2</v>
      </c>
      <c r="AA2760" s="240">
        <v>3.2131548093475848E-2</v>
      </c>
    </row>
    <row r="2761" spans="19:27" x14ac:dyDescent="0.2">
      <c r="S2761" s="199"/>
      <c r="T2761" s="200"/>
      <c r="W2761" s="233" t="str">
        <f t="shared" si="49"/>
        <v>1w</v>
      </c>
      <c r="X2761" s="234">
        <f>_xll.qlCalendarAdvance(Calendar,X2760,W2761,"f",FALSE)</f>
        <v>58194</v>
      </c>
      <c r="Y2761" s="237">
        <f>_xll.qlCalendarAdvance(Calendar,X2761,NDays&amp;"D")</f>
        <v>58194</v>
      </c>
      <c r="Z2761" s="238">
        <v>3.2797801191573522E-2</v>
      </c>
      <c r="AA2761" s="240">
        <v>3.2136577078253348E-2</v>
      </c>
    </row>
    <row r="2762" spans="19:27" x14ac:dyDescent="0.2">
      <c r="S2762" s="199"/>
      <c r="T2762" s="200"/>
      <c r="W2762" s="233" t="str">
        <f t="shared" si="49"/>
        <v>1w</v>
      </c>
      <c r="X2762" s="234">
        <f>_xll.qlCalendarAdvance(Calendar,X2761,W2762,"f",FALSE)</f>
        <v>58201</v>
      </c>
      <c r="Y2762" s="237">
        <f>_xll.qlCalendarAdvance(Calendar,X2762,NDays&amp;"D")</f>
        <v>58201</v>
      </c>
      <c r="Z2762" s="238">
        <v>3.2803220143693794E-2</v>
      </c>
      <c r="AA2762" s="240">
        <v>3.2141614111412808E-2</v>
      </c>
    </row>
    <row r="2763" spans="19:27" x14ac:dyDescent="0.2">
      <c r="S2763" s="199"/>
      <c r="T2763" s="200"/>
      <c r="W2763" s="233" t="str">
        <f t="shared" si="49"/>
        <v>1w</v>
      </c>
      <c r="X2763" s="234">
        <f>_xll.qlCalendarAdvance(Calendar,X2762,W2763,"f",FALSE)</f>
        <v>58208</v>
      </c>
      <c r="Y2763" s="237">
        <f>_xll.qlCalendarAdvance(Calendar,X2763,NDays&amp;"D")</f>
        <v>58208</v>
      </c>
      <c r="Z2763" s="238">
        <v>3.2808647436445147E-2</v>
      </c>
      <c r="AA2763" s="240">
        <v>3.2146659192548999E-2</v>
      </c>
    </row>
    <row r="2764" spans="19:27" x14ac:dyDescent="0.2">
      <c r="S2764" s="199"/>
      <c r="T2764" s="200"/>
      <c r="W2764" s="233" t="str">
        <f t="shared" si="49"/>
        <v>1w</v>
      </c>
      <c r="X2764" s="234">
        <f>_xll.qlCalendarAdvance(Calendar,X2763,W2764,"f",FALSE)</f>
        <v>58215</v>
      </c>
      <c r="Y2764" s="237">
        <f>_xll.qlCalendarAdvance(Calendar,X2764,NDays&amp;"D")</f>
        <v>58215</v>
      </c>
      <c r="Z2764" s="238">
        <v>3.2814083069959345E-2</v>
      </c>
      <c r="AA2764" s="240">
        <v>3.2151712321905057E-2</v>
      </c>
    </row>
    <row r="2765" spans="19:27" x14ac:dyDescent="0.2">
      <c r="S2765" s="199"/>
      <c r="T2765" s="200"/>
      <c r="W2765" s="233" t="str">
        <f t="shared" si="49"/>
        <v>1w</v>
      </c>
      <c r="X2765" s="234">
        <f>_xll.qlCalendarAdvance(Calendar,X2764,W2765,"f",FALSE)</f>
        <v>58222</v>
      </c>
      <c r="Y2765" s="237">
        <f>_xll.qlCalendarAdvance(Calendar,X2765,NDays&amp;"D")</f>
        <v>58222</v>
      </c>
      <c r="Z2765" s="238">
        <v>3.2819527044368579E-2</v>
      </c>
      <c r="AA2765" s="240">
        <v>3.2156773499399938E-2</v>
      </c>
    </row>
    <row r="2766" spans="19:27" x14ac:dyDescent="0.2">
      <c r="S2766" s="199"/>
      <c r="T2766" s="200"/>
      <c r="W2766" s="233" t="str">
        <f t="shared" si="49"/>
        <v>1w</v>
      </c>
      <c r="X2766" s="234">
        <f>_xll.qlCalendarAdvance(Calendar,X2765,W2766,"f",FALSE)</f>
        <v>58229</v>
      </c>
      <c r="Y2766" s="237">
        <f>_xll.qlCalendarAdvance(Calendar,X2766,NDays&amp;"D")</f>
        <v>58229</v>
      </c>
      <c r="Z2766" s="238">
        <v>3.2824979359804607E-2</v>
      </c>
      <c r="AA2766" s="240">
        <v>3.2161842725276779E-2</v>
      </c>
    </row>
    <row r="2767" spans="19:27" x14ac:dyDescent="0.2">
      <c r="S2767" s="199"/>
      <c r="T2767" s="200"/>
      <c r="W2767" s="233" t="str">
        <f t="shared" si="49"/>
        <v>1w</v>
      </c>
      <c r="X2767" s="234">
        <f>_xll.qlCalendarAdvance(Calendar,X2766,W2767,"f",FALSE)</f>
        <v>58236</v>
      </c>
      <c r="Y2767" s="237">
        <f>_xll.qlCalendarAdvance(Calendar,X2767,NDays&amp;"D")</f>
        <v>58236</v>
      </c>
      <c r="Z2767" s="238">
        <v>3.2830440016398746E-2</v>
      </c>
      <c r="AA2767" s="240">
        <v>3.2166919999049304E-2</v>
      </c>
    </row>
    <row r="2768" spans="19:27" x14ac:dyDescent="0.2">
      <c r="S2768" s="199"/>
      <c r="T2768" s="200"/>
      <c r="W2768" s="233" t="str">
        <f t="shared" si="49"/>
        <v>1w</v>
      </c>
      <c r="X2768" s="234">
        <f>_xll.qlCalendarAdvance(Calendar,X2767,W2768,"f",FALSE)</f>
        <v>58243</v>
      </c>
      <c r="Y2768" s="237">
        <f>_xll.qlCalendarAdvance(Calendar,X2768,NDays&amp;"D")</f>
        <v>58243</v>
      </c>
      <c r="Z2768" s="238">
        <v>3.2835909014283411E-2</v>
      </c>
      <c r="AA2768" s="240">
        <v>3.217200532096065E-2</v>
      </c>
    </row>
    <row r="2769" spans="19:27" x14ac:dyDescent="0.2">
      <c r="S2769" s="199"/>
      <c r="T2769" s="200"/>
      <c r="W2769" s="233" t="str">
        <f t="shared" si="49"/>
        <v>1w</v>
      </c>
      <c r="X2769" s="234">
        <f>_xll.qlCalendarAdvance(Calendar,X2768,W2769,"f",FALSE)</f>
        <v>58250</v>
      </c>
      <c r="Y2769" s="237">
        <f>_xll.qlCalendarAdvance(Calendar,X2769,NDays&amp;"D")</f>
        <v>58250</v>
      </c>
      <c r="Z2769" s="238">
        <v>3.2841386353593016E-2</v>
      </c>
      <c r="AA2769" s="240">
        <v>3.2177098691091865E-2</v>
      </c>
    </row>
    <row r="2770" spans="19:27" x14ac:dyDescent="0.2">
      <c r="S2770" s="199"/>
      <c r="T2770" s="200"/>
      <c r="W2770" s="233" t="str">
        <f t="shared" si="49"/>
        <v>1w</v>
      </c>
      <c r="X2770" s="234">
        <f>_xll.qlCalendarAdvance(Calendar,X2769,W2770,"f",FALSE)</f>
        <v>58257</v>
      </c>
      <c r="Y2770" s="237">
        <f>_xll.qlCalendarAdvance(Calendar,X2770,NDays&amp;"D")</f>
        <v>58257</v>
      </c>
      <c r="Z2770" s="238">
        <v>3.2846872034458206E-2</v>
      </c>
      <c r="AA2770" s="240">
        <v>3.2182200109442949E-2</v>
      </c>
    </row>
    <row r="2771" spans="19:27" x14ac:dyDescent="0.2">
      <c r="S2771" s="199"/>
      <c r="T2771" s="200"/>
      <c r="W2771" s="233" t="str">
        <f t="shared" si="49"/>
        <v>1w</v>
      </c>
      <c r="X2771" s="234">
        <f>_xll.qlCalendarAdvance(Calendar,X2770,W2771,"f",FALSE)</f>
        <v>58264</v>
      </c>
      <c r="Y2771" s="237">
        <f>_xll.qlCalendarAdvance(Calendar,X2771,NDays&amp;"D")</f>
        <v>58264</v>
      </c>
      <c r="Z2771" s="238">
        <v>3.285236605701318E-2</v>
      </c>
      <c r="AA2771" s="240">
        <v>3.2187309575932854E-2</v>
      </c>
    </row>
    <row r="2772" spans="19:27" x14ac:dyDescent="0.2">
      <c r="S2772" s="199"/>
      <c r="T2772" s="200"/>
      <c r="W2772" s="233" t="str">
        <f t="shared" si="49"/>
        <v>1w</v>
      </c>
      <c r="X2772" s="234">
        <f>_xll.qlCalendarAdvance(Calendar,X2771,W2772,"f",FALSE)</f>
        <v>58271</v>
      </c>
      <c r="Y2772" s="237">
        <f>_xll.qlCalendarAdvance(Calendar,X2772,NDays&amp;"D")</f>
        <v>58271</v>
      </c>
      <c r="Z2772" s="238">
        <v>3.2857868421390352E-2</v>
      </c>
      <c r="AA2772" s="240">
        <v>3.2192427090399489E-2</v>
      </c>
    </row>
    <row r="2773" spans="19:27" x14ac:dyDescent="0.2">
      <c r="S2773" s="199"/>
      <c r="T2773" s="200"/>
      <c r="W2773" s="233" t="str">
        <f t="shared" ref="W2773:W2836" si="50">W2772</f>
        <v>1w</v>
      </c>
      <c r="X2773" s="234">
        <f>_xll.qlCalendarAdvance(Calendar,X2772,W2773,"f",FALSE)</f>
        <v>58278</v>
      </c>
      <c r="Y2773" s="237">
        <f>_xll.qlCalendarAdvance(Calendar,X2773,NDays&amp;"D")</f>
        <v>58278</v>
      </c>
      <c r="Z2773" s="238">
        <v>3.2863379127723691E-2</v>
      </c>
      <c r="AA2773" s="240">
        <v>3.2197552653410177E-2</v>
      </c>
    </row>
    <row r="2774" spans="19:27" x14ac:dyDescent="0.2">
      <c r="S2774" s="199"/>
      <c r="T2774" s="200"/>
      <c r="W2774" s="233" t="str">
        <f t="shared" si="50"/>
        <v>1w</v>
      </c>
      <c r="X2774" s="234">
        <f>_xll.qlCalendarAdvance(Calendar,X2773,W2774,"f",FALSE)</f>
        <v>58285</v>
      </c>
      <c r="Y2774" s="237">
        <f>_xll.qlCalendarAdvance(Calendar,X2774,NDays&amp;"D")</f>
        <v>58285</v>
      </c>
      <c r="Z2774" s="238">
        <v>3.2868898176146071E-2</v>
      </c>
      <c r="AA2774" s="240">
        <v>3.2202686264316549E-2</v>
      </c>
    </row>
    <row r="2775" spans="19:27" x14ac:dyDescent="0.2">
      <c r="S2775" s="199"/>
      <c r="T2775" s="200"/>
      <c r="W2775" s="233" t="str">
        <f t="shared" si="50"/>
        <v>1w</v>
      </c>
      <c r="X2775" s="234">
        <f>_xll.qlCalendarAdvance(Calendar,X2774,W2775,"f",FALSE)</f>
        <v>58292</v>
      </c>
      <c r="Y2775" s="237">
        <f>_xll.qlCalendarAdvance(Calendar,X2775,NDays&amp;"D")</f>
        <v>58292</v>
      </c>
      <c r="Z2775" s="238">
        <v>3.2874425566791446E-2</v>
      </c>
      <c r="AA2775" s="240">
        <v>3.2207827923280696E-2</v>
      </c>
    </row>
    <row r="2776" spans="19:27" x14ac:dyDescent="0.2">
      <c r="S2776" s="199"/>
      <c r="T2776" s="200"/>
      <c r="W2776" s="233" t="str">
        <f t="shared" si="50"/>
        <v>1w</v>
      </c>
      <c r="X2776" s="234">
        <f>_xll.qlCalendarAdvance(Calendar,X2775,W2776,"f",FALSE)</f>
        <v>58299</v>
      </c>
      <c r="Y2776" s="237">
        <f>_xll.qlCalendarAdvance(Calendar,X2776,NDays&amp;"D")</f>
        <v>58299</v>
      </c>
      <c r="Z2776" s="238">
        <v>3.2879961299794459E-2</v>
      </c>
      <c r="AA2776" s="240">
        <v>3.2212977630626805E-2</v>
      </c>
    </row>
    <row r="2777" spans="19:27" x14ac:dyDescent="0.2">
      <c r="S2777" s="199"/>
      <c r="T2777" s="200"/>
      <c r="W2777" s="233" t="str">
        <f t="shared" si="50"/>
        <v>1w</v>
      </c>
      <c r="X2777" s="234">
        <f>_xll.qlCalendarAdvance(Calendar,X2776,W2777,"f",FALSE)</f>
        <v>58306</v>
      </c>
      <c r="Y2777" s="237">
        <f>_xll.qlCalendarAdvance(Calendar,X2777,NDays&amp;"D")</f>
        <v>58306</v>
      </c>
      <c r="Z2777" s="238">
        <v>3.2885505375288629E-2</v>
      </c>
      <c r="AA2777" s="240">
        <v>3.2218135386111735E-2</v>
      </c>
    </row>
    <row r="2778" spans="19:27" x14ac:dyDescent="0.2">
      <c r="S2778" s="199"/>
      <c r="T2778" s="200"/>
      <c r="W2778" s="233" t="str">
        <f t="shared" si="50"/>
        <v>1w</v>
      </c>
      <c r="X2778" s="234">
        <f>_xll.qlCalendarAdvance(Calendar,X2777,W2778,"f",FALSE)</f>
        <v>58313</v>
      </c>
      <c r="Y2778" s="237">
        <f>_xll.qlCalendarAdvance(Calendar,X2778,NDays&amp;"D")</f>
        <v>58313</v>
      </c>
      <c r="Z2778" s="238">
        <v>3.2891057793408604E-2</v>
      </c>
      <c r="AA2778" s="240">
        <v>3.2223301189654441E-2</v>
      </c>
    </row>
    <row r="2779" spans="19:27" x14ac:dyDescent="0.2">
      <c r="S2779" s="199"/>
      <c r="T2779" s="200"/>
      <c r="W2779" s="233" t="str">
        <f t="shared" si="50"/>
        <v>1w</v>
      </c>
      <c r="X2779" s="234">
        <f>_xll.qlCalendarAdvance(Calendar,X2778,W2779,"f",FALSE)</f>
        <v>58320</v>
      </c>
      <c r="Y2779" s="237">
        <f>_xll.qlCalendarAdvance(Calendar,X2779,NDays&amp;"D")</f>
        <v>58320</v>
      </c>
      <c r="Z2779" s="238">
        <v>3.2896618554288569E-2</v>
      </c>
      <c r="AA2779" s="240">
        <v>3.2228475041335969E-2</v>
      </c>
    </row>
    <row r="2780" spans="19:27" x14ac:dyDescent="0.2">
      <c r="S2780" s="199"/>
      <c r="T2780" s="200"/>
      <c r="W2780" s="233" t="str">
        <f t="shared" si="50"/>
        <v>1w</v>
      </c>
      <c r="X2780" s="234">
        <f>_xll.qlCalendarAdvance(Calendar,X2779,W2780,"f",FALSE)</f>
        <v>58327</v>
      </c>
      <c r="Y2780" s="237">
        <f>_xll.qlCalendarAdvance(Calendar,X2780,NDays&amp;"D")</f>
        <v>58327</v>
      </c>
      <c r="Z2780" s="238">
        <v>3.2902187658063818E-2</v>
      </c>
      <c r="AA2780" s="240">
        <v>3.2233656941318412E-2</v>
      </c>
    </row>
    <row r="2781" spans="19:27" x14ac:dyDescent="0.2">
      <c r="S2781" s="199"/>
      <c r="T2781" s="200"/>
      <c r="W2781" s="233" t="str">
        <f t="shared" si="50"/>
        <v>1w</v>
      </c>
      <c r="X2781" s="234">
        <f>_xll.qlCalendarAdvance(Calendar,X2780,W2781,"f",FALSE)</f>
        <v>58334</v>
      </c>
      <c r="Y2781" s="237">
        <f>_xll.qlCalendarAdvance(Calendar,X2781,NDays&amp;"D")</f>
        <v>58334</v>
      </c>
      <c r="Z2781" s="238">
        <v>3.2907765104869216E-2</v>
      </c>
      <c r="AA2781" s="240">
        <v>3.223884688935863E-2</v>
      </c>
    </row>
    <row r="2782" spans="19:27" x14ac:dyDescent="0.2">
      <c r="S2782" s="199"/>
      <c r="T2782" s="200"/>
      <c r="W2782" s="233" t="str">
        <f t="shared" si="50"/>
        <v>1w</v>
      </c>
      <c r="X2782" s="234">
        <f>_xll.qlCalendarAdvance(Calendar,X2781,W2782,"f",FALSE)</f>
        <v>58341</v>
      </c>
      <c r="Y2782" s="237">
        <f>_xll.qlCalendarAdvance(Calendar,X2782,NDays&amp;"D")</f>
        <v>58341</v>
      </c>
      <c r="Z2782" s="238">
        <v>3.2913350894839384E-2</v>
      </c>
      <c r="AA2782" s="240">
        <v>3.2244044885618717E-2</v>
      </c>
    </row>
    <row r="2783" spans="19:27" x14ac:dyDescent="0.2">
      <c r="S2783" s="199"/>
      <c r="T2783" s="200"/>
      <c r="W2783" s="233" t="str">
        <f t="shared" si="50"/>
        <v>1w</v>
      </c>
      <c r="X2783" s="234">
        <f>_xll.qlCalendarAdvance(Calendar,X2782,W2783,"f",FALSE)</f>
        <v>58348</v>
      </c>
      <c r="Y2783" s="237">
        <f>_xll.qlCalendarAdvance(Calendar,X2783,NDays&amp;"D")</f>
        <v>58348</v>
      </c>
      <c r="Z2783" s="238">
        <v>3.2918945028110297E-2</v>
      </c>
      <c r="AA2783" s="240">
        <v>3.2249250929936579E-2</v>
      </c>
    </row>
    <row r="2784" spans="19:27" x14ac:dyDescent="0.2">
      <c r="S2784" s="199"/>
      <c r="T2784" s="200"/>
      <c r="W2784" s="233" t="str">
        <f t="shared" si="50"/>
        <v>1w</v>
      </c>
      <c r="X2784" s="234">
        <f>_xll.qlCalendarAdvance(Calendar,X2783,W2784,"f",FALSE)</f>
        <v>58355</v>
      </c>
      <c r="Y2784" s="237">
        <f>_xll.qlCalendarAdvance(Calendar,X2784,NDays&amp;"D")</f>
        <v>58355</v>
      </c>
      <c r="Z2784" s="238">
        <v>3.2924547504817693E-2</v>
      </c>
      <c r="AA2784" s="240">
        <v>3.225446502247431E-2</v>
      </c>
    </row>
    <row r="2785" spans="19:27" x14ac:dyDescent="0.2">
      <c r="S2785" s="199"/>
      <c r="T2785" s="200"/>
      <c r="W2785" s="233" t="str">
        <f t="shared" si="50"/>
        <v>1w</v>
      </c>
      <c r="X2785" s="234">
        <f>_xll.qlCalendarAdvance(Calendar,X2784,W2785,"f",FALSE)</f>
        <v>58362</v>
      </c>
      <c r="Y2785" s="237">
        <f>_xll.qlCalendarAdvance(Calendar,X2785,NDays&amp;"D")</f>
        <v>58362</v>
      </c>
      <c r="Z2785" s="238">
        <v>3.2930158325096874E-2</v>
      </c>
      <c r="AA2785" s="240">
        <v>3.2259687163150863E-2</v>
      </c>
    </row>
    <row r="2786" spans="19:27" x14ac:dyDescent="0.2">
      <c r="S2786" s="199"/>
      <c r="T2786" s="200"/>
      <c r="W2786" s="233" t="str">
        <f t="shared" si="50"/>
        <v>1w</v>
      </c>
      <c r="X2786" s="234">
        <f>_xll.qlCalendarAdvance(Calendar,X2785,W2786,"f",FALSE)</f>
        <v>58369</v>
      </c>
      <c r="Y2786" s="237">
        <f>_xll.qlCalendarAdvance(Calendar,X2786,NDays&amp;"D")</f>
        <v>58369</v>
      </c>
      <c r="Z2786" s="238">
        <v>3.2935777489083787E-2</v>
      </c>
      <c r="AA2786" s="240">
        <v>3.2264917352047284E-2</v>
      </c>
    </row>
    <row r="2787" spans="19:27" x14ac:dyDescent="0.2">
      <c r="S2787" s="199"/>
      <c r="T2787" s="200"/>
      <c r="W2787" s="233" t="str">
        <f t="shared" si="50"/>
        <v>1w</v>
      </c>
      <c r="X2787" s="234">
        <f>_xll.qlCalendarAdvance(Calendar,X2786,W2787,"f",FALSE)</f>
        <v>58376</v>
      </c>
      <c r="Y2787" s="237">
        <f>_xll.qlCalendarAdvance(Calendar,X2787,NDays&amp;"D")</f>
        <v>58376</v>
      </c>
      <c r="Z2787" s="238">
        <v>3.2941404996915079E-2</v>
      </c>
      <c r="AA2787" s="240">
        <v>3.2270155589001481E-2</v>
      </c>
    </row>
    <row r="2788" spans="19:27" x14ac:dyDescent="0.2">
      <c r="S2788" s="199"/>
      <c r="T2788" s="200"/>
      <c r="W2788" s="233" t="str">
        <f t="shared" si="50"/>
        <v>1w</v>
      </c>
      <c r="X2788" s="234">
        <f>_xll.qlCalendarAdvance(Calendar,X2787,W2788,"f",FALSE)</f>
        <v>58383</v>
      </c>
      <c r="Y2788" s="237">
        <f>_xll.qlCalendarAdvance(Calendar,X2788,NDays&amp;"D")</f>
        <v>58383</v>
      </c>
      <c r="Z2788" s="238">
        <v>3.2947040848727592E-2</v>
      </c>
      <c r="AA2788" s="240">
        <v>3.2275401874418685E-2</v>
      </c>
    </row>
    <row r="2789" spans="19:27" x14ac:dyDescent="0.2">
      <c r="S2789" s="199"/>
      <c r="T2789" s="200"/>
      <c r="W2789" s="233" t="str">
        <f t="shared" si="50"/>
        <v>1w</v>
      </c>
      <c r="X2789" s="234">
        <f>_xll.qlCalendarAdvance(Calendar,X2788,W2789,"f",FALSE)</f>
        <v>58390</v>
      </c>
      <c r="Y2789" s="237">
        <f>_xll.qlCalendarAdvance(Calendar,X2789,NDays&amp;"D")</f>
        <v>58390</v>
      </c>
      <c r="Z2789" s="238">
        <v>3.2952685044656392E-2</v>
      </c>
      <c r="AA2789" s="240">
        <v>3.2280656207731573E-2</v>
      </c>
    </row>
    <row r="2790" spans="19:27" x14ac:dyDescent="0.2">
      <c r="S2790" s="199"/>
      <c r="T2790" s="200"/>
      <c r="W2790" s="233" t="str">
        <f t="shared" si="50"/>
        <v>1w</v>
      </c>
      <c r="X2790" s="234">
        <f>_xll.qlCalendarAdvance(Calendar,X2789,W2790,"f",FALSE)</f>
        <v>58397</v>
      </c>
      <c r="Y2790" s="237">
        <f>_xll.qlCalendarAdvance(Calendar,X2790,NDays&amp;"D")</f>
        <v>58397</v>
      </c>
      <c r="Z2790" s="238">
        <v>3.295833758483923E-2</v>
      </c>
      <c r="AA2790" s="240">
        <v>3.2285918589183282E-2</v>
      </c>
    </row>
    <row r="2791" spans="19:27" x14ac:dyDescent="0.2">
      <c r="S2791" s="199"/>
      <c r="T2791" s="200"/>
      <c r="W2791" s="233" t="str">
        <f t="shared" si="50"/>
        <v>1w</v>
      </c>
      <c r="X2791" s="234">
        <f>_xll.qlCalendarAdvance(Calendar,X2790,W2791,"f",FALSE)</f>
        <v>58404</v>
      </c>
      <c r="Y2791" s="237">
        <f>_xll.qlCalendarAdvance(Calendar,X2791,NDays&amp;"D")</f>
        <v>58404</v>
      </c>
      <c r="Z2791" s="238">
        <v>3.2963998469413391E-2</v>
      </c>
      <c r="AA2791" s="240">
        <v>3.229118901885486E-2</v>
      </c>
    </row>
    <row r="2792" spans="19:27" x14ac:dyDescent="0.2">
      <c r="S2792" s="199"/>
      <c r="T2792" s="200"/>
      <c r="W2792" s="233" t="str">
        <f t="shared" si="50"/>
        <v>1w</v>
      </c>
      <c r="X2792" s="234">
        <f>_xll.qlCalendarAdvance(Calendar,X2791,W2792,"f",FALSE)</f>
        <v>58411</v>
      </c>
      <c r="Y2792" s="237">
        <f>_xll.qlCalendarAdvance(Calendar,X2792,NDays&amp;"D")</f>
        <v>58411</v>
      </c>
      <c r="Z2792" s="238">
        <v>3.2969667698515719E-2</v>
      </c>
      <c r="AA2792" s="240">
        <v>3.2296467496827352E-2</v>
      </c>
    </row>
    <row r="2793" spans="19:27" x14ac:dyDescent="0.2">
      <c r="S2793" s="199"/>
      <c r="T2793" s="200"/>
      <c r="W2793" s="233" t="str">
        <f t="shared" si="50"/>
        <v>1w</v>
      </c>
      <c r="X2793" s="234">
        <f>_xll.qlCalendarAdvance(Calendar,X2792,W2793,"f",FALSE)</f>
        <v>58418</v>
      </c>
      <c r="Y2793" s="237">
        <f>_xll.qlCalendarAdvance(Calendar,X2793,NDays&amp;"D")</f>
        <v>58418</v>
      </c>
      <c r="Z2793" s="238">
        <v>3.2975345272283289E-2</v>
      </c>
      <c r="AA2793" s="240">
        <v>3.2301754022695528E-2</v>
      </c>
    </row>
    <row r="2794" spans="19:27" x14ac:dyDescent="0.2">
      <c r="S2794" s="199"/>
      <c r="T2794" s="200"/>
      <c r="W2794" s="233" t="str">
        <f t="shared" si="50"/>
        <v>1w</v>
      </c>
      <c r="X2794" s="234">
        <f>_xll.qlCalendarAdvance(Calendar,X2793,W2794,"f",FALSE)</f>
        <v>58425</v>
      </c>
      <c r="Y2794" s="237">
        <f>_xll.qlCalendarAdvance(Calendar,X2794,NDays&amp;"D")</f>
        <v>58425</v>
      </c>
      <c r="Z2794" s="238">
        <v>3.2981031190854063E-2</v>
      </c>
      <c r="AA2794" s="240">
        <v>3.2307048596945664E-2</v>
      </c>
    </row>
    <row r="2795" spans="19:27" x14ac:dyDescent="0.2">
      <c r="S2795" s="199"/>
      <c r="T2795" s="200"/>
      <c r="W2795" s="233" t="str">
        <f t="shared" si="50"/>
        <v>1w</v>
      </c>
      <c r="X2795" s="234">
        <f>_xll.qlCalendarAdvance(Calendar,X2794,W2795,"f",FALSE)</f>
        <v>58432</v>
      </c>
      <c r="Y2795" s="237">
        <f>_xll.qlCalendarAdvance(Calendar,X2795,NDays&amp;"D")</f>
        <v>58432</v>
      </c>
      <c r="Z2795" s="238">
        <v>3.2986725454366643E-2</v>
      </c>
      <c r="AA2795" s="240">
        <v>3.2312351219334623E-2</v>
      </c>
    </row>
    <row r="2796" spans="19:27" x14ac:dyDescent="0.2">
      <c r="S2796" s="199"/>
      <c r="T2796" s="200"/>
      <c r="W2796" s="233" t="str">
        <f t="shared" si="50"/>
        <v>1w</v>
      </c>
      <c r="X2796" s="234">
        <f>_xll.qlCalendarAdvance(Calendar,X2795,W2796,"f",FALSE)</f>
        <v>58439</v>
      </c>
      <c r="Y2796" s="237">
        <f>_xll.qlCalendarAdvance(Calendar,X2796,NDays&amp;"D")</f>
        <v>58439</v>
      </c>
      <c r="Z2796" s="238">
        <v>3.2992428062957678E-2</v>
      </c>
      <c r="AA2796" s="240">
        <v>3.2317661889781357E-2</v>
      </c>
    </row>
    <row r="2797" spans="19:27" x14ac:dyDescent="0.2">
      <c r="S2797" s="199"/>
      <c r="T2797" s="200"/>
      <c r="W2797" s="233" t="str">
        <f t="shared" si="50"/>
        <v>1w</v>
      </c>
      <c r="X2797" s="234">
        <f>_xll.qlCalendarAdvance(Calendar,X2796,W2797,"f",FALSE)</f>
        <v>58446</v>
      </c>
      <c r="Y2797" s="237">
        <f>_xll.qlCalendarAdvance(Calendar,X2797,NDays&amp;"D")</f>
        <v>58446</v>
      </c>
      <c r="Z2797" s="238">
        <v>3.2998139016766216E-2</v>
      </c>
      <c r="AA2797" s="240">
        <v>3.232298060844796E-2</v>
      </c>
    </row>
    <row r="2798" spans="19:27" x14ac:dyDescent="0.2">
      <c r="S2798" s="199"/>
      <c r="T2798" s="200"/>
      <c r="W2798" s="233" t="str">
        <f t="shared" si="50"/>
        <v>1w</v>
      </c>
      <c r="X2798" s="234">
        <f>_xll.qlCalendarAdvance(Calendar,X2797,W2798,"f",FALSE)</f>
        <v>58453</v>
      </c>
      <c r="Y2798" s="237">
        <f>_xll.qlCalendarAdvance(Calendar,X2798,NDays&amp;"D")</f>
        <v>58453</v>
      </c>
      <c r="Z2798" s="238">
        <v>3.3003858315930654E-2</v>
      </c>
      <c r="AA2798" s="240">
        <v>3.2328307375334431E-2</v>
      </c>
    </row>
    <row r="2799" spans="19:27" x14ac:dyDescent="0.2">
      <c r="S2799" s="199"/>
      <c r="T2799" s="200"/>
      <c r="W2799" s="233" t="str">
        <f t="shared" si="50"/>
        <v>1w</v>
      </c>
      <c r="X2799" s="234">
        <f>_xll.qlCalendarAdvance(Calendar,X2798,W2799,"f",FALSE)</f>
        <v>58460</v>
      </c>
      <c r="Y2799" s="237">
        <f>_xll.qlCalendarAdvance(Calendar,X2799,NDays&amp;"D")</f>
        <v>58460</v>
      </c>
      <c r="Z2799" s="238">
        <v>3.3009585960589179E-2</v>
      </c>
      <c r="AA2799" s="240">
        <v>3.2333642190359724E-2</v>
      </c>
    </row>
    <row r="2800" spans="19:27" x14ac:dyDescent="0.2">
      <c r="S2800" s="199"/>
      <c r="T2800" s="200"/>
      <c r="W2800" s="233" t="str">
        <f t="shared" si="50"/>
        <v>1w</v>
      </c>
      <c r="X2800" s="234">
        <f>_xll.qlCalendarAdvance(Calendar,X2799,W2800,"f",FALSE)</f>
        <v>58467</v>
      </c>
      <c r="Y2800" s="237">
        <f>_xll.qlCalendarAdvance(Calendar,X2800,NDays&amp;"D")</f>
        <v>58467</v>
      </c>
      <c r="Z2800" s="238">
        <v>3.3015321950880853E-2</v>
      </c>
      <c r="AA2800" s="240">
        <v>3.2338985053604885E-2</v>
      </c>
    </row>
    <row r="2801" spans="19:27" x14ac:dyDescent="0.2">
      <c r="S2801" s="199"/>
      <c r="T2801" s="200"/>
      <c r="W2801" s="233" t="str">
        <f t="shared" si="50"/>
        <v>1w</v>
      </c>
      <c r="X2801" s="234">
        <f>_xll.qlCalendarAdvance(Calendar,X2800,W2801,"f",FALSE)</f>
        <v>58474</v>
      </c>
      <c r="Y2801" s="237">
        <f>_xll.qlCalendarAdvance(Calendar,X2801,NDays&amp;"D")</f>
        <v>58474</v>
      </c>
      <c r="Z2801" s="238">
        <v>3.3021066286944518E-2</v>
      </c>
      <c r="AA2801" s="240">
        <v>3.2344335964907822E-2</v>
      </c>
    </row>
    <row r="2802" spans="19:27" x14ac:dyDescent="0.2">
      <c r="S2802" s="199"/>
      <c r="T2802" s="200"/>
      <c r="W2802" s="233" t="str">
        <f t="shared" si="50"/>
        <v>1w</v>
      </c>
      <c r="X2802" s="234">
        <f>_xll.qlCalendarAdvance(Calendar,X2801,W2802,"f",FALSE)</f>
        <v>58481</v>
      </c>
      <c r="Y2802" s="237">
        <f>_xll.qlCalendarAdvance(Calendar,X2802,NDays&amp;"D")</f>
        <v>58481</v>
      </c>
      <c r="Z2802" s="238">
        <v>3.302681896892011E-2</v>
      </c>
      <c r="AA2802" s="240">
        <v>3.2349694924430628E-2</v>
      </c>
    </row>
    <row r="2803" spans="19:27" x14ac:dyDescent="0.2">
      <c r="S2803" s="199"/>
      <c r="T2803" s="200"/>
      <c r="W2803" s="233" t="str">
        <f t="shared" si="50"/>
        <v>1w</v>
      </c>
      <c r="X2803" s="234">
        <f>_xll.qlCalendarAdvance(Calendar,X2802,W2803,"f",FALSE)</f>
        <v>58488</v>
      </c>
      <c r="Y2803" s="237">
        <f>_xll.qlCalendarAdvance(Calendar,X2803,NDays&amp;"D")</f>
        <v>58488</v>
      </c>
      <c r="Z2803" s="238">
        <v>3.303257999694649E-2</v>
      </c>
      <c r="AA2803" s="240">
        <v>3.2355061932092255E-2</v>
      </c>
    </row>
    <row r="2804" spans="19:27" x14ac:dyDescent="0.2">
      <c r="S2804" s="199"/>
      <c r="T2804" s="200"/>
      <c r="W2804" s="233" t="str">
        <f t="shared" si="50"/>
        <v>1w</v>
      </c>
      <c r="X2804" s="234">
        <f>_xll.qlCalendarAdvance(Calendar,X2803,W2804,"f",FALSE)</f>
        <v>58495</v>
      </c>
      <c r="Y2804" s="237">
        <f>_xll.qlCalendarAdvance(Calendar,X2804,NDays&amp;"D")</f>
        <v>58495</v>
      </c>
      <c r="Z2804" s="238">
        <v>3.3038349371163366E-2</v>
      </c>
      <c r="AA2804" s="240">
        <v>3.2360436987892705E-2</v>
      </c>
    </row>
    <row r="2805" spans="19:27" x14ac:dyDescent="0.2">
      <c r="S2805" s="199"/>
      <c r="T2805" s="200"/>
      <c r="W2805" s="233" t="str">
        <f t="shared" si="50"/>
        <v>1w</v>
      </c>
      <c r="X2805" s="234">
        <f>_xll.qlCalendarAdvance(Calendar,X2804,W2805,"f",FALSE)</f>
        <v>58502</v>
      </c>
      <c r="Y2805" s="237">
        <f>_xll.qlCalendarAdvance(Calendar,X2805,NDays&amp;"D")</f>
        <v>58502</v>
      </c>
      <c r="Z2805" s="238">
        <v>3.3042229513091659E-2</v>
      </c>
      <c r="AA2805" s="240">
        <v>3.2365820091913022E-2</v>
      </c>
    </row>
    <row r="2806" spans="19:27" x14ac:dyDescent="0.2">
      <c r="S2806" s="199"/>
      <c r="T2806" s="200"/>
      <c r="W2806" s="233" t="str">
        <f t="shared" si="50"/>
        <v>1w</v>
      </c>
      <c r="X2806" s="234">
        <f>_xll.qlCalendarAdvance(Calendar,X2805,W2806,"f",FALSE)</f>
        <v>58509</v>
      </c>
      <c r="Y2806" s="237">
        <f>_xll.qlCalendarAdvance(Calendar,X2806,NDays&amp;"D")</f>
        <v>58509</v>
      </c>
      <c r="Z2806" s="238">
        <v>3.3048014468605391E-2</v>
      </c>
      <c r="AA2806" s="240">
        <v>3.2371211244234255E-2</v>
      </c>
    </row>
    <row r="2807" spans="19:27" x14ac:dyDescent="0.2">
      <c r="S2807" s="199"/>
      <c r="T2807" s="200"/>
      <c r="W2807" s="233" t="str">
        <f t="shared" si="50"/>
        <v>1w</v>
      </c>
      <c r="X2807" s="234">
        <f>_xll.qlCalendarAdvance(Calendar,X2806,W2807,"f",FALSE)</f>
        <v>58516</v>
      </c>
      <c r="Y2807" s="237">
        <f>_xll.qlCalendarAdvance(Calendar,X2807,NDays&amp;"D")</f>
        <v>58516</v>
      </c>
      <c r="Z2807" s="238">
        <v>3.3053807769886978E-2</v>
      </c>
      <c r="AA2807" s="240">
        <v>3.2376610444532217E-2</v>
      </c>
    </row>
    <row r="2808" spans="19:27" x14ac:dyDescent="0.2">
      <c r="S2808" s="199"/>
      <c r="T2808" s="200"/>
      <c r="W2808" s="233" t="str">
        <f t="shared" si="50"/>
        <v>1w</v>
      </c>
      <c r="X2808" s="234">
        <f>_xll.qlCalendarAdvance(Calendar,X2807,W2808,"f",FALSE)</f>
        <v>58523</v>
      </c>
      <c r="Y2808" s="237">
        <f>_xll.qlCalendarAdvance(Calendar,X2808,NDays&amp;"D")</f>
        <v>58523</v>
      </c>
      <c r="Z2808" s="238">
        <v>3.305960941707764E-2</v>
      </c>
      <c r="AA2808" s="240">
        <v>3.2382017693050047E-2</v>
      </c>
    </row>
    <row r="2809" spans="19:27" x14ac:dyDescent="0.2">
      <c r="S2809" s="199"/>
      <c r="T2809" s="200"/>
      <c r="W2809" s="233" t="str">
        <f t="shared" si="50"/>
        <v>1w</v>
      </c>
      <c r="X2809" s="234">
        <f>_xll.qlCalendarAdvance(Calendar,X2808,W2809,"f",FALSE)</f>
        <v>58530</v>
      </c>
      <c r="Y2809" s="237">
        <f>_xll.qlCalendarAdvance(Calendar,X2809,NDays&amp;"D")</f>
        <v>58530</v>
      </c>
      <c r="Z2809" s="238">
        <v>3.3065419410316155E-2</v>
      </c>
      <c r="AA2809" s="240">
        <v>3.2387432989787746E-2</v>
      </c>
    </row>
    <row r="2810" spans="19:27" x14ac:dyDescent="0.2">
      <c r="S2810" s="199"/>
      <c r="T2810" s="200"/>
      <c r="W2810" s="233" t="str">
        <f t="shared" si="50"/>
        <v>1w</v>
      </c>
      <c r="X2810" s="234">
        <f>_xll.qlCalendarAdvance(Calendar,X2809,W2810,"f",FALSE)</f>
        <v>58537</v>
      </c>
      <c r="Y2810" s="237">
        <f>_xll.qlCalendarAdvance(Calendar,X2810,NDays&amp;"D")</f>
        <v>58537</v>
      </c>
      <c r="Z2810" s="238">
        <v>3.3071237749743965E-2</v>
      </c>
      <c r="AA2810" s="240">
        <v>3.2392856334745312E-2</v>
      </c>
    </row>
    <row r="2811" spans="19:27" x14ac:dyDescent="0.2">
      <c r="S2811" s="199"/>
      <c r="T2811" s="200"/>
      <c r="W2811" s="233" t="str">
        <f t="shared" si="50"/>
        <v>1w</v>
      </c>
      <c r="X2811" s="234">
        <f>_xll.qlCalendarAdvance(Calendar,X2810,W2811,"f",FALSE)</f>
        <v>58544</v>
      </c>
      <c r="Y2811" s="237">
        <f>_xll.qlCalendarAdvance(Calendar,X2811,NDays&amp;"D")</f>
        <v>58544</v>
      </c>
      <c r="Z2811" s="238">
        <v>3.3077064435501402E-2</v>
      </c>
      <c r="AA2811" s="240">
        <v>3.2398287727598563E-2</v>
      </c>
    </row>
    <row r="2812" spans="19:27" x14ac:dyDescent="0.2">
      <c r="S2812" s="199"/>
      <c r="T2812" s="200"/>
      <c r="W2812" s="233" t="str">
        <f t="shared" si="50"/>
        <v>1w</v>
      </c>
      <c r="X2812" s="234">
        <f>_xll.qlCalendarAdvance(Calendar,X2811,W2812,"f",FALSE)</f>
        <v>58551</v>
      </c>
      <c r="Y2812" s="237">
        <f>_xll.qlCalendarAdvance(Calendar,X2812,NDays&amp;"D")</f>
        <v>58551</v>
      </c>
      <c r="Z2812" s="238">
        <v>3.3082899467729687E-2</v>
      </c>
      <c r="AA2812" s="240">
        <v>3.240372716891482E-2</v>
      </c>
    </row>
    <row r="2813" spans="19:27" x14ac:dyDescent="0.2">
      <c r="S2813" s="199"/>
      <c r="T2813" s="200"/>
      <c r="W2813" s="233" t="str">
        <f t="shared" si="50"/>
        <v>1w</v>
      </c>
      <c r="X2813" s="234">
        <f>_xll.qlCalendarAdvance(Calendar,X2812,W2813,"f",FALSE)</f>
        <v>58558</v>
      </c>
      <c r="Y2813" s="237">
        <f>_xll.qlCalendarAdvance(Calendar,X2813,NDays&amp;"D")</f>
        <v>58558</v>
      </c>
      <c r="Z2813" s="238">
        <v>3.308874284656893E-2</v>
      </c>
      <c r="AA2813" s="240">
        <v>3.2409174658369899E-2</v>
      </c>
    </row>
    <row r="2814" spans="19:27" x14ac:dyDescent="0.2">
      <c r="S2814" s="199"/>
      <c r="T2814" s="200"/>
      <c r="W2814" s="233" t="str">
        <f t="shared" si="50"/>
        <v>1w</v>
      </c>
      <c r="X2814" s="234">
        <f>_xll.qlCalendarAdvance(Calendar,X2813,W2814,"f",FALSE)</f>
        <v>58565</v>
      </c>
      <c r="Y2814" s="237">
        <f>_xll.qlCalendarAdvance(Calendar,X2814,NDays&amp;"D")</f>
        <v>58565</v>
      </c>
      <c r="Z2814" s="238">
        <v>3.3094594572161684E-2</v>
      </c>
      <c r="AA2814" s="240">
        <v>3.2414630195963801E-2</v>
      </c>
    </row>
    <row r="2815" spans="19:27" x14ac:dyDescent="0.2">
      <c r="S2815" s="199"/>
      <c r="T2815" s="200"/>
      <c r="W2815" s="233" t="str">
        <f t="shared" si="50"/>
        <v>1w</v>
      </c>
      <c r="X2815" s="234">
        <f>_xll.qlCalendarAdvance(Calendar,X2814,W2815,"f",FALSE)</f>
        <v>58572</v>
      </c>
      <c r="Y2815" s="237">
        <f>_xll.qlCalendarAdvance(Calendar,X2815,NDays&amp;"D")</f>
        <v>58572</v>
      </c>
      <c r="Z2815" s="238">
        <v>3.3100454644648503E-2</v>
      </c>
      <c r="AA2815" s="240">
        <v>3.2420093781696524E-2</v>
      </c>
    </row>
    <row r="2816" spans="19:27" x14ac:dyDescent="0.2">
      <c r="S2816" s="199"/>
      <c r="T2816" s="200"/>
      <c r="W2816" s="233" t="str">
        <f t="shared" si="50"/>
        <v>1w</v>
      </c>
      <c r="X2816" s="234">
        <f>_xll.qlCalendarAdvance(Calendar,X2815,W2816,"f",FALSE)</f>
        <v>58579</v>
      </c>
      <c r="Y2816" s="237">
        <f>_xll.qlCalendarAdvance(Calendar,X2816,NDays&amp;"D")</f>
        <v>58579</v>
      </c>
      <c r="Z2816" s="238">
        <v>3.310632306417105E-2</v>
      </c>
      <c r="AA2816" s="240">
        <v>3.2425565415568069E-2</v>
      </c>
    </row>
    <row r="2817" spans="19:27" x14ac:dyDescent="0.2">
      <c r="S2817" s="199"/>
      <c r="T2817" s="200"/>
      <c r="W2817" s="233" t="str">
        <f t="shared" si="50"/>
        <v>1w</v>
      </c>
      <c r="X2817" s="234">
        <f>_xll.qlCalendarAdvance(Calendar,X2816,W2817,"f",FALSE)</f>
        <v>58586</v>
      </c>
      <c r="Y2817" s="237">
        <f>_xll.qlCalendarAdvance(Calendar,X2817,NDays&amp;"D")</f>
        <v>58586</v>
      </c>
      <c r="Z2817" s="238">
        <v>3.3112199830871658E-2</v>
      </c>
      <c r="AA2817" s="240">
        <v>3.243104509774053E-2</v>
      </c>
    </row>
    <row r="2818" spans="19:27" x14ac:dyDescent="0.2">
      <c r="S2818" s="199"/>
      <c r="T2818" s="200"/>
      <c r="W2818" s="233" t="str">
        <f t="shared" si="50"/>
        <v>1w</v>
      </c>
      <c r="X2818" s="234">
        <f>_xll.qlCalendarAdvance(Calendar,X2817,W2818,"f",FALSE)</f>
        <v>58593</v>
      </c>
      <c r="Y2818" s="237">
        <f>_xll.qlCalendarAdvance(Calendar,X2818,NDays&amp;"D")</f>
        <v>58593</v>
      </c>
      <c r="Z2818" s="238">
        <v>3.311808494489199E-2</v>
      </c>
      <c r="AA2818" s="240">
        <v>3.2436532827970765E-2</v>
      </c>
    </row>
    <row r="2819" spans="19:27" x14ac:dyDescent="0.2">
      <c r="S2819" s="199"/>
      <c r="T2819" s="200"/>
      <c r="W2819" s="233" t="str">
        <f t="shared" si="50"/>
        <v>1w</v>
      </c>
      <c r="X2819" s="234">
        <f>_xll.qlCalendarAdvance(Calendar,X2818,W2819,"f",FALSE)</f>
        <v>58600</v>
      </c>
      <c r="Y2819" s="237">
        <f>_xll.qlCalendarAdvance(Calendar,X2819,NDays&amp;"D")</f>
        <v>58600</v>
      </c>
      <c r="Z2819" s="238">
        <v>3.3123978406374599E-2</v>
      </c>
      <c r="AA2819" s="240">
        <v>3.2442028606258777E-2</v>
      </c>
    </row>
    <row r="2820" spans="19:27" x14ac:dyDescent="0.2">
      <c r="S2820" s="199"/>
      <c r="T2820" s="200"/>
      <c r="W2820" s="233" t="str">
        <f t="shared" si="50"/>
        <v>1w</v>
      </c>
      <c r="X2820" s="234">
        <f>_xll.qlCalendarAdvance(Calendar,X2819,W2820,"f",FALSE)</f>
        <v>58607</v>
      </c>
      <c r="Y2820" s="237">
        <f>_xll.qlCalendarAdvance(Calendar,X2820,NDays&amp;"D")</f>
        <v>58607</v>
      </c>
      <c r="Z2820" s="238">
        <v>3.3129880215462038E-2</v>
      </c>
      <c r="AA2820" s="240">
        <v>3.2447532433009796E-2</v>
      </c>
    </row>
    <row r="2821" spans="19:27" x14ac:dyDescent="0.2">
      <c r="S2821" s="199"/>
      <c r="T2821" s="200"/>
      <c r="W2821" s="233" t="str">
        <f t="shared" si="50"/>
        <v>1w</v>
      </c>
      <c r="X2821" s="234">
        <f>_xll.qlCalendarAdvance(Calendar,X2820,W2821,"f",FALSE)</f>
        <v>58614</v>
      </c>
      <c r="Y2821" s="237">
        <f>_xll.qlCalendarAdvance(Calendar,X2821,NDays&amp;"D")</f>
        <v>58614</v>
      </c>
      <c r="Z2821" s="238">
        <v>3.3135790372296414E-2</v>
      </c>
      <c r="AA2821" s="240">
        <v>3.245304430781859E-2</v>
      </c>
    </row>
    <row r="2822" spans="19:27" x14ac:dyDescent="0.2">
      <c r="S2822" s="199"/>
      <c r="T2822" s="200"/>
      <c r="W2822" s="233" t="str">
        <f t="shared" si="50"/>
        <v>1w</v>
      </c>
      <c r="X2822" s="234">
        <f>_xll.qlCalendarAdvance(Calendar,X2821,W2822,"f",FALSE)</f>
        <v>58621</v>
      </c>
      <c r="Y2822" s="237">
        <f>_xll.qlCalendarAdvance(Calendar,X2822,NDays&amp;"D")</f>
        <v>58621</v>
      </c>
      <c r="Z2822" s="238">
        <v>3.314170887702117E-2</v>
      </c>
      <c r="AA2822" s="240">
        <v>3.2458564230685161E-2</v>
      </c>
    </row>
    <row r="2823" spans="19:27" x14ac:dyDescent="0.2">
      <c r="S2823" s="199"/>
      <c r="T2823" s="200"/>
      <c r="W2823" s="233" t="str">
        <f t="shared" si="50"/>
        <v>1w</v>
      </c>
      <c r="X2823" s="234">
        <f>_xll.qlCalendarAdvance(Calendar,X2822,W2823,"f",FALSE)</f>
        <v>58628</v>
      </c>
      <c r="Y2823" s="237">
        <f>_xll.qlCalendarAdvance(Calendar,X2823,NDays&amp;"D")</f>
        <v>58628</v>
      </c>
      <c r="Z2823" s="238">
        <v>3.3147635729779301E-2</v>
      </c>
      <c r="AA2823" s="240">
        <v>3.2464092201852646E-2</v>
      </c>
    </row>
    <row r="2824" spans="19:27" x14ac:dyDescent="0.2">
      <c r="S2824" s="199"/>
      <c r="T2824" s="200"/>
      <c r="W2824" s="233" t="str">
        <f t="shared" si="50"/>
        <v>1w</v>
      </c>
      <c r="X2824" s="234">
        <f>_xll.qlCalendarAdvance(Calendar,X2823,W2824,"f",FALSE)</f>
        <v>58635</v>
      </c>
      <c r="Y2824" s="237">
        <f>_xll.qlCalendarAdvance(Calendar,X2824,NDays&amp;"D")</f>
        <v>58635</v>
      </c>
      <c r="Z2824" s="238">
        <v>3.3153570930713805E-2</v>
      </c>
      <c r="AA2824" s="240">
        <v>3.2469628221239999E-2</v>
      </c>
    </row>
    <row r="2825" spans="19:27" x14ac:dyDescent="0.2">
      <c r="S2825" s="199"/>
      <c r="T2825" s="200"/>
      <c r="W2825" s="233" t="str">
        <f t="shared" si="50"/>
        <v>1w</v>
      </c>
      <c r="X2825" s="234">
        <f>_xll.qlCalendarAdvance(Calendar,X2824,W2825,"f",FALSE)</f>
        <v>58642</v>
      </c>
      <c r="Y2825" s="237">
        <f>_xll.qlCalendarAdvance(Calendar,X2825,NDays&amp;"D")</f>
        <v>58642</v>
      </c>
      <c r="Z2825" s="238">
        <v>3.3159514479968788E-2</v>
      </c>
      <c r="AA2825" s="240">
        <v>3.2475172288766174E-2</v>
      </c>
    </row>
    <row r="2826" spans="19:27" x14ac:dyDescent="0.2">
      <c r="S2826" s="199"/>
      <c r="T2826" s="200"/>
      <c r="W2826" s="233" t="str">
        <f t="shared" si="50"/>
        <v>1w</v>
      </c>
      <c r="X2826" s="234">
        <f>_xll.qlCalendarAdvance(Calendar,X2825,W2826,"f",FALSE)</f>
        <v>58649</v>
      </c>
      <c r="Y2826" s="237">
        <f>_xll.qlCalendarAdvance(Calendar,X2826,NDays&amp;"D")</f>
        <v>58649</v>
      </c>
      <c r="Z2826" s="238">
        <v>3.3165466377686803E-2</v>
      </c>
      <c r="AA2826" s="240">
        <v>3.2480724404269079E-2</v>
      </c>
    </row>
    <row r="2827" spans="19:27" x14ac:dyDescent="0.2">
      <c r="S2827" s="199"/>
      <c r="T2827" s="200"/>
      <c r="W2827" s="233" t="str">
        <f t="shared" si="50"/>
        <v>1w</v>
      </c>
      <c r="X2827" s="234">
        <f>_xll.qlCalendarAdvance(Calendar,X2826,W2827,"f",FALSE)</f>
        <v>58656</v>
      </c>
      <c r="Y2827" s="237">
        <f>_xll.qlCalendarAdvance(Calendar,X2827,NDays&amp;"D")</f>
        <v>58656</v>
      </c>
      <c r="Z2827" s="238">
        <v>3.3171426624013289E-2</v>
      </c>
      <c r="AA2827" s="240">
        <v>3.2486284568234991E-2</v>
      </c>
    </row>
    <row r="2828" spans="19:27" x14ac:dyDescent="0.2">
      <c r="S2828" s="199"/>
      <c r="T2828" s="200"/>
      <c r="W2828" s="233" t="str">
        <f t="shared" si="50"/>
        <v>1w</v>
      </c>
      <c r="X2828" s="234">
        <f>_xll.qlCalendarAdvance(Calendar,X2827,W2828,"f",FALSE)</f>
        <v>58663</v>
      </c>
      <c r="Y2828" s="237">
        <f>_xll.qlCalendarAdvance(Calendar,X2828,NDays&amp;"D")</f>
        <v>58663</v>
      </c>
      <c r="Z2828" s="238">
        <v>3.3177395219090799E-2</v>
      </c>
      <c r="AA2828" s="240">
        <v>3.2491852780177632E-2</v>
      </c>
    </row>
    <row r="2829" spans="19:27" x14ac:dyDescent="0.2">
      <c r="S2829" s="199"/>
      <c r="T2829" s="200"/>
      <c r="W2829" s="233" t="str">
        <f t="shared" si="50"/>
        <v>1w</v>
      </c>
      <c r="X2829" s="234">
        <f>_xll.qlCalendarAdvance(Calendar,X2828,W2829,"f",FALSE)</f>
        <v>58670</v>
      </c>
      <c r="Y2829" s="237">
        <f>_xll.qlCalendarAdvance(Calendar,X2829,NDays&amp;"D")</f>
        <v>58670</v>
      </c>
      <c r="Z2829" s="238">
        <v>3.3183372163064329E-2</v>
      </c>
      <c r="AA2829" s="240">
        <v>3.2497429040340142E-2</v>
      </c>
    </row>
    <row r="2830" spans="19:27" x14ac:dyDescent="0.2">
      <c r="S2830" s="199"/>
      <c r="T2830" s="200"/>
      <c r="W2830" s="233" t="str">
        <f t="shared" si="50"/>
        <v>1w</v>
      </c>
      <c r="X2830" s="234">
        <f>_xll.qlCalendarAdvance(Calendar,X2829,W2830,"f",FALSE)</f>
        <v>58677</v>
      </c>
      <c r="Y2830" s="237">
        <f>_xll.qlCalendarAdvance(Calendar,X2830,NDays&amp;"D")</f>
        <v>58677</v>
      </c>
      <c r="Z2830" s="238">
        <v>3.3189357456078872E-2</v>
      </c>
      <c r="AA2830" s="240">
        <v>3.250301334872252E-2</v>
      </c>
    </row>
    <row r="2831" spans="19:27" x14ac:dyDescent="0.2">
      <c r="S2831" s="199"/>
      <c r="T2831" s="200"/>
      <c r="W2831" s="233" t="str">
        <f t="shared" si="50"/>
        <v>1w</v>
      </c>
      <c r="X2831" s="234">
        <f>_xll.qlCalendarAdvance(Calendar,X2830,W2831,"f",FALSE)</f>
        <v>58684</v>
      </c>
      <c r="Y2831" s="237">
        <f>_xll.qlCalendarAdvance(Calendar,X2831,NDays&amp;"D")</f>
        <v>58684</v>
      </c>
      <c r="Z2831" s="238">
        <v>3.3195351098278092E-2</v>
      </c>
      <c r="AA2831" s="240">
        <v>3.2508605705405813E-2</v>
      </c>
    </row>
    <row r="2832" spans="19:27" x14ac:dyDescent="0.2">
      <c r="S2832" s="199"/>
      <c r="T2832" s="200"/>
      <c r="W2832" s="233" t="str">
        <f t="shared" si="50"/>
        <v>1w</v>
      </c>
      <c r="X2832" s="234">
        <f>_xll.qlCalendarAdvance(Calendar,X2831,W2832,"f",FALSE)</f>
        <v>58691</v>
      </c>
      <c r="Y2832" s="237">
        <f>_xll.qlCalendarAdvance(Calendar,X2832,NDays&amp;"D")</f>
        <v>58691</v>
      </c>
      <c r="Z2832" s="238">
        <v>3.320135308980765E-2</v>
      </c>
      <c r="AA2832" s="240">
        <v>3.2514206110146882E-2</v>
      </c>
    </row>
    <row r="2833" spans="19:27" x14ac:dyDescent="0.2">
      <c r="S2833" s="199"/>
      <c r="T2833" s="200"/>
      <c r="W2833" s="233" t="str">
        <f t="shared" si="50"/>
        <v>1w</v>
      </c>
      <c r="X2833" s="234">
        <f>_xll.qlCalendarAdvance(Calendar,X2832,W2833,"f",FALSE)</f>
        <v>58698</v>
      </c>
      <c r="Y2833" s="237">
        <f>_xll.qlCalendarAdvance(Calendar,X2833,NDays&amp;"D")</f>
        <v>58698</v>
      </c>
      <c r="Z2833" s="238">
        <v>3.3207363430812098E-2</v>
      </c>
      <c r="AA2833" s="240">
        <v>3.251981456286468E-2</v>
      </c>
    </row>
    <row r="2834" spans="19:27" x14ac:dyDescent="0.2">
      <c r="S2834" s="199"/>
      <c r="T2834" s="200"/>
      <c r="W2834" s="233" t="str">
        <f t="shared" si="50"/>
        <v>1w</v>
      </c>
      <c r="X2834" s="234">
        <f>_xll.qlCalendarAdvance(Calendar,X2833,W2834,"f",FALSE)</f>
        <v>58705</v>
      </c>
      <c r="Y2834" s="237">
        <f>_xll.qlCalendarAdvance(Calendar,X2834,NDays&amp;"D")</f>
        <v>58705</v>
      </c>
      <c r="Z2834" s="238">
        <v>3.3213382121437318E-2</v>
      </c>
      <c r="AA2834" s="240">
        <v>3.2525431063964438E-2</v>
      </c>
    </row>
    <row r="2835" spans="19:27" x14ac:dyDescent="0.2">
      <c r="S2835" s="199"/>
      <c r="T2835" s="200"/>
      <c r="W2835" s="233" t="str">
        <f t="shared" si="50"/>
        <v>1w</v>
      </c>
      <c r="X2835" s="234">
        <f>_xll.qlCalendarAdvance(Calendar,X2834,W2835,"f",FALSE)</f>
        <v>58712</v>
      </c>
      <c r="Y2835" s="237">
        <f>_xll.qlCalendarAdvance(Calendar,X2835,NDays&amp;"D")</f>
        <v>58712</v>
      </c>
      <c r="Z2835" s="238">
        <v>3.321940916182875E-2</v>
      </c>
      <c r="AA2835" s="240">
        <v>3.2531055613446158E-2</v>
      </c>
    </row>
    <row r="2836" spans="19:27" x14ac:dyDescent="0.2">
      <c r="S2836" s="199"/>
      <c r="T2836" s="200"/>
      <c r="W2836" s="233" t="str">
        <f t="shared" si="50"/>
        <v>1w</v>
      </c>
      <c r="X2836" s="234">
        <f>_xll.qlCalendarAdvance(Calendar,X2835,W2836,"f",FALSE)</f>
        <v>58719</v>
      </c>
      <c r="Y2836" s="237">
        <f>_xll.qlCalendarAdvance(Calendar,X2836,NDays&amp;"D")</f>
        <v>58719</v>
      </c>
      <c r="Z2836" s="238">
        <v>3.3225444552131833E-2</v>
      </c>
      <c r="AA2836" s="240">
        <v>3.2536688210904607E-2</v>
      </c>
    </row>
    <row r="2837" spans="19:27" x14ac:dyDescent="0.2">
      <c r="S2837" s="199"/>
      <c r="T2837" s="200"/>
      <c r="W2837" s="233" t="str">
        <f t="shared" ref="W2837:W2900" si="51">W2836</f>
        <v>1w</v>
      </c>
      <c r="X2837" s="234">
        <f>_xll.qlCalendarAdvance(Calendar,X2836,W2837,"f",FALSE)</f>
        <v>58726</v>
      </c>
      <c r="Y2837" s="237">
        <f>_xll.qlCalendarAdvance(Calendar,X2837,NDays&amp;"D")</f>
        <v>58726</v>
      </c>
      <c r="Z2837" s="238">
        <v>3.323148829249245E-2</v>
      </c>
      <c r="AA2837" s="240">
        <v>3.2542328856420832E-2</v>
      </c>
    </row>
    <row r="2838" spans="19:27" x14ac:dyDescent="0.2">
      <c r="S2838" s="199"/>
      <c r="T2838" s="200"/>
      <c r="W2838" s="233" t="str">
        <f t="shared" si="51"/>
        <v>1w</v>
      </c>
      <c r="X2838" s="234">
        <f>_xll.qlCalendarAdvance(Calendar,X2837,W2838,"f",FALSE)</f>
        <v>58733</v>
      </c>
      <c r="Y2838" s="237">
        <f>_xll.qlCalendarAdvance(Calendar,X2838,NDays&amp;"D")</f>
        <v>58733</v>
      </c>
      <c r="Z2838" s="238">
        <v>3.3237540383056707E-2</v>
      </c>
      <c r="AA2838" s="240">
        <v>3.2547977550319018E-2</v>
      </c>
    </row>
    <row r="2839" spans="19:27" x14ac:dyDescent="0.2">
      <c r="S2839" s="199"/>
      <c r="T2839" s="200"/>
      <c r="W2839" s="233" t="str">
        <f t="shared" si="51"/>
        <v>1w</v>
      </c>
      <c r="X2839" s="234">
        <f>_xll.qlCalendarAdvance(Calendar,X2838,W2839,"f",FALSE)</f>
        <v>58740</v>
      </c>
      <c r="Y2839" s="237">
        <f>_xll.qlCalendarAdvance(Calendar,X2839,NDays&amp;"D")</f>
        <v>58740</v>
      </c>
      <c r="Z2839" s="238">
        <v>3.3243600823970931E-2</v>
      </c>
      <c r="AA2839" s="240">
        <v>3.255363429227498E-2</v>
      </c>
    </row>
    <row r="2840" spans="19:27" x14ac:dyDescent="0.2">
      <c r="S2840" s="199"/>
      <c r="T2840" s="200"/>
      <c r="W2840" s="233" t="str">
        <f t="shared" si="51"/>
        <v>1w</v>
      </c>
      <c r="X2840" s="234">
        <f>_xll.qlCalendarAdvance(Calendar,X2839,W2840,"f",FALSE)</f>
        <v>58747</v>
      </c>
      <c r="Y2840" s="237">
        <f>_xll.qlCalendarAdvance(Calendar,X2840,NDays&amp;"D")</f>
        <v>58747</v>
      </c>
      <c r="Z2840" s="238">
        <v>3.3249669615381894E-2</v>
      </c>
      <c r="AA2840" s="240">
        <v>3.2559299082369764E-2</v>
      </c>
    </row>
    <row r="2841" spans="19:27" x14ac:dyDescent="0.2">
      <c r="S2841" s="199"/>
      <c r="T2841" s="200"/>
      <c r="W2841" s="233" t="str">
        <f t="shared" si="51"/>
        <v>1w</v>
      </c>
      <c r="X2841" s="234">
        <f>_xll.qlCalendarAdvance(Calendar,X2840,W2841,"f",FALSE)</f>
        <v>58754</v>
      </c>
      <c r="Y2841" s="237">
        <f>_xll.qlCalendarAdvance(Calendar,X2841,NDays&amp;"D")</f>
        <v>58754</v>
      </c>
      <c r="Z2841" s="238">
        <v>3.3255746757436366E-2</v>
      </c>
      <c r="AA2841" s="240">
        <v>3.2564971920765462E-2</v>
      </c>
    </row>
    <row r="2842" spans="19:27" x14ac:dyDescent="0.2">
      <c r="S2842" s="199"/>
      <c r="T2842" s="200"/>
      <c r="W2842" s="233" t="str">
        <f t="shared" si="51"/>
        <v>1w</v>
      </c>
      <c r="X2842" s="234">
        <f>_xll.qlCalendarAdvance(Calendar,X2841,W2842,"f",FALSE)</f>
        <v>58761</v>
      </c>
      <c r="Y2842" s="237">
        <f>_xll.qlCalendarAdvance(Calendar,X2842,NDays&amp;"D")</f>
        <v>58761</v>
      </c>
      <c r="Z2842" s="238">
        <v>3.3261832250280898E-2</v>
      </c>
      <c r="AA2842" s="240">
        <v>3.2570652807299982E-2</v>
      </c>
    </row>
    <row r="2843" spans="19:27" x14ac:dyDescent="0.2">
      <c r="S2843" s="199"/>
      <c r="T2843" s="200"/>
      <c r="W2843" s="233" t="str">
        <f t="shared" si="51"/>
        <v>1w</v>
      </c>
      <c r="X2843" s="234">
        <f>_xll.qlCalendarAdvance(Calendar,X2842,W2843,"f",FALSE)</f>
        <v>58768</v>
      </c>
      <c r="Y2843" s="237">
        <f>_xll.qlCalendarAdvance(Calendar,X2843,NDays&amp;"D")</f>
        <v>58768</v>
      </c>
      <c r="Z2843" s="238">
        <v>3.3267926094062927E-2</v>
      </c>
      <c r="AA2843" s="240">
        <v>3.2576341742135417E-2</v>
      </c>
    </row>
    <row r="2844" spans="19:27" x14ac:dyDescent="0.2">
      <c r="S2844" s="199"/>
      <c r="T2844" s="200"/>
      <c r="W2844" s="233" t="str">
        <f t="shared" si="51"/>
        <v>1w</v>
      </c>
      <c r="X2844" s="234">
        <f>_xll.qlCalendarAdvance(Calendar,X2843,W2844,"f",FALSE)</f>
        <v>58775</v>
      </c>
      <c r="Y2844" s="237">
        <f>_xll.qlCalendarAdvance(Calendar,X2844,NDays&amp;"D")</f>
        <v>58775</v>
      </c>
      <c r="Z2844" s="238">
        <v>3.3274028288929669E-2</v>
      </c>
      <c r="AA2844" s="240">
        <v>3.2582038724866536E-2</v>
      </c>
    </row>
    <row r="2845" spans="19:27" x14ac:dyDescent="0.2">
      <c r="S2845" s="199"/>
      <c r="T2845" s="200"/>
      <c r="W2845" s="233" t="str">
        <f t="shared" si="51"/>
        <v>1w</v>
      </c>
      <c r="X2845" s="234">
        <f>_xll.qlCalendarAdvance(Calendar,X2844,W2845,"f",FALSE)</f>
        <v>58782</v>
      </c>
      <c r="Y2845" s="237">
        <f>_xll.qlCalendarAdvance(Calendar,X2845,NDays&amp;"D")</f>
        <v>58782</v>
      </c>
      <c r="Z2845" s="238">
        <v>3.3280138835028339E-2</v>
      </c>
      <c r="AA2845" s="240">
        <v>3.2587743756060661E-2</v>
      </c>
    </row>
    <row r="2846" spans="19:27" x14ac:dyDescent="0.2">
      <c r="S2846" s="199"/>
      <c r="T2846" s="200"/>
      <c r="W2846" s="233" t="str">
        <f t="shared" si="51"/>
        <v>1w</v>
      </c>
      <c r="X2846" s="234">
        <f>_xll.qlCalendarAdvance(Calendar,X2845,W2846,"f",FALSE)</f>
        <v>58789</v>
      </c>
      <c r="Y2846" s="237">
        <f>_xll.qlCalendarAdvance(Calendar,X2846,NDays&amp;"D")</f>
        <v>58789</v>
      </c>
      <c r="Z2846" s="238">
        <v>3.3286257732507263E-2</v>
      </c>
      <c r="AA2846" s="240">
        <v>3.2593456835393608E-2</v>
      </c>
    </row>
    <row r="2847" spans="19:27" x14ac:dyDescent="0.2">
      <c r="S2847" s="199"/>
      <c r="T2847" s="200"/>
      <c r="W2847" s="233" t="str">
        <f t="shared" si="51"/>
        <v>1w</v>
      </c>
      <c r="X2847" s="234">
        <f>_xll.qlCalendarAdvance(Calendar,X2846,W2847,"f",FALSE)</f>
        <v>58796</v>
      </c>
      <c r="Y2847" s="237">
        <f>_xll.qlCalendarAdvance(Calendar,X2847,NDays&amp;"D")</f>
        <v>58796</v>
      </c>
      <c r="Z2847" s="238">
        <v>3.32923849815141E-2</v>
      </c>
      <c r="AA2847" s="240">
        <v>3.2599177962865378E-2</v>
      </c>
    </row>
    <row r="2848" spans="19:27" x14ac:dyDescent="0.2">
      <c r="S2848" s="199"/>
      <c r="T2848" s="200"/>
      <c r="W2848" s="233" t="str">
        <f t="shared" si="51"/>
        <v>1w</v>
      </c>
      <c r="X2848" s="234">
        <f>_xll.qlCalendarAdvance(Calendar,X2847,W2848,"f",FALSE)</f>
        <v>58804</v>
      </c>
      <c r="Y2848" s="237">
        <f>_xll.qlCalendarAdvance(Calendar,X2848,NDays&amp;"D")</f>
        <v>58804</v>
      </c>
      <c r="Z2848" s="238">
        <v>3.329939777835822E-2</v>
      </c>
      <c r="AA2848" s="240">
        <v>3.2605726249246292E-2</v>
      </c>
    </row>
    <row r="2849" spans="19:27" x14ac:dyDescent="0.2">
      <c r="S2849" s="199"/>
      <c r="T2849" s="200"/>
      <c r="W2849" s="233" t="str">
        <f t="shared" si="51"/>
        <v>1w</v>
      </c>
      <c r="X2849" s="234">
        <f>_xll.qlCalendarAdvance(Calendar,X2848,W2849,"f",FALSE)</f>
        <v>58811</v>
      </c>
      <c r="Y2849" s="237">
        <f>_xll.qlCalendarAdvance(Calendar,X2849,NDays&amp;"D")</f>
        <v>58811</v>
      </c>
      <c r="Z2849" s="238">
        <v>3.3305542923995235E-2</v>
      </c>
      <c r="AA2849" s="240">
        <v>3.2611464622718245E-2</v>
      </c>
    </row>
    <row r="2850" spans="19:27" x14ac:dyDescent="0.2">
      <c r="S2850" s="199"/>
      <c r="T2850" s="200"/>
      <c r="W2850" s="233" t="str">
        <f t="shared" si="51"/>
        <v>1w</v>
      </c>
      <c r="X2850" s="234">
        <f>_xll.qlCalendarAdvance(Calendar,X2849,W2850,"f",FALSE)</f>
        <v>58818</v>
      </c>
      <c r="Y2850" s="237">
        <f>_xll.qlCalendarAdvance(Calendar,X2850,NDays&amp;"D")</f>
        <v>58818</v>
      </c>
      <c r="Z2850" s="238">
        <v>3.331169642162668E-2</v>
      </c>
      <c r="AA2850" s="240">
        <v>3.2617211044491112E-2</v>
      </c>
    </row>
    <row r="2851" spans="19:27" x14ac:dyDescent="0.2">
      <c r="S2851" s="199"/>
      <c r="T2851" s="200"/>
      <c r="W2851" s="233" t="str">
        <f t="shared" si="51"/>
        <v>1w</v>
      </c>
      <c r="X2851" s="234">
        <f>_xll.qlCalendarAdvance(Calendar,X2850,W2851,"f",FALSE)</f>
        <v>58825</v>
      </c>
      <c r="Y2851" s="237">
        <f>_xll.qlCalendarAdvance(Calendar,X2851,NDays&amp;"D")</f>
        <v>58825</v>
      </c>
      <c r="Z2851" s="238">
        <v>3.3317858271400436E-2</v>
      </c>
      <c r="AA2851" s="240">
        <v>3.2622965514483848E-2</v>
      </c>
    </row>
    <row r="2852" spans="19:27" x14ac:dyDescent="0.2">
      <c r="S2852" s="199"/>
      <c r="T2852" s="200"/>
      <c r="W2852" s="233" t="str">
        <f t="shared" si="51"/>
        <v>1w</v>
      </c>
      <c r="X2852" s="234">
        <f>_xll.qlCalendarAdvance(Calendar,X2851,W2852,"f",FALSE)</f>
        <v>58832</v>
      </c>
      <c r="Y2852" s="237">
        <f>_xll.qlCalendarAdvance(Calendar,X2852,NDays&amp;"D")</f>
        <v>58832</v>
      </c>
      <c r="Z2852" s="238">
        <v>3.3324028473466827E-2</v>
      </c>
      <c r="AA2852" s="240">
        <v>3.262872803253436E-2</v>
      </c>
    </row>
    <row r="2853" spans="19:27" x14ac:dyDescent="0.2">
      <c r="S2853" s="199"/>
      <c r="T2853" s="200"/>
      <c r="W2853" s="233" t="str">
        <f t="shared" si="51"/>
        <v>1w</v>
      </c>
      <c r="X2853" s="234">
        <f>_xll.qlCalendarAdvance(Calendar,X2852,W2853,"f",FALSE)</f>
        <v>58839</v>
      </c>
      <c r="Y2853" s="237">
        <f>_xll.qlCalendarAdvance(Calendar,X2853,NDays&amp;"D")</f>
        <v>58839</v>
      </c>
      <c r="Z2853" s="238">
        <v>3.3330207027974179E-2</v>
      </c>
      <c r="AA2853" s="240">
        <v>3.263449859880474E-2</v>
      </c>
    </row>
    <row r="2854" spans="19:27" x14ac:dyDescent="0.2">
      <c r="S2854" s="199"/>
      <c r="T2854" s="200"/>
      <c r="W2854" s="233" t="str">
        <f t="shared" si="51"/>
        <v>1w</v>
      </c>
      <c r="X2854" s="234">
        <f>_xll.qlCalendarAdvance(Calendar,X2853,W2854,"f",FALSE)</f>
        <v>58846</v>
      </c>
      <c r="Y2854" s="237">
        <f>_xll.qlCalendarAdvance(Calendar,X2854,NDays&amp;"D")</f>
        <v>58846</v>
      </c>
      <c r="Z2854" s="238">
        <v>3.3336393935071928E-2</v>
      </c>
      <c r="AA2854" s="240">
        <v>3.2640277213457081E-2</v>
      </c>
    </row>
    <row r="2855" spans="19:27" x14ac:dyDescent="0.2">
      <c r="S2855" s="199"/>
      <c r="T2855" s="200"/>
      <c r="W2855" s="233" t="str">
        <f t="shared" si="51"/>
        <v>1w</v>
      </c>
      <c r="X2855" s="234">
        <f>_xll.qlCalendarAdvance(Calendar,X2854,W2855,"f",FALSE)</f>
        <v>58853</v>
      </c>
      <c r="Y2855" s="237">
        <f>_xll.qlCalendarAdvance(Calendar,X2855,NDays&amp;"D")</f>
        <v>58853</v>
      </c>
      <c r="Z2855" s="238">
        <v>3.3342589194909511E-2</v>
      </c>
      <c r="AA2855" s="240">
        <v>3.2646063876086151E-2</v>
      </c>
    </row>
    <row r="2856" spans="19:27" x14ac:dyDescent="0.2">
      <c r="S2856" s="199"/>
      <c r="T2856" s="200"/>
      <c r="W2856" s="233" t="str">
        <f t="shared" si="51"/>
        <v>1w</v>
      </c>
      <c r="X2856" s="234">
        <f>_xll.qlCalendarAdvance(Calendar,X2855,W2856,"f",FALSE)</f>
        <v>58860</v>
      </c>
      <c r="Y2856" s="237">
        <f>_xll.qlCalendarAdvance(Calendar,X2856,NDays&amp;"D")</f>
        <v>58860</v>
      </c>
      <c r="Z2856" s="238">
        <v>3.3348792807637251E-2</v>
      </c>
      <c r="AA2856" s="240">
        <v>3.265185858693509E-2</v>
      </c>
    </row>
    <row r="2857" spans="19:27" x14ac:dyDescent="0.2">
      <c r="S2857" s="199"/>
      <c r="T2857" s="200"/>
      <c r="W2857" s="233" t="str">
        <f t="shared" si="51"/>
        <v>1w</v>
      </c>
      <c r="X2857" s="234">
        <f>_xll.qlCalendarAdvance(Calendar,X2856,W2857,"f",FALSE)</f>
        <v>58867</v>
      </c>
      <c r="Y2857" s="237">
        <f>_xll.qlCalendarAdvance(Calendar,X2857,NDays&amp;"D")</f>
        <v>58867</v>
      </c>
      <c r="Z2857" s="238">
        <v>3.3355004773405028E-2</v>
      </c>
      <c r="AA2857" s="240">
        <v>3.2657661346003897E-2</v>
      </c>
    </row>
    <row r="2858" spans="19:27" x14ac:dyDescent="0.2">
      <c r="S2858" s="199"/>
      <c r="T2858" s="200"/>
      <c r="W2858" s="233" t="str">
        <f t="shared" si="51"/>
        <v>1w</v>
      </c>
      <c r="X2858" s="234">
        <f>_xll.qlCalendarAdvance(Calendar,X2857,W2858,"f",FALSE)</f>
        <v>58874</v>
      </c>
      <c r="Y2858" s="237">
        <f>_xll.qlCalendarAdvance(Calendar,X2858,NDays&amp;"D")</f>
        <v>58874</v>
      </c>
      <c r="Z2858" s="238">
        <v>3.3361225092362279E-2</v>
      </c>
      <c r="AA2858" s="240">
        <v>3.2663472153373618E-2</v>
      </c>
    </row>
    <row r="2859" spans="19:27" x14ac:dyDescent="0.2">
      <c r="S2859" s="199"/>
      <c r="T2859" s="200"/>
      <c r="W2859" s="233" t="str">
        <f t="shared" si="51"/>
        <v>1w</v>
      </c>
      <c r="X2859" s="234">
        <f>_xll.qlCalendarAdvance(Calendar,X2858,W2859,"f",FALSE)</f>
        <v>58881</v>
      </c>
      <c r="Y2859" s="237">
        <f>_xll.qlCalendarAdvance(Calendar,X2859,NDays&amp;"D")</f>
        <v>58881</v>
      </c>
      <c r="Z2859" s="238">
        <v>3.3367453764660659E-2</v>
      </c>
      <c r="AA2859" s="240">
        <v>3.2669291008882162E-2</v>
      </c>
    </row>
    <row r="2860" spans="19:27" x14ac:dyDescent="0.2">
      <c r="S2860" s="199"/>
      <c r="T2860" s="200"/>
      <c r="W2860" s="233" t="str">
        <f t="shared" si="51"/>
        <v>1w</v>
      </c>
      <c r="X2860" s="234">
        <f>_xll.qlCalendarAdvance(Calendar,X2859,W2860,"f",FALSE)</f>
        <v>58888</v>
      </c>
      <c r="Y2860" s="237">
        <f>_xll.qlCalendarAdvance(Calendar,X2860,NDays&amp;"D")</f>
        <v>58888</v>
      </c>
      <c r="Z2860" s="238">
        <v>3.3373690790449606E-2</v>
      </c>
      <c r="AA2860" s="240">
        <v>3.2675117912367435E-2</v>
      </c>
    </row>
    <row r="2861" spans="19:27" x14ac:dyDescent="0.2">
      <c r="S2861" s="199"/>
      <c r="T2861" s="200"/>
      <c r="W2861" s="233" t="str">
        <f t="shared" si="51"/>
        <v>1w</v>
      </c>
      <c r="X2861" s="234">
        <f>_xll.qlCalendarAdvance(Calendar,X2860,W2861,"f",FALSE)</f>
        <v>58895</v>
      </c>
      <c r="Y2861" s="237">
        <f>_xll.qlCalendarAdvance(Calendar,X2861,NDays&amp;"D")</f>
        <v>58895</v>
      </c>
      <c r="Z2861" s="238">
        <v>3.3379936169880775E-2</v>
      </c>
      <c r="AA2861" s="240">
        <v>3.2680952864396762E-2</v>
      </c>
    </row>
    <row r="2862" spans="19:27" x14ac:dyDescent="0.2">
      <c r="S2862" s="199"/>
      <c r="T2862" s="200"/>
      <c r="W2862" s="233" t="str">
        <f t="shared" si="51"/>
        <v>1w</v>
      </c>
      <c r="X2862" s="234">
        <f>_xll.qlCalendarAdvance(Calendar,X2861,W2862,"f",FALSE)</f>
        <v>58902</v>
      </c>
      <c r="Y2862" s="237">
        <f>_xll.qlCalendarAdvance(Calendar,X2862,NDays&amp;"D")</f>
        <v>58902</v>
      </c>
      <c r="Z2862" s="238">
        <v>3.3386189903104269E-2</v>
      </c>
      <c r="AA2862" s="240">
        <v>3.2686795864321772E-2</v>
      </c>
    </row>
    <row r="2863" spans="19:27" x14ac:dyDescent="0.2">
      <c r="S2863" s="199"/>
      <c r="T2863" s="200"/>
      <c r="W2863" s="233" t="str">
        <f t="shared" si="51"/>
        <v>1w</v>
      </c>
      <c r="X2863" s="234">
        <f>_xll.qlCalendarAdvance(Calendar,X2862,W2863,"f",FALSE)</f>
        <v>58909</v>
      </c>
      <c r="Y2863" s="237">
        <f>_xll.qlCalendarAdvance(Calendar,X2863,NDays&amp;"D")</f>
        <v>58909</v>
      </c>
      <c r="Z2863" s="238">
        <v>3.3392451990272187E-2</v>
      </c>
      <c r="AA2863" s="240">
        <v>3.269264691246665E-2</v>
      </c>
    </row>
    <row r="2864" spans="19:27" x14ac:dyDescent="0.2">
      <c r="S2864" s="199"/>
      <c r="T2864" s="200"/>
      <c r="W2864" s="233" t="str">
        <f t="shared" si="51"/>
        <v>1w</v>
      </c>
      <c r="X2864" s="234">
        <f>_xll.qlCalendarAdvance(Calendar,X2863,W2864,"f",FALSE)</f>
        <v>58916</v>
      </c>
      <c r="Y2864" s="237">
        <f>_xll.qlCalendarAdvance(Calendar,X2864,NDays&amp;"D")</f>
        <v>58916</v>
      </c>
      <c r="Z2864" s="238">
        <v>3.3398722431535521E-2</v>
      </c>
      <c r="AA2864" s="240">
        <v>3.269850600875035E-2</v>
      </c>
    </row>
    <row r="2865" spans="19:27" x14ac:dyDescent="0.2">
      <c r="S2865" s="199"/>
      <c r="T2865" s="200"/>
      <c r="W2865" s="233" t="str">
        <f t="shared" si="51"/>
        <v>1w</v>
      </c>
      <c r="X2865" s="234">
        <f>_xll.qlCalendarAdvance(Calendar,X2864,W2865,"f",FALSE)</f>
        <v>58923</v>
      </c>
      <c r="Y2865" s="237">
        <f>_xll.qlCalendarAdvance(Calendar,X2865,NDays&amp;"D")</f>
        <v>58923</v>
      </c>
      <c r="Z2865" s="238">
        <v>3.3405001227046149E-2</v>
      </c>
      <c r="AA2865" s="240">
        <v>3.2704373153578103E-2</v>
      </c>
    </row>
    <row r="2866" spans="19:27" x14ac:dyDescent="0.2">
      <c r="S2866" s="199"/>
      <c r="T2866" s="200"/>
      <c r="W2866" s="233" t="str">
        <f t="shared" si="51"/>
        <v>1w</v>
      </c>
      <c r="X2866" s="234">
        <f>_xll.qlCalendarAdvance(Calendar,X2865,W2866,"f",FALSE)</f>
        <v>58930</v>
      </c>
      <c r="Y2866" s="237">
        <f>_xll.qlCalendarAdvance(Calendar,X2866,NDays&amp;"D")</f>
        <v>58930</v>
      </c>
      <c r="Z2866" s="238">
        <v>3.3411288376955284E-2</v>
      </c>
      <c r="AA2866" s="240">
        <v>3.271024834630154E-2</v>
      </c>
    </row>
    <row r="2867" spans="19:27" x14ac:dyDescent="0.2">
      <c r="S2867" s="199"/>
      <c r="T2867" s="200"/>
      <c r="W2867" s="233" t="str">
        <f t="shared" si="51"/>
        <v>1w</v>
      </c>
      <c r="X2867" s="234">
        <f>_xll.qlCalendarAdvance(Calendar,X2866,W2867,"f",FALSE)</f>
        <v>58937</v>
      </c>
      <c r="Y2867" s="237">
        <f>_xll.qlCalendarAdvance(Calendar,X2867,NDays&amp;"D")</f>
        <v>58937</v>
      </c>
      <c r="Z2867" s="238">
        <v>3.3417583881415691E-2</v>
      </c>
      <c r="AA2867" s="240">
        <v>3.2716131587244845E-2</v>
      </c>
    </row>
    <row r="2868" spans="19:27" x14ac:dyDescent="0.2">
      <c r="S2868" s="199"/>
      <c r="T2868" s="200"/>
      <c r="W2868" s="233" t="str">
        <f t="shared" si="51"/>
        <v>1w</v>
      </c>
      <c r="X2868" s="234">
        <f>_xll.qlCalendarAdvance(Calendar,X2867,W2868,"f",FALSE)</f>
        <v>58944</v>
      </c>
      <c r="Y2868" s="237">
        <f>_xll.qlCalendarAdvance(Calendar,X2868,NDays&amp;"D")</f>
        <v>58944</v>
      </c>
      <c r="Z2868" s="238">
        <v>3.3423887740579028E-2</v>
      </c>
      <c r="AA2868" s="240">
        <v>3.2722022876489065E-2</v>
      </c>
    </row>
    <row r="2869" spans="19:27" x14ac:dyDescent="0.2">
      <c r="S2869" s="199"/>
      <c r="T2869" s="200"/>
      <c r="W2869" s="233" t="str">
        <f t="shared" si="51"/>
        <v>1w</v>
      </c>
      <c r="X2869" s="234">
        <f>_xll.qlCalendarAdvance(Calendar,X2868,W2869,"f",FALSE)</f>
        <v>58951</v>
      </c>
      <c r="Y2869" s="237">
        <f>_xll.qlCalendarAdvance(Calendar,X2869,NDays&amp;"D")</f>
        <v>58951</v>
      </c>
      <c r="Z2869" s="238">
        <v>3.3430199954598283E-2</v>
      </c>
      <c r="AA2869" s="240">
        <v>3.2727922213872107E-2</v>
      </c>
    </row>
    <row r="2870" spans="19:27" x14ac:dyDescent="0.2">
      <c r="S2870" s="199"/>
      <c r="T2870" s="200"/>
      <c r="W2870" s="233" t="str">
        <f t="shared" si="51"/>
        <v>1w</v>
      </c>
      <c r="X2870" s="234">
        <f>_xll.qlCalendarAdvance(Calendar,X2869,W2870,"f",FALSE)</f>
        <v>58958</v>
      </c>
      <c r="Y2870" s="237">
        <f>_xll.qlCalendarAdvance(Calendar,X2870,NDays&amp;"D")</f>
        <v>58958</v>
      </c>
      <c r="Z2870" s="238">
        <v>3.3436520523625557E-2</v>
      </c>
      <c r="AA2870" s="240">
        <v>3.2733829599393971E-2</v>
      </c>
    </row>
    <row r="2871" spans="19:27" x14ac:dyDescent="0.2">
      <c r="S2871" s="199"/>
      <c r="T2871" s="200"/>
      <c r="W2871" s="233" t="str">
        <f t="shared" si="51"/>
        <v>1w</v>
      </c>
      <c r="X2871" s="234">
        <f>_xll.qlCalendarAdvance(Calendar,X2870,W2871,"f",FALSE)</f>
        <v>58965</v>
      </c>
      <c r="Y2871" s="237">
        <f>_xll.qlCalendarAdvance(Calendar,X2871,NDays&amp;"D")</f>
        <v>58965</v>
      </c>
      <c r="Z2871" s="238">
        <v>3.3442849447813394E-2</v>
      </c>
      <c r="AA2871" s="240">
        <v>3.2739745033054657E-2</v>
      </c>
    </row>
    <row r="2872" spans="19:27" x14ac:dyDescent="0.2">
      <c r="S2872" s="199"/>
      <c r="T2872" s="200"/>
      <c r="W2872" s="233" t="str">
        <f t="shared" si="51"/>
        <v>1w</v>
      </c>
      <c r="X2872" s="234">
        <f>_xll.qlCalendarAdvance(Calendar,X2871,W2872,"f",FALSE)</f>
        <v>58972</v>
      </c>
      <c r="Y2872" s="237">
        <f>_xll.qlCalendarAdvance(Calendar,X2872,NDays&amp;"D")</f>
        <v>58972</v>
      </c>
      <c r="Z2872" s="238">
        <v>3.3449186727315894E-2</v>
      </c>
      <c r="AA2872" s="240">
        <v>3.2745668515097304E-2</v>
      </c>
    </row>
    <row r="2873" spans="19:27" x14ac:dyDescent="0.2">
      <c r="S2873" s="199"/>
      <c r="T2873" s="200"/>
      <c r="W2873" s="233" t="str">
        <f t="shared" si="51"/>
        <v>1w</v>
      </c>
      <c r="X2873" s="234">
        <f>_xll.qlCalendarAdvance(Calendar,X2872,W2873,"f",FALSE)</f>
        <v>58979</v>
      </c>
      <c r="Y2873" s="237">
        <f>_xll.qlCalendarAdvance(Calendar,X2873,NDays&amp;"D")</f>
        <v>58979</v>
      </c>
      <c r="Z2873" s="238">
        <v>3.34555323622856E-2</v>
      </c>
      <c r="AA2873" s="240">
        <v>3.2751600045278773E-2</v>
      </c>
    </row>
    <row r="2874" spans="19:27" x14ac:dyDescent="0.2">
      <c r="S2874" s="199"/>
      <c r="T2874" s="200"/>
      <c r="W2874" s="233" t="str">
        <f t="shared" si="51"/>
        <v>1w</v>
      </c>
      <c r="X2874" s="234">
        <f>_xll.qlCalendarAdvance(Calendar,X2873,W2874,"f",FALSE)</f>
        <v>58986</v>
      </c>
      <c r="Y2874" s="237">
        <f>_xll.qlCalendarAdvance(Calendar,X2874,NDays&amp;"D")</f>
        <v>58986</v>
      </c>
      <c r="Z2874" s="238">
        <v>3.3461886352875947E-2</v>
      </c>
      <c r="AA2874" s="240">
        <v>3.2757539623599063E-2</v>
      </c>
    </row>
    <row r="2875" spans="19:27" x14ac:dyDescent="0.2">
      <c r="S2875" s="199"/>
      <c r="T2875" s="200"/>
      <c r="W2875" s="233" t="str">
        <f t="shared" si="51"/>
        <v>1w</v>
      </c>
      <c r="X2875" s="234">
        <f>_xll.qlCalendarAdvance(Calendar,X2874,W2875,"f",FALSE)</f>
        <v>58993</v>
      </c>
      <c r="Y2875" s="237">
        <f>_xll.qlCalendarAdvance(Calendar,X2875,NDays&amp;"D")</f>
        <v>58993</v>
      </c>
      <c r="Z2875" s="238">
        <v>3.3468248699240588E-2</v>
      </c>
      <c r="AA2875" s="240">
        <v>3.2763487250058176E-2</v>
      </c>
    </row>
    <row r="2876" spans="19:27" x14ac:dyDescent="0.2">
      <c r="S2876" s="199"/>
      <c r="T2876" s="200"/>
      <c r="W2876" s="233" t="str">
        <f t="shared" si="51"/>
        <v>1w</v>
      </c>
      <c r="X2876" s="234">
        <f>_xll.qlCalendarAdvance(Calendar,X2875,W2876,"f",FALSE)</f>
        <v>59000</v>
      </c>
      <c r="Y2876" s="237">
        <f>_xll.qlCalendarAdvance(Calendar,X2876,NDays&amp;"D")</f>
        <v>59000</v>
      </c>
      <c r="Z2876" s="238">
        <v>3.3474619401533401E-2</v>
      </c>
      <c r="AA2876" s="240">
        <v>3.276944292489925E-2</v>
      </c>
    </row>
    <row r="2877" spans="19:27" x14ac:dyDescent="0.2">
      <c r="S2877" s="199"/>
      <c r="T2877" s="200"/>
      <c r="W2877" s="233" t="str">
        <f t="shared" si="51"/>
        <v>1w</v>
      </c>
      <c r="X2877" s="234">
        <f>_xll.qlCalendarAdvance(Calendar,X2876,W2877,"f",FALSE)</f>
        <v>59007</v>
      </c>
      <c r="Y2877" s="237">
        <f>_xll.qlCalendarAdvance(Calendar,X2877,NDays&amp;"D")</f>
        <v>59007</v>
      </c>
      <c r="Z2877" s="238">
        <v>3.3480998459908484E-2</v>
      </c>
      <c r="AA2877" s="240">
        <v>3.27754066477981E-2</v>
      </c>
    </row>
    <row r="2878" spans="19:27" x14ac:dyDescent="0.2">
      <c r="S2878" s="199"/>
      <c r="T2878" s="200"/>
      <c r="W2878" s="233" t="str">
        <f t="shared" si="51"/>
        <v>1w</v>
      </c>
      <c r="X2878" s="234">
        <f>_xll.qlCalendarAdvance(Calendar,X2877,W2878,"f",FALSE)</f>
        <v>59014</v>
      </c>
      <c r="Y2878" s="237">
        <f>_xll.qlCalendarAdvance(Calendar,X2878,NDays&amp;"D")</f>
        <v>59014</v>
      </c>
      <c r="Z2878" s="238">
        <v>3.3487385874520159E-2</v>
      </c>
      <c r="AA2878" s="240">
        <v>3.2781378418916818E-2</v>
      </c>
    </row>
    <row r="2879" spans="19:27" x14ac:dyDescent="0.2">
      <c r="S2879" s="199"/>
      <c r="T2879" s="200"/>
      <c r="W2879" s="233" t="str">
        <f t="shared" si="51"/>
        <v>1w</v>
      </c>
      <c r="X2879" s="234">
        <f>_xll.qlCalendarAdvance(Calendar,X2878,W2879,"f",FALSE)</f>
        <v>59021</v>
      </c>
      <c r="Y2879" s="237">
        <f>_xll.qlCalendarAdvance(Calendar,X2879,NDays&amp;"D")</f>
        <v>59021</v>
      </c>
      <c r="Z2879" s="238">
        <v>3.3493781645522525E-2</v>
      </c>
      <c r="AA2879" s="240">
        <v>3.2787358238174358E-2</v>
      </c>
    </row>
    <row r="2880" spans="19:27" x14ac:dyDescent="0.2">
      <c r="S2880" s="199"/>
      <c r="T2880" s="200"/>
      <c r="W2880" s="233" t="str">
        <f t="shared" si="51"/>
        <v>1w</v>
      </c>
      <c r="X2880" s="234">
        <f>_xll.qlCalendarAdvance(Calendar,X2879,W2880,"f",FALSE)</f>
        <v>59028</v>
      </c>
      <c r="Y2880" s="237">
        <f>_xll.qlCalendarAdvance(Calendar,X2880,NDays&amp;"D")</f>
        <v>59028</v>
      </c>
      <c r="Z2880" s="238">
        <v>3.3500185773070568E-2</v>
      </c>
      <c r="AA2880" s="240">
        <v>3.2793346105732812E-2</v>
      </c>
    </row>
    <row r="2881" spans="19:27" x14ac:dyDescent="0.2">
      <c r="S2881" s="199"/>
      <c r="T2881" s="200"/>
      <c r="W2881" s="233" t="str">
        <f t="shared" si="51"/>
        <v>1w</v>
      </c>
      <c r="X2881" s="234">
        <f>_xll.qlCalendarAdvance(Calendar,X2880,W2881,"f",FALSE)</f>
        <v>59035</v>
      </c>
      <c r="Y2881" s="237">
        <f>_xll.qlCalendarAdvance(Calendar,X2881,NDays&amp;"D")</f>
        <v>59035</v>
      </c>
      <c r="Z2881" s="238">
        <v>3.3506598257319054E-2</v>
      </c>
      <c r="AA2881" s="240">
        <v>3.2799342021430089E-2</v>
      </c>
    </row>
    <row r="2882" spans="19:27" x14ac:dyDescent="0.2">
      <c r="S2882" s="199"/>
      <c r="T2882" s="200"/>
      <c r="W2882" s="233" t="str">
        <f t="shared" si="51"/>
        <v>1w</v>
      </c>
      <c r="X2882" s="234">
        <f>_xll.qlCalendarAdvance(Calendar,X2881,W2882,"f",FALSE)</f>
        <v>59042</v>
      </c>
      <c r="Y2882" s="237">
        <f>_xll.qlCalendarAdvance(Calendar,X2882,NDays&amp;"D")</f>
        <v>59042</v>
      </c>
      <c r="Z2882" s="238">
        <v>3.3513019098423413E-2</v>
      </c>
      <c r="AA2882" s="240">
        <v>3.2805345985347234E-2</v>
      </c>
    </row>
    <row r="2883" spans="19:27" x14ac:dyDescent="0.2">
      <c r="S2883" s="199"/>
      <c r="T2883" s="200"/>
      <c r="W2883" s="233" t="str">
        <f t="shared" si="51"/>
        <v>1w</v>
      </c>
      <c r="X2883" s="234">
        <f>_xll.qlCalendarAdvance(Calendar,X2882,W2883,"f",FALSE)</f>
        <v>59049</v>
      </c>
      <c r="Y2883" s="237">
        <f>_xll.qlCalendarAdvance(Calendar,X2883,NDays&amp;"D")</f>
        <v>59049</v>
      </c>
      <c r="Z2883" s="238">
        <v>3.3519448296538634E-2</v>
      </c>
      <c r="AA2883" s="240">
        <v>3.281135799764634E-2</v>
      </c>
    </row>
    <row r="2884" spans="19:27" x14ac:dyDescent="0.2">
      <c r="S2884" s="199"/>
      <c r="T2884" s="200"/>
      <c r="W2884" s="233" t="str">
        <f t="shared" si="51"/>
        <v>1w</v>
      </c>
      <c r="X2884" s="234">
        <f>_xll.qlCalendarAdvance(Calendar,X2883,W2884,"f",FALSE)</f>
        <v>59056</v>
      </c>
      <c r="Y2884" s="237">
        <f>_xll.qlCalendarAdvance(Calendar,X2884,NDays&amp;"D")</f>
        <v>59056</v>
      </c>
      <c r="Z2884" s="238">
        <v>3.3525885851819037E-2</v>
      </c>
      <c r="AA2884" s="240">
        <v>3.2817378057760083E-2</v>
      </c>
    </row>
    <row r="2885" spans="19:27" x14ac:dyDescent="0.2">
      <c r="S2885" s="199"/>
      <c r="T2885" s="200"/>
      <c r="W2885" s="233" t="str">
        <f t="shared" si="51"/>
        <v>1w</v>
      </c>
      <c r="X2885" s="234">
        <f>_xll.qlCalendarAdvance(Calendar,X2884,W2885,"f",FALSE)</f>
        <v>59063</v>
      </c>
      <c r="Y2885" s="237">
        <f>_xll.qlCalendarAdvance(Calendar,X2885,NDays&amp;"D")</f>
        <v>59063</v>
      </c>
      <c r="Z2885" s="238">
        <v>3.3532331764422496E-2</v>
      </c>
      <c r="AA2885" s="240">
        <v>3.2823406166336833E-2</v>
      </c>
    </row>
    <row r="2886" spans="19:27" x14ac:dyDescent="0.2">
      <c r="S2886" s="199"/>
      <c r="T2886" s="200"/>
      <c r="W2886" s="233" t="str">
        <f t="shared" si="51"/>
        <v>1w</v>
      </c>
      <c r="X2886" s="234">
        <f>_xll.qlCalendarAdvance(Calendar,X2885,W2886,"f",FALSE)</f>
        <v>59070</v>
      </c>
      <c r="Y2886" s="237">
        <f>_xll.qlCalendarAdvance(Calendar,X2886,NDays&amp;"D")</f>
        <v>59070</v>
      </c>
      <c r="Z2886" s="238">
        <v>3.353878603450311E-2</v>
      </c>
      <c r="AA2886" s="240">
        <v>3.2829442322971358E-2</v>
      </c>
    </row>
    <row r="2887" spans="19:27" x14ac:dyDescent="0.2">
      <c r="S2887" s="199"/>
      <c r="T2887" s="200"/>
      <c r="W2887" s="233" t="str">
        <f t="shared" si="51"/>
        <v>1w</v>
      </c>
      <c r="X2887" s="234">
        <f>_xll.qlCalendarAdvance(Calendar,X2886,W2887,"f",FALSE)</f>
        <v>59077</v>
      </c>
      <c r="Y2887" s="237">
        <f>_xll.qlCalendarAdvance(Calendar,X2887,NDays&amp;"D")</f>
        <v>59077</v>
      </c>
      <c r="Z2887" s="238">
        <v>3.3545248662217642E-2</v>
      </c>
      <c r="AA2887" s="240">
        <v>3.2835486527987845E-2</v>
      </c>
    </row>
    <row r="2888" spans="19:27" x14ac:dyDescent="0.2">
      <c r="S2888" s="199"/>
      <c r="T2888" s="200"/>
      <c r="W2888" s="233" t="str">
        <f t="shared" si="51"/>
        <v>1w</v>
      </c>
      <c r="X2888" s="234">
        <f>_xll.qlCalendarAdvance(Calendar,X2887,W2888,"f",FALSE)</f>
        <v>59084</v>
      </c>
      <c r="Y2888" s="237">
        <f>_xll.qlCalendarAdvance(Calendar,X2888,NDays&amp;"D")</f>
        <v>59084</v>
      </c>
      <c r="Z2888" s="238">
        <v>3.3551719647722411E-2</v>
      </c>
      <c r="AA2888" s="240">
        <v>3.2841538781062107E-2</v>
      </c>
    </row>
    <row r="2889" spans="19:27" x14ac:dyDescent="0.2">
      <c r="S2889" s="199"/>
      <c r="T2889" s="200"/>
      <c r="W2889" s="233" t="str">
        <f t="shared" si="51"/>
        <v>1w</v>
      </c>
      <c r="X2889" s="234">
        <f>_xll.qlCalendarAdvance(Calendar,X2888,W2889,"f",FALSE)</f>
        <v>59091</v>
      </c>
      <c r="Y2889" s="237">
        <f>_xll.qlCalendarAdvance(Calendar,X2889,NDays&amp;"D")</f>
        <v>59091</v>
      </c>
      <c r="Z2889" s="238">
        <v>3.355819899117396E-2</v>
      </c>
      <c r="AA2889" s="240">
        <v>3.2847599082275192E-2</v>
      </c>
    </row>
    <row r="2890" spans="19:27" x14ac:dyDescent="0.2">
      <c r="S2890" s="199"/>
      <c r="T2890" s="200"/>
      <c r="W2890" s="233" t="str">
        <f t="shared" si="51"/>
        <v>1w</v>
      </c>
      <c r="X2890" s="234">
        <f>_xll.qlCalendarAdvance(Calendar,X2889,W2890,"f",FALSE)</f>
        <v>59098</v>
      </c>
      <c r="Y2890" s="237">
        <f>_xll.qlCalendarAdvance(Calendar,X2890,NDays&amp;"D")</f>
        <v>59098</v>
      </c>
      <c r="Z2890" s="238">
        <v>3.3564686692728385E-2</v>
      </c>
      <c r="AA2890" s="240">
        <v>3.2853667431870237E-2</v>
      </c>
    </row>
    <row r="2891" spans="19:27" x14ac:dyDescent="0.2">
      <c r="S2891" s="199"/>
      <c r="T2891" s="200"/>
      <c r="W2891" s="233" t="str">
        <f t="shared" si="51"/>
        <v>1w</v>
      </c>
      <c r="X2891" s="234">
        <f>_xll.qlCalendarAdvance(Calendar,X2890,W2891,"f",FALSE)</f>
        <v>59105</v>
      </c>
      <c r="Y2891" s="237">
        <f>_xll.qlCalendarAdvance(Calendar,X2891,NDays&amp;"D")</f>
        <v>59105</v>
      </c>
      <c r="Z2891" s="238">
        <v>3.3571182752543338E-2</v>
      </c>
      <c r="AA2891" s="240">
        <v>3.2859743829685151E-2</v>
      </c>
    </row>
    <row r="2892" spans="19:27" x14ac:dyDescent="0.2">
      <c r="S2892" s="199"/>
      <c r="T2892" s="200"/>
      <c r="W2892" s="233" t="str">
        <f t="shared" si="51"/>
        <v>1w</v>
      </c>
      <c r="X2892" s="234">
        <f>_xll.qlCalendarAdvance(Calendar,X2891,W2892,"f",FALSE)</f>
        <v>59112</v>
      </c>
      <c r="Y2892" s="237">
        <f>_xll.qlCalendarAdvance(Calendar,X2892,NDays&amp;"D")</f>
        <v>59112</v>
      </c>
      <c r="Z2892" s="238">
        <v>3.3577687170775139E-2</v>
      </c>
      <c r="AA2892" s="240">
        <v>3.286582827555784E-2</v>
      </c>
    </row>
    <row r="2893" spans="19:27" x14ac:dyDescent="0.2">
      <c r="S2893" s="199"/>
      <c r="T2893" s="200"/>
      <c r="W2893" s="233" t="str">
        <f t="shared" si="51"/>
        <v>1w</v>
      </c>
      <c r="X2893" s="234">
        <f>_xll.qlCalendarAdvance(Calendar,X2892,W2893,"f",FALSE)</f>
        <v>59119</v>
      </c>
      <c r="Y2893" s="237">
        <f>_xll.qlCalendarAdvance(Calendar,X2893,NDays&amp;"D")</f>
        <v>59119</v>
      </c>
      <c r="Z2893" s="238">
        <v>3.3584199947581883E-2</v>
      </c>
      <c r="AA2893" s="240">
        <v>3.2871920769731444E-2</v>
      </c>
    </row>
    <row r="2894" spans="19:27" x14ac:dyDescent="0.2">
      <c r="S2894" s="199"/>
      <c r="T2894" s="200"/>
      <c r="W2894" s="233" t="str">
        <f t="shared" si="51"/>
        <v>1w</v>
      </c>
      <c r="X2894" s="234">
        <f>_xll.qlCalendarAdvance(Calendar,X2893,W2894,"f",FALSE)</f>
        <v>59126</v>
      </c>
      <c r="Y2894" s="237">
        <f>_xll.qlCalendarAdvance(Calendar,X2894,NDays&amp;"D")</f>
        <v>59126</v>
      </c>
      <c r="Z2894" s="238">
        <v>3.3590721083120556E-2</v>
      </c>
      <c r="AA2894" s="240">
        <v>3.2878021312124917E-2</v>
      </c>
    </row>
    <row r="2895" spans="19:27" x14ac:dyDescent="0.2">
      <c r="S2895" s="199"/>
      <c r="T2895" s="200"/>
      <c r="W2895" s="233" t="str">
        <f t="shared" si="51"/>
        <v>1w</v>
      </c>
      <c r="X2895" s="234">
        <f>_xll.qlCalendarAdvance(Calendar,X2894,W2895,"f",FALSE)</f>
        <v>59133</v>
      </c>
      <c r="Y2895" s="237">
        <f>_xll.qlCalendarAdvance(Calendar,X2895,NDays&amp;"D")</f>
        <v>59133</v>
      </c>
      <c r="Z2895" s="238">
        <v>3.3597250577548587E-2</v>
      </c>
      <c r="AA2895" s="240">
        <v>3.2884129902576165E-2</v>
      </c>
    </row>
    <row r="2896" spans="19:27" x14ac:dyDescent="0.2">
      <c r="S2896" s="199"/>
      <c r="T2896" s="200"/>
      <c r="W2896" s="233" t="str">
        <f t="shared" si="51"/>
        <v>1w</v>
      </c>
      <c r="X2896" s="234">
        <f>_xll.qlCalendarAdvance(Calendar,X2895,W2896,"f",FALSE)</f>
        <v>59140</v>
      </c>
      <c r="Y2896" s="237">
        <f>_xll.qlCalendarAdvance(Calendar,X2896,NDays&amp;"D")</f>
        <v>59140</v>
      </c>
      <c r="Z2896" s="238">
        <v>3.3603788431024517E-2</v>
      </c>
      <c r="AA2896" s="240">
        <v>3.2890246541166235E-2</v>
      </c>
    </row>
    <row r="2897" spans="19:27" x14ac:dyDescent="0.2">
      <c r="S2897" s="199"/>
      <c r="T2897" s="200"/>
      <c r="W2897" s="233" t="str">
        <f t="shared" si="51"/>
        <v>1w</v>
      </c>
      <c r="X2897" s="234">
        <f>_xll.qlCalendarAdvance(Calendar,X2896,W2897,"f",FALSE)</f>
        <v>59147</v>
      </c>
      <c r="Y2897" s="237">
        <f>_xll.qlCalendarAdvance(Calendar,X2897,NDays&amp;"D")</f>
        <v>59147</v>
      </c>
      <c r="Z2897" s="238">
        <v>3.3610334643705997E-2</v>
      </c>
      <c r="AA2897" s="240">
        <v>3.2896371228219312E-2</v>
      </c>
    </row>
    <row r="2898" spans="19:27" x14ac:dyDescent="0.2">
      <c r="S2898" s="199"/>
      <c r="T2898" s="200"/>
      <c r="W2898" s="233" t="str">
        <f t="shared" si="51"/>
        <v>1w</v>
      </c>
      <c r="X2898" s="234">
        <f>_xll.qlCalendarAdvance(Calendar,X2897,W2898,"f",FALSE)</f>
        <v>59154</v>
      </c>
      <c r="Y2898" s="237">
        <f>_xll.qlCalendarAdvance(Calendar,X2898,NDays&amp;"D")</f>
        <v>59154</v>
      </c>
      <c r="Z2898" s="238">
        <v>3.3616889215751566E-2</v>
      </c>
      <c r="AA2898" s="240">
        <v>3.2902503963411212E-2</v>
      </c>
    </row>
    <row r="2899" spans="19:27" x14ac:dyDescent="0.2">
      <c r="S2899" s="199"/>
      <c r="T2899" s="200"/>
      <c r="W2899" s="233" t="str">
        <f t="shared" si="51"/>
        <v>1w</v>
      </c>
      <c r="X2899" s="234">
        <f>_xll.qlCalendarAdvance(Calendar,X2898,W2899,"f",FALSE)</f>
        <v>59161</v>
      </c>
      <c r="Y2899" s="237">
        <f>_xll.qlCalendarAdvance(Calendar,X2899,NDays&amp;"D")</f>
        <v>59161</v>
      </c>
      <c r="Z2899" s="238">
        <v>3.3623452147319766E-2</v>
      </c>
      <c r="AA2899" s="240">
        <v>3.2908644746822979E-2</v>
      </c>
    </row>
    <row r="2900" spans="19:27" x14ac:dyDescent="0.2">
      <c r="S2900" s="199"/>
      <c r="T2900" s="200"/>
      <c r="W2900" s="233" t="str">
        <f t="shared" si="51"/>
        <v>1w</v>
      </c>
      <c r="X2900" s="234">
        <f>_xll.qlCalendarAdvance(Calendar,X2899,W2900,"f",FALSE)</f>
        <v>59168</v>
      </c>
      <c r="Y2900" s="237">
        <f>_xll.qlCalendarAdvance(Calendar,X2900,NDays&amp;"D")</f>
        <v>59168</v>
      </c>
      <c r="Z2900" s="238">
        <v>3.3630023438569134E-2</v>
      </c>
      <c r="AA2900" s="240">
        <v>3.2914793578211476E-2</v>
      </c>
    </row>
    <row r="2901" spans="19:27" x14ac:dyDescent="0.2">
      <c r="S2901" s="199"/>
      <c r="T2901" s="200"/>
      <c r="W2901" s="233" t="str">
        <f t="shared" ref="W2901:W2964" si="52">W2900</f>
        <v>1w</v>
      </c>
      <c r="X2901" s="234">
        <f>_xll.qlCalendarAdvance(Calendar,X2900,W2901,"f",FALSE)</f>
        <v>59175</v>
      </c>
      <c r="Y2901" s="237">
        <f>_xll.qlCalendarAdvance(Calendar,X2901,NDays&amp;"D")</f>
        <v>59175</v>
      </c>
      <c r="Z2901" s="238">
        <v>3.3636603089658657E-2</v>
      </c>
      <c r="AA2901" s="240">
        <v>3.2920950458144027E-2</v>
      </c>
    </row>
    <row r="2902" spans="19:27" x14ac:dyDescent="0.2">
      <c r="S2902" s="199"/>
      <c r="T2902" s="200"/>
      <c r="W2902" s="233" t="str">
        <f t="shared" si="52"/>
        <v>1w</v>
      </c>
      <c r="X2902" s="234">
        <f>_xll.qlCalendarAdvance(Calendar,X2901,W2902,"f",FALSE)</f>
        <v>59182</v>
      </c>
      <c r="Y2902" s="237">
        <f>_xll.qlCalendarAdvance(Calendar,X2902,NDays&amp;"D")</f>
        <v>59182</v>
      </c>
      <c r="Z2902" s="238">
        <v>3.3643191100747316E-2</v>
      </c>
      <c r="AA2902" s="240">
        <v>3.2927115386134354E-2</v>
      </c>
    </row>
    <row r="2903" spans="19:27" x14ac:dyDescent="0.2">
      <c r="S2903" s="199"/>
      <c r="T2903" s="200"/>
      <c r="W2903" s="233" t="str">
        <f t="shared" si="52"/>
        <v>1w</v>
      </c>
      <c r="X2903" s="234">
        <f>_xll.qlCalendarAdvance(Calendar,X2902,W2903,"f",FALSE)</f>
        <v>59189</v>
      </c>
      <c r="Y2903" s="237">
        <f>_xll.qlCalendarAdvance(Calendar,X2903,NDays&amp;"D")</f>
        <v>59189</v>
      </c>
      <c r="Z2903" s="238">
        <v>3.3649787471994541E-2</v>
      </c>
      <c r="AA2903" s="240">
        <v>3.2933288362101409E-2</v>
      </c>
    </row>
    <row r="2904" spans="19:27" x14ac:dyDescent="0.2">
      <c r="S2904" s="199"/>
      <c r="T2904" s="200"/>
      <c r="W2904" s="233" t="str">
        <f t="shared" si="52"/>
        <v>1w</v>
      </c>
      <c r="X2904" s="234">
        <f>_xll.qlCalendarAdvance(Calendar,X2903,W2904,"f",FALSE)</f>
        <v>59196</v>
      </c>
      <c r="Y2904" s="237">
        <f>_xll.qlCalendarAdvance(Calendar,X2904,NDays&amp;"D")</f>
        <v>59196</v>
      </c>
      <c r="Z2904" s="238">
        <v>3.365639220355976E-2</v>
      </c>
      <c r="AA2904" s="240">
        <v>3.2939469386531472E-2</v>
      </c>
    </row>
    <row r="2905" spans="19:27" x14ac:dyDescent="0.2">
      <c r="S2905" s="199"/>
      <c r="T2905" s="200"/>
      <c r="W2905" s="233" t="str">
        <f t="shared" si="52"/>
        <v>1w</v>
      </c>
      <c r="X2905" s="234">
        <f>_xll.qlCalendarAdvance(Calendar,X2904,W2905,"f",FALSE)</f>
        <v>59203</v>
      </c>
      <c r="Y2905" s="237">
        <f>_xll.qlCalendarAdvance(Calendar,X2905,NDays&amp;"D")</f>
        <v>59203</v>
      </c>
      <c r="Z2905" s="238">
        <v>3.3663005295603288E-2</v>
      </c>
      <c r="AA2905" s="240">
        <v>3.294565845926245E-2</v>
      </c>
    </row>
    <row r="2906" spans="19:27" x14ac:dyDescent="0.2">
      <c r="S2906" s="199"/>
      <c r="T2906" s="200"/>
      <c r="W2906" s="233" t="str">
        <f t="shared" si="52"/>
        <v>1w</v>
      </c>
      <c r="X2906" s="234">
        <f>_xll.qlCalendarAdvance(Calendar,X2905,W2906,"f",FALSE)</f>
        <v>59210</v>
      </c>
      <c r="Y2906" s="237">
        <f>_xll.qlCalendarAdvance(Calendar,X2906,NDays&amp;"D")</f>
        <v>59210</v>
      </c>
      <c r="Z2906" s="238">
        <v>3.3669626748283887E-2</v>
      </c>
      <c r="AA2906" s="240">
        <v>3.2951855579970157E-2</v>
      </c>
    </row>
    <row r="2907" spans="19:27" x14ac:dyDescent="0.2">
      <c r="S2907" s="199"/>
      <c r="T2907" s="200"/>
      <c r="W2907" s="233" t="str">
        <f t="shared" si="52"/>
        <v>1w</v>
      </c>
      <c r="X2907" s="234">
        <f>_xll.qlCalendarAdvance(Calendar,X2906,W2907,"f",FALSE)</f>
        <v>59217</v>
      </c>
      <c r="Y2907" s="237">
        <f>_xll.qlCalendarAdvance(Calendar,X2907,NDays&amp;"D")</f>
        <v>59217</v>
      </c>
      <c r="Z2907" s="238">
        <v>3.3676256561762319E-2</v>
      </c>
      <c r="AA2907" s="240">
        <v>3.2958060748897733E-2</v>
      </c>
    </row>
    <row r="2908" spans="19:27" x14ac:dyDescent="0.2">
      <c r="S2908" s="199"/>
      <c r="T2908" s="200"/>
      <c r="W2908" s="233" t="str">
        <f t="shared" si="52"/>
        <v>1w</v>
      </c>
      <c r="X2908" s="234">
        <f>_xll.qlCalendarAdvance(Calendar,X2907,W2908,"f",FALSE)</f>
        <v>59224</v>
      </c>
      <c r="Y2908" s="237">
        <f>_xll.qlCalendarAdvance(Calendar,X2908,NDays&amp;"D")</f>
        <v>59224</v>
      </c>
      <c r="Z2908" s="238">
        <v>3.3682894736199342E-2</v>
      </c>
      <c r="AA2908" s="240">
        <v>3.2964273966207269E-2</v>
      </c>
    </row>
    <row r="2909" spans="19:27" x14ac:dyDescent="0.2">
      <c r="S2909" s="199"/>
      <c r="T2909" s="200"/>
      <c r="W2909" s="233" t="str">
        <f t="shared" si="52"/>
        <v>1w</v>
      </c>
      <c r="X2909" s="234">
        <f>_xll.qlCalendarAdvance(Calendar,X2908,W2909,"f",FALSE)</f>
        <v>59231</v>
      </c>
      <c r="Y2909" s="237">
        <f>_xll.qlCalendarAdvance(Calendar,X2909,NDays&amp;"D")</f>
        <v>59231</v>
      </c>
      <c r="Z2909" s="238">
        <v>3.3689541271755497E-2</v>
      </c>
      <c r="AA2909" s="240">
        <v>3.2970495231736674E-2</v>
      </c>
    </row>
    <row r="2910" spans="19:27" x14ac:dyDescent="0.2">
      <c r="S2910" s="199"/>
      <c r="T2910" s="200"/>
      <c r="W2910" s="233" t="str">
        <f t="shared" si="52"/>
        <v>1w</v>
      </c>
      <c r="X2910" s="234">
        <f>_xll.qlCalendarAdvance(Calendar,X2909,W2910,"f",FALSE)</f>
        <v>59238</v>
      </c>
      <c r="Y2910" s="237">
        <f>_xll.qlCalendarAdvance(Calendar,X2910,NDays&amp;"D")</f>
        <v>59238</v>
      </c>
      <c r="Z2910" s="238">
        <v>3.3696196168590431E-2</v>
      </c>
      <c r="AA2910" s="240">
        <v>3.2976724545161762E-2</v>
      </c>
    </row>
    <row r="2911" spans="19:27" x14ac:dyDescent="0.2">
      <c r="S2911" s="199"/>
      <c r="T2911" s="200"/>
      <c r="W2911" s="233" t="str">
        <f t="shared" si="52"/>
        <v>1w</v>
      </c>
      <c r="X2911" s="234">
        <f>_xll.qlCalendarAdvance(Calendar,X2910,W2911,"f",FALSE)</f>
        <v>59245</v>
      </c>
      <c r="Y2911" s="237">
        <f>_xll.qlCalendarAdvance(Calendar,X2911,NDays&amp;"D")</f>
        <v>59245</v>
      </c>
      <c r="Z2911" s="238">
        <v>3.3702859426865794E-2</v>
      </c>
      <c r="AA2911" s="240">
        <v>3.2982961906968811E-2</v>
      </c>
    </row>
    <row r="2912" spans="19:27" x14ac:dyDescent="0.2">
      <c r="S2912" s="199"/>
      <c r="T2912" s="200"/>
      <c r="W2912" s="233" t="str">
        <f t="shared" si="52"/>
        <v>1w</v>
      </c>
      <c r="X2912" s="234">
        <f>_xll.qlCalendarAdvance(Calendar,X2911,W2912,"f",FALSE)</f>
        <v>59252</v>
      </c>
      <c r="Y2912" s="237">
        <f>_xll.qlCalendarAdvance(Calendar,X2912,NDays&amp;"D")</f>
        <v>59252</v>
      </c>
      <c r="Z2912" s="238">
        <v>3.3709531046742791E-2</v>
      </c>
      <c r="AA2912" s="240">
        <v>3.298920731715782E-2</v>
      </c>
    </row>
    <row r="2913" spans="19:27" x14ac:dyDescent="0.2">
      <c r="S2913" s="199"/>
      <c r="T2913" s="200"/>
      <c r="W2913" s="233" t="str">
        <f t="shared" si="52"/>
        <v>1w</v>
      </c>
      <c r="X2913" s="234">
        <f>_xll.qlCalendarAdvance(Calendar,X2912,W2913,"f",FALSE)</f>
        <v>59259</v>
      </c>
      <c r="Y2913" s="237">
        <f>_xll.qlCalendarAdvance(Calendar,X2913,NDays&amp;"D")</f>
        <v>59259</v>
      </c>
      <c r="Z2913" s="238">
        <v>3.3716211028382848E-2</v>
      </c>
      <c r="AA2913" s="240">
        <v>3.2995460775485652E-2</v>
      </c>
    </row>
    <row r="2914" spans="19:27" x14ac:dyDescent="0.2">
      <c r="S2914" s="199"/>
      <c r="T2914" s="200"/>
      <c r="W2914" s="233" t="str">
        <f t="shared" si="52"/>
        <v>1w</v>
      </c>
      <c r="X2914" s="234">
        <f>_xll.qlCalendarAdvance(Calendar,X2913,W2914,"f",FALSE)</f>
        <v>59266</v>
      </c>
      <c r="Y2914" s="237">
        <f>_xll.qlCalendarAdvance(Calendar,X2914,NDays&amp;"D")</f>
        <v>59266</v>
      </c>
      <c r="Z2914" s="238">
        <v>3.3722899371947168E-2</v>
      </c>
      <c r="AA2914" s="240">
        <v>3.300172228187126E-2</v>
      </c>
    </row>
    <row r="2915" spans="19:27" x14ac:dyDescent="0.2">
      <c r="S2915" s="199"/>
      <c r="T2915" s="200"/>
      <c r="W2915" s="233" t="str">
        <f t="shared" si="52"/>
        <v>1w</v>
      </c>
      <c r="X2915" s="234">
        <f>_xll.qlCalendarAdvance(Calendar,X2914,W2915,"f",FALSE)</f>
        <v>59273</v>
      </c>
      <c r="Y2915" s="237">
        <f>_xll.qlCalendarAdvance(Calendar,X2915,NDays&amp;"D")</f>
        <v>59273</v>
      </c>
      <c r="Z2915" s="238">
        <v>3.3729596077597845E-2</v>
      </c>
      <c r="AA2915" s="240">
        <v>3.3007991836557782E-2</v>
      </c>
    </row>
    <row r="2916" spans="19:27" x14ac:dyDescent="0.2">
      <c r="S2916" s="199"/>
      <c r="T2916" s="200"/>
      <c r="W2916" s="233" t="str">
        <f t="shared" si="52"/>
        <v>1w</v>
      </c>
      <c r="X2916" s="234">
        <f>_xll.qlCalendarAdvance(Calendar,X2915,W2916,"f",FALSE)</f>
        <v>59280</v>
      </c>
      <c r="Y2916" s="237">
        <f>_xll.qlCalendarAdvance(Calendar,X2916,NDays&amp;"D")</f>
        <v>59280</v>
      </c>
      <c r="Z2916" s="238">
        <v>3.3736301145496306E-2</v>
      </c>
      <c r="AA2916" s="240">
        <v>3.3014269439464172E-2</v>
      </c>
    </row>
    <row r="2917" spans="19:27" x14ac:dyDescent="0.2">
      <c r="S2917" s="199"/>
      <c r="T2917" s="200"/>
      <c r="W2917" s="233" t="str">
        <f t="shared" si="52"/>
        <v>1w</v>
      </c>
      <c r="X2917" s="234">
        <f>_xll.qlCalendarAdvance(Calendar,X2916,W2917,"f",FALSE)</f>
        <v>59287</v>
      </c>
      <c r="Y2917" s="237">
        <f>_xll.qlCalendarAdvance(Calendar,X2917,NDays&amp;"D")</f>
        <v>59287</v>
      </c>
      <c r="Z2917" s="238">
        <v>3.374301457580553E-2</v>
      </c>
      <c r="AA2917" s="240">
        <v>3.3020555090590431E-2</v>
      </c>
    </row>
    <row r="2918" spans="19:27" x14ac:dyDescent="0.2">
      <c r="S2918" s="199"/>
      <c r="T2918" s="200"/>
      <c r="W2918" s="233" t="str">
        <f t="shared" si="52"/>
        <v>1w</v>
      </c>
      <c r="X2918" s="234">
        <f>_xll.qlCalendarAdvance(Calendar,X2917,W2918,"f",FALSE)</f>
        <v>59294</v>
      </c>
      <c r="Y2918" s="237">
        <f>_xll.qlCalendarAdvance(Calendar,X2918,NDays&amp;"D")</f>
        <v>59294</v>
      </c>
      <c r="Z2918" s="238">
        <v>3.3749736368687167E-2</v>
      </c>
      <c r="AA2918" s="240">
        <v>3.3026848789855512E-2</v>
      </c>
    </row>
    <row r="2919" spans="19:27" x14ac:dyDescent="0.2">
      <c r="S2919" s="199"/>
      <c r="T2919" s="200"/>
      <c r="W2919" s="233" t="str">
        <f t="shared" si="52"/>
        <v>1w</v>
      </c>
      <c r="X2919" s="234">
        <f>_xll.qlCalendarAdvance(Calendar,X2918,W2919,"f",FALSE)</f>
        <v>59301</v>
      </c>
      <c r="Y2919" s="237">
        <f>_xll.qlCalendarAdvance(Calendar,X2919,NDays&amp;"D")</f>
        <v>59301</v>
      </c>
      <c r="Z2919" s="238">
        <v>3.3756466524303752E-2</v>
      </c>
      <c r="AA2919" s="240">
        <v>3.3033150537421507E-2</v>
      </c>
    </row>
    <row r="2920" spans="19:27" x14ac:dyDescent="0.2">
      <c r="S2920" s="199"/>
      <c r="T2920" s="200"/>
      <c r="W2920" s="233" t="str">
        <f t="shared" si="52"/>
        <v>1w</v>
      </c>
      <c r="X2920" s="234">
        <f>_xll.qlCalendarAdvance(Calendar,X2919,W2920,"f",FALSE)</f>
        <v>59308</v>
      </c>
      <c r="Y2920" s="237">
        <f>_xll.qlCalendarAdvance(Calendar,X2920,NDays&amp;"D")</f>
        <v>59308</v>
      </c>
      <c r="Z2920" s="238">
        <v>3.3763205042818711E-2</v>
      </c>
      <c r="AA2920" s="240">
        <v>3.3039460333207371E-2</v>
      </c>
    </row>
    <row r="2921" spans="19:27" x14ac:dyDescent="0.2">
      <c r="S2921" s="199"/>
      <c r="T2921" s="200"/>
      <c r="W2921" s="233" t="str">
        <f t="shared" si="52"/>
        <v>1w</v>
      </c>
      <c r="X2921" s="234">
        <f>_xll.qlCalendarAdvance(Calendar,X2920,W2921,"f",FALSE)</f>
        <v>59315</v>
      </c>
      <c r="Y2921" s="237">
        <f>_xll.qlCalendarAdvance(Calendar,X2921,NDays&amp;"D")</f>
        <v>59315</v>
      </c>
      <c r="Z2921" s="238">
        <v>3.3769951924394581E-2</v>
      </c>
      <c r="AA2921" s="240">
        <v>3.3045778177213103E-2</v>
      </c>
    </row>
    <row r="2922" spans="19:27" x14ac:dyDescent="0.2">
      <c r="S2922" s="199"/>
      <c r="T2922" s="200"/>
      <c r="W2922" s="233" t="str">
        <f t="shared" si="52"/>
        <v>1w</v>
      </c>
      <c r="X2922" s="234">
        <f>_xll.qlCalendarAdvance(Calendar,X2921,W2922,"f",FALSE)</f>
        <v>59322</v>
      </c>
      <c r="Y2922" s="237">
        <f>_xll.qlCalendarAdvance(Calendar,X2922,NDays&amp;"D")</f>
        <v>59322</v>
      </c>
      <c r="Z2922" s="238">
        <v>3.377670716919412E-2</v>
      </c>
      <c r="AA2922" s="240">
        <v>3.3052104069276611E-2</v>
      </c>
    </row>
    <row r="2923" spans="19:27" x14ac:dyDescent="0.2">
      <c r="S2923" s="199"/>
      <c r="T2923" s="200"/>
      <c r="W2923" s="233" t="str">
        <f t="shared" si="52"/>
        <v>1w</v>
      </c>
      <c r="X2923" s="234">
        <f>_xll.qlCalendarAdvance(Calendar,X2922,W2923,"f",FALSE)</f>
        <v>59329</v>
      </c>
      <c r="Y2923" s="237">
        <f>_xll.qlCalendarAdvance(Calendar,X2923,NDays&amp;"D")</f>
        <v>59329</v>
      </c>
      <c r="Z2923" s="238">
        <v>3.3783470777382085E-2</v>
      </c>
      <c r="AA2923" s="240">
        <v>3.3058438009803126E-2</v>
      </c>
    </row>
    <row r="2924" spans="19:27" x14ac:dyDescent="0.2">
      <c r="S2924" s="199"/>
      <c r="T2924" s="200"/>
      <c r="W2924" s="233" t="str">
        <f t="shared" si="52"/>
        <v>1w</v>
      </c>
      <c r="X2924" s="234">
        <f>_xll.qlCalendarAdvance(Calendar,X2923,W2924,"f",FALSE)</f>
        <v>59336</v>
      </c>
      <c r="Y2924" s="237">
        <f>_xll.qlCalendarAdvance(Calendar,X2924,NDays&amp;"D")</f>
        <v>59336</v>
      </c>
      <c r="Z2924" s="238">
        <v>3.3790242749120125E-2</v>
      </c>
      <c r="AA2924" s="240">
        <v>3.3064779998468463E-2</v>
      </c>
    </row>
    <row r="2925" spans="19:27" x14ac:dyDescent="0.2">
      <c r="S2925" s="199"/>
      <c r="T2925" s="200"/>
      <c r="W2925" s="233" t="str">
        <f t="shared" si="52"/>
        <v>1w</v>
      </c>
      <c r="X2925" s="234">
        <f>_xll.qlCalendarAdvance(Calendar,X2924,W2925,"f",FALSE)</f>
        <v>59343</v>
      </c>
      <c r="Y2925" s="237">
        <f>_xll.qlCalendarAdvance(Calendar,X2925,NDays&amp;"D")</f>
        <v>59343</v>
      </c>
      <c r="Z2925" s="238">
        <v>3.3797023084573441E-2</v>
      </c>
      <c r="AA2925" s="240">
        <v>3.3071130035191576E-2</v>
      </c>
    </row>
    <row r="2926" spans="19:27" x14ac:dyDescent="0.2">
      <c r="S2926" s="199"/>
      <c r="T2926" s="200"/>
      <c r="W2926" s="233" t="str">
        <f t="shared" si="52"/>
        <v>1w</v>
      </c>
      <c r="X2926" s="234">
        <f>_xll.qlCalendarAdvance(Calendar,X2925,W2926,"f",FALSE)</f>
        <v>59350</v>
      </c>
      <c r="Y2926" s="237">
        <f>_xll.qlCalendarAdvance(Calendar,X2926,NDays&amp;"D")</f>
        <v>59350</v>
      </c>
      <c r="Z2926" s="238">
        <v>3.380381178390568E-2</v>
      </c>
      <c r="AA2926" s="240">
        <v>3.3077488120215603E-2</v>
      </c>
    </row>
    <row r="2927" spans="19:27" x14ac:dyDescent="0.2">
      <c r="S2927" s="199"/>
      <c r="T2927" s="200"/>
      <c r="W2927" s="233" t="str">
        <f t="shared" si="52"/>
        <v>1w</v>
      </c>
      <c r="X2927" s="234">
        <f>_xll.qlCalendarAdvance(Calendar,X2926,W2927,"f",FALSE)</f>
        <v>59357</v>
      </c>
      <c r="Y2927" s="237">
        <f>_xll.qlCalendarAdvance(Calendar,X2927,NDays&amp;"D")</f>
        <v>59357</v>
      </c>
      <c r="Z2927" s="238">
        <v>3.3810608847280932E-2</v>
      </c>
      <c r="AA2927" s="240">
        <v>3.3083854253621592E-2</v>
      </c>
    </row>
    <row r="2928" spans="19:27" x14ac:dyDescent="0.2">
      <c r="S2928" s="199"/>
      <c r="T2928" s="200"/>
      <c r="W2928" s="233" t="str">
        <f t="shared" si="52"/>
        <v>1w</v>
      </c>
      <c r="X2928" s="234">
        <f>_xll.qlCalendarAdvance(Calendar,X2927,W2928,"f",FALSE)</f>
        <v>59364</v>
      </c>
      <c r="Y2928" s="237">
        <f>_xll.qlCalendarAdvance(Calendar,X2928,NDays&amp;"D")</f>
        <v>59364</v>
      </c>
      <c r="Z2928" s="238">
        <v>3.3817414274863289E-2</v>
      </c>
      <c r="AA2928" s="240">
        <v>3.309022843500431E-2</v>
      </c>
    </row>
    <row r="2929" spans="19:27" x14ac:dyDescent="0.2">
      <c r="S2929" s="199"/>
      <c r="T2929" s="200"/>
      <c r="W2929" s="233" t="str">
        <f t="shared" si="52"/>
        <v>1w</v>
      </c>
      <c r="X2929" s="234">
        <f>_xll.qlCalendarAdvance(Calendar,X2928,W2929,"f",FALSE)</f>
        <v>59371</v>
      </c>
      <c r="Y2929" s="237">
        <f>_xll.qlCalendarAdvance(Calendar,X2929,NDays&amp;"D")</f>
        <v>59371</v>
      </c>
      <c r="Z2929" s="238">
        <v>3.3824228066817952E-2</v>
      </c>
      <c r="AA2929" s="240">
        <v>3.3096610664687942E-2</v>
      </c>
    </row>
    <row r="2930" spans="19:27" x14ac:dyDescent="0.2">
      <c r="S2930" s="199"/>
      <c r="T2930" s="200"/>
      <c r="W2930" s="233" t="str">
        <f t="shared" si="52"/>
        <v>1w</v>
      </c>
      <c r="X2930" s="234">
        <f>_xll.qlCalendarAdvance(Calendar,X2929,W2930,"f",FALSE)</f>
        <v>59378</v>
      </c>
      <c r="Y2930" s="237">
        <f>_xll.qlCalendarAdvance(Calendar,X2930,NDays&amp;"D")</f>
        <v>59378</v>
      </c>
      <c r="Z2930" s="238">
        <v>3.3831050223309456E-2</v>
      </c>
      <c r="AA2930" s="240">
        <v>3.3103000942672489E-2</v>
      </c>
    </row>
    <row r="2931" spans="19:27" x14ac:dyDescent="0.2">
      <c r="S2931" s="199"/>
      <c r="T2931" s="200"/>
      <c r="W2931" s="233" t="str">
        <f t="shared" si="52"/>
        <v>1w</v>
      </c>
      <c r="X2931" s="234">
        <f>_xll.qlCalendarAdvance(Calendar,X2930,W2931,"f",FALSE)</f>
        <v>59385</v>
      </c>
      <c r="Y2931" s="237">
        <f>_xll.qlCalendarAdvance(Calendar,X2931,NDays&amp;"D")</f>
        <v>59385</v>
      </c>
      <c r="Z2931" s="238">
        <v>3.383788074450278E-2</v>
      </c>
      <c r="AA2931" s="240">
        <v>3.3109399268876905E-2</v>
      </c>
    </row>
    <row r="2932" spans="19:27" x14ac:dyDescent="0.2">
      <c r="S2932" s="199"/>
      <c r="T2932" s="200"/>
      <c r="W2932" s="233" t="str">
        <f t="shared" si="52"/>
        <v>1w</v>
      </c>
      <c r="X2932" s="234">
        <f>_xll.qlCalendarAdvance(Calendar,X2931,W2932,"f",FALSE)</f>
        <v>59392</v>
      </c>
      <c r="Y2932" s="237">
        <f>_xll.qlCalendarAdvance(Calendar,X2932,NDays&amp;"D")</f>
        <v>59392</v>
      </c>
      <c r="Z2932" s="238">
        <v>3.3844719630562681E-2</v>
      </c>
      <c r="AA2932" s="240">
        <v>3.3115805643058049E-2</v>
      </c>
    </row>
    <row r="2933" spans="19:27" x14ac:dyDescent="0.2">
      <c r="S2933" s="199"/>
      <c r="T2933" s="200"/>
      <c r="W2933" s="233" t="str">
        <f t="shared" si="52"/>
        <v>1w</v>
      </c>
      <c r="X2933" s="234">
        <f>_xll.qlCalendarAdvance(Calendar,X2932,W2933,"f",FALSE)</f>
        <v>59399</v>
      </c>
      <c r="Y2933" s="237">
        <f>_xll.qlCalendarAdvance(Calendar,X2933,NDays&amp;"D")</f>
        <v>59399</v>
      </c>
      <c r="Z2933" s="238">
        <v>3.385156688165547E-2</v>
      </c>
      <c r="AA2933" s="240">
        <v>3.3122220065621155E-2</v>
      </c>
    </row>
    <row r="2934" spans="19:27" x14ac:dyDescent="0.2">
      <c r="S2934" s="199"/>
      <c r="T2934" s="200"/>
      <c r="W2934" s="233" t="str">
        <f t="shared" si="52"/>
        <v>1w</v>
      </c>
      <c r="X2934" s="234">
        <f>_xll.qlCalendarAdvance(Calendar,X2933,W2934,"f",FALSE)</f>
        <v>59406</v>
      </c>
      <c r="Y2934" s="237">
        <f>_xll.qlCalendarAdvance(Calendar,X2934,NDays&amp;"D")</f>
        <v>59406</v>
      </c>
      <c r="Z2934" s="238">
        <v>3.3858422497946128E-2</v>
      </c>
      <c r="AA2934" s="240">
        <v>3.3128642536485176E-2</v>
      </c>
    </row>
    <row r="2935" spans="19:27" x14ac:dyDescent="0.2">
      <c r="S2935" s="199"/>
      <c r="T2935" s="200"/>
      <c r="W2935" s="233" t="str">
        <f t="shared" si="52"/>
        <v>1w</v>
      </c>
      <c r="X2935" s="234">
        <f>_xll.qlCalendarAdvance(Calendar,X2934,W2935,"f",FALSE)</f>
        <v>59413</v>
      </c>
      <c r="Y2935" s="237">
        <f>_xll.qlCalendarAdvance(Calendar,X2935,NDays&amp;"D")</f>
        <v>59413</v>
      </c>
      <c r="Z2935" s="238">
        <v>3.3865286479600298E-2</v>
      </c>
      <c r="AA2935" s="240">
        <v>3.3135073055488018E-2</v>
      </c>
    </row>
    <row r="2936" spans="19:27" x14ac:dyDescent="0.2">
      <c r="S2936" s="199"/>
      <c r="T2936" s="200"/>
      <c r="W2936" s="233" t="str">
        <f t="shared" si="52"/>
        <v>1w</v>
      </c>
      <c r="X2936" s="234">
        <f>_xll.qlCalendarAdvance(Calendar,X2935,W2936,"f",FALSE)</f>
        <v>59420</v>
      </c>
      <c r="Y2936" s="237">
        <f>_xll.qlCalendarAdvance(Calendar,X2936,NDays&amp;"D")</f>
        <v>59420</v>
      </c>
      <c r="Z2936" s="238">
        <v>3.3872158826784737E-2</v>
      </c>
      <c r="AA2936" s="240">
        <v>3.3141511622548636E-2</v>
      </c>
    </row>
    <row r="2937" spans="19:27" x14ac:dyDescent="0.2">
      <c r="S2937" s="199"/>
      <c r="T2937" s="200"/>
      <c r="W2937" s="233" t="str">
        <f t="shared" si="52"/>
        <v>1w</v>
      </c>
      <c r="X2937" s="234">
        <f>_xll.qlCalendarAdvance(Calendar,X2936,W2937,"f",FALSE)</f>
        <v>59427</v>
      </c>
      <c r="Y2937" s="237">
        <f>_xll.qlCalendarAdvance(Calendar,X2937,NDays&amp;"D")</f>
        <v>59427</v>
      </c>
      <c r="Z2937" s="238">
        <v>3.3879039539664868E-2</v>
      </c>
      <c r="AA2937" s="240">
        <v>3.3147958238153308E-2</v>
      </c>
    </row>
    <row r="2938" spans="19:27" x14ac:dyDescent="0.2">
      <c r="S2938" s="199"/>
      <c r="T2938" s="200"/>
      <c r="W2938" s="233" t="str">
        <f t="shared" si="52"/>
        <v>1w</v>
      </c>
      <c r="X2938" s="234">
        <f>_xll.qlCalendarAdvance(Calendar,X2937,W2938,"f",FALSE)</f>
        <v>59434</v>
      </c>
      <c r="Y2938" s="237">
        <f>_xll.qlCalendarAdvance(Calendar,X2938,NDays&amp;"D")</f>
        <v>59434</v>
      </c>
      <c r="Z2938" s="238">
        <v>3.3885928618407668E-2</v>
      </c>
      <c r="AA2938" s="240">
        <v>3.3154412901815755E-2</v>
      </c>
    </row>
    <row r="2939" spans="19:27" x14ac:dyDescent="0.2">
      <c r="S2939" s="199"/>
      <c r="T2939" s="200"/>
      <c r="W2939" s="233" t="str">
        <f t="shared" si="52"/>
        <v>1w</v>
      </c>
      <c r="X2939" s="234">
        <f>_xll.qlCalendarAdvance(Calendar,X2938,W2939,"f",FALSE)</f>
        <v>59441</v>
      </c>
      <c r="Y2939" s="237">
        <f>_xll.qlCalendarAdvance(Calendar,X2939,NDays&amp;"D")</f>
        <v>59441</v>
      </c>
      <c r="Z2939" s="238">
        <v>3.3892826063179449E-2</v>
      </c>
      <c r="AA2939" s="240">
        <v>3.3160875613535978E-2</v>
      </c>
    </row>
    <row r="2940" spans="19:27" x14ac:dyDescent="0.2">
      <c r="S2940" s="199"/>
      <c r="T2940" s="200"/>
      <c r="W2940" s="233" t="str">
        <f t="shared" si="52"/>
        <v>1w</v>
      </c>
      <c r="X2940" s="234">
        <f>_xll.qlCalendarAdvance(Calendar,X2939,W2940,"f",FALSE)</f>
        <v>59448</v>
      </c>
      <c r="Y2940" s="237">
        <f>_xll.qlCalendarAdvance(Calendar,X2940,NDays&amp;"D")</f>
        <v>59448</v>
      </c>
      <c r="Z2940" s="238">
        <v>3.389973187414741E-2</v>
      </c>
      <c r="AA2940" s="240">
        <v>3.3167346373800255E-2</v>
      </c>
    </row>
    <row r="2941" spans="19:27" x14ac:dyDescent="0.2">
      <c r="S2941" s="199"/>
      <c r="T2941" s="200"/>
      <c r="W2941" s="233" t="str">
        <f t="shared" si="52"/>
        <v>1w</v>
      </c>
      <c r="X2941" s="234">
        <f>_xll.qlCalendarAdvance(Calendar,X2940,W2941,"f",FALSE)</f>
        <v>59455</v>
      </c>
      <c r="Y2941" s="237">
        <f>_xll.qlCalendarAdvance(Calendar,X2941,NDays&amp;"D")</f>
        <v>59455</v>
      </c>
      <c r="Z2941" s="238">
        <v>3.3906646051478528E-2</v>
      </c>
      <c r="AA2941" s="240">
        <v>3.3173825182365446E-2</v>
      </c>
    </row>
    <row r="2942" spans="19:27" x14ac:dyDescent="0.2">
      <c r="S2942" s="199"/>
      <c r="T2942" s="200"/>
      <c r="W2942" s="233" t="str">
        <f t="shared" si="52"/>
        <v>1w</v>
      </c>
      <c r="X2942" s="234">
        <f>_xll.qlCalendarAdvance(Calendar,X2941,W2942,"f",FALSE)</f>
        <v>59462</v>
      </c>
      <c r="Y2942" s="237">
        <f>_xll.qlCalendarAdvance(Calendar,X2942,NDays&amp;"D")</f>
        <v>59462</v>
      </c>
      <c r="Z2942" s="238">
        <v>3.3913568595339116E-2</v>
      </c>
      <c r="AA2942" s="240">
        <v>3.3180312038745274E-2</v>
      </c>
    </row>
    <row r="2943" spans="19:27" x14ac:dyDescent="0.2">
      <c r="S2943" s="199"/>
      <c r="T2943" s="200"/>
      <c r="W2943" s="233" t="str">
        <f t="shared" si="52"/>
        <v>1w</v>
      </c>
      <c r="X2943" s="234">
        <f>_xll.qlCalendarAdvance(Calendar,X2942,W2943,"f",FALSE)</f>
        <v>59469</v>
      </c>
      <c r="Y2943" s="237">
        <f>_xll.qlCalendarAdvance(Calendar,X2943,NDays&amp;"D")</f>
        <v>59469</v>
      </c>
      <c r="Z2943" s="238">
        <v>3.3920499505897705E-2</v>
      </c>
      <c r="AA2943" s="240">
        <v>3.3186806943507063E-2</v>
      </c>
    </row>
    <row r="2944" spans="19:27" x14ac:dyDescent="0.2">
      <c r="S2944" s="199"/>
      <c r="T2944" s="200"/>
      <c r="W2944" s="233" t="str">
        <f t="shared" si="52"/>
        <v>1w</v>
      </c>
      <c r="X2944" s="234">
        <f>_xll.qlCalendarAdvance(Calendar,X2943,W2944,"f",FALSE)</f>
        <v>59476</v>
      </c>
      <c r="Y2944" s="237">
        <f>_xll.qlCalendarAdvance(Calendar,X2944,NDays&amp;"D")</f>
        <v>59476</v>
      </c>
      <c r="Z2944" s="238">
        <v>3.3927438783321495E-2</v>
      </c>
      <c r="AA2944" s="240">
        <v>3.3193309896488721E-2</v>
      </c>
    </row>
    <row r="2945" spans="19:27" x14ac:dyDescent="0.2">
      <c r="S2945" s="199"/>
      <c r="T2945" s="200"/>
      <c r="W2945" s="233" t="str">
        <f t="shared" si="52"/>
        <v>1w</v>
      </c>
      <c r="X2945" s="234">
        <f>_xll.qlCalendarAdvance(Calendar,X2944,W2945,"f",FALSE)</f>
        <v>59483</v>
      </c>
      <c r="Y2945" s="237">
        <f>_xll.qlCalendarAdvance(Calendar,X2945,NDays&amp;"D")</f>
        <v>59483</v>
      </c>
      <c r="Z2945" s="238">
        <v>3.3934386427778573E-2</v>
      </c>
      <c r="AA2945" s="240">
        <v>3.3199820897852339E-2</v>
      </c>
    </row>
    <row r="2946" spans="19:27" x14ac:dyDescent="0.2">
      <c r="S2946" s="199"/>
      <c r="T2946" s="200"/>
      <c r="W2946" s="233" t="str">
        <f t="shared" si="52"/>
        <v>1w</v>
      </c>
      <c r="X2946" s="234">
        <f>_xll.qlCalendarAdvance(Calendar,X2945,W2946,"f",FALSE)</f>
        <v>59490</v>
      </c>
      <c r="Y2946" s="237">
        <f>_xll.qlCalendarAdvance(Calendar,X2946,NDays&amp;"D")</f>
        <v>59490</v>
      </c>
      <c r="Z2946" s="238">
        <v>3.3941342439436362E-2</v>
      </c>
      <c r="AA2946" s="240">
        <v>3.3206339947273733E-2</v>
      </c>
    </row>
    <row r="2947" spans="19:27" x14ac:dyDescent="0.2">
      <c r="S2947" s="199"/>
      <c r="T2947" s="200"/>
      <c r="W2947" s="233" t="str">
        <f t="shared" si="52"/>
        <v>1w</v>
      </c>
      <c r="X2947" s="234">
        <f>_xll.qlCalendarAdvance(Calendar,X2946,W2947,"f",FALSE)</f>
        <v>59497</v>
      </c>
      <c r="Y2947" s="237">
        <f>_xll.qlCalendarAdvance(Calendar,X2947,NDays&amp;"D")</f>
        <v>59497</v>
      </c>
      <c r="Z2947" s="238">
        <v>3.3948306818464058E-2</v>
      </c>
      <c r="AA2947" s="240">
        <v>3.3212867044833949E-2</v>
      </c>
    </row>
    <row r="2948" spans="19:27" x14ac:dyDescent="0.2">
      <c r="S2948" s="199"/>
      <c r="T2948" s="200"/>
      <c r="W2948" s="233" t="str">
        <f t="shared" si="52"/>
        <v>1w</v>
      </c>
      <c r="X2948" s="234">
        <f>_xll.qlCalendarAdvance(Calendar,X2947,W2948,"f",FALSE)</f>
        <v>59504</v>
      </c>
      <c r="Y2948" s="237">
        <f>_xll.qlCalendarAdvance(Calendar,X2948,NDays&amp;"D")</f>
        <v>59504</v>
      </c>
      <c r="Z2948" s="238">
        <v>3.3955279565029528E-2</v>
      </c>
      <c r="AA2948" s="240">
        <v>3.3219402190857172E-2</v>
      </c>
    </row>
    <row r="2949" spans="19:27" x14ac:dyDescent="0.2">
      <c r="S2949" s="199"/>
      <c r="T2949" s="200"/>
      <c r="W2949" s="233" t="str">
        <f t="shared" si="52"/>
        <v>1w</v>
      </c>
      <c r="X2949" s="234">
        <f>_xll.qlCalendarAdvance(Calendar,X2948,W2949,"f",FALSE)</f>
        <v>59511</v>
      </c>
      <c r="Y2949" s="237">
        <f>_xll.qlCalendarAdvance(Calendar,X2949,NDays&amp;"D")</f>
        <v>59511</v>
      </c>
      <c r="Z2949" s="238">
        <v>3.3962260679301082E-2</v>
      </c>
      <c r="AA2949" s="240">
        <v>3.3225945385019218E-2</v>
      </c>
    </row>
    <row r="2950" spans="19:27" x14ac:dyDescent="0.2">
      <c r="S2950" s="199"/>
      <c r="T2950" s="200"/>
      <c r="W2950" s="233" t="str">
        <f t="shared" si="52"/>
        <v>1w</v>
      </c>
      <c r="X2950" s="234">
        <f>_xll.qlCalendarAdvance(Calendar,X2949,W2950,"f",FALSE)</f>
        <v>59518</v>
      </c>
      <c r="Y2950" s="237">
        <f>_xll.qlCalendarAdvance(Calendar,X2950,NDays&amp;"D")</f>
        <v>59518</v>
      </c>
      <c r="Z2950" s="238">
        <v>3.3969250161448139E-2</v>
      </c>
      <c r="AA2950" s="240">
        <v>3.3232496627239039E-2</v>
      </c>
    </row>
    <row r="2951" spans="19:27" x14ac:dyDescent="0.2">
      <c r="S2951" s="199"/>
      <c r="T2951" s="200"/>
      <c r="W2951" s="233" t="str">
        <f t="shared" si="52"/>
        <v>1w</v>
      </c>
      <c r="X2951" s="234">
        <f>_xll.qlCalendarAdvance(Calendar,X2950,W2951,"f",FALSE)</f>
        <v>59525</v>
      </c>
      <c r="Y2951" s="237">
        <f>_xll.qlCalendarAdvance(Calendar,X2951,NDays&amp;"D")</f>
        <v>59525</v>
      </c>
      <c r="Z2951" s="238">
        <v>3.3976248011639676E-2</v>
      </c>
      <c r="AA2951" s="240">
        <v>3.3239055917840821E-2</v>
      </c>
    </row>
    <row r="2952" spans="19:27" x14ac:dyDescent="0.2">
      <c r="S2952" s="199"/>
      <c r="T2952" s="200"/>
      <c r="W2952" s="233" t="str">
        <f t="shared" si="52"/>
        <v>1w</v>
      </c>
      <c r="X2952" s="234">
        <f>_xll.qlCalendarAdvance(Calendar,X2951,W2952,"f",FALSE)</f>
        <v>59532</v>
      </c>
      <c r="Y2952" s="237">
        <f>_xll.qlCalendarAdvance(Calendar,X2952,NDays&amp;"D")</f>
        <v>59532</v>
      </c>
      <c r="Z2952" s="238">
        <v>3.3983254230045112E-2</v>
      </c>
      <c r="AA2952" s="240">
        <v>3.3245623256743517E-2</v>
      </c>
    </row>
    <row r="2953" spans="19:27" x14ac:dyDescent="0.2">
      <c r="S2953" s="199"/>
      <c r="T2953" s="200"/>
      <c r="W2953" s="233" t="str">
        <f t="shared" si="52"/>
        <v>1w</v>
      </c>
      <c r="X2953" s="234">
        <f>_xll.qlCalendarAdvance(Calendar,X2952,W2953,"f",FALSE)</f>
        <v>59539</v>
      </c>
      <c r="Y2953" s="237">
        <f>_xll.qlCalendarAdvance(Calendar,X2953,NDays&amp;"D")</f>
        <v>59539</v>
      </c>
      <c r="Z2953" s="238">
        <v>3.3990268816833424E-2</v>
      </c>
      <c r="AA2953" s="240">
        <v>3.3252198643785036E-2</v>
      </c>
    </row>
    <row r="2954" spans="19:27" x14ac:dyDescent="0.2">
      <c r="S2954" s="199"/>
      <c r="T2954" s="200"/>
      <c r="W2954" s="233" t="str">
        <f t="shared" si="52"/>
        <v>1w</v>
      </c>
      <c r="X2954" s="234">
        <f>_xll.qlCalendarAdvance(Calendar,X2953,W2954,"f",FALSE)</f>
        <v>59546</v>
      </c>
      <c r="Y2954" s="237">
        <f>_xll.qlCalendarAdvance(Calendar,X2954,NDays&amp;"D")</f>
        <v>59546</v>
      </c>
      <c r="Z2954" s="238">
        <v>3.399729177217492E-2</v>
      </c>
      <c r="AA2954" s="240">
        <v>3.3258782079046423E-2</v>
      </c>
    </row>
    <row r="2955" spans="19:27" x14ac:dyDescent="0.2">
      <c r="S2955" s="199"/>
      <c r="T2955" s="200"/>
      <c r="W2955" s="233" t="str">
        <f t="shared" si="52"/>
        <v>1w</v>
      </c>
      <c r="X2955" s="234">
        <f>_xll.qlCalendarAdvance(Calendar,X2954,W2955,"f",FALSE)</f>
        <v>59553</v>
      </c>
      <c r="Y2955" s="237">
        <f>_xll.qlCalendarAdvance(Calendar,X2955,NDays&amp;"D")</f>
        <v>59553</v>
      </c>
      <c r="Z2955" s="238">
        <v>3.4004323096238354E-2</v>
      </c>
      <c r="AA2955" s="240">
        <v>3.3265373562608724E-2</v>
      </c>
    </row>
    <row r="2956" spans="19:27" x14ac:dyDescent="0.2">
      <c r="S2956" s="199"/>
      <c r="T2956" s="200"/>
      <c r="W2956" s="233" t="str">
        <f t="shared" si="52"/>
        <v>1w</v>
      </c>
      <c r="X2956" s="234">
        <f>_xll.qlCalendarAdvance(Calendar,X2955,W2956,"f",FALSE)</f>
        <v>59560</v>
      </c>
      <c r="Y2956" s="237">
        <f>_xll.qlCalendarAdvance(Calendar,X2956,NDays&amp;"D")</f>
        <v>59560</v>
      </c>
      <c r="Z2956" s="238">
        <v>3.4011362789195365E-2</v>
      </c>
      <c r="AA2956" s="240">
        <v>3.3271973094309848E-2</v>
      </c>
    </row>
    <row r="2957" spans="19:27" x14ac:dyDescent="0.2">
      <c r="S2957" s="199"/>
      <c r="T2957" s="200"/>
      <c r="W2957" s="233" t="str">
        <f t="shared" si="52"/>
        <v>1w</v>
      </c>
      <c r="X2957" s="234">
        <f>_xll.qlCalendarAdvance(Calendar,X2956,W2957,"f",FALSE)</f>
        <v>59567</v>
      </c>
      <c r="Y2957" s="237">
        <f>_xll.qlCalendarAdvance(Calendar,X2957,NDays&amp;"D")</f>
        <v>59567</v>
      </c>
      <c r="Z2957" s="238">
        <v>3.4018410851214709E-2</v>
      </c>
      <c r="AA2957" s="240">
        <v>3.327858067423084E-2</v>
      </c>
    </row>
    <row r="2958" spans="19:27" x14ac:dyDescent="0.2">
      <c r="S2958" s="199"/>
      <c r="T2958" s="200"/>
      <c r="W2958" s="233" t="str">
        <f t="shared" si="52"/>
        <v>1w</v>
      </c>
      <c r="X2958" s="234">
        <f>_xll.qlCalendarAdvance(Calendar,X2957,W2958,"f",FALSE)</f>
        <v>59574</v>
      </c>
      <c r="Y2958" s="237">
        <f>_xll.qlCalendarAdvance(Calendar,X2958,NDays&amp;"D")</f>
        <v>59574</v>
      </c>
      <c r="Z2958" s="238">
        <v>3.4025467282467803E-2</v>
      </c>
      <c r="AA2958" s="240">
        <v>3.32851963023717E-2</v>
      </c>
    </row>
    <row r="2959" spans="19:27" x14ac:dyDescent="0.2">
      <c r="S2959" s="199"/>
      <c r="T2959" s="200"/>
      <c r="W2959" s="233" t="str">
        <f t="shared" si="52"/>
        <v>1w</v>
      </c>
      <c r="X2959" s="234">
        <f>_xll.qlCalendarAdvance(Calendar,X2958,W2959,"f",FALSE)</f>
        <v>59581</v>
      </c>
      <c r="Y2959" s="237">
        <f>_xll.qlCalendarAdvance(Calendar,X2959,NDays&amp;"D")</f>
        <v>59581</v>
      </c>
      <c r="Z2959" s="238">
        <v>3.4032532083125622E-2</v>
      </c>
      <c r="AA2959" s="240">
        <v>3.3291819978894521E-2</v>
      </c>
    </row>
    <row r="2960" spans="19:27" x14ac:dyDescent="0.2">
      <c r="S2960" s="199"/>
      <c r="T2960" s="200"/>
      <c r="W2960" s="233" t="str">
        <f t="shared" si="52"/>
        <v>1w</v>
      </c>
      <c r="X2960" s="234">
        <f>_xll.qlCalendarAdvance(Calendar,X2959,W2960,"f",FALSE)</f>
        <v>59588</v>
      </c>
      <c r="Y2960" s="237">
        <f>_xll.qlCalendarAdvance(Calendar,X2960,NDays&amp;"D")</f>
        <v>59588</v>
      </c>
      <c r="Z2960" s="238">
        <v>3.4039605253357808E-2</v>
      </c>
      <c r="AA2960" s="240">
        <v>3.3298451703556164E-2</v>
      </c>
    </row>
    <row r="2961" spans="19:27" x14ac:dyDescent="0.2">
      <c r="S2961" s="199"/>
      <c r="T2961" s="200"/>
      <c r="W2961" s="233" t="str">
        <f t="shared" si="52"/>
        <v>1w</v>
      </c>
      <c r="X2961" s="234">
        <f>_xll.qlCalendarAdvance(Calendar,X2960,W2961,"f",FALSE)</f>
        <v>59595</v>
      </c>
      <c r="Y2961" s="237">
        <f>_xll.qlCalendarAdvance(Calendar,X2961,NDays&amp;"D")</f>
        <v>59595</v>
      </c>
      <c r="Z2961" s="238">
        <v>3.4048768398616154E-2</v>
      </c>
      <c r="AA2961" s="240">
        <v>3.330509147635663E-2</v>
      </c>
    </row>
    <row r="2962" spans="19:27" x14ac:dyDescent="0.2">
      <c r="S2962" s="199"/>
      <c r="T2962" s="200"/>
      <c r="W2962" s="233" t="str">
        <f t="shared" si="52"/>
        <v>1w</v>
      </c>
      <c r="X2962" s="234">
        <f>_xll.qlCalendarAdvance(Calendar,X2961,W2962,"f",FALSE)</f>
        <v>59602</v>
      </c>
      <c r="Y2962" s="237">
        <f>_xll.qlCalendarAdvance(Calendar,X2962,NDays&amp;"D")</f>
        <v>59602</v>
      </c>
      <c r="Z2962" s="238">
        <v>3.4055859556894504E-2</v>
      </c>
      <c r="AA2962" s="240">
        <v>3.3311739297620102E-2</v>
      </c>
    </row>
    <row r="2963" spans="19:27" x14ac:dyDescent="0.2">
      <c r="S2963" s="199"/>
      <c r="T2963" s="200"/>
      <c r="W2963" s="233" t="str">
        <f t="shared" si="52"/>
        <v>1w</v>
      </c>
      <c r="X2963" s="234">
        <f>_xll.qlCalendarAdvance(Calendar,X2962,W2963,"f",FALSE)</f>
        <v>59609</v>
      </c>
      <c r="Y2963" s="237">
        <f>_xll.qlCalendarAdvance(Calendar,X2963,NDays&amp;"D")</f>
        <v>59609</v>
      </c>
      <c r="Z2963" s="238">
        <v>3.406295908617548E-2</v>
      </c>
      <c r="AA2963" s="240">
        <v>3.331839516694135E-2</v>
      </c>
    </row>
    <row r="2964" spans="19:27" x14ac:dyDescent="0.2">
      <c r="S2964" s="199"/>
      <c r="T2964" s="200"/>
      <c r="W2964" s="233" t="str">
        <f t="shared" si="52"/>
        <v>1w</v>
      </c>
      <c r="X2964" s="234">
        <f>_xll.qlCalendarAdvance(Calendar,X2963,W2964,"f",FALSE)</f>
        <v>59616</v>
      </c>
      <c r="Y2964" s="237">
        <f>_xll.qlCalendarAdvance(Calendar,X2964,NDays&amp;"D")</f>
        <v>59616</v>
      </c>
      <c r="Z2964" s="238">
        <v>3.4070066986631134E-2</v>
      </c>
      <c r="AA2964" s="240">
        <v>3.3325059084482467E-2</v>
      </c>
    </row>
    <row r="2965" spans="19:27" x14ac:dyDescent="0.2">
      <c r="S2965" s="199"/>
      <c r="T2965" s="200"/>
      <c r="W2965" s="233" t="str">
        <f t="shared" ref="W2965:W3028" si="53">W2964</f>
        <v>1w</v>
      </c>
      <c r="X2965" s="234">
        <f>_xll.qlCalendarAdvance(Calendar,X2964,W2965,"f",FALSE)</f>
        <v>59623</v>
      </c>
      <c r="Y2965" s="237">
        <f>_xll.qlCalendarAdvance(Calendar,X2965,NDays&amp;"D")</f>
        <v>59623</v>
      </c>
      <c r="Z2965" s="238">
        <v>3.4077183258433751E-2</v>
      </c>
      <c r="AA2965" s="240">
        <v>3.3331731050243452E-2</v>
      </c>
    </row>
    <row r="2966" spans="19:27" x14ac:dyDescent="0.2">
      <c r="S2966" s="199"/>
      <c r="T2966" s="200"/>
      <c r="W2966" s="233" t="str">
        <f t="shared" si="53"/>
        <v>1w</v>
      </c>
      <c r="X2966" s="234">
        <f>_xll.qlCalendarAdvance(Calendar,X2965,W2966,"f",FALSE)</f>
        <v>59630</v>
      </c>
      <c r="Y2966" s="237">
        <f>_xll.qlCalendarAdvance(Calendar,X2966,NDays&amp;"D")</f>
        <v>59630</v>
      </c>
      <c r="Z2966" s="238">
        <v>3.4092661806755381E-2</v>
      </c>
      <c r="AA2966" s="240">
        <v>3.3338411064386397E-2</v>
      </c>
    </row>
    <row r="2967" spans="19:27" x14ac:dyDescent="0.2">
      <c r="S2967" s="199"/>
      <c r="T2967" s="200"/>
      <c r="W2967" s="233" t="str">
        <f t="shared" si="53"/>
        <v>1w</v>
      </c>
      <c r="X2967" s="234">
        <f>_xll.qlCalendarAdvance(Calendar,X2966,W2967,"f",FALSE)</f>
        <v>59637</v>
      </c>
      <c r="Y2967" s="237">
        <f>_xll.qlCalendarAdvance(Calendar,X2967,NDays&amp;"D")</f>
        <v>59637</v>
      </c>
      <c r="Z2967" s="238">
        <v>3.4091440916772089E-2</v>
      </c>
      <c r="AA2967" s="240">
        <v>3.3345099126668165E-2</v>
      </c>
    </row>
    <row r="2968" spans="19:27" x14ac:dyDescent="0.2">
      <c r="S2968" s="199"/>
      <c r="T2968" s="200"/>
      <c r="W2968" s="233" t="str">
        <f t="shared" si="53"/>
        <v>1w</v>
      </c>
      <c r="X2968" s="234">
        <f>_xll.qlCalendarAdvance(Calendar,X2967,W2968,"f",FALSE)</f>
        <v>59644</v>
      </c>
      <c r="Y2968" s="237">
        <f>_xll.qlCalendarAdvance(Calendar,X2968,NDays&amp;"D")</f>
        <v>59644</v>
      </c>
      <c r="Z2968" s="238">
        <v>3.4098582303653029E-2</v>
      </c>
      <c r="AA2968" s="240">
        <v>3.3351795237088755E-2</v>
      </c>
    </row>
    <row r="2969" spans="19:27" x14ac:dyDescent="0.2">
      <c r="S2969" s="199"/>
      <c r="T2969" s="200"/>
      <c r="W2969" s="233" t="str">
        <f t="shared" si="53"/>
        <v>1w</v>
      </c>
      <c r="X2969" s="234">
        <f>_xll.qlCalendarAdvance(Calendar,X2968,W2969,"f",FALSE)</f>
        <v>59651</v>
      </c>
      <c r="Y2969" s="237">
        <f>_xll.qlCalendarAdvance(Calendar,X2969,NDays&amp;"D")</f>
        <v>59651</v>
      </c>
      <c r="Z2969" s="238">
        <v>3.4105732062572919E-2</v>
      </c>
      <c r="AA2969" s="240">
        <v>3.3358499395891306E-2</v>
      </c>
    </row>
    <row r="2970" spans="19:27" x14ac:dyDescent="0.2">
      <c r="S2970" s="199"/>
      <c r="T2970" s="200"/>
      <c r="W2970" s="233" t="str">
        <f t="shared" si="53"/>
        <v>1w</v>
      </c>
      <c r="X2970" s="234">
        <f>_xll.qlCalendarAdvance(Calendar,X2969,W2970,"f",FALSE)</f>
        <v>59658</v>
      </c>
      <c r="Y2970" s="237">
        <f>_xll.qlCalendarAdvance(Calendar,X2970,NDays&amp;"D")</f>
        <v>59658</v>
      </c>
      <c r="Z2970" s="238">
        <v>3.4112890193705371E-2</v>
      </c>
      <c r="AA2970" s="240">
        <v>3.3365211602994771E-2</v>
      </c>
    </row>
    <row r="2971" spans="19:27" x14ac:dyDescent="0.2">
      <c r="S2971" s="199"/>
      <c r="T2971" s="200"/>
      <c r="W2971" s="233" t="str">
        <f t="shared" si="53"/>
        <v>1w</v>
      </c>
      <c r="X2971" s="234">
        <f>_xll.qlCalendarAdvance(Calendar,X2970,W2971,"f",FALSE)</f>
        <v>59665</v>
      </c>
      <c r="Y2971" s="237">
        <f>_xll.qlCalendarAdvance(Calendar,X2971,NDays&amp;"D")</f>
        <v>59665</v>
      </c>
      <c r="Z2971" s="238">
        <v>3.4120056697223775E-2</v>
      </c>
      <c r="AA2971" s="240">
        <v>3.3371931858156012E-2</v>
      </c>
    </row>
    <row r="2972" spans="19:27" x14ac:dyDescent="0.2">
      <c r="S2972" s="199"/>
      <c r="T2972" s="200"/>
      <c r="W2972" s="233" t="str">
        <f t="shared" si="53"/>
        <v>1w</v>
      </c>
      <c r="X2972" s="234">
        <f>_xll.qlCalendarAdvance(Calendar,X2971,W2972,"f",FALSE)</f>
        <v>59672</v>
      </c>
      <c r="Y2972" s="237">
        <f>_xll.qlCalendarAdvance(Calendar,X2972,NDays&amp;"D")</f>
        <v>59672</v>
      </c>
      <c r="Z2972" s="238">
        <v>3.4127231573301733E-2</v>
      </c>
      <c r="AA2972" s="240">
        <v>3.3378660161537121E-2</v>
      </c>
    </row>
    <row r="2973" spans="19:27" x14ac:dyDescent="0.2">
      <c r="S2973" s="199"/>
      <c r="T2973" s="200"/>
      <c r="W2973" s="233" t="str">
        <f t="shared" si="53"/>
        <v>1w</v>
      </c>
      <c r="X2973" s="234">
        <f>_xll.qlCalendarAdvance(Calendar,X2972,W2973,"f",FALSE)</f>
        <v>59679</v>
      </c>
      <c r="Y2973" s="237">
        <f>_xll.qlCalendarAdvance(Calendar,X2973,NDays&amp;"D")</f>
        <v>59679</v>
      </c>
      <c r="Z2973" s="238">
        <v>3.413441482211374E-2</v>
      </c>
      <c r="AA2973" s="240">
        <v>3.3385396513300192E-2</v>
      </c>
    </row>
    <row r="2974" spans="19:27" x14ac:dyDescent="0.2">
      <c r="S2974" s="199"/>
      <c r="T2974" s="200"/>
      <c r="W2974" s="233" t="str">
        <f t="shared" si="53"/>
        <v>1w</v>
      </c>
      <c r="X2974" s="234">
        <f>_xll.qlCalendarAdvance(Calendar,X2973,W2974,"f",FALSE)</f>
        <v>59686</v>
      </c>
      <c r="Y2974" s="237">
        <f>_xll.qlCalendarAdvance(Calendar,X2974,NDays&amp;"D")</f>
        <v>59686</v>
      </c>
      <c r="Z2974" s="238">
        <v>3.4141606443833621E-2</v>
      </c>
      <c r="AA2974" s="240">
        <v>3.3392140913202084E-2</v>
      </c>
    </row>
    <row r="2975" spans="19:27" x14ac:dyDescent="0.2">
      <c r="S2975" s="199"/>
      <c r="T2975" s="200"/>
      <c r="W2975" s="233" t="str">
        <f t="shared" si="53"/>
        <v>1w</v>
      </c>
      <c r="X2975" s="234">
        <f>_xll.qlCalendarAdvance(Calendar,X2974,W2975,"f",FALSE)</f>
        <v>59693</v>
      </c>
      <c r="Y2975" s="237">
        <f>_xll.qlCalendarAdvance(Calendar,X2975,NDays&amp;"D")</f>
        <v>59693</v>
      </c>
      <c r="Z2975" s="238">
        <v>3.4148806438635652E-2</v>
      </c>
      <c r="AA2975" s="240">
        <v>3.3398893361323845E-2</v>
      </c>
    </row>
    <row r="2976" spans="19:27" x14ac:dyDescent="0.2">
      <c r="S2976" s="199"/>
      <c r="T2976" s="200"/>
      <c r="W2976" s="233" t="str">
        <f t="shared" si="53"/>
        <v>1w</v>
      </c>
      <c r="X2976" s="234">
        <f>_xll.qlCalendarAdvance(Calendar,X2975,W2976,"f",FALSE)</f>
        <v>59700</v>
      </c>
      <c r="Y2976" s="237">
        <f>_xll.qlCalendarAdvance(Calendar,X2976,NDays&amp;"D")</f>
        <v>59700</v>
      </c>
      <c r="Z2976" s="238">
        <v>3.415601480669566E-2</v>
      </c>
      <c r="AA2976" s="240">
        <v>3.340565385774652E-2</v>
      </c>
    </row>
    <row r="2977" spans="19:27" x14ac:dyDescent="0.2">
      <c r="S2977" s="199"/>
      <c r="T2977" s="200"/>
      <c r="W2977" s="233" t="str">
        <f t="shared" si="53"/>
        <v>1w</v>
      </c>
      <c r="X2977" s="234">
        <f>_xll.qlCalendarAdvance(Calendar,X2976,W2977,"f",FALSE)</f>
        <v>59707</v>
      </c>
      <c r="Y2977" s="237">
        <f>_xll.qlCalendarAdvance(Calendar,X2977,NDays&amp;"D")</f>
        <v>59707</v>
      </c>
      <c r="Z2977" s="238">
        <v>3.4163231548187241E-2</v>
      </c>
      <c r="AA2977" s="240">
        <v>3.341242240247011E-2</v>
      </c>
    </row>
    <row r="2978" spans="19:27" x14ac:dyDescent="0.2">
      <c r="S2978" s="199"/>
      <c r="T2978" s="200"/>
      <c r="W2978" s="233" t="str">
        <f t="shared" si="53"/>
        <v>1w</v>
      </c>
      <c r="X2978" s="234">
        <f>_xll.qlCalendarAdvance(Calendar,X2977,W2978,"f",FALSE)</f>
        <v>59714</v>
      </c>
      <c r="Y2978" s="237">
        <f>_xll.qlCalendarAdvance(Calendar,X2978,NDays&amp;"D")</f>
        <v>59714</v>
      </c>
      <c r="Z2978" s="238">
        <v>3.4170456663285775E-2</v>
      </c>
      <c r="AA2978" s="240">
        <v>3.3419198995251476E-2</v>
      </c>
    </row>
    <row r="2979" spans="19:27" x14ac:dyDescent="0.2">
      <c r="S2979" s="199"/>
      <c r="T2979" s="200"/>
      <c r="W2979" s="233" t="str">
        <f t="shared" si="53"/>
        <v>1w</v>
      </c>
      <c r="X2979" s="234">
        <f>_xll.qlCalendarAdvance(Calendar,X2978,W2979,"f",FALSE)</f>
        <v>59721</v>
      </c>
      <c r="Y2979" s="237">
        <f>_xll.qlCalendarAdvance(Calendar,X2979,NDays&amp;"D")</f>
        <v>59721</v>
      </c>
      <c r="Z2979" s="238">
        <v>3.417769008013577E-2</v>
      </c>
      <c r="AA2979" s="240">
        <v>3.3425983636414802E-2</v>
      </c>
    </row>
    <row r="2980" spans="19:27" x14ac:dyDescent="0.2">
      <c r="S2980" s="199"/>
      <c r="T2980" s="200"/>
      <c r="W2980" s="233" t="str">
        <f t="shared" si="53"/>
        <v>1w</v>
      </c>
      <c r="X2980" s="234">
        <f>_xll.qlCalendarAdvance(Calendar,X2979,W2980,"f",FALSE)</f>
        <v>59728</v>
      </c>
      <c r="Y2980" s="237">
        <f>_xll.qlCalendarAdvance(Calendar,X2980,NDays&amp;"D")</f>
        <v>59728</v>
      </c>
      <c r="Z2980" s="238">
        <v>3.4184931438753556E-2</v>
      </c>
      <c r="AA2980" s="240">
        <v>3.3432776325797997E-2</v>
      </c>
    </row>
    <row r="2981" spans="19:27" x14ac:dyDescent="0.2">
      <c r="S2981" s="199"/>
      <c r="T2981" s="200"/>
      <c r="W2981" s="233" t="str">
        <f t="shared" si="53"/>
        <v>1w</v>
      </c>
      <c r="X2981" s="234">
        <f>_xll.qlCalendarAdvance(Calendar,X2980,W2981,"f",FALSE)</f>
        <v>59735</v>
      </c>
      <c r="Y2981" s="237">
        <f>_xll.qlCalendarAdvance(Calendar,X2981,NDays&amp;"D")</f>
        <v>59735</v>
      </c>
      <c r="Z2981" s="238">
        <v>3.4192180307113296E-2</v>
      </c>
      <c r="AA2981" s="240">
        <v>3.343957706340106E-2</v>
      </c>
    </row>
    <row r="2982" spans="19:27" x14ac:dyDescent="0.2">
      <c r="S2982" s="199"/>
      <c r="T2982" s="200"/>
      <c r="W2982" s="233" t="str">
        <f t="shared" si="53"/>
        <v>1w</v>
      </c>
      <c r="X2982" s="234">
        <f>_xll.qlCalendarAdvance(Calendar,X2981,W2982,"f",FALSE)</f>
        <v>59742</v>
      </c>
      <c r="Y2982" s="237">
        <f>_xll.qlCalendarAdvance(Calendar,X2982,NDays&amp;"D")</f>
        <v>59742</v>
      </c>
      <c r="Z2982" s="238">
        <v>3.4199436253177645E-2</v>
      </c>
      <c r="AA2982" s="240">
        <v>3.3446385849305038E-2</v>
      </c>
    </row>
    <row r="2983" spans="19:27" x14ac:dyDescent="0.2">
      <c r="S2983" s="199"/>
      <c r="T2983" s="200"/>
      <c r="W2983" s="233" t="str">
        <f t="shared" si="53"/>
        <v>1w</v>
      </c>
      <c r="X2983" s="234">
        <f>_xll.qlCalendarAdvance(Calendar,X2982,W2983,"f",FALSE)</f>
        <v>59749</v>
      </c>
      <c r="Y2983" s="237">
        <f>_xll.qlCalendarAdvance(Calendar,X2983,NDays&amp;"D")</f>
        <v>59749</v>
      </c>
      <c r="Z2983" s="238">
        <v>3.4206698844895966E-2</v>
      </c>
      <c r="AA2983" s="240">
        <v>3.3453202683266792E-2</v>
      </c>
    </row>
    <row r="2984" spans="19:27" x14ac:dyDescent="0.2">
      <c r="S2984" s="199"/>
      <c r="T2984" s="200"/>
      <c r="W2984" s="233" t="str">
        <f t="shared" si="53"/>
        <v>1w</v>
      </c>
      <c r="X2984" s="234">
        <f>_xll.qlCalendarAdvance(Calendar,X2983,W2984,"f",FALSE)</f>
        <v>59756</v>
      </c>
      <c r="Y2984" s="237">
        <f>_xll.qlCalendarAdvance(Calendar,X2984,NDays&amp;"D")</f>
        <v>59756</v>
      </c>
      <c r="Z2984" s="238">
        <v>3.4213967650208094E-2</v>
      </c>
      <c r="AA2984" s="240">
        <v>3.3460027565610506E-2</v>
      </c>
    </row>
    <row r="2985" spans="19:27" x14ac:dyDescent="0.2">
      <c r="S2985" s="199"/>
      <c r="T2985" s="200"/>
      <c r="W2985" s="233" t="str">
        <f t="shared" si="53"/>
        <v>1w</v>
      </c>
      <c r="X2985" s="234">
        <f>_xll.qlCalendarAdvance(Calendar,X2984,W2985,"f",FALSE)</f>
        <v>59763</v>
      </c>
      <c r="Y2985" s="237">
        <f>_xll.qlCalendarAdvance(Calendar,X2985,NDays&amp;"D")</f>
        <v>59763</v>
      </c>
      <c r="Z2985" s="238">
        <v>3.4221242237039928E-2</v>
      </c>
      <c r="AA2985" s="240">
        <v>3.3466860496336182E-2</v>
      </c>
    </row>
    <row r="2986" spans="19:27" x14ac:dyDescent="0.2">
      <c r="S2986" s="199"/>
      <c r="T2986" s="200"/>
      <c r="W2986" s="233" t="str">
        <f t="shared" si="53"/>
        <v>1w</v>
      </c>
      <c r="X2986" s="234">
        <f>_xll.qlCalendarAdvance(Calendar,X2985,W2986,"f",FALSE)</f>
        <v>59770</v>
      </c>
      <c r="Y2986" s="237">
        <f>_xll.qlCalendarAdvance(Calendar,X2986,NDays&amp;"D")</f>
        <v>59770</v>
      </c>
      <c r="Z2986" s="238">
        <v>3.4228522173304063E-2</v>
      </c>
      <c r="AA2986" s="240">
        <v>3.347370147495754E-2</v>
      </c>
    </row>
    <row r="2987" spans="19:27" x14ac:dyDescent="0.2">
      <c r="S2987" s="199"/>
      <c r="T2987" s="200"/>
      <c r="W2987" s="233" t="str">
        <f t="shared" si="53"/>
        <v>1w</v>
      </c>
      <c r="X2987" s="234">
        <f>_xll.qlCalendarAdvance(Calendar,X2986,W2987,"f",FALSE)</f>
        <v>59777</v>
      </c>
      <c r="Y2987" s="237">
        <f>_xll.qlCalendarAdvance(Calendar,X2987,NDays&amp;"D")</f>
        <v>59777</v>
      </c>
      <c r="Z2987" s="238">
        <v>3.4235807026904694E-2</v>
      </c>
      <c r="AA2987" s="240">
        <v>3.3480550502122952E-2</v>
      </c>
    </row>
    <row r="2988" spans="19:27" x14ac:dyDescent="0.2">
      <c r="S2988" s="199"/>
      <c r="T2988" s="200"/>
      <c r="W2988" s="233" t="str">
        <f t="shared" si="53"/>
        <v>1w</v>
      </c>
      <c r="X2988" s="234">
        <f>_xll.qlCalendarAdvance(Calendar,X2987,W2988,"f",FALSE)</f>
        <v>59784</v>
      </c>
      <c r="Y2988" s="237">
        <f>_xll.qlCalendarAdvance(Calendar,X2988,NDays&amp;"D")</f>
        <v>59784</v>
      </c>
      <c r="Z2988" s="238">
        <v>3.4243096365730738E-2</v>
      </c>
      <c r="AA2988" s="240">
        <v>3.3487407577427186E-2</v>
      </c>
    </row>
    <row r="2989" spans="19:27" x14ac:dyDescent="0.2">
      <c r="S2989" s="199"/>
      <c r="T2989" s="200"/>
      <c r="W2989" s="233" t="str">
        <f t="shared" si="53"/>
        <v>1w</v>
      </c>
      <c r="X2989" s="234">
        <f>_xll.qlCalendarAdvance(Calendar,X2988,W2989,"f",FALSE)</f>
        <v>59791</v>
      </c>
      <c r="Y2989" s="237">
        <f>_xll.qlCalendarAdvance(Calendar,X2989,NDays&amp;"D")</f>
        <v>59791</v>
      </c>
      <c r="Z2989" s="238">
        <v>3.4250389757660017E-2</v>
      </c>
      <c r="AA2989" s="240">
        <v>3.3494272700951289E-2</v>
      </c>
    </row>
    <row r="2990" spans="19:27" x14ac:dyDescent="0.2">
      <c r="S2990" s="199"/>
      <c r="T2990" s="200"/>
      <c r="W2990" s="233" t="str">
        <f t="shared" si="53"/>
        <v>1w</v>
      </c>
      <c r="X2990" s="234">
        <f>_xll.qlCalendarAdvance(Calendar,X2989,W2990,"f",FALSE)</f>
        <v>59798</v>
      </c>
      <c r="Y2990" s="237">
        <f>_xll.qlCalendarAdvance(Calendar,X2990,NDays&amp;"D")</f>
        <v>59798</v>
      </c>
      <c r="Z2990" s="238">
        <v>3.4257686770557766E-2</v>
      </c>
      <c r="AA2990" s="240">
        <v>3.3501145872695259E-2</v>
      </c>
    </row>
    <row r="2991" spans="19:27" x14ac:dyDescent="0.2">
      <c r="S2991" s="199"/>
      <c r="T2991" s="200"/>
      <c r="W2991" s="233" t="str">
        <f t="shared" si="53"/>
        <v>1w</v>
      </c>
      <c r="X2991" s="234">
        <f>_xll.qlCalendarAdvance(Calendar,X2990,W2991,"f",FALSE)</f>
        <v>59805</v>
      </c>
      <c r="Y2991" s="237">
        <f>_xll.qlCalendarAdvance(Calendar,X2991,NDays&amp;"D")</f>
        <v>59805</v>
      </c>
      <c r="Z2991" s="238">
        <v>3.4264986972278776E-2</v>
      </c>
      <c r="AA2991" s="240">
        <v>3.3508027092740145E-2</v>
      </c>
    </row>
    <row r="2992" spans="19:27" x14ac:dyDescent="0.2">
      <c r="S2992" s="199"/>
      <c r="T2992" s="200"/>
      <c r="W2992" s="233" t="str">
        <f t="shared" si="53"/>
        <v>1w</v>
      </c>
      <c r="X2992" s="234">
        <f>_xll.qlCalendarAdvance(Calendar,X2991,W2992,"f",FALSE)</f>
        <v>59812</v>
      </c>
      <c r="Y2992" s="237">
        <f>_xll.qlCalendarAdvance(Calendar,X2992,NDays&amp;"D")</f>
        <v>59812</v>
      </c>
      <c r="Z2992" s="238">
        <v>3.4272289930662593E-2</v>
      </c>
      <c r="AA2992" s="240">
        <v>3.3514916361004898E-2</v>
      </c>
    </row>
    <row r="2993" spans="19:27" x14ac:dyDescent="0.2">
      <c r="S2993" s="199"/>
      <c r="T2993" s="200"/>
      <c r="W2993" s="233" t="str">
        <f t="shared" si="53"/>
        <v>1w</v>
      </c>
      <c r="X2993" s="234">
        <f>_xll.qlCalendarAdvance(Calendar,X2992,W2993,"f",FALSE)</f>
        <v>59819</v>
      </c>
      <c r="Y2993" s="237">
        <f>_xll.qlCalendarAdvance(Calendar,X2993,NDays&amp;"D")</f>
        <v>59819</v>
      </c>
      <c r="Z2993" s="238">
        <v>3.4279595213539217E-2</v>
      </c>
      <c r="AA2993" s="240">
        <v>3.3521813677651613E-2</v>
      </c>
    </row>
    <row r="2994" spans="19:27" x14ac:dyDescent="0.2">
      <c r="S2994" s="199"/>
      <c r="T2994" s="200"/>
      <c r="W2994" s="233" t="str">
        <f t="shared" si="53"/>
        <v>1w</v>
      </c>
      <c r="X2994" s="234">
        <f>_xll.qlCalendarAdvance(Calendar,X2993,W2994,"f",FALSE)</f>
        <v>59826</v>
      </c>
      <c r="Y2994" s="237">
        <f>_xll.qlCalendarAdvance(Calendar,X2994,NDays&amp;"D")</f>
        <v>59826</v>
      </c>
      <c r="Z2994" s="238">
        <v>3.4286902388724928E-2</v>
      </c>
      <c r="AA2994" s="240">
        <v>3.3528719042356103E-2</v>
      </c>
    </row>
    <row r="2995" spans="19:27" x14ac:dyDescent="0.2">
      <c r="S2995" s="199"/>
      <c r="T2995" s="200"/>
      <c r="W2995" s="233" t="str">
        <f t="shared" si="53"/>
        <v>1w</v>
      </c>
      <c r="X2995" s="234">
        <f>_xll.qlCalendarAdvance(Calendar,X2994,W2995,"f",FALSE)</f>
        <v>59833</v>
      </c>
      <c r="Y2995" s="237">
        <f>_xll.qlCalendarAdvance(Calendar,X2995,NDays&amp;"D")</f>
        <v>59833</v>
      </c>
      <c r="Z2995" s="238">
        <v>3.4294211024024489E-2</v>
      </c>
      <c r="AA2995" s="240">
        <v>3.3535632455280462E-2</v>
      </c>
    </row>
    <row r="2996" spans="19:27" x14ac:dyDescent="0.2">
      <c r="S2996" s="199"/>
      <c r="T2996" s="200"/>
      <c r="W2996" s="233" t="str">
        <f t="shared" si="53"/>
        <v>1w</v>
      </c>
      <c r="X2996" s="234">
        <f>_xll.qlCalendarAdvance(Calendar,X2995,W2996,"f",FALSE)</f>
        <v>59840</v>
      </c>
      <c r="Y2996" s="237">
        <f>_xll.qlCalendarAdvance(Calendar,X2996,NDays&amp;"D")</f>
        <v>59840</v>
      </c>
      <c r="Z2996" s="238">
        <v>3.4301520687230705E-2</v>
      </c>
      <c r="AA2996" s="240">
        <v>3.3542553916667828E-2</v>
      </c>
    </row>
    <row r="2997" spans="19:27" x14ac:dyDescent="0.2">
      <c r="S2997" s="199"/>
      <c r="T2997" s="200"/>
      <c r="W2997" s="233" t="str">
        <f t="shared" si="53"/>
        <v>1w</v>
      </c>
      <c r="X2997" s="234">
        <f>_xll.qlCalendarAdvance(Calendar,X2996,W2997,"f",FALSE)</f>
        <v>59847</v>
      </c>
      <c r="Y2997" s="237">
        <f>_xll.qlCalendarAdvance(Calendar,X2997,NDays&amp;"D")</f>
        <v>59847</v>
      </c>
      <c r="Z2997" s="238">
        <v>3.4308830946122221E-2</v>
      </c>
      <c r="AA2997" s="240">
        <v>3.3549483426112969E-2</v>
      </c>
    </row>
    <row r="2998" spans="19:27" x14ac:dyDescent="0.2">
      <c r="S2998" s="199"/>
      <c r="T2998" s="200"/>
      <c r="W2998" s="233" t="str">
        <f t="shared" si="53"/>
        <v>1w</v>
      </c>
      <c r="X2998" s="234">
        <f>_xll.qlCalendarAdvance(Calendar,X2997,W2998,"f",FALSE)</f>
        <v>59854</v>
      </c>
      <c r="Y2998" s="237">
        <f>_xll.qlCalendarAdvance(Calendar,X2998,NDays&amp;"D")</f>
        <v>59854</v>
      </c>
      <c r="Z2998" s="238">
        <v>3.4316141368468139E-2</v>
      </c>
      <c r="AA2998" s="240">
        <v>3.3556420983777979E-2</v>
      </c>
    </row>
    <row r="2999" spans="19:27" x14ac:dyDescent="0.2">
      <c r="S2999" s="199"/>
      <c r="T2999" s="200"/>
      <c r="W2999" s="233" t="str">
        <f t="shared" si="53"/>
        <v>1w</v>
      </c>
      <c r="X2999" s="234">
        <f>_xll.qlCalendarAdvance(Calendar,X2998,W2999,"f",FALSE)</f>
        <v>59861</v>
      </c>
      <c r="Y2999" s="237">
        <f>_xll.qlCalendarAdvance(Calendar,X2999,NDays&amp;"D")</f>
        <v>59861</v>
      </c>
      <c r="Z2999" s="238">
        <v>3.4323451522023839E-2</v>
      </c>
      <c r="AA2999" s="240">
        <v>3.3563366589987043E-2</v>
      </c>
    </row>
    <row r="3000" spans="19:27" x14ac:dyDescent="0.2">
      <c r="S3000" s="199"/>
      <c r="T3000" s="200"/>
      <c r="W3000" s="233" t="str">
        <f t="shared" si="53"/>
        <v>1w</v>
      </c>
      <c r="X3000" s="234">
        <f>_xll.qlCalendarAdvance(Calendar,X2999,W3000,"f",FALSE)</f>
        <v>59868</v>
      </c>
      <c r="Y3000" s="237">
        <f>_xll.qlCalendarAdvance(Calendar,X3000,NDays&amp;"D")</f>
        <v>59868</v>
      </c>
      <c r="Z3000" s="238">
        <v>3.4330760974532096E-2</v>
      </c>
      <c r="AA3000" s="240">
        <v>3.3570320244253882E-2</v>
      </c>
    </row>
    <row r="3001" spans="19:27" x14ac:dyDescent="0.2">
      <c r="S3001" s="199"/>
      <c r="T3001" s="200"/>
      <c r="W3001" s="233" t="str">
        <f t="shared" si="53"/>
        <v>1w</v>
      </c>
      <c r="X3001" s="234">
        <f>_xll.qlCalendarAdvance(Calendar,X3000,W3001,"f",FALSE)</f>
        <v>59875</v>
      </c>
      <c r="Y3001" s="237">
        <f>_xll.qlCalendarAdvance(Calendar,X3001,NDays&amp;"D")</f>
        <v>59875</v>
      </c>
      <c r="Z3001" s="238">
        <v>3.4338069293723926E-2</v>
      </c>
      <c r="AA3001" s="240">
        <v>3.3577281946659543E-2</v>
      </c>
    </row>
    <row r="3002" spans="19:27" x14ac:dyDescent="0.2">
      <c r="S3002" s="199"/>
      <c r="T3002" s="200"/>
      <c r="W3002" s="233" t="str">
        <f t="shared" si="53"/>
        <v>1w</v>
      </c>
      <c r="X3002" s="234">
        <f>_xll.qlCalendarAdvance(Calendar,X3001,W3002,"f",FALSE)</f>
        <v>59882</v>
      </c>
      <c r="Y3002" s="237">
        <f>_xll.qlCalendarAdvance(Calendar,X3002,NDays&amp;"D")</f>
        <v>59882</v>
      </c>
      <c r="Z3002" s="238">
        <v>3.4345376047318618E-2</v>
      </c>
      <c r="AA3002" s="240">
        <v>3.3584251697447165E-2</v>
      </c>
    </row>
    <row r="3003" spans="19:27" x14ac:dyDescent="0.2">
      <c r="S3003" s="199"/>
      <c r="T3003" s="200"/>
      <c r="W3003" s="233" t="str">
        <f t="shared" si="53"/>
        <v>1w</v>
      </c>
      <c r="X3003" s="234">
        <f>_xll.qlCalendarAdvance(Calendar,X3002,W3003,"f",FALSE)</f>
        <v>59889</v>
      </c>
      <c r="Y3003" s="237">
        <f>_xll.qlCalendarAdvance(Calendar,X3003,NDays&amp;"D")</f>
        <v>59889</v>
      </c>
      <c r="Z3003" s="238">
        <v>3.4352680803022402E-2</v>
      </c>
      <c r="AA3003" s="240">
        <v>3.3591229496373609E-2</v>
      </c>
    </row>
    <row r="3004" spans="19:27" x14ac:dyDescent="0.2">
      <c r="S3004" s="199"/>
      <c r="T3004" s="200"/>
      <c r="W3004" s="233" t="str">
        <f t="shared" si="53"/>
        <v>1w</v>
      </c>
      <c r="X3004" s="234">
        <f>_xll.qlCalendarAdvance(Calendar,X3003,W3004,"f",FALSE)</f>
        <v>59897</v>
      </c>
      <c r="Y3004" s="237">
        <f>_xll.qlCalendarAdvance(Calendar,X3004,NDays&amp;"D")</f>
        <v>59897</v>
      </c>
      <c r="Z3004" s="238">
        <v>3.4365263776436117E-2</v>
      </c>
      <c r="AA3004" s="240">
        <v>3.3599213978934284E-2</v>
      </c>
    </row>
    <row r="3005" spans="19:27" x14ac:dyDescent="0.2">
      <c r="S3005" s="199"/>
      <c r="T3005" s="200"/>
      <c r="W3005" s="233" t="str">
        <f t="shared" si="53"/>
        <v>1w</v>
      </c>
      <c r="X3005" s="234">
        <f>_xll.qlCalendarAdvance(Calendar,X3004,W3005,"f",FALSE)</f>
        <v>59904</v>
      </c>
      <c r="Y3005" s="237">
        <f>_xll.qlCalendarAdvance(Calendar,X3005,NDays&amp;"D")</f>
        <v>59904</v>
      </c>
      <c r="Z3005" s="238">
        <v>3.4372562886709951E-2</v>
      </c>
      <c r="AA3005" s="240">
        <v>3.3606209024185096E-2</v>
      </c>
    </row>
    <row r="3006" spans="19:27" x14ac:dyDescent="0.2">
      <c r="S3006" s="199"/>
      <c r="T3006" s="200"/>
      <c r="W3006" s="233" t="str">
        <f t="shared" si="53"/>
        <v>1w</v>
      </c>
      <c r="X3006" s="234">
        <f>_xll.qlCalendarAdvance(Calendar,X3005,W3006,"f",FALSE)</f>
        <v>59911</v>
      </c>
      <c r="Y3006" s="237">
        <f>_xll.qlCalendarAdvance(Calendar,X3006,NDays&amp;"D")</f>
        <v>59911</v>
      </c>
      <c r="Z3006" s="238">
        <v>3.4379858580937221E-2</v>
      </c>
      <c r="AA3006" s="240">
        <v>3.3613212117493685E-2</v>
      </c>
    </row>
    <row r="3007" spans="19:27" x14ac:dyDescent="0.2">
      <c r="S3007" s="199"/>
      <c r="T3007" s="200"/>
      <c r="W3007" s="233" t="str">
        <f t="shared" si="53"/>
        <v>1w</v>
      </c>
      <c r="X3007" s="234">
        <f>_xll.qlCalendarAdvance(Calendar,X3006,W3007,"f",FALSE)</f>
        <v>59918</v>
      </c>
      <c r="Y3007" s="237">
        <f>_xll.qlCalendarAdvance(Calendar,X3007,NDays&amp;"D")</f>
        <v>59918</v>
      </c>
      <c r="Z3007" s="238">
        <v>3.4387150429041446E-2</v>
      </c>
      <c r="AA3007" s="240">
        <v>3.3620223259346327E-2</v>
      </c>
    </row>
    <row r="3008" spans="19:27" x14ac:dyDescent="0.2">
      <c r="S3008" s="199"/>
      <c r="T3008" s="200"/>
      <c r="W3008" s="233" t="str">
        <f t="shared" si="53"/>
        <v>1w</v>
      </c>
      <c r="X3008" s="234">
        <f>_xll.qlCalendarAdvance(Calendar,X3007,W3008,"f",FALSE)</f>
        <v>59925</v>
      </c>
      <c r="Y3008" s="237">
        <f>_xll.qlCalendarAdvance(Calendar,X3008,NDays&amp;"D")</f>
        <v>59925</v>
      </c>
      <c r="Z3008" s="238">
        <v>3.4394438000934009E-2</v>
      </c>
      <c r="AA3008" s="240">
        <v>3.3627242449337791E-2</v>
      </c>
    </row>
    <row r="3009" spans="19:27" x14ac:dyDescent="0.2">
      <c r="S3009" s="199"/>
      <c r="T3009" s="200"/>
      <c r="W3009" s="233" t="str">
        <f t="shared" si="53"/>
        <v>1w</v>
      </c>
      <c r="X3009" s="234">
        <f>_xll.qlCalendarAdvance(Calendar,X3008,W3009,"f",FALSE)</f>
        <v>59932</v>
      </c>
      <c r="Y3009" s="237">
        <f>_xll.qlCalendarAdvance(Calendar,X3009,NDays&amp;"D")</f>
        <v>59932</v>
      </c>
      <c r="Z3009" s="238">
        <v>3.4395364676887308E-2</v>
      </c>
      <c r="AA3009" s="240">
        <v>3.3634269687630169E-2</v>
      </c>
    </row>
    <row r="3010" spans="19:27" x14ac:dyDescent="0.2">
      <c r="S3010" s="199"/>
      <c r="T3010" s="200"/>
      <c r="W3010" s="233" t="str">
        <f t="shared" si="53"/>
        <v>1w</v>
      </c>
      <c r="X3010" s="234">
        <f>_xll.qlCalendarAdvance(Calendar,X3009,W3010,"f",FALSE)</f>
        <v>59939</v>
      </c>
      <c r="Y3010" s="237">
        <f>_xll.qlCalendarAdvance(Calendar,X3010,NDays&amp;"D")</f>
        <v>59939</v>
      </c>
      <c r="Z3010" s="238">
        <v>3.4408998595668504E-2</v>
      </c>
      <c r="AA3010" s="240">
        <v>3.364130497406137E-2</v>
      </c>
    </row>
    <row r="3011" spans="19:27" x14ac:dyDescent="0.2">
      <c r="S3011" s="199"/>
      <c r="T3011" s="200"/>
      <c r="W3011" s="233" t="str">
        <f t="shared" si="53"/>
        <v>1w</v>
      </c>
      <c r="X3011" s="234">
        <f>_xll.qlCalendarAdvance(Calendar,X3010,W3011,"f",FALSE)</f>
        <v>59946</v>
      </c>
      <c r="Y3011" s="237">
        <f>_xll.qlCalendarAdvance(Calendar,X3011,NDays&amp;"D")</f>
        <v>59946</v>
      </c>
      <c r="Z3011" s="238">
        <v>3.4416270758272006E-2</v>
      </c>
      <c r="AA3011" s="240">
        <v>3.3648348308874532E-2</v>
      </c>
    </row>
    <row r="3012" spans="19:27" x14ac:dyDescent="0.2">
      <c r="S3012" s="199"/>
      <c r="T3012" s="200"/>
      <c r="W3012" s="233" t="str">
        <f t="shared" si="53"/>
        <v>1w</v>
      </c>
      <c r="X3012" s="234">
        <f>_xll.qlCalendarAdvance(Calendar,X3011,W3012,"f",FALSE)</f>
        <v>59953</v>
      </c>
      <c r="Y3012" s="237">
        <f>_xll.qlCalendarAdvance(Calendar,X3012,NDays&amp;"D")</f>
        <v>59953</v>
      </c>
      <c r="Z3012" s="238">
        <v>3.4423536924188286E-2</v>
      </c>
      <c r="AA3012" s="240">
        <v>3.3655399691988608E-2</v>
      </c>
    </row>
    <row r="3013" spans="19:27" x14ac:dyDescent="0.2">
      <c r="S3013" s="199"/>
      <c r="T3013" s="200"/>
      <c r="W3013" s="233" t="str">
        <f t="shared" si="53"/>
        <v>1w</v>
      </c>
      <c r="X3013" s="234">
        <f>_xll.qlCalendarAdvance(Calendar,X3012,W3013,"f",FALSE)</f>
        <v>59960</v>
      </c>
      <c r="Y3013" s="237">
        <f>_xll.qlCalendarAdvance(Calendar,X3013,NDays&amp;"D")</f>
        <v>59960</v>
      </c>
      <c r="Z3013" s="238">
        <v>3.4424441983557097E-2</v>
      </c>
      <c r="AA3013" s="240">
        <v>3.3662459123241506E-2</v>
      </c>
    </row>
    <row r="3014" spans="19:27" x14ac:dyDescent="0.2">
      <c r="S3014" s="199"/>
      <c r="T3014" s="200"/>
      <c r="W3014" s="233" t="str">
        <f t="shared" si="53"/>
        <v>1w</v>
      </c>
      <c r="X3014" s="234">
        <f>_xll.qlCalendarAdvance(Calendar,X3013,W3014,"f",FALSE)</f>
        <v>59967</v>
      </c>
      <c r="Y3014" s="237">
        <f>_xll.qlCalendarAdvance(Calendar,X3014,NDays&amp;"D")</f>
        <v>59967</v>
      </c>
      <c r="Z3014" s="238">
        <v>3.4431695406913931E-2</v>
      </c>
      <c r="AA3014" s="240">
        <v>3.3669526602795319E-2</v>
      </c>
    </row>
    <row r="3015" spans="19:27" x14ac:dyDescent="0.2">
      <c r="S3015" s="199"/>
      <c r="T3015" s="200"/>
      <c r="W3015" s="233" t="str">
        <f t="shared" si="53"/>
        <v>1w</v>
      </c>
      <c r="X3015" s="234">
        <f>_xll.qlCalendarAdvance(Calendar,X3014,W3015,"f",FALSE)</f>
        <v>59974</v>
      </c>
      <c r="Y3015" s="237">
        <f>_xll.qlCalendarAdvance(Calendar,X3015,NDays&amp;"D")</f>
        <v>59974</v>
      </c>
      <c r="Z3015" s="238">
        <v>3.443894160179628E-2</v>
      </c>
      <c r="AA3015" s="240">
        <v>3.3676602130569E-2</v>
      </c>
    </row>
    <row r="3016" spans="19:27" x14ac:dyDescent="0.2">
      <c r="S3016" s="199"/>
      <c r="T3016" s="200"/>
      <c r="W3016" s="233" t="str">
        <f t="shared" si="53"/>
        <v>1w</v>
      </c>
      <c r="X3016" s="234">
        <f>_xll.qlCalendarAdvance(Calendar,X3015,W3016,"f",FALSE)</f>
        <v>59981</v>
      </c>
      <c r="Y3016" s="237">
        <f>_xll.qlCalendarAdvance(Calendar,X3016,NDays&amp;"D")</f>
        <v>59981</v>
      </c>
      <c r="Z3016" s="238">
        <v>3.4446180134608317E-2</v>
      </c>
      <c r="AA3016" s="240">
        <v>3.3683685706643596E-2</v>
      </c>
    </row>
    <row r="3017" spans="19:27" x14ac:dyDescent="0.2">
      <c r="S3017" s="199"/>
      <c r="T3017" s="200"/>
      <c r="W3017" s="233" t="str">
        <f t="shared" si="53"/>
        <v>1w</v>
      </c>
      <c r="X3017" s="234">
        <f>_xll.qlCalendarAdvance(Calendar,X3016,W3017,"f",FALSE)</f>
        <v>59988</v>
      </c>
      <c r="Y3017" s="237">
        <f>_xll.qlCalendarAdvance(Calendar,X3017,NDays&amp;"D")</f>
        <v>59988</v>
      </c>
      <c r="Z3017" s="238">
        <v>3.4461880339538085E-2</v>
      </c>
      <c r="AA3017" s="240">
        <v>3.3690777330857014E-2</v>
      </c>
    </row>
    <row r="3018" spans="19:27" x14ac:dyDescent="0.2">
      <c r="S3018" s="199"/>
      <c r="T3018" s="200"/>
      <c r="W3018" s="233" t="str">
        <f t="shared" si="53"/>
        <v>1w</v>
      </c>
      <c r="X3018" s="234">
        <f>_xll.qlCalendarAdvance(Calendar,X3017,W3018,"f",FALSE)</f>
        <v>59995</v>
      </c>
      <c r="Y3018" s="237">
        <f>_xll.qlCalendarAdvance(Calendar,X3018,NDays&amp;"D")</f>
        <v>59995</v>
      </c>
      <c r="Z3018" s="238">
        <v>3.4460632479576869E-2</v>
      </c>
      <c r="AA3018" s="240">
        <v>3.3706130623059716E-2</v>
      </c>
    </row>
    <row r="3019" spans="19:27" x14ac:dyDescent="0.2">
      <c r="S3019" s="199"/>
      <c r="T3019" s="200"/>
      <c r="W3019" s="233" t="str">
        <f t="shared" si="53"/>
        <v>1w</v>
      </c>
      <c r="X3019" s="234">
        <f>_xll.qlCalendarAdvance(Calendar,X3018,W3019,"f",FALSE)</f>
        <v>60002</v>
      </c>
      <c r="Y3019" s="237">
        <f>_xll.qlCalendarAdvance(Calendar,X3019,NDays&amp;"D")</f>
        <v>60002</v>
      </c>
      <c r="Z3019" s="238">
        <v>3.4467845424481114E-2</v>
      </c>
      <c r="AA3019" s="240">
        <v>3.3704984724348686E-2</v>
      </c>
    </row>
    <row r="3020" spans="19:27" x14ac:dyDescent="0.2">
      <c r="S3020" s="199"/>
      <c r="T3020" s="200"/>
      <c r="W3020" s="233" t="str">
        <f t="shared" si="53"/>
        <v>1w</v>
      </c>
      <c r="X3020" s="234">
        <f>_xll.qlCalendarAdvance(Calendar,X3019,W3020,"f",FALSE)</f>
        <v>60009</v>
      </c>
      <c r="Y3020" s="237">
        <f>_xll.qlCalendarAdvance(Calendar,X3020,NDays&amp;"D")</f>
        <v>60009</v>
      </c>
      <c r="Z3020" s="238">
        <v>3.4475048972811839E-2</v>
      </c>
      <c r="AA3020" s="240">
        <v>3.3712100493383801E-2</v>
      </c>
    </row>
    <row r="3021" spans="19:27" x14ac:dyDescent="0.2">
      <c r="S3021" s="199"/>
      <c r="T3021" s="200"/>
      <c r="W3021" s="233" t="str">
        <f t="shared" si="53"/>
        <v>1w</v>
      </c>
      <c r="X3021" s="234">
        <f>_xll.qlCalendarAdvance(Calendar,X3020,W3021,"f",FALSE)</f>
        <v>60016</v>
      </c>
      <c r="Y3021" s="237">
        <f>_xll.qlCalendarAdvance(Calendar,X3021,NDays&amp;"D")</f>
        <v>60016</v>
      </c>
      <c r="Z3021" s="238">
        <v>3.4482242690911935E-2</v>
      </c>
      <c r="AA3021" s="240">
        <v>3.3719224310719831E-2</v>
      </c>
    </row>
    <row r="3022" spans="19:27" x14ac:dyDescent="0.2">
      <c r="S3022" s="199"/>
      <c r="T3022" s="200"/>
      <c r="W3022" s="233" t="str">
        <f t="shared" si="53"/>
        <v>1w</v>
      </c>
      <c r="X3022" s="234">
        <f>_xll.qlCalendarAdvance(Calendar,X3021,W3022,"f",FALSE)</f>
        <v>60023</v>
      </c>
      <c r="Y3022" s="237">
        <f>_xll.qlCalendarAdvance(Calendar,X3022,NDays&amp;"D")</f>
        <v>60023</v>
      </c>
      <c r="Z3022" s="238">
        <v>3.4489426145115853E-2</v>
      </c>
      <c r="AA3022" s="240">
        <v>3.3726356176356775E-2</v>
      </c>
    </row>
    <row r="3023" spans="19:27" x14ac:dyDescent="0.2">
      <c r="S3023" s="199"/>
      <c r="T3023" s="200"/>
      <c r="W3023" s="233" t="str">
        <f t="shared" si="53"/>
        <v>1w</v>
      </c>
      <c r="X3023" s="234">
        <f>_xll.qlCalendarAdvance(Calendar,X3022,W3023,"f",FALSE)</f>
        <v>60030</v>
      </c>
      <c r="Y3023" s="237">
        <f>_xll.qlCalendarAdvance(Calendar,X3023,NDays&amp;"D")</f>
        <v>60030</v>
      </c>
      <c r="Z3023" s="238">
        <v>3.4496598901743392E-2</v>
      </c>
      <c r="AA3023" s="240">
        <v>3.3733496090213588E-2</v>
      </c>
    </row>
    <row r="3024" spans="19:27" x14ac:dyDescent="0.2">
      <c r="S3024" s="199"/>
      <c r="T3024" s="200"/>
      <c r="W3024" s="233" t="str">
        <f t="shared" si="53"/>
        <v>1w</v>
      </c>
      <c r="X3024" s="234">
        <f>_xll.qlCalendarAdvance(Calendar,X3023,W3024,"f",FALSE)</f>
        <v>60037</v>
      </c>
      <c r="Y3024" s="237">
        <f>_xll.qlCalendarAdvance(Calendar,X3024,NDays&amp;"D")</f>
        <v>60037</v>
      </c>
      <c r="Z3024" s="238">
        <v>3.4503760527103911E-2</v>
      </c>
      <c r="AA3024" s="240">
        <v>3.374064405229027E-2</v>
      </c>
    </row>
    <row r="3025" spans="19:27" x14ac:dyDescent="0.2">
      <c r="S3025" s="199"/>
      <c r="T3025" s="200"/>
      <c r="W3025" s="233" t="str">
        <f t="shared" si="53"/>
        <v>1w</v>
      </c>
      <c r="X3025" s="234">
        <f>_xll.qlCalendarAdvance(Calendar,X3024,W3025,"f",FALSE)</f>
        <v>60044</v>
      </c>
      <c r="Y3025" s="237">
        <f>_xll.qlCalendarAdvance(Calendar,X3025,NDays&amp;"D")</f>
        <v>60044</v>
      </c>
      <c r="Z3025" s="238">
        <v>3.4510910587495003E-2</v>
      </c>
      <c r="AA3025" s="240">
        <v>3.3747800062829958E-2</v>
      </c>
    </row>
    <row r="3026" spans="19:27" x14ac:dyDescent="0.2">
      <c r="S3026" s="199"/>
      <c r="T3026" s="200"/>
      <c r="W3026" s="233" t="str">
        <f t="shared" si="53"/>
        <v>1w</v>
      </c>
      <c r="X3026" s="234">
        <f>_xll.qlCalendarAdvance(Calendar,X3025,W3026,"f",FALSE)</f>
        <v>60051</v>
      </c>
      <c r="Y3026" s="237">
        <f>_xll.qlCalendarAdvance(Calendar,X3026,NDays&amp;"D")</f>
        <v>60051</v>
      </c>
      <c r="Z3026" s="238">
        <v>3.4518048649202715E-2</v>
      </c>
      <c r="AA3026" s="240">
        <v>3.3754964121427422E-2</v>
      </c>
    </row>
    <row r="3027" spans="19:27" x14ac:dyDescent="0.2">
      <c r="S3027" s="199"/>
      <c r="T3027" s="200"/>
      <c r="W3027" s="233" t="str">
        <f t="shared" si="53"/>
        <v>1w</v>
      </c>
      <c r="X3027" s="234">
        <f>_xll.qlCalendarAdvance(Calendar,X3026,W3027,"f",FALSE)</f>
        <v>60058</v>
      </c>
      <c r="Y3027" s="237">
        <f>_xll.qlCalendarAdvance(Calendar,X3027,NDays&amp;"D")</f>
        <v>60058</v>
      </c>
      <c r="Z3027" s="238">
        <v>3.4525174278501325E-2</v>
      </c>
      <c r="AA3027" s="240">
        <v>3.3762136228163708E-2</v>
      </c>
    </row>
    <row r="3028" spans="19:27" x14ac:dyDescent="0.2">
      <c r="S3028" s="199"/>
      <c r="T3028" s="200"/>
      <c r="W3028" s="233" t="str">
        <f t="shared" si="53"/>
        <v>1w</v>
      </c>
      <c r="X3028" s="234">
        <f>_xll.qlCalendarAdvance(Calendar,X3027,W3028,"f",FALSE)</f>
        <v>60065</v>
      </c>
      <c r="Y3028" s="237">
        <f>_xll.qlCalendarAdvance(Calendar,X3028,NDays&amp;"D")</f>
        <v>60065</v>
      </c>
      <c r="Z3028" s="238">
        <v>3.4532287041654008E-2</v>
      </c>
      <c r="AA3028" s="240">
        <v>3.3769316383363002E-2</v>
      </c>
    </row>
    <row r="3029" spans="19:27" x14ac:dyDescent="0.2">
      <c r="S3029" s="199"/>
      <c r="T3029" s="200"/>
      <c r="W3029" s="233" t="str">
        <f t="shared" ref="W3029:W3092" si="54">W3028</f>
        <v>1w</v>
      </c>
      <c r="X3029" s="234">
        <f>_xll.qlCalendarAdvance(Calendar,X3028,W3029,"f",FALSE)</f>
        <v>60072</v>
      </c>
      <c r="Y3029" s="237">
        <f>_xll.qlCalendarAdvance(Calendar,X3029,NDays&amp;"D")</f>
        <v>60072</v>
      </c>
      <c r="Z3029" s="238">
        <v>3.4539386504911729E-2</v>
      </c>
      <c r="AA3029" s="240">
        <v>3.3776504586944256E-2</v>
      </c>
    </row>
    <row r="3030" spans="19:27" x14ac:dyDescent="0.2">
      <c r="S3030" s="199"/>
      <c r="T3030" s="200"/>
      <c r="W3030" s="233" t="str">
        <f t="shared" si="54"/>
        <v>1w</v>
      </c>
      <c r="X3030" s="234">
        <f>_xll.qlCalendarAdvance(Calendar,X3029,W3030,"f",FALSE)</f>
        <v>60079</v>
      </c>
      <c r="Y3030" s="237">
        <f>_xll.qlCalendarAdvance(Calendar,X3030,NDays&amp;"D")</f>
        <v>60079</v>
      </c>
      <c r="Z3030" s="238">
        <v>3.4546472234514569E-2</v>
      </c>
      <c r="AA3030" s="240">
        <v>3.378370083850224E-2</v>
      </c>
    </row>
    <row r="3031" spans="19:27" x14ac:dyDescent="0.2">
      <c r="S3031" s="199"/>
      <c r="T3031" s="200"/>
      <c r="W3031" s="233" t="str">
        <f t="shared" si="54"/>
        <v>1w</v>
      </c>
      <c r="X3031" s="234">
        <f>_xll.qlCalendarAdvance(Calendar,X3030,W3031,"f",FALSE)</f>
        <v>60086</v>
      </c>
      <c r="Y3031" s="237">
        <f>_xll.qlCalendarAdvance(Calendar,X3031,NDays&amp;"D")</f>
        <v>60086</v>
      </c>
      <c r="Z3031" s="238">
        <v>3.4553543842189116E-2</v>
      </c>
      <c r="AA3031" s="240">
        <v>3.379089569963023E-2</v>
      </c>
    </row>
    <row r="3032" spans="19:27" x14ac:dyDescent="0.2">
      <c r="S3032" s="199"/>
      <c r="T3032" s="200"/>
      <c r="W3032" s="233" t="str">
        <f t="shared" si="54"/>
        <v>1w</v>
      </c>
      <c r="X3032" s="234">
        <f>_xll.qlCalendarAdvance(Calendar,X3031,W3032,"f",FALSE)</f>
        <v>60093</v>
      </c>
      <c r="Y3032" s="237">
        <f>_xll.qlCalendarAdvance(Calendar,X3032,NDays&amp;"D")</f>
        <v>60093</v>
      </c>
      <c r="Z3032" s="238">
        <v>3.4560601220430032E-2</v>
      </c>
      <c r="AA3032" s="240">
        <v>3.3798076832977086E-2</v>
      </c>
    </row>
    <row r="3033" spans="19:27" x14ac:dyDescent="0.2">
      <c r="S3033" s="199"/>
      <c r="T3033" s="200"/>
      <c r="W3033" s="233" t="str">
        <f t="shared" si="54"/>
        <v>1w</v>
      </c>
      <c r="X3033" s="234">
        <f>_xll.qlCalendarAdvance(Calendar,X3032,W3033,"f",FALSE)</f>
        <v>60100</v>
      </c>
      <c r="Y3033" s="237">
        <f>_xll.qlCalendarAdvance(Calendar,X3033,NDays&amp;"D")</f>
        <v>60100</v>
      </c>
      <c r="Z3033" s="238">
        <v>3.4567644368735495E-2</v>
      </c>
      <c r="AA3033" s="240">
        <v>3.3805244164304415E-2</v>
      </c>
    </row>
    <row r="3034" spans="19:27" x14ac:dyDescent="0.2">
      <c r="S3034" s="199"/>
      <c r="T3034" s="200"/>
      <c r="W3034" s="233" t="str">
        <f t="shared" si="54"/>
        <v>1w</v>
      </c>
      <c r="X3034" s="234">
        <f>_xll.qlCalendarAdvance(Calendar,X3033,W3034,"f",FALSE)</f>
        <v>60107</v>
      </c>
      <c r="Y3034" s="237">
        <f>_xll.qlCalendarAdvance(Calendar,X3034,NDays&amp;"D")</f>
        <v>60107</v>
      </c>
      <c r="Z3034" s="238">
        <v>3.4574673286813518E-2</v>
      </c>
      <c r="AA3034" s="240">
        <v>3.3812397693369078E-2</v>
      </c>
    </row>
    <row r="3035" spans="19:27" x14ac:dyDescent="0.2">
      <c r="S3035" s="199"/>
      <c r="T3035" s="200"/>
      <c r="W3035" s="233" t="str">
        <f t="shared" si="54"/>
        <v>1w</v>
      </c>
      <c r="X3035" s="234">
        <f>_xll.qlCalendarAdvance(Calendar,X3034,W3035,"f",FALSE)</f>
        <v>60114</v>
      </c>
      <c r="Y3035" s="237">
        <f>_xll.qlCalendarAdvance(Calendar,X3035,NDays&amp;"D")</f>
        <v>60114</v>
      </c>
      <c r="Z3035" s="238">
        <v>3.4581687974373887E-2</v>
      </c>
      <c r="AA3035" s="240">
        <v>3.3819537420090029E-2</v>
      </c>
    </row>
    <row r="3036" spans="19:27" x14ac:dyDescent="0.2">
      <c r="S3036" s="199"/>
      <c r="T3036" s="200"/>
      <c r="W3036" s="233" t="str">
        <f t="shared" si="54"/>
        <v>1w</v>
      </c>
      <c r="X3036" s="234">
        <f>_xll.qlCalendarAdvance(Calendar,X3035,W3036,"f",FALSE)</f>
        <v>60121</v>
      </c>
      <c r="Y3036" s="237">
        <f>_xll.qlCalendarAdvance(Calendar,X3036,NDays&amp;"D")</f>
        <v>60121</v>
      </c>
      <c r="Z3036" s="238">
        <v>3.4588688431126613E-2</v>
      </c>
      <c r="AA3036" s="240">
        <v>3.3826663344953545E-2</v>
      </c>
    </row>
    <row r="3037" spans="19:27" x14ac:dyDescent="0.2">
      <c r="S3037" s="199"/>
      <c r="T3037" s="200"/>
      <c r="W3037" s="233" t="str">
        <f t="shared" si="54"/>
        <v>1w</v>
      </c>
      <c r="X3037" s="234">
        <f>_xll.qlCalendarAdvance(Calendar,X3036,W3037,"f",FALSE)</f>
        <v>60128</v>
      </c>
      <c r="Y3037" s="237">
        <f>_xll.qlCalendarAdvance(Calendar,X3037,NDays&amp;"D")</f>
        <v>60128</v>
      </c>
      <c r="Z3037" s="238">
        <v>3.4595674656781705E-2</v>
      </c>
      <c r="AA3037" s="240">
        <v>3.3833775467635441E-2</v>
      </c>
    </row>
    <row r="3038" spans="19:27" x14ac:dyDescent="0.2">
      <c r="S3038" s="199"/>
      <c r="T3038" s="200"/>
      <c r="W3038" s="233" t="str">
        <f t="shared" si="54"/>
        <v>1w</v>
      </c>
      <c r="X3038" s="234">
        <f>_xll.qlCalendarAdvance(Calendar,X3037,W3038,"f",FALSE)</f>
        <v>60135</v>
      </c>
      <c r="Y3038" s="237">
        <f>_xll.qlCalendarAdvance(Calendar,X3038,NDays&amp;"D")</f>
        <v>60135</v>
      </c>
      <c r="Z3038" s="238">
        <v>3.4602646651050728E-2</v>
      </c>
      <c r="AA3038" s="240">
        <v>3.3840873787973624E-2</v>
      </c>
    </row>
    <row r="3039" spans="19:27" x14ac:dyDescent="0.2">
      <c r="S3039" s="199"/>
      <c r="T3039" s="200"/>
      <c r="W3039" s="233" t="str">
        <f t="shared" si="54"/>
        <v>1w</v>
      </c>
      <c r="X3039" s="234">
        <f>_xll.qlCalendarAdvance(Calendar,X3038,W3039,"f",FALSE)</f>
        <v>60142</v>
      </c>
      <c r="Y3039" s="237">
        <f>_xll.qlCalendarAdvance(Calendar,X3039,NDays&amp;"D")</f>
        <v>60142</v>
      </c>
      <c r="Z3039" s="238">
        <v>3.4609604413644801E-2</v>
      </c>
      <c r="AA3039" s="240">
        <v>3.3847958306292281E-2</v>
      </c>
    </row>
    <row r="3040" spans="19:27" x14ac:dyDescent="0.2">
      <c r="S3040" s="199"/>
      <c r="T3040" s="200"/>
      <c r="W3040" s="233" t="str">
        <f t="shared" si="54"/>
        <v>1w</v>
      </c>
      <c r="X3040" s="234">
        <f>_xll.qlCalendarAdvance(Calendar,X3039,W3040,"f",FALSE)</f>
        <v>60149</v>
      </c>
      <c r="Y3040" s="237">
        <f>_xll.qlCalendarAdvance(Calendar,X3040,NDays&amp;"D")</f>
        <v>60149</v>
      </c>
      <c r="Z3040" s="238">
        <v>3.4616547944276599E-2</v>
      </c>
      <c r="AA3040" s="240">
        <v>3.3855029022510363E-2</v>
      </c>
    </row>
    <row r="3041" spans="19:27" x14ac:dyDescent="0.2">
      <c r="S3041" s="199"/>
      <c r="T3041" s="200"/>
      <c r="W3041" s="233" t="str">
        <f t="shared" si="54"/>
        <v>1w</v>
      </c>
      <c r="X3041" s="234">
        <f>_xll.qlCalendarAdvance(Calendar,X3040,W3041,"f",FALSE)</f>
        <v>60156</v>
      </c>
      <c r="Y3041" s="237">
        <f>_xll.qlCalendarAdvance(Calendar,X3041,NDays&amp;"D")</f>
        <v>60156</v>
      </c>
      <c r="Z3041" s="238">
        <v>3.4623477242658796E-2</v>
      </c>
      <c r="AA3041" s="240">
        <v>3.386208593646578E-2</v>
      </c>
    </row>
    <row r="3042" spans="19:27" x14ac:dyDescent="0.2">
      <c r="S3042" s="199"/>
      <c r="T3042" s="200"/>
      <c r="W3042" s="233" t="str">
        <f t="shared" si="54"/>
        <v>1w</v>
      </c>
      <c r="X3042" s="234">
        <f>_xll.qlCalendarAdvance(Calendar,X3041,W3042,"f",FALSE)</f>
        <v>60163</v>
      </c>
      <c r="Y3042" s="237">
        <f>_xll.qlCalendarAdvance(Calendar,X3042,NDays&amp;"D")</f>
        <v>60163</v>
      </c>
      <c r="Z3042" s="238">
        <v>3.4630392308504954E-2</v>
      </c>
      <c r="AA3042" s="240">
        <v>3.3869129048239577E-2</v>
      </c>
    </row>
    <row r="3043" spans="19:27" x14ac:dyDescent="0.2">
      <c r="S3043" s="199"/>
      <c r="T3043" s="200"/>
      <c r="W3043" s="233" t="str">
        <f t="shared" si="54"/>
        <v>1w</v>
      </c>
      <c r="X3043" s="234">
        <f>_xll.qlCalendarAdvance(Calendar,X3042,W3043,"f",FALSE)</f>
        <v>60170</v>
      </c>
      <c r="Y3043" s="237">
        <f>_xll.qlCalendarAdvance(Calendar,X3043,NDays&amp;"D")</f>
        <v>60170</v>
      </c>
      <c r="Z3043" s="238">
        <v>3.4637293141528858E-2</v>
      </c>
      <c r="AA3043" s="240">
        <v>3.3876158358074893E-2</v>
      </c>
    </row>
    <row r="3044" spans="19:27" x14ac:dyDescent="0.2">
      <c r="S3044" s="199"/>
      <c r="T3044" s="200"/>
      <c r="W3044" s="233" t="str">
        <f t="shared" si="54"/>
        <v>1w</v>
      </c>
      <c r="X3044" s="234">
        <f>_xll.qlCalendarAdvance(Calendar,X3043,W3044,"f",FALSE)</f>
        <v>60177</v>
      </c>
      <c r="Y3044" s="237">
        <f>_xll.qlCalendarAdvance(Calendar,X3044,NDays&amp;"D")</f>
        <v>60177</v>
      </c>
      <c r="Z3044" s="238">
        <v>3.464417974144518E-2</v>
      </c>
      <c r="AA3044" s="240">
        <v>3.3883173865566496E-2</v>
      </c>
    </row>
    <row r="3045" spans="19:27" x14ac:dyDescent="0.2">
      <c r="S3045" s="199"/>
      <c r="T3045" s="200"/>
      <c r="W3045" s="233" t="str">
        <f t="shared" si="54"/>
        <v>1w</v>
      </c>
      <c r="X3045" s="234">
        <f>_xll.qlCalendarAdvance(Calendar,X3044,W3045,"f",FALSE)</f>
        <v>60184</v>
      </c>
      <c r="Y3045" s="237">
        <f>_xll.qlCalendarAdvance(Calendar,X3045,NDays&amp;"D")</f>
        <v>60184</v>
      </c>
      <c r="Z3045" s="238">
        <v>3.4651052107969038E-2</v>
      </c>
      <c r="AA3045" s="240">
        <v>3.389017557087648E-2</v>
      </c>
    </row>
    <row r="3046" spans="19:27" x14ac:dyDescent="0.2">
      <c r="S3046" s="199"/>
      <c r="T3046" s="200"/>
      <c r="W3046" s="233" t="str">
        <f t="shared" si="54"/>
        <v>1w</v>
      </c>
      <c r="X3046" s="234">
        <f>_xll.qlCalendarAdvance(Calendar,X3045,W3046,"f",FALSE)</f>
        <v>60191</v>
      </c>
      <c r="Y3046" s="237">
        <f>_xll.qlCalendarAdvance(Calendar,X3046,NDays&amp;"D")</f>
        <v>60191</v>
      </c>
      <c r="Z3046" s="238">
        <v>3.4657910240816436E-2</v>
      </c>
      <c r="AA3046" s="240">
        <v>3.389716347408589E-2</v>
      </c>
    </row>
    <row r="3047" spans="19:27" x14ac:dyDescent="0.2">
      <c r="S3047" s="199"/>
      <c r="T3047" s="200"/>
      <c r="W3047" s="233" t="str">
        <f t="shared" si="54"/>
        <v>1w</v>
      </c>
      <c r="X3047" s="234">
        <f>_xll.qlCalendarAdvance(Calendar,X3046,W3047,"f",FALSE)</f>
        <v>60198</v>
      </c>
      <c r="Y3047" s="237">
        <f>_xll.qlCalendarAdvance(Calendar,X3047,NDays&amp;"D")</f>
        <v>60198</v>
      </c>
      <c r="Z3047" s="238">
        <v>3.466475413970338E-2</v>
      </c>
      <c r="AA3047" s="240">
        <v>3.3904137575194726E-2</v>
      </c>
    </row>
    <row r="3048" spans="19:27" x14ac:dyDescent="0.2">
      <c r="S3048" s="199"/>
      <c r="T3048" s="200"/>
      <c r="W3048" s="233" t="str">
        <f t="shared" si="54"/>
        <v>1w</v>
      </c>
      <c r="X3048" s="234">
        <f>_xll.qlCalendarAdvance(Calendar,X3047,W3048,"f",FALSE)</f>
        <v>60205</v>
      </c>
      <c r="Y3048" s="237">
        <f>_xll.qlCalendarAdvance(Calendar,X3048,NDays&amp;"D")</f>
        <v>60205</v>
      </c>
      <c r="Z3048" s="238">
        <v>3.4671583804346762E-2</v>
      </c>
      <c r="AA3048" s="240">
        <v>3.3911097874121943E-2</v>
      </c>
    </row>
    <row r="3049" spans="19:27" x14ac:dyDescent="0.2">
      <c r="S3049" s="199"/>
      <c r="T3049" s="200"/>
      <c r="W3049" s="233" t="str">
        <f t="shared" si="54"/>
        <v>1w</v>
      </c>
      <c r="X3049" s="234">
        <f>_xll.qlCalendarAdvance(Calendar,X3048,W3049,"f",FALSE)</f>
        <v>60212</v>
      </c>
      <c r="Y3049" s="237">
        <f>_xll.qlCalendarAdvance(Calendar,X3049,NDays&amp;"D")</f>
        <v>60212</v>
      </c>
      <c r="Z3049" s="238">
        <v>3.4678399234464585E-2</v>
      </c>
      <c r="AA3049" s="240">
        <v>3.3918044370705447E-2</v>
      </c>
    </row>
    <row r="3050" spans="19:27" x14ac:dyDescent="0.2">
      <c r="S3050" s="199"/>
      <c r="T3050" s="200"/>
      <c r="W3050" s="233" t="str">
        <f t="shared" si="54"/>
        <v>1w</v>
      </c>
      <c r="X3050" s="234">
        <f>_xll.qlCalendarAdvance(Calendar,X3049,W3050,"f",FALSE)</f>
        <v>60219</v>
      </c>
      <c r="Y3050" s="237">
        <f>_xll.qlCalendarAdvance(Calendar,X3050,NDays&amp;"D")</f>
        <v>60219</v>
      </c>
      <c r="Z3050" s="238">
        <v>3.4685200429774632E-2</v>
      </c>
      <c r="AA3050" s="240">
        <v>3.3924977065269424E-2</v>
      </c>
    </row>
    <row r="3051" spans="19:27" x14ac:dyDescent="0.2">
      <c r="S3051" s="199"/>
      <c r="T3051" s="200"/>
      <c r="W3051" s="233" t="str">
        <f t="shared" si="54"/>
        <v>1w</v>
      </c>
      <c r="X3051" s="234">
        <f>_xll.qlCalendarAdvance(Calendar,X3050,W3051,"f",FALSE)</f>
        <v>60226</v>
      </c>
      <c r="Y3051" s="237">
        <f>_xll.qlCalendarAdvance(Calendar,X3051,NDays&amp;"D")</f>
        <v>60226</v>
      </c>
      <c r="Z3051" s="238">
        <v>3.4691987389995793E-2</v>
      </c>
      <c r="AA3051" s="240">
        <v>3.3931895957813873E-2</v>
      </c>
    </row>
    <row r="3052" spans="19:27" x14ac:dyDescent="0.2">
      <c r="S3052" s="199"/>
      <c r="T3052" s="200"/>
      <c r="W3052" s="233" t="str">
        <f t="shared" si="54"/>
        <v>1w</v>
      </c>
      <c r="X3052" s="234">
        <f>_xll.qlCalendarAdvance(Calendar,X3051,W3052,"f",FALSE)</f>
        <v>60233</v>
      </c>
      <c r="Y3052" s="237">
        <f>_xll.qlCalendarAdvance(Calendar,X3052,NDays&amp;"D")</f>
        <v>60233</v>
      </c>
      <c r="Z3052" s="238">
        <v>3.4698760114847405E-2</v>
      </c>
      <c r="AA3052" s="240">
        <v>3.3938801048014611E-2</v>
      </c>
    </row>
    <row r="3053" spans="19:27" x14ac:dyDescent="0.2">
      <c r="S3053" s="199"/>
      <c r="T3053" s="200"/>
      <c r="W3053" s="233" t="str">
        <f t="shared" si="54"/>
        <v>1w</v>
      </c>
      <c r="X3053" s="234">
        <f>_xll.qlCalendarAdvance(Calendar,X3052,W3053,"f",FALSE)</f>
        <v>60240</v>
      </c>
      <c r="Y3053" s="237">
        <f>_xll.qlCalendarAdvance(Calendar,X3053,NDays&amp;"D")</f>
        <v>60240</v>
      </c>
      <c r="Z3053" s="238">
        <v>3.4705518604049024E-2</v>
      </c>
      <c r="AA3053" s="240">
        <v>3.3945692336114774E-2</v>
      </c>
    </row>
    <row r="3054" spans="19:27" x14ac:dyDescent="0.2">
      <c r="S3054" s="199"/>
      <c r="T3054" s="200"/>
      <c r="W3054" s="233" t="str">
        <f t="shared" si="54"/>
        <v>1w</v>
      </c>
      <c r="X3054" s="234">
        <f>_xll.qlCalendarAdvance(Calendar,X3053,W3054,"f",FALSE)</f>
        <v>60247</v>
      </c>
      <c r="Y3054" s="237">
        <f>_xll.qlCalendarAdvance(Calendar,X3054,NDays&amp;"D")</f>
        <v>60247</v>
      </c>
      <c r="Z3054" s="238">
        <v>3.4712262857321097E-2</v>
      </c>
      <c r="AA3054" s="240">
        <v>3.3952569822033318E-2</v>
      </c>
    </row>
    <row r="3055" spans="19:27" x14ac:dyDescent="0.2">
      <c r="S3055" s="199"/>
      <c r="T3055" s="200"/>
      <c r="W3055" s="233" t="str">
        <f t="shared" si="54"/>
        <v>1w</v>
      </c>
      <c r="X3055" s="234">
        <f>_xll.qlCalendarAdvance(Calendar,X3054,W3055,"f",FALSE)</f>
        <v>60254</v>
      </c>
      <c r="Y3055" s="237">
        <f>_xll.qlCalendarAdvance(Calendar,X3055,NDays&amp;"D")</f>
        <v>60254</v>
      </c>
      <c r="Z3055" s="238">
        <v>3.4718992874385179E-2</v>
      </c>
      <c r="AA3055" s="240">
        <v>3.3959433505689196E-2</v>
      </c>
    </row>
    <row r="3056" spans="19:27" x14ac:dyDescent="0.2">
      <c r="S3056" s="199"/>
      <c r="T3056" s="200"/>
      <c r="W3056" s="233" t="str">
        <f t="shared" si="54"/>
        <v>1w</v>
      </c>
      <c r="X3056" s="234">
        <f>_xll.qlCalendarAdvance(Calendar,X3055,W3056,"f",FALSE)</f>
        <v>60265</v>
      </c>
      <c r="Y3056" s="237">
        <f>_xll.qlCalendarAdvance(Calendar,X3056,NDays&amp;"D")</f>
        <v>60265</v>
      </c>
      <c r="Z3056" s="238">
        <v>3.4729539851864999E-2</v>
      </c>
      <c r="AA3056" s="240">
        <v>3.3970191408512207E-2</v>
      </c>
    </row>
    <row r="3057" spans="19:27" x14ac:dyDescent="0.2">
      <c r="S3057" s="199"/>
      <c r="T3057" s="200"/>
      <c r="W3057" s="233" t="str">
        <f t="shared" si="54"/>
        <v>1w</v>
      </c>
      <c r="X3057" s="234">
        <f>_xll.qlCalendarAdvance(Calendar,X3056,W3057,"f",FALSE)</f>
        <v>60272</v>
      </c>
      <c r="Y3057" s="237">
        <f>_xll.qlCalendarAdvance(Calendar,X3057,NDays&amp;"D")</f>
        <v>60272</v>
      </c>
      <c r="Z3057" s="238">
        <v>3.473623326025943E-2</v>
      </c>
      <c r="AA3057" s="240">
        <v>3.3977019601029168E-2</v>
      </c>
    </row>
    <row r="3058" spans="19:27" x14ac:dyDescent="0.2">
      <c r="S3058" s="199"/>
      <c r="T3058" s="200"/>
      <c r="W3058" s="233" t="str">
        <f t="shared" si="54"/>
        <v>1w</v>
      </c>
      <c r="X3058" s="234">
        <f>_xll.qlCalendarAdvance(Calendar,X3057,W3058,"f",FALSE)</f>
        <v>60279</v>
      </c>
      <c r="Y3058" s="237">
        <f>_xll.qlCalendarAdvance(Calendar,X3058,NDays&amp;"D")</f>
        <v>60279</v>
      </c>
      <c r="Z3058" s="238">
        <v>3.4742912431453998E-2</v>
      </c>
      <c r="AA3058" s="240">
        <v>3.3983833991202417E-2</v>
      </c>
    </row>
    <row r="3059" spans="19:27" x14ac:dyDescent="0.2">
      <c r="S3059" s="199"/>
      <c r="T3059" s="200"/>
      <c r="W3059" s="233" t="str">
        <f t="shared" si="54"/>
        <v>1w</v>
      </c>
      <c r="X3059" s="234">
        <f>_xll.qlCalendarAdvance(Calendar,X3058,W3059,"f",FALSE)</f>
        <v>60286</v>
      </c>
      <c r="Y3059" s="237">
        <f>_xll.qlCalendarAdvance(Calendar,X3059,NDays&amp;"D")</f>
        <v>60286</v>
      </c>
      <c r="Z3059" s="238">
        <v>3.4749577365172923E-2</v>
      </c>
      <c r="AA3059" s="240">
        <v>3.3990634579437184E-2</v>
      </c>
    </row>
    <row r="3060" spans="19:27" x14ac:dyDescent="0.2">
      <c r="S3060" s="199"/>
      <c r="T3060" s="200"/>
      <c r="W3060" s="233" t="str">
        <f t="shared" si="54"/>
        <v>1w</v>
      </c>
      <c r="X3060" s="234">
        <f>_xll.qlCalendarAdvance(Calendar,X3059,W3060,"f",FALSE)</f>
        <v>60293</v>
      </c>
      <c r="Y3060" s="237">
        <f>_xll.qlCalendarAdvance(Calendar,X3060,NDays&amp;"D")</f>
        <v>60293</v>
      </c>
      <c r="Z3060" s="238">
        <v>3.475622806113976E-2</v>
      </c>
      <c r="AA3060" s="240">
        <v>3.3997421365409286E-2</v>
      </c>
    </row>
    <row r="3061" spans="19:27" x14ac:dyDescent="0.2">
      <c r="S3061" s="199"/>
      <c r="T3061" s="200"/>
      <c r="W3061" s="233" t="str">
        <f t="shared" si="54"/>
        <v>1w</v>
      </c>
      <c r="X3061" s="234">
        <f>_xll.qlCalendarAdvance(Calendar,X3060,W3061,"f",FALSE)</f>
        <v>60300</v>
      </c>
      <c r="Y3061" s="237">
        <f>_xll.qlCalendarAdvance(Calendar,X3061,NDays&amp;"D")</f>
        <v>60300</v>
      </c>
      <c r="Z3061" s="238">
        <v>3.4762864519080061E-2</v>
      </c>
      <c r="AA3061" s="240">
        <v>3.4004194349199768E-2</v>
      </c>
    </row>
    <row r="3062" spans="19:27" x14ac:dyDescent="0.2">
      <c r="S3062" s="199"/>
      <c r="T3062" s="200"/>
      <c r="W3062" s="233" t="str">
        <f t="shared" si="54"/>
        <v>1w</v>
      </c>
      <c r="X3062" s="234">
        <f>_xll.qlCalendarAdvance(Calendar,X3061,W3062,"f",FALSE)</f>
        <v>60307</v>
      </c>
      <c r="Y3062" s="237">
        <f>_xll.qlCalendarAdvance(Calendar,X3062,NDays&amp;"D")</f>
        <v>60307</v>
      </c>
      <c r="Z3062" s="238">
        <v>3.4769486738718935E-2</v>
      </c>
      <c r="AA3062" s="240">
        <v>3.4010953530727583E-2</v>
      </c>
    </row>
    <row r="3063" spans="19:27" x14ac:dyDescent="0.2">
      <c r="S3063" s="199"/>
      <c r="T3063" s="200"/>
      <c r="W3063" s="233" t="str">
        <f t="shared" si="54"/>
        <v>1w</v>
      </c>
      <c r="X3063" s="234">
        <f>_xll.qlCalendarAdvance(Calendar,X3062,W3063,"f",FALSE)</f>
        <v>60314</v>
      </c>
      <c r="Y3063" s="237">
        <f>_xll.qlCalendarAdvance(Calendar,X3063,NDays&amp;"D")</f>
        <v>60314</v>
      </c>
      <c r="Z3063" s="238">
        <v>3.4776094719782824E-2</v>
      </c>
      <c r="AA3063" s="240">
        <v>3.4017698910235872E-2</v>
      </c>
    </row>
    <row r="3064" spans="19:27" x14ac:dyDescent="0.2">
      <c r="S3064" s="199"/>
      <c r="T3064" s="200"/>
      <c r="W3064" s="233" t="str">
        <f t="shared" si="54"/>
        <v>1w</v>
      </c>
      <c r="X3064" s="234">
        <f>_xll.qlCalendarAdvance(Calendar,X3063,W3064,"f",FALSE)</f>
        <v>60321</v>
      </c>
      <c r="Y3064" s="237">
        <f>_xll.qlCalendarAdvance(Calendar,X3064,NDays&amp;"D")</f>
        <v>60321</v>
      </c>
      <c r="Z3064" s="238">
        <v>3.478268846199839E-2</v>
      </c>
      <c r="AA3064" s="240">
        <v>3.402443048756254E-2</v>
      </c>
    </row>
    <row r="3065" spans="19:27" x14ac:dyDescent="0.2">
      <c r="S3065" s="199"/>
      <c r="T3065" s="200"/>
      <c r="W3065" s="233" t="str">
        <f t="shared" si="54"/>
        <v>1w</v>
      </c>
      <c r="X3065" s="234">
        <f>_xll.qlCalendarAdvance(Calendar,X3064,W3065,"f",FALSE)</f>
        <v>60328</v>
      </c>
      <c r="Y3065" s="237">
        <f>_xll.qlCalendarAdvance(Calendar,X3065,NDays&amp;"D")</f>
        <v>60328</v>
      </c>
      <c r="Z3065" s="238">
        <v>3.4789267965092519E-2</v>
      </c>
      <c r="AA3065" s="240">
        <v>3.4031148262707589E-2</v>
      </c>
    </row>
    <row r="3066" spans="19:27" x14ac:dyDescent="0.2">
      <c r="S3066" s="199"/>
      <c r="T3066" s="200"/>
      <c r="W3066" s="233" t="str">
        <f t="shared" si="54"/>
        <v>1w</v>
      </c>
      <c r="X3066" s="234">
        <f>_xll.qlCalendarAdvance(Calendar,X3065,W3066,"f",FALSE)</f>
        <v>60335</v>
      </c>
      <c r="Y3066" s="237">
        <f>_xll.qlCalendarAdvance(Calendar,X3066,NDays&amp;"D")</f>
        <v>60335</v>
      </c>
      <c r="Z3066" s="238">
        <v>3.4795833228792983E-2</v>
      </c>
      <c r="AA3066" s="240">
        <v>3.4037852235508925E-2</v>
      </c>
    </row>
    <row r="3067" spans="19:27" x14ac:dyDescent="0.2">
      <c r="S3067" s="199"/>
      <c r="T3067" s="200"/>
      <c r="W3067" s="233" t="str">
        <f t="shared" si="54"/>
        <v>1w</v>
      </c>
      <c r="X3067" s="234">
        <f>_xll.qlCalendarAdvance(Calendar,X3066,W3067,"f",FALSE)</f>
        <v>60342</v>
      </c>
      <c r="Y3067" s="237">
        <f>_xll.qlCalendarAdvance(Calendar,X3067,NDays&amp;"D")</f>
        <v>60342</v>
      </c>
      <c r="Z3067" s="238">
        <v>3.4802384252829333E-2</v>
      </c>
      <c r="AA3067" s="240">
        <v>3.4044542406371781E-2</v>
      </c>
    </row>
    <row r="3068" spans="19:27" x14ac:dyDescent="0.2">
      <c r="S3068" s="199"/>
      <c r="T3068" s="200"/>
      <c r="W3068" s="233" t="str">
        <f t="shared" si="54"/>
        <v>1w</v>
      </c>
      <c r="X3068" s="234">
        <f>_xll.qlCalendarAdvance(Calendar,X3067,W3068,"f",FALSE)</f>
        <v>60349</v>
      </c>
      <c r="Y3068" s="237">
        <f>_xll.qlCalendarAdvance(Calendar,X3068,NDays&amp;"D")</f>
        <v>60349</v>
      </c>
      <c r="Z3068" s="238">
        <v>3.4808921036929341E-2</v>
      </c>
      <c r="AA3068" s="240">
        <v>3.405121877497197E-2</v>
      </c>
    </row>
    <row r="3069" spans="19:27" x14ac:dyDescent="0.2">
      <c r="S3069" s="199"/>
      <c r="T3069" s="200"/>
      <c r="W3069" s="233" t="str">
        <f t="shared" si="54"/>
        <v>1w</v>
      </c>
      <c r="X3069" s="234">
        <f>_xll.qlCalendarAdvance(Calendar,X3068,W3069,"f",FALSE)</f>
        <v>60357</v>
      </c>
      <c r="Y3069" s="237">
        <f>_xll.qlCalendarAdvance(Calendar,X3069,NDays&amp;"D")</f>
        <v>60357</v>
      </c>
      <c r="Z3069" s="238">
        <v>3.4816374210326018E-2</v>
      </c>
      <c r="AA3069" s="240">
        <v>3.405883200980675E-2</v>
      </c>
    </row>
    <row r="3070" spans="19:27" x14ac:dyDescent="0.2">
      <c r="S3070" s="199"/>
      <c r="T3070" s="200"/>
      <c r="W3070" s="233" t="str">
        <f t="shared" si="54"/>
        <v>1w</v>
      </c>
      <c r="X3070" s="234">
        <f>_xll.qlCalendarAdvance(Calendar,X3069,W3070,"f",FALSE)</f>
        <v>60364</v>
      </c>
      <c r="Y3070" s="237">
        <f>_xll.qlCalendarAdvance(Calendar,X3070,NDays&amp;"D")</f>
        <v>60364</v>
      </c>
      <c r="Z3070" s="238">
        <v>3.4822880479368212E-2</v>
      </c>
      <c r="AA3070" s="240">
        <v>3.4065478802430826E-2</v>
      </c>
    </row>
    <row r="3071" spans="19:27" x14ac:dyDescent="0.2">
      <c r="S3071" s="199"/>
      <c r="T3071" s="200"/>
      <c r="W3071" s="233" t="str">
        <f t="shared" si="54"/>
        <v>1w</v>
      </c>
      <c r="X3071" s="234">
        <f>_xll.qlCalendarAdvance(Calendar,X3070,W3071,"f",FALSE)</f>
        <v>60371</v>
      </c>
      <c r="Y3071" s="237">
        <f>_xll.qlCalendarAdvance(Calendar,X3071,NDays&amp;"D")</f>
        <v>60371</v>
      </c>
      <c r="Z3071" s="238">
        <v>3.4829372507626521E-2</v>
      </c>
      <c r="AA3071" s="240">
        <v>3.4072111792549098E-2</v>
      </c>
    </row>
    <row r="3072" spans="19:27" x14ac:dyDescent="0.2">
      <c r="S3072" s="199"/>
      <c r="T3072" s="200"/>
      <c r="W3072" s="233" t="str">
        <f t="shared" si="54"/>
        <v>1w</v>
      </c>
      <c r="X3072" s="234">
        <f>_xll.qlCalendarAdvance(Calendar,X3071,W3072,"f",FALSE)</f>
        <v>60378</v>
      </c>
      <c r="Y3072" s="237">
        <f>_xll.qlCalendarAdvance(Calendar,X3072,NDays&amp;"D")</f>
        <v>60378</v>
      </c>
      <c r="Z3072" s="238">
        <v>3.4835850294832493E-2</v>
      </c>
      <c r="AA3072" s="240">
        <v>3.4078730980890981E-2</v>
      </c>
    </row>
    <row r="3073" spans="19:27" x14ac:dyDescent="0.2">
      <c r="S3073" s="199"/>
      <c r="T3073" s="200"/>
      <c r="W3073" s="233" t="str">
        <f t="shared" si="54"/>
        <v>1w</v>
      </c>
      <c r="X3073" s="234">
        <f>_xll.qlCalendarAdvance(Calendar,X3072,W3073,"f",FALSE)</f>
        <v>60385</v>
      </c>
      <c r="Y3073" s="237">
        <f>_xll.qlCalendarAdvance(Calendar,X3073,NDays&amp;"D")</f>
        <v>60385</v>
      </c>
      <c r="Z3073" s="238">
        <v>3.4842313840718564E-2</v>
      </c>
      <c r="AA3073" s="240">
        <v>3.4085336366808106E-2</v>
      </c>
    </row>
    <row r="3074" spans="19:27" x14ac:dyDescent="0.2">
      <c r="S3074" s="199"/>
      <c r="T3074" s="200"/>
      <c r="W3074" s="233" t="str">
        <f t="shared" si="54"/>
        <v>1w</v>
      </c>
      <c r="X3074" s="234">
        <f>_xll.qlCalendarAdvance(Calendar,X3073,W3074,"f",FALSE)</f>
        <v>60392</v>
      </c>
      <c r="Y3074" s="237">
        <f>_xll.qlCalendarAdvance(Calendar,X3074,NDays&amp;"D")</f>
        <v>60392</v>
      </c>
      <c r="Z3074" s="238">
        <v>3.4848763145016948E-2</v>
      </c>
      <c r="AA3074" s="240">
        <v>3.4091927950462564E-2</v>
      </c>
    </row>
    <row r="3075" spans="19:27" x14ac:dyDescent="0.2">
      <c r="S3075" s="199"/>
      <c r="T3075" s="200"/>
      <c r="W3075" s="233" t="str">
        <f t="shared" si="54"/>
        <v>1w</v>
      </c>
      <c r="X3075" s="234">
        <f>_xll.qlCalendarAdvance(Calendar,X3074,W3075,"f",FALSE)</f>
        <v>60399</v>
      </c>
      <c r="Y3075" s="237">
        <f>_xll.qlCalendarAdvance(Calendar,X3075,NDays&amp;"D")</f>
        <v>60399</v>
      </c>
      <c r="Z3075" s="238">
        <v>3.4855198207460747E-2</v>
      </c>
      <c r="AA3075" s="240">
        <v>3.4098505732097495E-2</v>
      </c>
    </row>
    <row r="3076" spans="19:27" x14ac:dyDescent="0.2">
      <c r="S3076" s="199"/>
      <c r="T3076" s="200"/>
      <c r="W3076" s="233" t="str">
        <f t="shared" si="54"/>
        <v>1w</v>
      </c>
      <c r="X3076" s="234">
        <f>_xll.qlCalendarAdvance(Calendar,X3075,W3076,"f",FALSE)</f>
        <v>60406</v>
      </c>
      <c r="Y3076" s="237">
        <f>_xll.qlCalendarAdvance(Calendar,X3076,NDays&amp;"D")</f>
        <v>60406</v>
      </c>
      <c r="Z3076" s="238">
        <v>3.4861619027784618E-2</v>
      </c>
      <c r="AA3076" s="240">
        <v>3.4105069711550806E-2</v>
      </c>
    </row>
    <row r="3077" spans="19:27" x14ac:dyDescent="0.2">
      <c r="S3077" s="199"/>
      <c r="T3077" s="200"/>
      <c r="W3077" s="233" t="str">
        <f t="shared" si="54"/>
        <v>1w</v>
      </c>
      <c r="X3077" s="234">
        <f>_xll.qlCalendarAdvance(Calendar,X3076,W3077,"f",FALSE)</f>
        <v>60413</v>
      </c>
      <c r="Y3077" s="237">
        <f>_xll.qlCalendarAdvance(Calendar,X3077,NDays&amp;"D")</f>
        <v>60413</v>
      </c>
      <c r="Z3077" s="238">
        <v>3.486802560572233E-2</v>
      </c>
      <c r="AA3077" s="240">
        <v>3.4111619888822498E-2</v>
      </c>
    </row>
    <row r="3078" spans="19:27" x14ac:dyDescent="0.2">
      <c r="S3078" s="199"/>
      <c r="T3078" s="200"/>
      <c r="W3078" s="233" t="str">
        <f t="shared" si="54"/>
        <v>1w</v>
      </c>
      <c r="X3078" s="234">
        <f>_xll.qlCalendarAdvance(Calendar,X3077,W3078,"f",FALSE)</f>
        <v>60420</v>
      </c>
      <c r="Y3078" s="237">
        <f>_xll.qlCalendarAdvance(Calendar,X3078,NDays&amp;"D")</f>
        <v>60420</v>
      </c>
      <c r="Z3078" s="238">
        <v>3.4874417941008762E-2</v>
      </c>
      <c r="AA3078" s="240">
        <v>3.4118156263831523E-2</v>
      </c>
    </row>
    <row r="3079" spans="19:27" x14ac:dyDescent="0.2">
      <c r="S3079" s="199"/>
      <c r="T3079" s="200"/>
      <c r="W3079" s="233" t="str">
        <f t="shared" si="54"/>
        <v>1w</v>
      </c>
      <c r="X3079" s="234">
        <f>_xll.qlCalendarAdvance(Calendar,X3078,W3079,"f",FALSE)</f>
        <v>60427</v>
      </c>
      <c r="Y3079" s="237">
        <f>_xll.qlCalendarAdvance(Calendar,X3079,NDays&amp;"D")</f>
        <v>60427</v>
      </c>
      <c r="Z3079" s="238">
        <v>3.488079603337968E-2</v>
      </c>
      <c r="AA3079" s="240">
        <v>3.4124678836739974E-2</v>
      </c>
    </row>
    <row r="3080" spans="19:27" x14ac:dyDescent="0.2">
      <c r="S3080" s="199"/>
      <c r="T3080" s="200"/>
      <c r="W3080" s="233" t="str">
        <f t="shared" si="54"/>
        <v>1w</v>
      </c>
      <c r="X3080" s="234">
        <f>_xll.qlCalendarAdvance(Calendar,X3079,W3080,"f",FALSE)</f>
        <v>60434</v>
      </c>
      <c r="Y3080" s="237">
        <f>_xll.qlCalendarAdvance(Calendar,X3080,NDays&amp;"D")</f>
        <v>60434</v>
      </c>
      <c r="Z3080" s="238">
        <v>3.4887159882571295E-2</v>
      </c>
      <c r="AA3080" s="240">
        <v>3.413118760738576E-2</v>
      </c>
    </row>
    <row r="3081" spans="19:27" x14ac:dyDescent="0.2">
      <c r="S3081" s="199"/>
      <c r="T3081" s="200"/>
      <c r="W3081" s="233" t="str">
        <f t="shared" si="54"/>
        <v>1w</v>
      </c>
      <c r="X3081" s="234">
        <f>_xll.qlCalendarAdvance(Calendar,X3080,W3081,"f",FALSE)</f>
        <v>60441</v>
      </c>
      <c r="Y3081" s="237">
        <f>_xll.qlCalendarAdvance(Calendar,X3081,NDays&amp;"D")</f>
        <v>60441</v>
      </c>
      <c r="Z3081" s="238">
        <v>3.4893509488320928E-2</v>
      </c>
      <c r="AA3081" s="240">
        <v>3.4137682575930972E-2</v>
      </c>
    </row>
    <row r="3082" spans="19:27" x14ac:dyDescent="0.2">
      <c r="S3082" s="199"/>
      <c r="T3082" s="200"/>
      <c r="W3082" s="233" t="str">
        <f t="shared" si="54"/>
        <v>1w</v>
      </c>
      <c r="X3082" s="234">
        <f>_xll.qlCalendarAdvance(Calendar,X3081,W3082,"f",FALSE)</f>
        <v>60448</v>
      </c>
      <c r="Y3082" s="237">
        <f>_xll.qlCalendarAdvance(Calendar,X3082,NDays&amp;"D")</f>
        <v>60448</v>
      </c>
      <c r="Z3082" s="238">
        <v>3.489984485036457E-2</v>
      </c>
      <c r="AA3082" s="240">
        <v>3.4144163742132472E-2</v>
      </c>
    </row>
    <row r="3083" spans="19:27" x14ac:dyDescent="0.2">
      <c r="S3083" s="199"/>
      <c r="T3083" s="200"/>
      <c r="W3083" s="233" t="str">
        <f t="shared" si="54"/>
        <v>1w</v>
      </c>
      <c r="X3083" s="234">
        <f>_xll.qlCalendarAdvance(Calendar,X3082,W3083,"f",FALSE)</f>
        <v>60455</v>
      </c>
      <c r="Y3083" s="237">
        <f>_xll.qlCalendarAdvance(Calendar,X3083,NDays&amp;"D")</f>
        <v>60455</v>
      </c>
      <c r="Z3083" s="238">
        <v>3.4906165968441094E-2</v>
      </c>
      <c r="AA3083" s="240">
        <v>3.4150631106314444E-2</v>
      </c>
    </row>
    <row r="3084" spans="19:27" x14ac:dyDescent="0.2">
      <c r="S3084" s="199"/>
      <c r="T3084" s="200"/>
      <c r="W3084" s="233" t="str">
        <f t="shared" si="54"/>
        <v>1w</v>
      </c>
      <c r="X3084" s="234">
        <f>_xll.qlCalendarAdvance(Calendar,X3083,W3084,"f",FALSE)</f>
        <v>60462</v>
      </c>
      <c r="Y3084" s="237">
        <f>_xll.qlCalendarAdvance(Calendar,X3084,NDays&amp;"D")</f>
        <v>60462</v>
      </c>
      <c r="Z3084" s="238">
        <v>3.4912472842289155E-2</v>
      </c>
      <c r="AA3084" s="240">
        <v>3.4157084668395843E-2</v>
      </c>
    </row>
    <row r="3085" spans="19:27" x14ac:dyDescent="0.2">
      <c r="S3085" s="199"/>
      <c r="T3085" s="200"/>
      <c r="W3085" s="233" t="str">
        <f t="shared" si="54"/>
        <v>1w</v>
      </c>
      <c r="X3085" s="234">
        <f>_xll.qlCalendarAdvance(Calendar,X3084,W3085,"f",FALSE)</f>
        <v>60469</v>
      </c>
      <c r="Y3085" s="237">
        <f>_xll.qlCalendarAdvance(Calendar,X3085,NDays&amp;"D")</f>
        <v>60469</v>
      </c>
      <c r="Z3085" s="238">
        <v>3.4918765471647184E-2</v>
      </c>
      <c r="AA3085" s="240">
        <v>3.4163524427971437E-2</v>
      </c>
    </row>
    <row r="3086" spans="19:27" x14ac:dyDescent="0.2">
      <c r="S3086" s="199"/>
      <c r="T3086" s="200"/>
      <c r="W3086" s="233" t="str">
        <f t="shared" si="54"/>
        <v>1w</v>
      </c>
      <c r="X3086" s="234">
        <f>_xll.qlCalendarAdvance(Calendar,X3085,W3086,"f",FALSE)</f>
        <v>60476</v>
      </c>
      <c r="Y3086" s="237">
        <f>_xll.qlCalendarAdvance(Calendar,X3086,NDays&amp;"D")</f>
        <v>60476</v>
      </c>
      <c r="Z3086" s="238">
        <v>3.4925043856255389E-2</v>
      </c>
      <c r="AA3086" s="240">
        <v>3.4169950385527503E-2</v>
      </c>
    </row>
    <row r="3087" spans="19:27" x14ac:dyDescent="0.2">
      <c r="S3087" s="199"/>
      <c r="T3087" s="200"/>
      <c r="W3087" s="233" t="str">
        <f t="shared" si="54"/>
        <v>1w</v>
      </c>
      <c r="X3087" s="234">
        <f>_xll.qlCalendarAdvance(Calendar,X3086,W3087,"f",FALSE)</f>
        <v>60483</v>
      </c>
      <c r="Y3087" s="237">
        <f>_xll.qlCalendarAdvance(Calendar,X3087,NDays&amp;"D")</f>
        <v>60483</v>
      </c>
      <c r="Z3087" s="238">
        <v>3.4931307995854199E-2</v>
      </c>
      <c r="AA3087" s="240">
        <v>3.4176362540982996E-2</v>
      </c>
    </row>
    <row r="3088" spans="19:27" x14ac:dyDescent="0.2">
      <c r="S3088" s="199"/>
      <c r="T3088" s="200"/>
      <c r="W3088" s="233" t="str">
        <f t="shared" si="54"/>
        <v>1w</v>
      </c>
      <c r="X3088" s="234">
        <f>_xll.qlCalendarAdvance(Calendar,X3087,W3088,"f",FALSE)</f>
        <v>60490</v>
      </c>
      <c r="Y3088" s="237">
        <f>_xll.qlCalendarAdvance(Calendar,X3088,NDays&amp;"D")</f>
        <v>60490</v>
      </c>
      <c r="Z3088" s="238">
        <v>3.4937557890184046E-2</v>
      </c>
      <c r="AA3088" s="240">
        <v>3.4182760894175823E-2</v>
      </c>
    </row>
    <row r="3089" spans="19:27" x14ac:dyDescent="0.2">
      <c r="S3089" s="199"/>
      <c r="T3089" s="200"/>
      <c r="W3089" s="233" t="str">
        <f t="shared" si="54"/>
        <v>1w</v>
      </c>
      <c r="X3089" s="234">
        <f>_xll.qlCalendarAdvance(Calendar,X3088,W3089,"f",FALSE)</f>
        <v>60497</v>
      </c>
      <c r="Y3089" s="237">
        <f>_xll.qlCalendarAdvance(Calendar,X3089,NDays&amp;"D")</f>
        <v>60497</v>
      </c>
      <c r="Z3089" s="238">
        <v>3.4943793538986689E-2</v>
      </c>
      <c r="AA3089" s="240">
        <v>3.4189145445024938E-2</v>
      </c>
    </row>
    <row r="3090" spans="19:27" x14ac:dyDescent="0.2">
      <c r="S3090" s="199"/>
      <c r="T3090" s="200"/>
      <c r="W3090" s="233" t="str">
        <f t="shared" si="54"/>
        <v>1w</v>
      </c>
      <c r="X3090" s="234">
        <f>_xll.qlCalendarAdvance(Calendar,X3089,W3090,"f",FALSE)</f>
        <v>60504</v>
      </c>
      <c r="Y3090" s="237">
        <f>_xll.qlCalendarAdvance(Calendar,X3090,NDays&amp;"D")</f>
        <v>60504</v>
      </c>
      <c r="Z3090" s="238">
        <v>3.4950014942003893E-2</v>
      </c>
      <c r="AA3090" s="240">
        <v>3.4195516193935571E-2</v>
      </c>
    </row>
    <row r="3091" spans="19:27" x14ac:dyDescent="0.2">
      <c r="S3091" s="199"/>
      <c r="T3091" s="200"/>
      <c r="W3091" s="233" t="str">
        <f t="shared" si="54"/>
        <v>1w</v>
      </c>
      <c r="X3091" s="234">
        <f>_xll.qlCalendarAdvance(Calendar,X3090,W3091,"f",FALSE)</f>
        <v>60511</v>
      </c>
      <c r="Y3091" s="237">
        <f>_xll.qlCalendarAdvance(Calendar,X3091,NDays&amp;"D")</f>
        <v>60511</v>
      </c>
      <c r="Z3091" s="238">
        <v>3.4956222098978307E-2</v>
      </c>
      <c r="AA3091" s="240">
        <v>3.4201873140583539E-2</v>
      </c>
    </row>
    <row r="3092" spans="19:27" x14ac:dyDescent="0.2">
      <c r="S3092" s="199"/>
      <c r="T3092" s="200"/>
      <c r="W3092" s="233" t="str">
        <f t="shared" si="54"/>
        <v>1w</v>
      </c>
      <c r="X3092" s="234">
        <f>_xll.qlCalendarAdvance(Calendar,X3091,W3092,"f",FALSE)</f>
        <v>60518</v>
      </c>
      <c r="Y3092" s="237">
        <f>_xll.qlCalendarAdvance(Calendar,X3092,NDays&amp;"D")</f>
        <v>60518</v>
      </c>
      <c r="Z3092" s="238">
        <v>3.4962415009653913E-2</v>
      </c>
      <c r="AA3092" s="240">
        <v>3.420821628496884E-2</v>
      </c>
    </row>
    <row r="3093" spans="19:27" x14ac:dyDescent="0.2">
      <c r="S3093" s="199"/>
      <c r="T3093" s="200"/>
      <c r="W3093" s="233" t="str">
        <f t="shared" ref="W3093:W3156" si="55">W3092</f>
        <v>1w</v>
      </c>
      <c r="X3093" s="234">
        <f>_xll.qlCalendarAdvance(Calendar,X3092,W3093,"f",FALSE)</f>
        <v>60525</v>
      </c>
      <c r="Y3093" s="237">
        <f>_xll.qlCalendarAdvance(Calendar,X3093,NDays&amp;"D")</f>
        <v>60525</v>
      </c>
      <c r="Z3093" s="238">
        <v>3.4968593673773363E-2</v>
      </c>
      <c r="AA3093" s="240">
        <v>3.4214545627091475E-2</v>
      </c>
    </row>
    <row r="3094" spans="19:27" x14ac:dyDescent="0.2">
      <c r="S3094" s="199"/>
      <c r="T3094" s="200"/>
      <c r="W3094" s="233" t="str">
        <f t="shared" si="55"/>
        <v>1w</v>
      </c>
      <c r="X3094" s="234">
        <f>_xll.qlCalendarAdvance(Calendar,X3093,W3094,"f",FALSE)</f>
        <v>60532</v>
      </c>
      <c r="Y3094" s="237">
        <f>_xll.qlCalendarAdvance(Calendar,X3094,NDays&amp;"D")</f>
        <v>60532</v>
      </c>
      <c r="Z3094" s="238">
        <v>3.4974758091081748E-2</v>
      </c>
      <c r="AA3094" s="240">
        <v>3.4220861167194583E-2</v>
      </c>
    </row>
    <row r="3095" spans="19:27" x14ac:dyDescent="0.2">
      <c r="S3095" s="199"/>
      <c r="T3095" s="200"/>
      <c r="W3095" s="233" t="str">
        <f t="shared" si="55"/>
        <v>1w</v>
      </c>
      <c r="X3095" s="234">
        <f>_xll.qlCalendarAdvance(Calendar,X3094,W3095,"f",FALSE)</f>
        <v>60539</v>
      </c>
      <c r="Y3095" s="237">
        <f>_xll.qlCalendarAdvance(Calendar,X3095,NDays&amp;"D")</f>
        <v>60539</v>
      </c>
      <c r="Z3095" s="238">
        <v>3.498090826132394E-2</v>
      </c>
      <c r="AA3095" s="240">
        <v>3.4227162905035025E-2</v>
      </c>
    </row>
    <row r="3096" spans="19:27" x14ac:dyDescent="0.2">
      <c r="S3096" s="199"/>
      <c r="T3096" s="200"/>
      <c r="W3096" s="233" t="str">
        <f t="shared" si="55"/>
        <v>1w</v>
      </c>
      <c r="X3096" s="234">
        <f>_xll.qlCalendarAdvance(Calendar,X3095,W3096,"f",FALSE)</f>
        <v>60546</v>
      </c>
      <c r="Y3096" s="237">
        <f>_xll.qlCalendarAdvance(Calendar,X3096,NDays&amp;"D")</f>
        <v>60546</v>
      </c>
      <c r="Z3096" s="238">
        <v>3.4987044184245697E-2</v>
      </c>
      <c r="AA3096" s="240">
        <v>3.42334508406128E-2</v>
      </c>
    </row>
    <row r="3097" spans="19:27" x14ac:dyDescent="0.2">
      <c r="S3097" s="199"/>
      <c r="T3097" s="200"/>
      <c r="W3097" s="233" t="str">
        <f t="shared" si="55"/>
        <v>1w</v>
      </c>
      <c r="X3097" s="234">
        <f>_xll.qlCalendarAdvance(Calendar,X3096,W3097,"f",FALSE)</f>
        <v>60553</v>
      </c>
      <c r="Y3097" s="237">
        <f>_xll.qlCalendarAdvance(Calendar,X3097,NDays&amp;"D")</f>
        <v>60553</v>
      </c>
      <c r="Z3097" s="238">
        <v>3.4993165859593001E-2</v>
      </c>
      <c r="AA3097" s="240">
        <v>3.4239724974090002E-2</v>
      </c>
    </row>
    <row r="3098" spans="19:27" x14ac:dyDescent="0.2">
      <c r="S3098" s="199"/>
      <c r="T3098" s="200"/>
      <c r="W3098" s="233" t="str">
        <f t="shared" si="55"/>
        <v>1w</v>
      </c>
      <c r="X3098" s="234">
        <f>_xll.qlCalendarAdvance(Calendar,X3097,W3098,"f",FALSE)</f>
        <v>60560</v>
      </c>
      <c r="Y3098" s="237">
        <f>_xll.qlCalendarAdvance(Calendar,X3098,NDays&amp;"D")</f>
        <v>60560</v>
      </c>
      <c r="Z3098" s="238">
        <v>3.499927328711272E-2</v>
      </c>
      <c r="AA3098" s="240">
        <v>3.4245985305385584E-2</v>
      </c>
    </row>
    <row r="3099" spans="19:27" x14ac:dyDescent="0.2">
      <c r="S3099" s="199"/>
      <c r="T3099" s="200"/>
      <c r="W3099" s="233" t="str">
        <f t="shared" si="55"/>
        <v>1w</v>
      </c>
      <c r="X3099" s="234">
        <f>_xll.qlCalendarAdvance(Calendar,X3098,W3099,"f",FALSE)</f>
        <v>60567</v>
      </c>
      <c r="Y3099" s="237">
        <f>_xll.qlCalendarAdvance(Calendar,X3099,NDays&amp;"D")</f>
        <v>60567</v>
      </c>
      <c r="Z3099" s="238">
        <v>3.5005366466551724E-2</v>
      </c>
      <c r="AA3099" s="240">
        <v>3.4252231834418501E-2</v>
      </c>
    </row>
    <row r="3100" spans="19:27" x14ac:dyDescent="0.2">
      <c r="S3100" s="199"/>
      <c r="T3100" s="200"/>
      <c r="W3100" s="233" t="str">
        <f t="shared" si="55"/>
        <v>1w</v>
      </c>
      <c r="X3100" s="234">
        <f>_xll.qlCalendarAdvance(Calendar,X3099,W3100,"f",FALSE)</f>
        <v>60574</v>
      </c>
      <c r="Y3100" s="237">
        <f>_xll.qlCalendarAdvance(Calendar,X3100,NDays&amp;"D")</f>
        <v>60574</v>
      </c>
      <c r="Z3100" s="238">
        <v>3.501144539765888E-2</v>
      </c>
      <c r="AA3100" s="240">
        <v>3.4258464561107704E-2</v>
      </c>
    </row>
    <row r="3101" spans="19:27" x14ac:dyDescent="0.2">
      <c r="S3101" s="199"/>
      <c r="T3101" s="200"/>
      <c r="W3101" s="233" t="str">
        <f t="shared" si="55"/>
        <v>1w</v>
      </c>
      <c r="X3101" s="234">
        <f>_xll.qlCalendarAdvance(Calendar,X3100,W3101,"f",FALSE)</f>
        <v>60581</v>
      </c>
      <c r="Y3101" s="237">
        <f>_xll.qlCalendarAdvance(Calendar,X3101,NDays&amp;"D")</f>
        <v>60581</v>
      </c>
      <c r="Z3101" s="238">
        <v>3.5017510080181724E-2</v>
      </c>
      <c r="AA3101" s="240">
        <v>3.4264683485858427E-2</v>
      </c>
    </row>
    <row r="3102" spans="19:27" x14ac:dyDescent="0.2">
      <c r="S3102" s="199"/>
      <c r="T3102" s="200"/>
      <c r="W3102" s="233" t="str">
        <f t="shared" si="55"/>
        <v>1w</v>
      </c>
      <c r="X3102" s="234">
        <f>_xll.qlCalendarAdvance(Calendar,X3101,W3102,"f",FALSE)</f>
        <v>60588</v>
      </c>
      <c r="Y3102" s="237">
        <f>_xll.qlCalendarAdvance(Calendar,X3102,NDays&amp;"D")</f>
        <v>60588</v>
      </c>
      <c r="Z3102" s="238">
        <v>3.5023560513869789E-2</v>
      </c>
      <c r="AA3102" s="240">
        <v>3.4270888608265437E-2</v>
      </c>
    </row>
    <row r="3103" spans="19:27" x14ac:dyDescent="0.2">
      <c r="S3103" s="199"/>
      <c r="T3103" s="200"/>
      <c r="W3103" s="233" t="str">
        <f t="shared" si="55"/>
        <v>1w</v>
      </c>
      <c r="X3103" s="234">
        <f>_xll.qlCalendarAdvance(Calendar,X3102,W3103,"f",FALSE)</f>
        <v>60595</v>
      </c>
      <c r="Y3103" s="237">
        <f>_xll.qlCalendarAdvance(Calendar,X3103,NDays&amp;"D")</f>
        <v>60595</v>
      </c>
      <c r="Z3103" s="238">
        <v>3.5029596698473053E-2</v>
      </c>
      <c r="AA3103" s="240">
        <v>3.4277079928409782E-2</v>
      </c>
    </row>
    <row r="3104" spans="19:27" x14ac:dyDescent="0.2">
      <c r="S3104" s="199"/>
      <c r="T3104" s="200"/>
      <c r="W3104" s="233" t="str">
        <f t="shared" si="55"/>
        <v>1w</v>
      </c>
      <c r="X3104" s="234">
        <f>_xll.qlCalendarAdvance(Calendar,X3103,W3104,"f",FALSE)</f>
        <v>60602</v>
      </c>
      <c r="Y3104" s="237">
        <f>_xll.qlCalendarAdvance(Calendar,X3104,NDays&amp;"D")</f>
        <v>60602</v>
      </c>
      <c r="Z3104" s="238">
        <v>3.5035618633741272E-2</v>
      </c>
      <c r="AA3104" s="240">
        <v>3.4283257446534599E-2</v>
      </c>
    </row>
    <row r="3105" spans="19:27" x14ac:dyDescent="0.2">
      <c r="S3105" s="199"/>
      <c r="T3105" s="200"/>
      <c r="W3105" s="233" t="str">
        <f t="shared" si="55"/>
        <v>1w</v>
      </c>
      <c r="X3105" s="234">
        <f>_xll.qlCalendarAdvance(Calendar,X3104,W3105,"f",FALSE)</f>
        <v>60609</v>
      </c>
      <c r="Y3105" s="237">
        <f>_xll.qlCalendarAdvance(Calendar,X3105,NDays&amp;"D")</f>
        <v>60609</v>
      </c>
      <c r="Z3105" s="238">
        <v>3.5041626319425756E-2</v>
      </c>
      <c r="AA3105" s="240">
        <v>3.4289421162396749E-2</v>
      </c>
    </row>
    <row r="3106" spans="19:27" x14ac:dyDescent="0.2">
      <c r="S3106" s="199"/>
      <c r="T3106" s="200"/>
      <c r="W3106" s="233" t="str">
        <f t="shared" si="55"/>
        <v>1w</v>
      </c>
      <c r="X3106" s="234">
        <f>_xll.qlCalendarAdvance(Calendar,X3105,W3106,"f",FALSE)</f>
        <v>60616</v>
      </c>
      <c r="Y3106" s="237">
        <f>_xll.qlCalendarAdvance(Calendar,X3106,NDays&amp;"D")</f>
        <v>60616</v>
      </c>
      <c r="Z3106" s="238">
        <v>3.5047619755277815E-2</v>
      </c>
      <c r="AA3106" s="240">
        <v>3.4295571076158327E-2</v>
      </c>
    </row>
    <row r="3107" spans="19:27" x14ac:dyDescent="0.2">
      <c r="S3107" s="199"/>
      <c r="T3107" s="200"/>
      <c r="W3107" s="233" t="str">
        <f t="shared" si="55"/>
        <v>1w</v>
      </c>
      <c r="X3107" s="234">
        <f>_xll.qlCalendarAdvance(Calendar,X3106,W3107,"f",FALSE)</f>
        <v>60623</v>
      </c>
      <c r="Y3107" s="237">
        <f>_xll.qlCalendarAdvance(Calendar,X3107,NDays&amp;"D")</f>
        <v>60623</v>
      </c>
      <c r="Z3107" s="238">
        <v>3.5053598941049424E-2</v>
      </c>
      <c r="AA3107" s="240">
        <v>3.4301707187414099E-2</v>
      </c>
    </row>
    <row r="3108" spans="19:27" x14ac:dyDescent="0.2">
      <c r="S3108" s="199"/>
      <c r="T3108" s="200"/>
      <c r="W3108" s="233" t="str">
        <f t="shared" si="55"/>
        <v>1w</v>
      </c>
      <c r="X3108" s="234">
        <f>_xll.qlCalendarAdvance(Calendar,X3107,W3108,"f",FALSE)</f>
        <v>60630</v>
      </c>
      <c r="Y3108" s="237">
        <f>_xll.qlCalendarAdvance(Calendar,X3108,NDays&amp;"D")</f>
        <v>60630</v>
      </c>
      <c r="Z3108" s="238">
        <v>3.5059563876493449E-2</v>
      </c>
      <c r="AA3108" s="240">
        <v>3.430782949673139E-2</v>
      </c>
    </row>
    <row r="3109" spans="19:27" x14ac:dyDescent="0.2">
      <c r="S3109" s="199"/>
      <c r="T3109" s="200"/>
      <c r="W3109" s="233" t="str">
        <f t="shared" si="55"/>
        <v>1w</v>
      </c>
      <c r="X3109" s="234">
        <f>_xll.qlCalendarAdvance(Calendar,X3108,W3109,"f",FALSE)</f>
        <v>60637</v>
      </c>
      <c r="Y3109" s="237">
        <f>_xll.qlCalendarAdvance(Calendar,X3109,NDays&amp;"D")</f>
        <v>60637</v>
      </c>
      <c r="Z3109" s="238">
        <v>3.5065514561362754E-2</v>
      </c>
      <c r="AA3109" s="240">
        <v>3.4313938003867062E-2</v>
      </c>
    </row>
    <row r="3110" spans="19:27" x14ac:dyDescent="0.2">
      <c r="S3110" s="199"/>
      <c r="T3110" s="200"/>
      <c r="W3110" s="233" t="str">
        <f t="shared" si="55"/>
        <v>1w</v>
      </c>
      <c r="X3110" s="234">
        <f>_xll.qlCalendarAdvance(Calendar,X3109,W3110,"f",FALSE)</f>
        <v>60644</v>
      </c>
      <c r="Y3110" s="237">
        <f>_xll.qlCalendarAdvance(Calendar,X3110,NDays&amp;"D")</f>
        <v>60644</v>
      </c>
      <c r="Z3110" s="238">
        <v>3.5071450995411535E-2</v>
      </c>
      <c r="AA3110" s="240">
        <v>3.4320032708496928E-2</v>
      </c>
    </row>
    <row r="3111" spans="19:27" x14ac:dyDescent="0.2">
      <c r="S3111" s="199"/>
      <c r="T3111" s="200"/>
      <c r="W3111" s="233" t="str">
        <f t="shared" si="55"/>
        <v>1w</v>
      </c>
      <c r="X3111" s="234">
        <f>_xll.qlCalendarAdvance(Calendar,X3110,W3111,"f",FALSE)</f>
        <v>60651</v>
      </c>
      <c r="Y3111" s="237">
        <f>_xll.qlCalendarAdvance(Calendar,X3111,NDays&amp;"D")</f>
        <v>60651</v>
      </c>
      <c r="Z3111" s="238">
        <v>3.5077373178394211E-2</v>
      </c>
      <c r="AA3111" s="240">
        <v>3.4326113611107267E-2</v>
      </c>
    </row>
    <row r="3112" spans="19:27" x14ac:dyDescent="0.2">
      <c r="S3112" s="199"/>
      <c r="T3112" s="200"/>
      <c r="W3112" s="233" t="str">
        <f t="shared" si="55"/>
        <v>1w</v>
      </c>
      <c r="X3112" s="234">
        <f>_xll.qlCalendarAdvance(Calendar,X3111,W3112,"f",FALSE)</f>
        <v>60658</v>
      </c>
      <c r="Y3112" s="237">
        <f>_xll.qlCalendarAdvance(Calendar,X3112,NDays&amp;"D")</f>
        <v>60658</v>
      </c>
      <c r="Z3112" s="238">
        <v>3.5083281110065201E-2</v>
      </c>
      <c r="AA3112" s="240">
        <v>3.4332180711617033E-2</v>
      </c>
    </row>
    <row r="3113" spans="19:27" x14ac:dyDescent="0.2">
      <c r="S3113" s="199"/>
      <c r="T3113" s="200"/>
      <c r="W3113" s="233" t="str">
        <f t="shared" si="55"/>
        <v>1w</v>
      </c>
      <c r="X3113" s="234">
        <f>_xll.qlCalendarAdvance(Calendar,X3112,W3113,"f",FALSE)</f>
        <v>60665</v>
      </c>
      <c r="Y3113" s="237">
        <f>_xll.qlCalendarAdvance(Calendar,X3113,NDays&amp;"D")</f>
        <v>60665</v>
      </c>
      <c r="Z3113" s="238">
        <v>3.5089174790180699E-2</v>
      </c>
      <c r="AA3113" s="240">
        <v>3.4338234009783086E-2</v>
      </c>
    </row>
    <row r="3114" spans="19:27" x14ac:dyDescent="0.2">
      <c r="S3114" s="199"/>
      <c r="T3114" s="200"/>
      <c r="W3114" s="233" t="str">
        <f t="shared" si="55"/>
        <v>1w</v>
      </c>
      <c r="X3114" s="234">
        <f>_xll.qlCalendarAdvance(Calendar,X3113,W3114,"f",FALSE)</f>
        <v>60672</v>
      </c>
      <c r="Y3114" s="237">
        <f>_xll.qlCalendarAdvance(Calendar,X3114,NDays&amp;"D")</f>
        <v>60672</v>
      </c>
      <c r="Z3114" s="238">
        <v>3.5095054218496902E-2</v>
      </c>
      <c r="AA3114" s="240">
        <v>3.434427350576752E-2</v>
      </c>
    </row>
    <row r="3115" spans="19:27" x14ac:dyDescent="0.2">
      <c r="S3115" s="199"/>
      <c r="T3115" s="200"/>
      <c r="W3115" s="233" t="str">
        <f t="shared" si="55"/>
        <v>1w</v>
      </c>
      <c r="X3115" s="234">
        <f>_xll.qlCalendarAdvance(Calendar,X3114,W3115,"f",FALSE)</f>
        <v>60679</v>
      </c>
      <c r="Y3115" s="237">
        <f>_xll.qlCalendarAdvance(Calendar,X3115,NDays&amp;"D")</f>
        <v>60679</v>
      </c>
      <c r="Z3115" s="238">
        <v>3.5100919394770003E-2</v>
      </c>
      <c r="AA3115" s="240">
        <v>3.4350299199570333E-2</v>
      </c>
    </row>
    <row r="3116" spans="19:27" x14ac:dyDescent="0.2">
      <c r="S3116" s="199"/>
      <c r="T3116" s="200"/>
      <c r="W3116" s="233" t="str">
        <f t="shared" si="55"/>
        <v>1w</v>
      </c>
      <c r="X3116" s="234">
        <f>_xll.qlCalendarAdvance(Calendar,X3115,W3116,"f",FALSE)</f>
        <v>60686</v>
      </c>
      <c r="Y3116" s="237">
        <f>_xll.qlCalendarAdvance(Calendar,X3116,NDays&amp;"D")</f>
        <v>60686</v>
      </c>
      <c r="Z3116" s="238">
        <v>3.5106770318757974E-2</v>
      </c>
      <c r="AA3116" s="240">
        <v>3.4356311091110481E-2</v>
      </c>
    </row>
    <row r="3117" spans="19:27" x14ac:dyDescent="0.2">
      <c r="S3117" s="199"/>
      <c r="T3117" s="200"/>
      <c r="W3117" s="233" t="str">
        <f t="shared" si="55"/>
        <v>1w</v>
      </c>
      <c r="X3117" s="234">
        <f>_xll.qlCalendarAdvance(Calendar,X3116,W3117,"f",FALSE)</f>
        <v>60693</v>
      </c>
      <c r="Y3117" s="237">
        <f>_xll.qlCalendarAdvance(Calendar,X3117,NDays&amp;"D")</f>
        <v>60693</v>
      </c>
      <c r="Z3117" s="238">
        <v>3.5112606990218342E-2</v>
      </c>
      <c r="AA3117" s="240">
        <v>3.4362309180550055E-2</v>
      </c>
    </row>
    <row r="3118" spans="19:27" x14ac:dyDescent="0.2">
      <c r="S3118" s="199"/>
      <c r="T3118" s="200"/>
      <c r="W3118" s="233" t="str">
        <f t="shared" si="55"/>
        <v>1w</v>
      </c>
      <c r="X3118" s="234">
        <f>_xll.qlCalendarAdvance(Calendar,X3117,W3118,"f",FALSE)</f>
        <v>60700</v>
      </c>
      <c r="Y3118" s="237">
        <f>_xll.qlCalendarAdvance(Calendar,X3118,NDays&amp;"D")</f>
        <v>60700</v>
      </c>
      <c r="Z3118" s="238">
        <v>3.5118429408909746E-2</v>
      </c>
      <c r="AA3118" s="240">
        <v>3.436829346756487E-2</v>
      </c>
    </row>
    <row r="3119" spans="19:27" x14ac:dyDescent="0.2">
      <c r="S3119" s="199"/>
      <c r="T3119" s="200"/>
      <c r="W3119" s="233" t="str">
        <f t="shared" si="55"/>
        <v>1w</v>
      </c>
      <c r="X3119" s="234">
        <f>_xll.qlCalendarAdvance(Calendar,X3118,W3119,"f",FALSE)</f>
        <v>60707</v>
      </c>
      <c r="Y3119" s="237">
        <f>_xll.qlCalendarAdvance(Calendar,X3119,NDays&amp;"D")</f>
        <v>60707</v>
      </c>
      <c r="Z3119" s="238">
        <v>3.5124237574591488E-2</v>
      </c>
      <c r="AA3119" s="240">
        <v>3.4374263952560158E-2</v>
      </c>
    </row>
    <row r="3120" spans="19:27" x14ac:dyDescent="0.2">
      <c r="S3120" s="199"/>
      <c r="T3120" s="200"/>
      <c r="W3120" s="233" t="str">
        <f t="shared" si="55"/>
        <v>1w</v>
      </c>
      <c r="X3120" s="234">
        <f>_xll.qlCalendarAdvance(Calendar,X3119,W3120,"f",FALSE)</f>
        <v>60714</v>
      </c>
      <c r="Y3120" s="237">
        <f>_xll.qlCalendarAdvance(Calendar,X3120,NDays&amp;"D")</f>
        <v>60714</v>
      </c>
      <c r="Z3120" s="238">
        <v>3.5130031487023095E-2</v>
      </c>
      <c r="AA3120" s="240">
        <v>3.438022063529278E-2</v>
      </c>
    </row>
    <row r="3121" spans="19:27" x14ac:dyDescent="0.2">
      <c r="S3121" s="199"/>
      <c r="T3121" s="200"/>
      <c r="W3121" s="233" t="str">
        <f t="shared" si="55"/>
        <v>1w</v>
      </c>
      <c r="X3121" s="234">
        <f>_xll.qlCalendarAdvance(Calendar,X3120,W3121,"f",FALSE)</f>
        <v>60721</v>
      </c>
      <c r="Y3121" s="237">
        <f>_xll.qlCalendarAdvance(Calendar,X3121,NDays&amp;"D")</f>
        <v>60721</v>
      </c>
      <c r="Z3121" s="238">
        <v>3.5135811145964979E-2</v>
      </c>
      <c r="AA3121" s="240">
        <v>3.4386163515762735E-2</v>
      </c>
    </row>
    <row r="3122" spans="19:27" x14ac:dyDescent="0.2">
      <c r="S3122" s="199"/>
      <c r="T3122" s="200"/>
      <c r="W3122" s="233" t="str">
        <f t="shared" si="55"/>
        <v>1w</v>
      </c>
      <c r="X3122" s="234">
        <f>_xll.qlCalendarAdvance(Calendar,X3121,W3122,"f",FALSE)</f>
        <v>60728</v>
      </c>
      <c r="Y3122" s="237">
        <f>_xll.qlCalendarAdvance(Calendar,X3122,NDays&amp;"D")</f>
        <v>60728</v>
      </c>
      <c r="Z3122" s="238">
        <v>3.5141576551177778E-2</v>
      </c>
      <c r="AA3122" s="240">
        <v>3.4392092594051071E-2</v>
      </c>
    </row>
    <row r="3123" spans="19:27" x14ac:dyDescent="0.2">
      <c r="S3123" s="199"/>
      <c r="T3123" s="200"/>
      <c r="W3123" s="233" t="str">
        <f t="shared" si="55"/>
        <v>1w</v>
      </c>
      <c r="X3123" s="234">
        <f>_xll.qlCalendarAdvance(Calendar,X3122,W3123,"f",FALSE)</f>
        <v>60735</v>
      </c>
      <c r="Y3123" s="237">
        <f>_xll.qlCalendarAdvance(Calendar,X3123,NDays&amp;"D")</f>
        <v>60735</v>
      </c>
      <c r="Z3123" s="238">
        <v>3.5147327702423237E-2</v>
      </c>
      <c r="AA3123" s="240">
        <v>3.4398007870238834E-2</v>
      </c>
    </row>
    <row r="3124" spans="19:27" x14ac:dyDescent="0.2">
      <c r="S3124" s="199"/>
      <c r="T3124" s="200"/>
      <c r="W3124" s="233" t="str">
        <f t="shared" si="55"/>
        <v>1w</v>
      </c>
      <c r="X3124" s="234">
        <f>_xll.qlCalendarAdvance(Calendar,X3123,W3124,"f",FALSE)</f>
        <v>60742</v>
      </c>
      <c r="Y3124" s="237">
        <f>_xll.qlCalendarAdvance(Calendar,X3124,NDays&amp;"D")</f>
        <v>60742</v>
      </c>
      <c r="Z3124" s="238">
        <v>3.5153064599463102E-2</v>
      </c>
      <c r="AA3124" s="240">
        <v>3.4403909344082884E-2</v>
      </c>
    </row>
    <row r="3125" spans="19:27" x14ac:dyDescent="0.2">
      <c r="S3125" s="199"/>
      <c r="T3125" s="200"/>
      <c r="W3125" s="233" t="str">
        <f t="shared" si="55"/>
        <v>1w</v>
      </c>
      <c r="X3125" s="234">
        <f>_xll.qlCalendarAdvance(Calendar,X3124,W3125,"f",FALSE)</f>
        <v>60749</v>
      </c>
      <c r="Y3125" s="237">
        <f>_xll.qlCalendarAdvance(Calendar,X3125,NDays&amp;"D")</f>
        <v>60749</v>
      </c>
      <c r="Z3125" s="238">
        <v>3.5158787242060674E-2</v>
      </c>
      <c r="AA3125" s="240">
        <v>3.4409797015664267E-2</v>
      </c>
    </row>
    <row r="3126" spans="19:27" x14ac:dyDescent="0.2">
      <c r="S3126" s="199"/>
      <c r="T3126" s="200"/>
      <c r="W3126" s="233" t="str">
        <f t="shared" si="55"/>
        <v>1w</v>
      </c>
      <c r="X3126" s="234">
        <f>_xll.qlCalendarAdvance(Calendar,X3125,W3126,"f",FALSE)</f>
        <v>60756</v>
      </c>
      <c r="Y3126" s="237">
        <f>_xll.qlCalendarAdvance(Calendar,X3126,NDays&amp;"D")</f>
        <v>60756</v>
      </c>
      <c r="Z3126" s="238">
        <v>3.5164495629978365E-2</v>
      </c>
      <c r="AA3126" s="240">
        <v>3.4415670885145078E-2</v>
      </c>
    </row>
    <row r="3127" spans="19:27" x14ac:dyDescent="0.2">
      <c r="S3127" s="199"/>
      <c r="T3127" s="200"/>
      <c r="W3127" s="233" t="str">
        <f t="shared" si="55"/>
        <v>1w</v>
      </c>
      <c r="X3127" s="234">
        <f>_xll.qlCalendarAdvance(Calendar,X3126,W3127,"f",FALSE)</f>
        <v>60763</v>
      </c>
      <c r="Y3127" s="237">
        <f>_xll.qlCalendarAdvance(Calendar,X3127,NDays&amp;"D")</f>
        <v>60763</v>
      </c>
      <c r="Z3127" s="238">
        <v>3.5170189762980364E-2</v>
      </c>
      <c r="AA3127" s="240">
        <v>3.4421530952282176E-2</v>
      </c>
    </row>
    <row r="3128" spans="19:27" x14ac:dyDescent="0.2">
      <c r="S3128" s="199"/>
      <c r="T3128" s="200"/>
      <c r="W3128" s="233" t="str">
        <f t="shared" si="55"/>
        <v>1w</v>
      </c>
      <c r="X3128" s="234">
        <f>_xll.qlCalendarAdvance(Calendar,X3127,W3128,"f",FALSE)</f>
        <v>60770</v>
      </c>
      <c r="Y3128" s="237">
        <f>_xll.qlCalendarAdvance(Calendar,X3128,NDays&amp;"D")</f>
        <v>60770</v>
      </c>
      <c r="Z3128" s="238">
        <v>3.5175869640831303E-2</v>
      </c>
      <c r="AA3128" s="240">
        <v>3.4427377217237654E-2</v>
      </c>
    </row>
    <row r="3129" spans="19:27" x14ac:dyDescent="0.2">
      <c r="S3129" s="199"/>
      <c r="T3129" s="200"/>
      <c r="W3129" s="233" t="str">
        <f t="shared" si="55"/>
        <v>1w</v>
      </c>
      <c r="X3129" s="234">
        <f>_xll.qlCalendarAdvance(Calendar,X3128,W3129,"f",FALSE)</f>
        <v>60777</v>
      </c>
      <c r="Y3129" s="237">
        <f>_xll.qlCalendarAdvance(Calendar,X3129,NDays&amp;"D")</f>
        <v>60777</v>
      </c>
      <c r="Z3129" s="238">
        <v>3.518153526329626E-2</v>
      </c>
      <c r="AA3129" s="240">
        <v>3.4433209680092558E-2</v>
      </c>
    </row>
    <row r="3130" spans="19:27" x14ac:dyDescent="0.2">
      <c r="S3130" s="199"/>
      <c r="T3130" s="200"/>
      <c r="W3130" s="233" t="str">
        <f t="shared" si="55"/>
        <v>1w</v>
      </c>
      <c r="X3130" s="234">
        <f>_xll.qlCalendarAdvance(Calendar,X3129,W3130,"f",FALSE)</f>
        <v>60784</v>
      </c>
      <c r="Y3130" s="237">
        <f>_xll.qlCalendarAdvance(Calendar,X3130,NDays&amp;"D")</f>
        <v>60784</v>
      </c>
      <c r="Z3130" s="238">
        <v>3.5187186630140088E-2</v>
      </c>
      <c r="AA3130" s="240">
        <v>3.4439028340684796E-2</v>
      </c>
    </row>
    <row r="3131" spans="19:27" x14ac:dyDescent="0.2">
      <c r="S3131" s="199"/>
      <c r="T3131" s="200"/>
      <c r="W3131" s="233" t="str">
        <f t="shared" si="55"/>
        <v>1w</v>
      </c>
      <c r="X3131" s="234">
        <f>_xll.qlCalendarAdvance(Calendar,X3130,W3131,"f",FALSE)</f>
        <v>60791</v>
      </c>
      <c r="Y3131" s="237">
        <f>_xll.qlCalendarAdvance(Calendar,X3131,NDays&amp;"D")</f>
        <v>60791</v>
      </c>
      <c r="Z3131" s="238">
        <v>3.5192823741129642E-2</v>
      </c>
      <c r="AA3131" s="240">
        <v>3.4444833199014369E-2</v>
      </c>
    </row>
    <row r="3132" spans="19:27" x14ac:dyDescent="0.2">
      <c r="S3132" s="199"/>
      <c r="T3132" s="200"/>
      <c r="W3132" s="233" t="str">
        <f t="shared" si="55"/>
        <v>1w</v>
      </c>
      <c r="X3132" s="234">
        <f>_xll.qlCalendarAdvance(Calendar,X3131,W3132,"f",FALSE)</f>
        <v>60798</v>
      </c>
      <c r="Y3132" s="237">
        <f>_xll.qlCalendarAdvance(Calendar,X3132,NDays&amp;"D")</f>
        <v>60798</v>
      </c>
      <c r="Z3132" s="238">
        <v>3.5198446596031774E-2</v>
      </c>
      <c r="AA3132" s="240">
        <v>3.4450624255081275E-2</v>
      </c>
    </row>
    <row r="3133" spans="19:27" x14ac:dyDescent="0.2">
      <c r="S3133" s="199"/>
      <c r="T3133" s="200"/>
      <c r="W3133" s="233" t="str">
        <f t="shared" si="55"/>
        <v>1w</v>
      </c>
      <c r="X3133" s="234">
        <f>_xll.qlCalendarAdvance(Calendar,X3132,W3133,"f",FALSE)</f>
        <v>60805</v>
      </c>
      <c r="Y3133" s="237">
        <f>_xll.qlCalendarAdvance(Calendar,X3133,NDays&amp;"D")</f>
        <v>60805</v>
      </c>
      <c r="Z3133" s="238">
        <v>3.5204055194613115E-2</v>
      </c>
      <c r="AA3133" s="240">
        <v>3.4456401509047607E-2</v>
      </c>
    </row>
    <row r="3134" spans="19:27" x14ac:dyDescent="0.2">
      <c r="S3134" s="199"/>
      <c r="T3134" s="200"/>
      <c r="W3134" s="233" t="str">
        <f t="shared" si="55"/>
        <v>1w</v>
      </c>
      <c r="X3134" s="234">
        <f>_xll.qlCalendarAdvance(Calendar,X3133,W3134,"f",FALSE)</f>
        <v>60812</v>
      </c>
      <c r="Y3134" s="237">
        <f>_xll.qlCalendarAdvance(Calendar,X3134,NDays&amp;"D")</f>
        <v>60812</v>
      </c>
      <c r="Z3134" s="238">
        <v>3.5209649536642296E-2</v>
      </c>
      <c r="AA3134" s="240">
        <v>3.4462164960751274E-2</v>
      </c>
    </row>
    <row r="3135" spans="19:27" x14ac:dyDescent="0.2">
      <c r="S3135" s="199"/>
      <c r="T3135" s="200"/>
      <c r="W3135" s="233" t="str">
        <f t="shared" si="55"/>
        <v>1w</v>
      </c>
      <c r="X3135" s="234">
        <f>_xll.qlCalendarAdvance(Calendar,X3134,W3135,"f",FALSE)</f>
        <v>60819</v>
      </c>
      <c r="Y3135" s="237">
        <f>_xll.qlCalendarAdvance(Calendar,X3135,NDays&amp;"D")</f>
        <v>60819</v>
      </c>
      <c r="Z3135" s="238">
        <v>3.5215229621887945E-2</v>
      </c>
      <c r="AA3135" s="240">
        <v>3.4467914610192274E-2</v>
      </c>
    </row>
    <row r="3136" spans="19:27" x14ac:dyDescent="0.2">
      <c r="S3136" s="199"/>
      <c r="T3136" s="200"/>
      <c r="W3136" s="233" t="str">
        <f t="shared" si="55"/>
        <v>1w</v>
      </c>
      <c r="X3136" s="234">
        <f>_xll.qlCalendarAdvance(Calendar,X3135,W3136,"f",FALSE)</f>
        <v>60826</v>
      </c>
      <c r="Y3136" s="237">
        <f>_xll.qlCalendarAdvance(Calendar,X3136,NDays&amp;"D")</f>
        <v>60826</v>
      </c>
      <c r="Z3136" s="238">
        <v>3.5220795450118025E-2</v>
      </c>
      <c r="AA3136" s="240">
        <v>3.4473650457289562E-2</v>
      </c>
    </row>
    <row r="3137" spans="19:27" x14ac:dyDescent="0.2">
      <c r="S3137" s="199"/>
      <c r="T3137" s="200"/>
      <c r="W3137" s="233" t="str">
        <f t="shared" si="55"/>
        <v>1w</v>
      </c>
      <c r="X3137" s="234">
        <f>_xll.qlCalendarAdvance(Calendar,X3136,W3137,"f",FALSE)</f>
        <v>60833</v>
      </c>
      <c r="Y3137" s="237">
        <f>_xll.qlCalendarAdvance(Calendar,X3137,NDays&amp;"D")</f>
        <v>60833</v>
      </c>
      <c r="Z3137" s="238">
        <v>3.5226347021104054E-2</v>
      </c>
      <c r="AA3137" s="240">
        <v>3.4479372502367323E-2</v>
      </c>
    </row>
    <row r="3138" spans="19:27" x14ac:dyDescent="0.2">
      <c r="S3138" s="199"/>
      <c r="T3138" s="200"/>
      <c r="W3138" s="233" t="str">
        <f t="shared" si="55"/>
        <v>1w</v>
      </c>
      <c r="X3138" s="234">
        <f>_xll.qlCalendarAdvance(Calendar,X3137,W3138,"f",FALSE)</f>
        <v>60840</v>
      </c>
      <c r="Y3138" s="237">
        <f>_xll.qlCalendarAdvance(Calendar,X3138,NDays&amp;"D")</f>
        <v>60840</v>
      </c>
      <c r="Z3138" s="238">
        <v>3.5231884334615104E-2</v>
      </c>
      <c r="AA3138" s="240">
        <v>3.4485080745182417E-2</v>
      </c>
    </row>
    <row r="3139" spans="19:27" x14ac:dyDescent="0.2">
      <c r="S3139" s="199"/>
      <c r="T3139" s="200"/>
      <c r="W3139" s="233" t="str">
        <f t="shared" si="55"/>
        <v>1w</v>
      </c>
      <c r="X3139" s="234">
        <f>_xll.qlCalendarAdvance(Calendar,X3138,W3139,"f",FALSE)</f>
        <v>60847</v>
      </c>
      <c r="Y3139" s="237">
        <f>_xll.qlCalendarAdvance(Calendar,X3139,NDays&amp;"D")</f>
        <v>60847</v>
      </c>
      <c r="Z3139" s="238">
        <v>3.523740739042247E-2</v>
      </c>
      <c r="AA3139" s="240">
        <v>3.4490775185653799E-2</v>
      </c>
    </row>
    <row r="3140" spans="19:27" x14ac:dyDescent="0.2">
      <c r="S3140" s="199"/>
      <c r="T3140" s="200"/>
      <c r="W3140" s="233" t="str">
        <f t="shared" si="55"/>
        <v>1w</v>
      </c>
      <c r="X3140" s="234">
        <f>_xll.qlCalendarAdvance(Calendar,X3139,W3140,"f",FALSE)</f>
        <v>60854</v>
      </c>
      <c r="Y3140" s="237">
        <f>_xll.qlCalendarAdvance(Calendar,X3140,NDays&amp;"D")</f>
        <v>60854</v>
      </c>
      <c r="Z3140" s="238">
        <v>3.5242916188297446E-2</v>
      </c>
      <c r="AA3140" s="240">
        <v>3.4496455824024608E-2</v>
      </c>
    </row>
    <row r="3141" spans="19:27" x14ac:dyDescent="0.2">
      <c r="S3141" s="199"/>
      <c r="T3141" s="200"/>
      <c r="W3141" s="233" t="str">
        <f t="shared" si="55"/>
        <v>1w</v>
      </c>
      <c r="X3141" s="234">
        <f>_xll.qlCalendarAdvance(Calendar,X3140,W3141,"f",FALSE)</f>
        <v>60861</v>
      </c>
      <c r="Y3141" s="237">
        <f>_xll.qlCalendarAdvance(Calendar,X3141,NDays&amp;"D")</f>
        <v>60861</v>
      </c>
      <c r="Z3141" s="238">
        <v>3.5248410728011992E-2</v>
      </c>
      <c r="AA3141" s="240">
        <v>3.4502122660213796E-2</v>
      </c>
    </row>
    <row r="3142" spans="19:27" x14ac:dyDescent="0.2">
      <c r="S3142" s="199"/>
      <c r="T3142" s="200"/>
      <c r="W3142" s="233" t="str">
        <f t="shared" si="55"/>
        <v>1w</v>
      </c>
      <c r="X3142" s="234">
        <f>_xll.qlCalendarAdvance(Calendar,X3141,W3142,"f",FALSE)</f>
        <v>60868</v>
      </c>
      <c r="Y3142" s="237">
        <f>_xll.qlCalendarAdvance(Calendar,X3142,NDays&amp;"D")</f>
        <v>60868</v>
      </c>
      <c r="Z3142" s="238">
        <v>3.5253891009339178E-2</v>
      </c>
      <c r="AA3142" s="240">
        <v>3.4507775694140319E-2</v>
      </c>
    </row>
    <row r="3143" spans="19:27" x14ac:dyDescent="0.2">
      <c r="S3143" s="199"/>
      <c r="T3143" s="200"/>
      <c r="W3143" s="233" t="str">
        <f t="shared" si="55"/>
        <v>1w</v>
      </c>
      <c r="X3143" s="234">
        <f>_xll.qlCalendarAdvance(Calendar,X3142,W3143,"f",FALSE)</f>
        <v>60875</v>
      </c>
      <c r="Y3143" s="237">
        <f>_xll.qlCalendarAdvance(Calendar,X3143,NDays&amp;"D")</f>
        <v>60875</v>
      </c>
      <c r="Z3143" s="238">
        <v>3.5259357032051852E-2</v>
      </c>
      <c r="AA3143" s="240">
        <v>3.4513414925561037E-2</v>
      </c>
    </row>
    <row r="3144" spans="19:27" x14ac:dyDescent="0.2">
      <c r="S3144" s="199"/>
      <c r="T3144" s="200"/>
      <c r="W3144" s="233" t="str">
        <f t="shared" si="55"/>
        <v>1w</v>
      </c>
      <c r="X3144" s="234">
        <f>_xll.qlCalendarAdvance(Calendar,X3143,W3144,"f",FALSE)</f>
        <v>60882</v>
      </c>
      <c r="Y3144" s="237">
        <f>_xll.qlCalendarAdvance(Calendar,X3144,NDays&amp;"D")</f>
        <v>60882</v>
      </c>
      <c r="Z3144" s="238">
        <v>3.5264808795924196E-2</v>
      </c>
      <c r="AA3144" s="240">
        <v>3.451904035512432E-2</v>
      </c>
    </row>
    <row r="3145" spans="19:27" x14ac:dyDescent="0.2">
      <c r="S3145" s="199"/>
      <c r="T3145" s="200"/>
      <c r="W3145" s="233" t="str">
        <f t="shared" si="55"/>
        <v>1w</v>
      </c>
      <c r="X3145" s="234">
        <f>_xll.qlCalendarAdvance(Calendar,X3144,W3145,"f",FALSE)</f>
        <v>60889</v>
      </c>
      <c r="Y3145" s="237">
        <f>_xll.qlCalendarAdvance(Calendar,X3145,NDays&amp;"D")</f>
        <v>60889</v>
      </c>
      <c r="Z3145" s="238">
        <v>3.5270246300730834E-2</v>
      </c>
      <c r="AA3145" s="240">
        <v>3.4524651982262844E-2</v>
      </c>
    </row>
    <row r="3146" spans="19:27" x14ac:dyDescent="0.2">
      <c r="S3146" s="199"/>
      <c r="T3146" s="200"/>
      <c r="W3146" s="233" t="str">
        <f t="shared" si="55"/>
        <v>1w</v>
      </c>
      <c r="X3146" s="234">
        <f>_xll.qlCalendarAdvance(Calendar,X3145,W3146,"f",FALSE)</f>
        <v>60896</v>
      </c>
      <c r="Y3146" s="237">
        <f>_xll.qlCalendarAdvance(Calendar,X3146,NDays&amp;"D")</f>
        <v>60896</v>
      </c>
      <c r="Z3146" s="238">
        <v>3.5275669546246613E-2</v>
      </c>
      <c r="AA3146" s="240">
        <v>3.4530249807300795E-2</v>
      </c>
    </row>
    <row r="3147" spans="19:27" x14ac:dyDescent="0.2">
      <c r="S3147" s="199"/>
      <c r="T3147" s="200"/>
      <c r="W3147" s="233" t="str">
        <f t="shared" si="55"/>
        <v>1w</v>
      </c>
      <c r="X3147" s="234">
        <f>_xll.qlCalendarAdvance(Calendar,X3146,W3147,"f",FALSE)</f>
        <v>60903</v>
      </c>
      <c r="Y3147" s="237">
        <f>_xll.qlCalendarAdvance(Calendar,X3147,NDays&amp;"D")</f>
        <v>60903</v>
      </c>
      <c r="Z3147" s="238">
        <v>3.5281078532246601E-2</v>
      </c>
      <c r="AA3147" s="240">
        <v>3.4535833829913987E-2</v>
      </c>
    </row>
    <row r="3148" spans="19:27" x14ac:dyDescent="0.2">
      <c r="S3148" s="199"/>
      <c r="T3148" s="200"/>
      <c r="W3148" s="233" t="str">
        <f t="shared" si="55"/>
        <v>1w</v>
      </c>
      <c r="X3148" s="234">
        <f>_xll.qlCalendarAdvance(Calendar,X3147,W3148,"f",FALSE)</f>
        <v>60910</v>
      </c>
      <c r="Y3148" s="237">
        <f>_xll.qlCalendarAdvance(Calendar,X3148,NDays&amp;"D")</f>
        <v>60910</v>
      </c>
      <c r="Z3148" s="238">
        <v>3.5286473258507423E-2</v>
      </c>
      <c r="AA3148" s="240">
        <v>3.4541404050588698E-2</v>
      </c>
    </row>
    <row r="3149" spans="19:27" x14ac:dyDescent="0.2">
      <c r="S3149" s="199"/>
      <c r="T3149" s="200"/>
      <c r="W3149" s="233" t="str">
        <f t="shared" si="55"/>
        <v>1w</v>
      </c>
      <c r="X3149" s="234">
        <f>_xll.qlCalendarAdvance(Calendar,X3148,W3149,"f",FALSE)</f>
        <v>60917</v>
      </c>
      <c r="Y3149" s="237">
        <f>_xll.qlCalendarAdvance(Calendar,X3149,NDays&amp;"D")</f>
        <v>60917</v>
      </c>
      <c r="Z3149" s="238">
        <v>3.52918537248057E-2</v>
      </c>
      <c r="AA3149" s="240">
        <v>3.4546960468757604E-2</v>
      </c>
    </row>
    <row r="3150" spans="19:27" x14ac:dyDescent="0.2">
      <c r="S3150" s="199"/>
      <c r="T3150" s="200"/>
      <c r="W3150" s="233" t="str">
        <f t="shared" si="55"/>
        <v>1w</v>
      </c>
      <c r="X3150" s="234">
        <f>_xll.qlCalendarAdvance(Calendar,X3149,W3150,"f",FALSE)</f>
        <v>60924</v>
      </c>
      <c r="Y3150" s="237">
        <f>_xll.qlCalendarAdvance(Calendar,X3150,NDays&amp;"D")</f>
        <v>60924</v>
      </c>
      <c r="Z3150" s="238">
        <v>3.5297219930918722E-2</v>
      </c>
      <c r="AA3150" s="240">
        <v>3.4552503084663844E-2</v>
      </c>
    </row>
    <row r="3151" spans="19:27" x14ac:dyDescent="0.2">
      <c r="S3151" s="199"/>
      <c r="T3151" s="200"/>
      <c r="W3151" s="233" t="str">
        <f t="shared" si="55"/>
        <v>1w</v>
      </c>
      <c r="X3151" s="234">
        <f>_xll.qlCalendarAdvance(Calendar,X3150,W3151,"f",FALSE)</f>
        <v>60931</v>
      </c>
      <c r="Y3151" s="237">
        <f>_xll.qlCalendarAdvance(Calendar,X3151,NDays&amp;"D")</f>
        <v>60931</v>
      </c>
      <c r="Z3151" s="238">
        <v>3.5302571876625333E-2</v>
      </c>
      <c r="AA3151" s="240">
        <v>3.455803189846951E-2</v>
      </c>
    </row>
    <row r="3152" spans="19:27" x14ac:dyDescent="0.2">
      <c r="S3152" s="199"/>
      <c r="T3152" s="200"/>
      <c r="W3152" s="233" t="str">
        <f t="shared" si="55"/>
        <v>1w</v>
      </c>
      <c r="X3152" s="234">
        <f>_xll.qlCalendarAdvance(Calendar,X3151,W3152,"f",FALSE)</f>
        <v>60938</v>
      </c>
      <c r="Y3152" s="237">
        <f>_xll.qlCalendarAdvance(Calendar,X3152,NDays&amp;"D")</f>
        <v>60938</v>
      </c>
      <c r="Z3152" s="238">
        <v>3.5307909561703266E-2</v>
      </c>
      <c r="AA3152" s="240">
        <v>3.4563546910255649E-2</v>
      </c>
    </row>
    <row r="3153" spans="19:27" x14ac:dyDescent="0.2">
      <c r="S3153" s="199"/>
      <c r="T3153" s="200"/>
      <c r="W3153" s="233" t="str">
        <f t="shared" si="55"/>
        <v>1w</v>
      </c>
      <c r="X3153" s="234">
        <f>_xll.qlCalendarAdvance(Calendar,X3152,W3153,"f",FALSE)</f>
        <v>60945</v>
      </c>
      <c r="Y3153" s="237">
        <f>_xll.qlCalendarAdvance(Calendar,X3153,NDays&amp;"D")</f>
        <v>60945</v>
      </c>
      <c r="Z3153" s="238">
        <v>3.5313232985931808E-2</v>
      </c>
      <c r="AA3153" s="240">
        <v>3.4569048119454937E-2</v>
      </c>
    </row>
    <row r="3154" spans="19:27" x14ac:dyDescent="0.2">
      <c r="S3154" s="199"/>
      <c r="T3154" s="200"/>
      <c r="W3154" s="233" t="str">
        <f t="shared" si="55"/>
        <v>1w</v>
      </c>
      <c r="X3154" s="234">
        <f>_xll.qlCalendarAdvance(Calendar,X3153,W3154,"f",FALSE)</f>
        <v>60952</v>
      </c>
      <c r="Y3154" s="237">
        <f>_xll.qlCalendarAdvance(Calendar,X3154,NDays&amp;"D")</f>
        <v>60952</v>
      </c>
      <c r="Z3154" s="238">
        <v>3.5318542149090693E-2</v>
      </c>
      <c r="AA3154" s="240">
        <v>3.4574535526553651E-2</v>
      </c>
    </row>
    <row r="3155" spans="19:27" x14ac:dyDescent="0.2">
      <c r="S3155" s="199"/>
      <c r="T3155" s="200"/>
      <c r="W3155" s="233" t="str">
        <f t="shared" si="55"/>
        <v>1w</v>
      </c>
      <c r="X3155" s="234">
        <f>_xll.qlCalendarAdvance(Calendar,X3154,W3155,"f",FALSE)</f>
        <v>60959</v>
      </c>
      <c r="Y3155" s="237">
        <f>_xll.qlCalendarAdvance(Calendar,X3155,NDays&amp;"D")</f>
        <v>60959</v>
      </c>
      <c r="Z3155" s="238">
        <v>3.5323837050960316E-2</v>
      </c>
      <c r="AA3155" s="240">
        <v>3.4580009131470746E-2</v>
      </c>
    </row>
    <row r="3156" spans="19:27" x14ac:dyDescent="0.2">
      <c r="S3156" s="199"/>
      <c r="T3156" s="200"/>
      <c r="W3156" s="233" t="str">
        <f t="shared" si="55"/>
        <v>1w</v>
      </c>
      <c r="X3156" s="234">
        <f>_xll.qlCalendarAdvance(Calendar,X3155,W3156,"f",FALSE)</f>
        <v>60966</v>
      </c>
      <c r="Y3156" s="237">
        <f>_xll.qlCalendarAdvance(Calendar,X3156,NDays&amp;"D")</f>
        <v>60966</v>
      </c>
      <c r="Z3156" s="238">
        <v>3.5329117691321521E-2</v>
      </c>
      <c r="AA3156" s="240">
        <v>3.4585468934044128E-2</v>
      </c>
    </row>
    <row r="3157" spans="19:27" x14ac:dyDescent="0.2">
      <c r="S3157" s="199"/>
      <c r="T3157" s="200"/>
      <c r="W3157" s="233" t="str">
        <f t="shared" ref="W3157:W3220" si="56">W3156</f>
        <v>1w</v>
      </c>
      <c r="X3157" s="234">
        <f>_xll.qlCalendarAdvance(Calendar,X3156,W3157,"f",FALSE)</f>
        <v>60973</v>
      </c>
      <c r="Y3157" s="237">
        <f>_xll.qlCalendarAdvance(Calendar,X3157,NDays&amp;"D")</f>
        <v>60973</v>
      </c>
      <c r="Z3157" s="238">
        <v>3.5334384069955593E-2</v>
      </c>
      <c r="AA3157" s="240">
        <v>3.459091493443589E-2</v>
      </c>
    </row>
    <row r="3158" spans="19:27" x14ac:dyDescent="0.2">
      <c r="S3158" s="199"/>
      <c r="T3158" s="200"/>
      <c r="W3158" s="233" t="str">
        <f t="shared" si="56"/>
        <v>1w</v>
      </c>
      <c r="X3158" s="234">
        <f>_xll.qlCalendarAdvance(Calendar,X3157,W3158,"f",FALSE)</f>
        <v>60980</v>
      </c>
      <c r="Y3158" s="237">
        <f>_xll.qlCalendarAdvance(Calendar,X3158,NDays&amp;"D")</f>
        <v>60980</v>
      </c>
      <c r="Z3158" s="238">
        <v>3.5339636186645151E-2</v>
      </c>
      <c r="AA3158" s="240">
        <v>3.4596347132564986E-2</v>
      </c>
    </row>
    <row r="3159" spans="19:27" x14ac:dyDescent="0.2">
      <c r="S3159" s="199"/>
      <c r="T3159" s="200"/>
      <c r="W3159" s="233" t="str">
        <f t="shared" si="56"/>
        <v>1w</v>
      </c>
      <c r="X3159" s="234">
        <f>_xll.qlCalendarAdvance(Calendar,X3158,W3159,"f",FALSE)</f>
        <v>60987</v>
      </c>
      <c r="Y3159" s="237">
        <f>_xll.qlCalendarAdvance(Calendar,X3159,NDays&amp;"D")</f>
        <v>60987</v>
      </c>
      <c r="Z3159" s="238">
        <v>3.5344874041172591E-2</v>
      </c>
      <c r="AA3159" s="240">
        <v>3.4601765528512463E-2</v>
      </c>
    </row>
    <row r="3160" spans="19:27" x14ac:dyDescent="0.2">
      <c r="S3160" s="199"/>
      <c r="T3160" s="200"/>
      <c r="W3160" s="233" t="str">
        <f t="shared" si="56"/>
        <v>1w</v>
      </c>
      <c r="X3160" s="234">
        <f>_xll.qlCalendarAdvance(Calendar,X3159,W3160,"f",FALSE)</f>
        <v>60995</v>
      </c>
      <c r="Y3160" s="237">
        <f>_xll.qlCalendarAdvance(Calendar,X3160,NDays&amp;"D")</f>
        <v>60995</v>
      </c>
      <c r="Z3160" s="238">
        <v>3.5350842696482587E-2</v>
      </c>
      <c r="AA3160" s="240">
        <v>3.4607941080292415E-2</v>
      </c>
    </row>
    <row r="3161" spans="19:27" x14ac:dyDescent="0.2">
      <c r="S3161" s="199"/>
      <c r="T3161" s="200"/>
      <c r="W3161" s="233" t="str">
        <f t="shared" si="56"/>
        <v>1w</v>
      </c>
      <c r="X3161" s="234">
        <f>_xll.qlCalendarAdvance(Calendar,X3160,W3161,"f",FALSE)</f>
        <v>61002</v>
      </c>
      <c r="Y3161" s="237">
        <f>_xll.qlCalendarAdvance(Calendar,X3161,NDays&amp;"D")</f>
        <v>61002</v>
      </c>
      <c r="Z3161" s="238">
        <v>3.5356049988504834E-2</v>
      </c>
      <c r="AA3161" s="240">
        <v>3.461332990002064E-2</v>
      </c>
    </row>
    <row r="3162" spans="19:27" x14ac:dyDescent="0.2">
      <c r="S3162" s="199"/>
      <c r="T3162" s="200"/>
      <c r="W3162" s="233" t="str">
        <f t="shared" si="56"/>
        <v>1w</v>
      </c>
      <c r="X3162" s="234">
        <f>_xll.qlCalendarAdvance(Calendar,X3161,W3162,"f",FALSE)</f>
        <v>61009</v>
      </c>
      <c r="Y3162" s="237">
        <f>_xll.qlCalendarAdvance(Calendar,X3162,NDays&amp;"D")</f>
        <v>61009</v>
      </c>
      <c r="Z3162" s="238">
        <v>3.536124301768595E-2</v>
      </c>
      <c r="AA3162" s="240">
        <v>3.4618704917405152E-2</v>
      </c>
    </row>
    <row r="3163" spans="19:27" x14ac:dyDescent="0.2">
      <c r="S3163" s="199"/>
      <c r="T3163" s="200"/>
      <c r="W3163" s="233" t="str">
        <f t="shared" si="56"/>
        <v>1w</v>
      </c>
      <c r="X3163" s="234">
        <f>_xll.qlCalendarAdvance(Calendar,X3162,W3163,"f",FALSE)</f>
        <v>61016</v>
      </c>
      <c r="Y3163" s="237">
        <f>_xll.qlCalendarAdvance(Calendar,X3163,NDays&amp;"D")</f>
        <v>61016</v>
      </c>
      <c r="Z3163" s="238">
        <v>3.5366421783810997E-2</v>
      </c>
      <c r="AA3163" s="240">
        <v>3.4624066132526998E-2</v>
      </c>
    </row>
    <row r="3164" spans="19:27" x14ac:dyDescent="0.2">
      <c r="S3164" s="199"/>
      <c r="T3164" s="200"/>
      <c r="W3164" s="233" t="str">
        <f t="shared" si="56"/>
        <v>1w</v>
      </c>
      <c r="X3164" s="234">
        <f>_xll.qlCalendarAdvance(Calendar,X3163,W3164,"f",FALSE)</f>
        <v>61023</v>
      </c>
      <c r="Y3164" s="237">
        <f>_xll.qlCalendarAdvance(Calendar,X3164,NDays&amp;"D")</f>
        <v>61023</v>
      </c>
      <c r="Z3164" s="238">
        <v>3.537158628666548E-2</v>
      </c>
      <c r="AA3164" s="240">
        <v>3.4629413545710364E-2</v>
      </c>
    </row>
    <row r="3165" spans="19:27" x14ac:dyDescent="0.2">
      <c r="S3165" s="199"/>
      <c r="T3165" s="200"/>
      <c r="W3165" s="233" t="str">
        <f t="shared" si="56"/>
        <v>1w</v>
      </c>
      <c r="X3165" s="234">
        <f>_xll.qlCalendarAdvance(Calendar,X3164,W3165,"f",FALSE)</f>
        <v>61030</v>
      </c>
      <c r="Y3165" s="237">
        <f>_xll.qlCalendarAdvance(Calendar,X3165,NDays&amp;"D")</f>
        <v>61030</v>
      </c>
      <c r="Z3165" s="238">
        <v>3.5376736526036012E-2</v>
      </c>
      <c r="AA3165" s="240">
        <v>3.463474715646897E-2</v>
      </c>
    </row>
    <row r="3166" spans="19:27" x14ac:dyDescent="0.2">
      <c r="S3166" s="199"/>
      <c r="T3166" s="200"/>
      <c r="W3166" s="233" t="str">
        <f t="shared" si="56"/>
        <v>1w</v>
      </c>
      <c r="X3166" s="234">
        <f>_xll.qlCalendarAdvance(Calendar,X3165,W3166,"f",FALSE)</f>
        <v>61037</v>
      </c>
      <c r="Y3166" s="237">
        <f>_xll.qlCalendarAdvance(Calendar,X3166,NDays&amp;"D")</f>
        <v>61037</v>
      </c>
      <c r="Z3166" s="238">
        <v>3.5381872501709211E-2</v>
      </c>
      <c r="AA3166" s="240">
        <v>3.4640066964721772E-2</v>
      </c>
    </row>
    <row r="3167" spans="19:27" x14ac:dyDescent="0.2">
      <c r="S3167" s="199"/>
      <c r="T3167" s="200"/>
      <c r="W3167" s="233" t="str">
        <f t="shared" si="56"/>
        <v>1w</v>
      </c>
      <c r="X3167" s="234">
        <f>_xll.qlCalendarAdvance(Calendar,X3166,W3167,"f",FALSE)</f>
        <v>61044</v>
      </c>
      <c r="Y3167" s="237">
        <f>_xll.qlCalendarAdvance(Calendar,X3167,NDays&amp;"D")</f>
        <v>61044</v>
      </c>
      <c r="Z3167" s="238">
        <v>3.53869942134728E-2</v>
      </c>
      <c r="AA3167" s="240">
        <v>3.4645372971198185E-2</v>
      </c>
    </row>
    <row r="3168" spans="19:27" x14ac:dyDescent="0.2">
      <c r="S3168" s="199"/>
      <c r="T3168" s="200"/>
      <c r="W3168" s="233" t="str">
        <f t="shared" si="56"/>
        <v>1w</v>
      </c>
      <c r="X3168" s="234">
        <f>_xll.qlCalendarAdvance(Calendar,X3167,W3168,"f",FALSE)</f>
        <v>61051</v>
      </c>
      <c r="Y3168" s="237">
        <f>_xll.qlCalendarAdvance(Calendar,X3168,NDays&amp;"D")</f>
        <v>61051</v>
      </c>
      <c r="Z3168" s="238">
        <v>3.5392101661114284E-2</v>
      </c>
      <c r="AA3168" s="240">
        <v>3.4650665175087747E-2</v>
      </c>
    </row>
    <row r="3169" spans="19:27" x14ac:dyDescent="0.2">
      <c r="S3169" s="199"/>
      <c r="T3169" s="200"/>
      <c r="W3169" s="233" t="str">
        <f t="shared" si="56"/>
        <v>1w</v>
      </c>
      <c r="X3169" s="234">
        <f>_xll.qlCalendarAdvance(Calendar,X3168,W3169,"f",FALSE)</f>
        <v>61058</v>
      </c>
      <c r="Y3169" s="237">
        <f>_xll.qlCalendarAdvance(Calendar,X3169,NDays&amp;"D")</f>
        <v>61058</v>
      </c>
      <c r="Z3169" s="238">
        <v>3.5399245787595734E-2</v>
      </c>
      <c r="AA3169" s="240">
        <v>3.4655943576876735E-2</v>
      </c>
    </row>
    <row r="3170" spans="19:27" x14ac:dyDescent="0.2">
      <c r="S3170" s="199"/>
      <c r="T3170" s="200"/>
      <c r="W3170" s="233" t="str">
        <f t="shared" si="56"/>
        <v>1w</v>
      </c>
      <c r="X3170" s="234">
        <f>_xll.qlCalendarAdvance(Calendar,X3169,W3170,"f",FALSE)</f>
        <v>61065</v>
      </c>
      <c r="Y3170" s="237">
        <f>_xll.qlCalendarAdvance(Calendar,X3170,NDays&amp;"D")</f>
        <v>61065</v>
      </c>
      <c r="Z3170" s="238">
        <v>3.5404324171407577E-2</v>
      </c>
      <c r="AA3170" s="240">
        <v>3.4661208176322011E-2</v>
      </c>
    </row>
    <row r="3171" spans="19:27" x14ac:dyDescent="0.2">
      <c r="S3171" s="199"/>
      <c r="T3171" s="200"/>
      <c r="W3171" s="233" t="str">
        <f t="shared" si="56"/>
        <v>1w</v>
      </c>
      <c r="X3171" s="234">
        <f>_xll.qlCalendarAdvance(Calendar,X3170,W3171,"f",FALSE)</f>
        <v>61072</v>
      </c>
      <c r="Y3171" s="237">
        <f>_xll.qlCalendarAdvance(Calendar,X3171,NDays&amp;"D")</f>
        <v>61072</v>
      </c>
      <c r="Z3171" s="238">
        <v>3.5409388289158773E-2</v>
      </c>
      <c r="AA3171" s="240">
        <v>3.4666458973666714E-2</v>
      </c>
    </row>
    <row r="3172" spans="19:27" x14ac:dyDescent="0.2">
      <c r="S3172" s="199"/>
      <c r="T3172" s="200"/>
      <c r="W3172" s="233" t="str">
        <f t="shared" si="56"/>
        <v>1w</v>
      </c>
      <c r="X3172" s="234">
        <f>_xll.qlCalendarAdvance(Calendar,X3171,W3172,"f",FALSE)</f>
        <v>61079</v>
      </c>
      <c r="Y3172" s="237">
        <f>_xll.qlCalendarAdvance(Calendar,X3172,NDays&amp;"D")</f>
        <v>61079</v>
      </c>
      <c r="Z3172" s="238">
        <v>3.5414438140639194E-2</v>
      </c>
      <c r="AA3172" s="240">
        <v>3.4671695968667704E-2</v>
      </c>
    </row>
    <row r="3173" spans="19:27" x14ac:dyDescent="0.2">
      <c r="S3173" s="199"/>
      <c r="T3173" s="200"/>
      <c r="W3173" s="233" t="str">
        <f t="shared" si="56"/>
        <v>1w</v>
      </c>
      <c r="X3173" s="234">
        <f>_xll.qlCalendarAdvance(Calendar,X3172,W3173,"f",FALSE)</f>
        <v>61086</v>
      </c>
      <c r="Y3173" s="237">
        <f>_xll.qlCalendarAdvance(Calendar,X3173,NDays&amp;"D")</f>
        <v>61086</v>
      </c>
      <c r="Z3173" s="238">
        <v>3.5419473725639354E-2</v>
      </c>
      <c r="AA3173" s="240">
        <v>3.4676919161243935E-2</v>
      </c>
    </row>
    <row r="3174" spans="19:27" x14ac:dyDescent="0.2">
      <c r="S3174" s="199"/>
      <c r="T3174" s="200"/>
      <c r="W3174" s="233" t="str">
        <f t="shared" si="56"/>
        <v>1w</v>
      </c>
      <c r="X3174" s="234">
        <f>_xll.qlCalendarAdvance(Calendar,X3173,W3174,"f",FALSE)</f>
        <v>61093</v>
      </c>
      <c r="Y3174" s="237">
        <f>_xll.qlCalendarAdvance(Calendar,X3174,NDays&amp;"D")</f>
        <v>61093</v>
      </c>
      <c r="Z3174" s="238">
        <v>3.5424495043950871E-2</v>
      </c>
      <c r="AA3174" s="240">
        <v>3.4682128551800639E-2</v>
      </c>
    </row>
    <row r="3175" spans="19:27" x14ac:dyDescent="0.2">
      <c r="S3175" s="199"/>
      <c r="T3175" s="200"/>
      <c r="W3175" s="233" t="str">
        <f t="shared" si="56"/>
        <v>1w</v>
      </c>
      <c r="X3175" s="234">
        <f>_xll.qlCalendarAdvance(Calendar,X3174,W3175,"f",FALSE)</f>
        <v>61100</v>
      </c>
      <c r="Y3175" s="237">
        <f>_xll.qlCalendarAdvance(Calendar,X3175,NDays&amp;"D")</f>
        <v>61100</v>
      </c>
      <c r="Z3175" s="238">
        <v>3.5429502095365169E-2</v>
      </c>
      <c r="AA3175" s="240">
        <v>3.468732414025677E-2</v>
      </c>
    </row>
    <row r="3176" spans="19:27" x14ac:dyDescent="0.2">
      <c r="S3176" s="199"/>
      <c r="T3176" s="200"/>
      <c r="W3176" s="233" t="str">
        <f t="shared" si="56"/>
        <v>1w</v>
      </c>
      <c r="X3176" s="234">
        <f>_xll.qlCalendarAdvance(Calendar,X3175,W3176,"f",FALSE)</f>
        <v>61107</v>
      </c>
      <c r="Y3176" s="237">
        <f>_xll.qlCalendarAdvance(Calendar,X3176,NDays&amp;"D")</f>
        <v>61107</v>
      </c>
      <c r="Z3176" s="238">
        <v>3.5442684339470676E-2</v>
      </c>
      <c r="AA3176" s="240">
        <v>3.4692505926369188E-2</v>
      </c>
    </row>
    <row r="3177" spans="19:27" x14ac:dyDescent="0.2">
      <c r="S3177" s="199"/>
      <c r="T3177" s="200"/>
      <c r="W3177" s="233" t="str">
        <f t="shared" si="56"/>
        <v>1w</v>
      </c>
      <c r="X3177" s="234">
        <f>_xll.qlCalendarAdvance(Calendar,X3176,W3177,"f",FALSE)</f>
        <v>61114</v>
      </c>
      <c r="Y3177" s="237">
        <f>_xll.qlCalendarAdvance(Calendar,X3177,NDays&amp;"D")</f>
        <v>61114</v>
      </c>
      <c r="Z3177" s="238">
        <v>3.5439473396669897E-2</v>
      </c>
      <c r="AA3177" s="240">
        <v>3.4697673909975801E-2</v>
      </c>
    </row>
    <row r="3178" spans="19:27" x14ac:dyDescent="0.2">
      <c r="S3178" s="199"/>
      <c r="T3178" s="200"/>
      <c r="W3178" s="233" t="str">
        <f t="shared" si="56"/>
        <v>1w</v>
      </c>
      <c r="X3178" s="234">
        <f>_xll.qlCalendarAdvance(Calendar,X3177,W3178,"f",FALSE)</f>
        <v>61121</v>
      </c>
      <c r="Y3178" s="237">
        <f>_xll.qlCalendarAdvance(Calendar,X3178,NDays&amp;"D")</f>
        <v>61121</v>
      </c>
      <c r="Z3178" s="238">
        <v>3.5444437646147804E-2</v>
      </c>
      <c r="AA3178" s="240">
        <v>3.4702828091643934E-2</v>
      </c>
    </row>
    <row r="3179" spans="19:27" x14ac:dyDescent="0.2">
      <c r="S3179" s="199"/>
      <c r="T3179" s="200"/>
      <c r="W3179" s="233" t="str">
        <f t="shared" si="56"/>
        <v>1w</v>
      </c>
      <c r="X3179" s="234">
        <f>_xll.qlCalendarAdvance(Calendar,X3178,W3179,"f",FALSE)</f>
        <v>61128</v>
      </c>
      <c r="Y3179" s="237">
        <f>_xll.qlCalendarAdvance(Calendar,X3179,NDays&amp;"D")</f>
        <v>61128</v>
      </c>
      <c r="Z3179" s="238">
        <v>3.5449387627900515E-2</v>
      </c>
      <c r="AA3179" s="240">
        <v>3.4707968470887307E-2</v>
      </c>
    </row>
    <row r="3180" spans="19:27" x14ac:dyDescent="0.2">
      <c r="S3180" s="199"/>
      <c r="T3180" s="200"/>
      <c r="W3180" s="233" t="str">
        <f t="shared" si="56"/>
        <v>1w</v>
      </c>
      <c r="X3180" s="234">
        <f>_xll.qlCalendarAdvance(Calendar,X3179,W3180,"f",FALSE)</f>
        <v>61135</v>
      </c>
      <c r="Y3180" s="237">
        <f>_xll.qlCalendarAdvance(Calendar,X3180,NDays&amp;"D")</f>
        <v>61135</v>
      </c>
      <c r="Z3180" s="238">
        <v>3.5454323341722334E-2</v>
      </c>
      <c r="AA3180" s="240">
        <v>3.4713095047868014E-2</v>
      </c>
    </row>
    <row r="3181" spans="19:27" x14ac:dyDescent="0.2">
      <c r="S3181" s="199"/>
      <c r="T3181" s="200"/>
      <c r="W3181" s="233" t="str">
        <f t="shared" si="56"/>
        <v>1w</v>
      </c>
      <c r="X3181" s="234">
        <f>_xll.qlCalendarAdvance(Calendar,X3180,W3181,"f",FALSE)</f>
        <v>61142</v>
      </c>
      <c r="Y3181" s="237">
        <f>_xll.qlCalendarAdvance(Calendar,X3181,NDays&amp;"D")</f>
        <v>61142</v>
      </c>
      <c r="Z3181" s="238">
        <v>3.545924478740952E-2</v>
      </c>
      <c r="AA3181" s="240">
        <v>3.4718207822586056E-2</v>
      </c>
    </row>
    <row r="3182" spans="19:27" x14ac:dyDescent="0.2">
      <c r="S3182" s="199"/>
      <c r="T3182" s="200"/>
      <c r="W3182" s="233" t="str">
        <f t="shared" si="56"/>
        <v>1w</v>
      </c>
      <c r="X3182" s="234">
        <f>_xll.qlCalendarAdvance(Calendar,X3181,W3182,"f",FALSE)</f>
        <v>61149</v>
      </c>
      <c r="Y3182" s="237">
        <f>_xll.qlCalendarAdvance(Calendar,X3182,NDays&amp;"D")</f>
        <v>61149</v>
      </c>
      <c r="Z3182" s="238">
        <v>3.5464151964757475E-2</v>
      </c>
      <c r="AA3182" s="240">
        <v>3.472330679528457E-2</v>
      </c>
    </row>
    <row r="3183" spans="19:27" x14ac:dyDescent="0.2">
      <c r="S3183" s="199"/>
      <c r="T3183" s="200"/>
      <c r="W3183" s="233" t="str">
        <f t="shared" si="56"/>
        <v>1w</v>
      </c>
      <c r="X3183" s="234">
        <f>_xll.qlCalendarAdvance(Calendar,X3182,W3183,"f",FALSE)</f>
        <v>61156</v>
      </c>
      <c r="Y3183" s="237">
        <f>_xll.qlCalendarAdvance(Calendar,X3183,NDays&amp;"D")</f>
        <v>61156</v>
      </c>
      <c r="Z3183" s="238">
        <v>3.5469044873562477E-2</v>
      </c>
      <c r="AA3183" s="240">
        <v>3.4728391965477279E-2</v>
      </c>
    </row>
    <row r="3184" spans="19:27" x14ac:dyDescent="0.2">
      <c r="S3184" s="199"/>
      <c r="T3184" s="200"/>
      <c r="W3184" s="233" t="str">
        <f t="shared" si="56"/>
        <v>1w</v>
      </c>
      <c r="X3184" s="234">
        <f>_xll.qlCalendarAdvance(Calendar,X3183,W3184,"f",FALSE)</f>
        <v>61163</v>
      </c>
      <c r="Y3184" s="237">
        <f>_xll.qlCalendarAdvance(Calendar,X3184,NDays&amp;"D")</f>
        <v>61163</v>
      </c>
      <c r="Z3184" s="238">
        <v>3.547392351362124E-2</v>
      </c>
      <c r="AA3184" s="240">
        <v>3.4733463333407322E-2</v>
      </c>
    </row>
    <row r="3185" spans="19:27" x14ac:dyDescent="0.2">
      <c r="S3185" s="199"/>
      <c r="T3185" s="200"/>
      <c r="W3185" s="233" t="str">
        <f t="shared" si="56"/>
        <v>1w</v>
      </c>
      <c r="X3185" s="234">
        <f>_xll.qlCalendarAdvance(Calendar,X3184,W3185,"f",FALSE)</f>
        <v>61170</v>
      </c>
      <c r="Y3185" s="237">
        <f>_xll.qlCalendarAdvance(Calendar,X3185,NDays&amp;"D")</f>
        <v>61170</v>
      </c>
      <c r="Z3185" s="238">
        <v>3.5478787884731598E-2</v>
      </c>
      <c r="AA3185" s="240">
        <v>3.4738520899236791E-2</v>
      </c>
    </row>
    <row r="3186" spans="19:27" x14ac:dyDescent="0.2">
      <c r="S3186" s="199"/>
      <c r="T3186" s="200"/>
      <c r="W3186" s="233" t="str">
        <f t="shared" si="56"/>
        <v>1w</v>
      </c>
      <c r="X3186" s="234">
        <f>_xll.qlCalendarAdvance(Calendar,X3185,W3186,"f",FALSE)</f>
        <v>61177</v>
      </c>
      <c r="Y3186" s="237">
        <f>_xll.qlCalendarAdvance(Calendar,X3186,NDays&amp;"D")</f>
        <v>61177</v>
      </c>
      <c r="Z3186" s="238">
        <v>3.5483637986692254E-2</v>
      </c>
      <c r="AA3186" s="240">
        <v>3.4743564662803594E-2</v>
      </c>
    </row>
    <row r="3187" spans="19:27" x14ac:dyDescent="0.2">
      <c r="S3187" s="199"/>
      <c r="T3187" s="200"/>
      <c r="W3187" s="233" t="str">
        <f t="shared" si="56"/>
        <v>1w</v>
      </c>
      <c r="X3187" s="234">
        <f>_xll.qlCalendarAdvance(Calendar,X3186,W3187,"f",FALSE)</f>
        <v>61184</v>
      </c>
      <c r="Y3187" s="237">
        <f>_xll.qlCalendarAdvance(Calendar,X3187,NDays&amp;"D")</f>
        <v>61184</v>
      </c>
      <c r="Z3187" s="238">
        <v>3.5488473819301265E-2</v>
      </c>
      <c r="AA3187" s="240">
        <v>3.4748594624107731E-2</v>
      </c>
    </row>
    <row r="3188" spans="19:27" x14ac:dyDescent="0.2">
      <c r="S3188" s="199"/>
      <c r="T3188" s="200"/>
      <c r="W3188" s="233" t="str">
        <f t="shared" si="56"/>
        <v>1w</v>
      </c>
      <c r="X3188" s="234">
        <f>_xll.qlCalendarAdvance(Calendar,X3187,W3188,"f",FALSE)</f>
        <v>61191</v>
      </c>
      <c r="Y3188" s="237">
        <f>_xll.qlCalendarAdvance(Calendar,X3188,NDays&amp;"D")</f>
        <v>61191</v>
      </c>
      <c r="Z3188" s="238">
        <v>3.5493295382358007E-2</v>
      </c>
      <c r="AA3188" s="240">
        <v>3.4753610783068156E-2</v>
      </c>
    </row>
    <row r="3189" spans="19:27" x14ac:dyDescent="0.2">
      <c r="S3189" s="199"/>
      <c r="T3189" s="200"/>
      <c r="W3189" s="233" t="str">
        <f t="shared" si="56"/>
        <v>1w</v>
      </c>
      <c r="X3189" s="234">
        <f>_xll.qlCalendarAdvance(Calendar,X3188,W3189,"f",FALSE)</f>
        <v>61198</v>
      </c>
      <c r="Y3189" s="237">
        <f>_xll.qlCalendarAdvance(Calendar,X3189,NDays&amp;"D")</f>
        <v>61198</v>
      </c>
      <c r="Z3189" s="238">
        <v>3.5498102675662523E-2</v>
      </c>
      <c r="AA3189" s="240">
        <v>3.4758613139846961E-2</v>
      </c>
    </row>
    <row r="3190" spans="19:27" x14ac:dyDescent="0.2">
      <c r="S3190" s="199"/>
      <c r="T3190" s="200"/>
      <c r="W3190" s="233" t="str">
        <f t="shared" si="56"/>
        <v>1w</v>
      </c>
      <c r="X3190" s="234">
        <f>_xll.qlCalendarAdvance(Calendar,X3189,W3190,"f",FALSE)</f>
        <v>61205</v>
      </c>
      <c r="Y3190" s="237">
        <f>_xll.qlCalendarAdvance(Calendar,X3190,NDays&amp;"D")</f>
        <v>61205</v>
      </c>
      <c r="Z3190" s="238">
        <v>3.550289569901529E-2</v>
      </c>
      <c r="AA3190" s="240">
        <v>3.47636016943631E-2</v>
      </c>
    </row>
    <row r="3191" spans="19:27" x14ac:dyDescent="0.2">
      <c r="S3191" s="199"/>
      <c r="T3191" s="200"/>
      <c r="W3191" s="233" t="str">
        <f t="shared" si="56"/>
        <v>1w</v>
      </c>
      <c r="X3191" s="234">
        <f>_xll.qlCalendarAdvance(Calendar,X3190,W3191,"f",FALSE)</f>
        <v>61212</v>
      </c>
      <c r="Y3191" s="237">
        <f>_xll.qlCalendarAdvance(Calendar,X3191,NDays&amp;"D")</f>
        <v>61212</v>
      </c>
      <c r="Z3191" s="238">
        <v>3.5507674452217017E-2</v>
      </c>
      <c r="AA3191" s="240">
        <v>3.476857644645448E-2</v>
      </c>
    </row>
    <row r="3192" spans="19:27" x14ac:dyDescent="0.2">
      <c r="S3192" s="199"/>
      <c r="T3192" s="200"/>
      <c r="W3192" s="233" t="str">
        <f t="shared" si="56"/>
        <v>1w</v>
      </c>
      <c r="X3192" s="234">
        <f>_xll.qlCalendarAdvance(Calendar,X3191,W3192,"f",FALSE)</f>
        <v>61219</v>
      </c>
      <c r="Y3192" s="237">
        <f>_xll.qlCalendarAdvance(Calendar,X3192,NDays&amp;"D")</f>
        <v>61219</v>
      </c>
      <c r="Z3192" s="238">
        <v>3.551243893507041E-2</v>
      </c>
      <c r="AA3192" s="240">
        <v>3.4773537396445287E-2</v>
      </c>
    </row>
    <row r="3193" spans="19:27" x14ac:dyDescent="0.2">
      <c r="S3193" s="199"/>
      <c r="T3193" s="200"/>
      <c r="W3193" s="233" t="str">
        <f t="shared" si="56"/>
        <v>1w</v>
      </c>
      <c r="X3193" s="234">
        <f>_xll.qlCalendarAdvance(Calendar,X3192,W3193,"f",FALSE)</f>
        <v>61226</v>
      </c>
      <c r="Y3193" s="237">
        <f>_xll.qlCalendarAdvance(Calendar,X3193,NDays&amp;"D")</f>
        <v>61226</v>
      </c>
      <c r="Z3193" s="238">
        <v>3.5517189147377275E-2</v>
      </c>
      <c r="AA3193" s="240">
        <v>3.477848454433552E-2</v>
      </c>
    </row>
    <row r="3194" spans="19:27" x14ac:dyDescent="0.2">
      <c r="S3194" s="199"/>
      <c r="T3194" s="200"/>
      <c r="W3194" s="233" t="str">
        <f t="shared" si="56"/>
        <v>1w</v>
      </c>
      <c r="X3194" s="234">
        <f>_xll.qlCalendarAdvance(Calendar,X3193,W3194,"f",FALSE)</f>
        <v>61233</v>
      </c>
      <c r="Y3194" s="237">
        <f>_xll.qlCalendarAdvance(Calendar,X3194,NDays&amp;"D")</f>
        <v>61233</v>
      </c>
      <c r="Z3194" s="238">
        <v>3.5521925088940753E-2</v>
      </c>
      <c r="AA3194" s="240">
        <v>3.4783417889800994E-2</v>
      </c>
    </row>
    <row r="3195" spans="19:27" x14ac:dyDescent="0.2">
      <c r="S3195" s="199"/>
      <c r="T3195" s="200"/>
      <c r="W3195" s="233" t="str">
        <f t="shared" si="56"/>
        <v>1w</v>
      </c>
      <c r="X3195" s="234">
        <f>_xll.qlCalendarAdvance(Calendar,X3194,W3195,"f",FALSE)</f>
        <v>61240</v>
      </c>
      <c r="Y3195" s="237">
        <f>_xll.qlCalendarAdvance(Calendar,X3195,NDays&amp;"D")</f>
        <v>61240</v>
      </c>
      <c r="Z3195" s="238">
        <v>3.5526646759563102E-2</v>
      </c>
      <c r="AA3195" s="240">
        <v>3.4788337432922756E-2</v>
      </c>
    </row>
    <row r="3196" spans="19:27" x14ac:dyDescent="0.2">
      <c r="S3196" s="199"/>
      <c r="T3196" s="200"/>
      <c r="W3196" s="233" t="str">
        <f t="shared" si="56"/>
        <v>1w</v>
      </c>
      <c r="X3196" s="234">
        <f>_xll.qlCalendarAdvance(Calendar,X3195,W3196,"f",FALSE)</f>
        <v>61247</v>
      </c>
      <c r="Y3196" s="237">
        <f>_xll.qlCalendarAdvance(Calendar,X3196,NDays&amp;"D")</f>
        <v>61247</v>
      </c>
      <c r="Z3196" s="238">
        <v>3.5531354159050121E-2</v>
      </c>
      <c r="AA3196" s="240">
        <v>3.4793243173943944E-2</v>
      </c>
    </row>
    <row r="3197" spans="19:27" x14ac:dyDescent="0.2">
      <c r="S3197" s="199"/>
      <c r="T3197" s="200"/>
      <c r="W3197" s="233" t="str">
        <f t="shared" si="56"/>
        <v>1w</v>
      </c>
      <c r="X3197" s="234">
        <f>_xll.qlCalendarAdvance(Calendar,X3196,W3197,"f",FALSE)</f>
        <v>61254</v>
      </c>
      <c r="Y3197" s="237">
        <f>_xll.qlCalendarAdvance(Calendar,X3197,NDays&amp;"D")</f>
        <v>61254</v>
      </c>
      <c r="Z3197" s="238">
        <v>3.5536047287205177E-2</v>
      </c>
      <c r="AA3197" s="240">
        <v>3.479813511262142E-2</v>
      </c>
    </row>
    <row r="3198" spans="19:27" x14ac:dyDescent="0.2">
      <c r="S3198" s="199"/>
      <c r="T3198" s="200"/>
      <c r="W3198" s="233" t="str">
        <f t="shared" si="56"/>
        <v>1w</v>
      </c>
      <c r="X3198" s="234">
        <f>_xll.qlCalendarAdvance(Calendar,X3197,W3198,"f",FALSE)</f>
        <v>61261</v>
      </c>
      <c r="Y3198" s="237">
        <f>_xll.qlCalendarAdvance(Calendar,X3198,NDays&amp;"D")</f>
        <v>61261</v>
      </c>
      <c r="Z3198" s="238">
        <v>3.5540726143833842E-2</v>
      </c>
      <c r="AA3198" s="240">
        <v>3.4803013248955184E-2</v>
      </c>
    </row>
    <row r="3199" spans="19:27" x14ac:dyDescent="0.2">
      <c r="S3199" s="199"/>
      <c r="T3199" s="200"/>
      <c r="W3199" s="233" t="str">
        <f t="shared" si="56"/>
        <v>1w</v>
      </c>
      <c r="X3199" s="234">
        <f>_xll.qlCalendarAdvance(Calendar,X3198,W3199,"f",FALSE)</f>
        <v>61268</v>
      </c>
      <c r="Y3199" s="237">
        <f>_xll.qlCalendarAdvance(Calendar,X3199,NDays&amp;"D")</f>
        <v>61268</v>
      </c>
      <c r="Z3199" s="238">
        <v>3.5545390728742576E-2</v>
      </c>
      <c r="AA3199" s="240">
        <v>3.4807877583107327E-2</v>
      </c>
    </row>
    <row r="3200" spans="19:27" x14ac:dyDescent="0.2">
      <c r="S3200" s="199"/>
      <c r="T3200" s="200"/>
      <c r="W3200" s="233" t="str">
        <f t="shared" si="56"/>
        <v>1w</v>
      </c>
      <c r="X3200" s="234">
        <f>_xll.qlCalendarAdvance(Calendar,X3199,W3200,"f",FALSE)</f>
        <v>61275</v>
      </c>
      <c r="Y3200" s="237">
        <f>_xll.qlCalendarAdvance(Calendar,X3200,NDays&amp;"D")</f>
        <v>61275</v>
      </c>
      <c r="Z3200" s="238">
        <v>3.555004104173741E-2</v>
      </c>
      <c r="AA3200" s="240">
        <v>3.4812728115077851E-2</v>
      </c>
    </row>
    <row r="3201" spans="19:27" x14ac:dyDescent="0.2">
      <c r="S3201" s="199"/>
      <c r="T3201" s="200"/>
      <c r="W3201" s="233" t="str">
        <f t="shared" si="56"/>
        <v>1w</v>
      </c>
      <c r="X3201" s="234">
        <f>_xll.qlCalendarAdvance(Calendar,X3200,W3201,"f",FALSE)</f>
        <v>61282</v>
      </c>
      <c r="Y3201" s="237">
        <f>_xll.qlCalendarAdvance(Calendar,X3201,NDays&amp;"D")</f>
        <v>61282</v>
      </c>
      <c r="Z3201" s="238">
        <v>3.555467708262524E-2</v>
      </c>
      <c r="AA3201" s="240">
        <v>3.4817564844704663E-2</v>
      </c>
    </row>
    <row r="3202" spans="19:27" x14ac:dyDescent="0.2">
      <c r="S3202" s="199"/>
      <c r="T3202" s="200"/>
      <c r="W3202" s="233" t="str">
        <f t="shared" si="56"/>
        <v>1w</v>
      </c>
      <c r="X3202" s="234">
        <f>_xll.qlCalendarAdvance(Calendar,X3201,W3202,"f",FALSE)</f>
        <v>61289</v>
      </c>
      <c r="Y3202" s="237">
        <f>_xll.qlCalendarAdvance(Calendar,X3202,NDays&amp;"D")</f>
        <v>61289</v>
      </c>
      <c r="Z3202" s="238">
        <v>3.5559298851213644E-2</v>
      </c>
      <c r="AA3202" s="240">
        <v>3.4822387772149854E-2</v>
      </c>
    </row>
    <row r="3203" spans="19:27" x14ac:dyDescent="0.2">
      <c r="S3203" s="199"/>
      <c r="T3203" s="200"/>
      <c r="W3203" s="233" t="str">
        <f t="shared" si="56"/>
        <v>1w</v>
      </c>
      <c r="X3203" s="234">
        <f>_xll.qlCalendarAdvance(Calendar,X3202,W3203,"f",FALSE)</f>
        <v>61296</v>
      </c>
      <c r="Y3203" s="237">
        <f>_xll.qlCalendarAdvance(Calendar,X3203,NDays&amp;"D")</f>
        <v>61296</v>
      </c>
      <c r="Z3203" s="238">
        <v>3.5563906347310853E-2</v>
      </c>
      <c r="AA3203" s="240">
        <v>3.4827196897089241E-2</v>
      </c>
    </row>
    <row r="3204" spans="19:27" x14ac:dyDescent="0.2">
      <c r="S3204" s="199"/>
      <c r="T3204" s="200"/>
      <c r="W3204" s="233" t="str">
        <f t="shared" si="56"/>
        <v>1w</v>
      </c>
      <c r="X3204" s="234">
        <f>_xll.qlCalendarAdvance(Calendar,X3203,W3204,"f",FALSE)</f>
        <v>61303</v>
      </c>
      <c r="Y3204" s="237">
        <f>_xll.qlCalendarAdvance(Calendar,X3204,NDays&amp;"D")</f>
        <v>61303</v>
      </c>
      <c r="Z3204" s="238">
        <v>3.5568499570726435E-2</v>
      </c>
      <c r="AA3204" s="240">
        <v>3.4831992220090147E-2</v>
      </c>
    </row>
    <row r="3205" spans="19:27" x14ac:dyDescent="0.2">
      <c r="S3205" s="199"/>
      <c r="T3205" s="200"/>
      <c r="W3205" s="233" t="str">
        <f t="shared" si="56"/>
        <v>1w</v>
      </c>
      <c r="X3205" s="234">
        <f>_xll.qlCalendarAdvance(Calendar,X3204,W3205,"f",FALSE)</f>
        <v>61310</v>
      </c>
      <c r="Y3205" s="237">
        <f>_xll.qlCalendarAdvance(Calendar,X3205,NDays&amp;"D")</f>
        <v>61310</v>
      </c>
      <c r="Z3205" s="238">
        <v>3.5573078521268613E-2</v>
      </c>
      <c r="AA3205" s="240">
        <v>3.4836773740585247E-2</v>
      </c>
    </row>
    <row r="3206" spans="19:27" x14ac:dyDescent="0.2">
      <c r="S3206" s="199"/>
      <c r="T3206" s="200"/>
      <c r="W3206" s="233" t="str">
        <f t="shared" si="56"/>
        <v>1w</v>
      </c>
      <c r="X3206" s="234">
        <f>_xll.qlCalendarAdvance(Calendar,X3205,W3206,"f",FALSE)</f>
        <v>61317</v>
      </c>
      <c r="Y3206" s="237">
        <f>_xll.qlCalendarAdvance(Calendar,X3206,NDays&amp;"D")</f>
        <v>61317</v>
      </c>
      <c r="Z3206" s="238">
        <v>3.5577643198747851E-2</v>
      </c>
      <c r="AA3206" s="240">
        <v>3.4841541458979775E-2</v>
      </c>
    </row>
    <row r="3207" spans="19:27" x14ac:dyDescent="0.2">
      <c r="S3207" s="199"/>
      <c r="T3207" s="200"/>
      <c r="W3207" s="233" t="str">
        <f t="shared" si="56"/>
        <v>1w</v>
      </c>
      <c r="X3207" s="234">
        <f>_xll.qlCalendarAdvance(Calendar,X3206,W3207,"f",FALSE)</f>
        <v>61324</v>
      </c>
      <c r="Y3207" s="237">
        <f>_xll.qlCalendarAdvance(Calendar,X3207,NDays&amp;"D")</f>
        <v>61324</v>
      </c>
      <c r="Z3207" s="238">
        <v>3.5582193602975029E-2</v>
      </c>
      <c r="AA3207" s="240">
        <v>3.4846295374949543E-2</v>
      </c>
    </row>
    <row r="3208" spans="19:27" x14ac:dyDescent="0.2">
      <c r="S3208" s="199"/>
      <c r="T3208" s="200"/>
      <c r="W3208" s="233" t="str">
        <f t="shared" si="56"/>
        <v>1w</v>
      </c>
      <c r="X3208" s="234">
        <f>_xll.qlCalendarAdvance(Calendar,X3207,W3208,"f",FALSE)</f>
        <v>61331</v>
      </c>
      <c r="Y3208" s="237">
        <f>_xll.qlCalendarAdvance(Calendar,X3208,NDays&amp;"D")</f>
        <v>61331</v>
      </c>
      <c r="Z3208" s="238">
        <v>3.5586729733760827E-2</v>
      </c>
      <c r="AA3208" s="240">
        <v>3.4851035488818738E-2</v>
      </c>
    </row>
    <row r="3209" spans="19:27" x14ac:dyDescent="0.2">
      <c r="S3209" s="199"/>
      <c r="T3209" s="200"/>
      <c r="W3209" s="233" t="str">
        <f t="shared" si="56"/>
        <v>1w</v>
      </c>
      <c r="X3209" s="234">
        <f>_xll.qlCalendarAdvance(Calendar,X3208,W3209,"f",FALSE)</f>
        <v>61338</v>
      </c>
      <c r="Y3209" s="237">
        <f>_xll.qlCalendarAdvance(Calendar,X3209,NDays&amp;"D")</f>
        <v>61338</v>
      </c>
      <c r="Z3209" s="238">
        <v>3.5591251590917458E-2</v>
      </c>
      <c r="AA3209" s="240">
        <v>3.4855761800263174E-2</v>
      </c>
    </row>
    <row r="3210" spans="19:27" x14ac:dyDescent="0.2">
      <c r="S3210" s="199"/>
      <c r="T3210" s="200"/>
      <c r="W3210" s="233" t="str">
        <f t="shared" si="56"/>
        <v>1w</v>
      </c>
      <c r="X3210" s="234">
        <f>_xll.qlCalendarAdvance(Calendar,X3209,W3210,"f",FALSE)</f>
        <v>61345</v>
      </c>
      <c r="Y3210" s="237">
        <f>_xll.qlCalendarAdvance(Calendar,X3210,NDays&amp;"D")</f>
        <v>61345</v>
      </c>
      <c r="Z3210" s="238">
        <v>3.5595759174257148E-2</v>
      </c>
      <c r="AA3210" s="240">
        <v>3.4860474309525991E-2</v>
      </c>
    </row>
    <row r="3211" spans="19:27" x14ac:dyDescent="0.2">
      <c r="S3211" s="199"/>
      <c r="T3211" s="200"/>
      <c r="W3211" s="233" t="str">
        <f t="shared" si="56"/>
        <v>1w</v>
      </c>
      <c r="X3211" s="234">
        <f>_xll.qlCalendarAdvance(Calendar,X3210,W3211,"f",FALSE)</f>
        <v>61352</v>
      </c>
      <c r="Y3211" s="237">
        <f>_xll.qlCalendarAdvance(Calendar,X3211,NDays&amp;"D")</f>
        <v>61352</v>
      </c>
      <c r="Z3211" s="238">
        <v>3.5600252483592776E-2</v>
      </c>
      <c r="AA3211" s="240">
        <v>3.4865173016607187E-2</v>
      </c>
    </row>
    <row r="3212" spans="19:27" x14ac:dyDescent="0.2">
      <c r="S3212" s="199"/>
      <c r="T3212" s="200"/>
      <c r="W3212" s="233" t="str">
        <f t="shared" si="56"/>
        <v>1w</v>
      </c>
      <c r="X3212" s="234">
        <f>_xll.qlCalendarAdvance(Calendar,X3211,W3212,"f",FALSE)</f>
        <v>61359</v>
      </c>
      <c r="Y3212" s="237">
        <f>_xll.qlCalendarAdvance(Calendar,X3212,NDays&amp;"D")</f>
        <v>61359</v>
      </c>
      <c r="Z3212" s="238">
        <v>3.5604731518737678E-2</v>
      </c>
      <c r="AA3212" s="240">
        <v>3.4869857921344671E-2</v>
      </c>
    </row>
    <row r="3213" spans="19:27" x14ac:dyDescent="0.2">
      <c r="S3213" s="199"/>
      <c r="T3213" s="200"/>
      <c r="W3213" s="233" t="str">
        <f t="shared" si="56"/>
        <v>1w</v>
      </c>
      <c r="X3213" s="234">
        <f>_xll.qlCalendarAdvance(Calendar,X3212,W3213,"f",FALSE)</f>
        <v>61366</v>
      </c>
      <c r="Y3213" s="237">
        <f>_xll.qlCalendarAdvance(Calendar,X3213,NDays&amp;"D")</f>
        <v>61366</v>
      </c>
      <c r="Z3213" s="238">
        <v>3.560919627950606E-2</v>
      </c>
      <c r="AA3213" s="240">
        <v>3.4874529023657397E-2</v>
      </c>
    </row>
    <row r="3214" spans="19:27" x14ac:dyDescent="0.2">
      <c r="S3214" s="199"/>
      <c r="T3214" s="200"/>
      <c r="W3214" s="233" t="str">
        <f t="shared" si="56"/>
        <v>1w</v>
      </c>
      <c r="X3214" s="234">
        <f>_xll.qlCalendarAdvance(Calendar,X3213,W3214,"f",FALSE)</f>
        <v>61373</v>
      </c>
      <c r="Y3214" s="237">
        <f>_xll.qlCalendarAdvance(Calendar,X3214,NDays&amp;"D")</f>
        <v>61373</v>
      </c>
      <c r="Z3214" s="238">
        <v>3.5613646765713242E-2</v>
      </c>
      <c r="AA3214" s="240">
        <v>3.4879186323950595E-2</v>
      </c>
    </row>
    <row r="3215" spans="19:27" x14ac:dyDescent="0.2">
      <c r="S3215" s="199"/>
      <c r="T3215" s="200"/>
      <c r="W3215" s="233" t="str">
        <f t="shared" si="56"/>
        <v>1w</v>
      </c>
      <c r="X3215" s="234">
        <f>_xll.qlCalendarAdvance(Calendar,X3214,W3215,"f",FALSE)</f>
        <v>61380</v>
      </c>
      <c r="Y3215" s="237">
        <f>_xll.qlCalendarAdvance(Calendar,X3215,NDays&amp;"D")</f>
        <v>61380</v>
      </c>
      <c r="Z3215" s="238">
        <v>3.5618082977173893E-2</v>
      </c>
      <c r="AA3215" s="240">
        <v>3.4883829821900081E-2</v>
      </c>
    </row>
    <row r="3216" spans="19:27" x14ac:dyDescent="0.2">
      <c r="S3216" s="199"/>
      <c r="T3216" s="200"/>
      <c r="W3216" s="233" t="str">
        <f t="shared" si="56"/>
        <v>1w</v>
      </c>
      <c r="X3216" s="234">
        <f>_xll.qlCalendarAdvance(Calendar,X3215,W3216,"f",FALSE)</f>
        <v>61387</v>
      </c>
      <c r="Y3216" s="237">
        <f>_xll.qlCalendarAdvance(Calendar,X3216,NDays&amp;"D")</f>
        <v>61387</v>
      </c>
      <c r="Z3216" s="238">
        <v>3.5622504913703987E-2</v>
      </c>
      <c r="AA3216" s="240">
        <v>3.4888459517424808E-2</v>
      </c>
    </row>
    <row r="3217" spans="19:27" x14ac:dyDescent="0.2">
      <c r="S3217" s="199"/>
      <c r="T3217" s="200"/>
      <c r="W3217" s="233" t="str">
        <f t="shared" si="56"/>
        <v>1w</v>
      </c>
      <c r="X3217" s="234">
        <f>_xll.qlCalendarAdvance(Calendar,X3216,W3217,"f",FALSE)</f>
        <v>61394</v>
      </c>
      <c r="Y3217" s="237">
        <f>_xll.qlCalendarAdvance(Calendar,X3217,NDays&amp;"D")</f>
        <v>61394</v>
      </c>
      <c r="Z3217" s="238">
        <v>3.5626912575119726E-2</v>
      </c>
      <c r="AA3217" s="240">
        <v>3.4893075410767915E-2</v>
      </c>
    </row>
    <row r="3218" spans="19:27" x14ac:dyDescent="0.2">
      <c r="S3218" s="199"/>
      <c r="T3218" s="200"/>
      <c r="W3218" s="233" t="str">
        <f t="shared" si="56"/>
        <v>1w</v>
      </c>
      <c r="X3218" s="234">
        <f>_xll.qlCalendarAdvance(Calendar,X3217,W3218,"f",FALSE)</f>
        <v>61401</v>
      </c>
      <c r="Y3218" s="237">
        <f>_xll.qlCalendarAdvance(Calendar,X3218,NDays&amp;"D")</f>
        <v>61401</v>
      </c>
      <c r="Z3218" s="238">
        <v>3.5631305961239548E-2</v>
      </c>
      <c r="AA3218" s="240">
        <v>3.4897677502010449E-2</v>
      </c>
    </row>
    <row r="3219" spans="19:27" x14ac:dyDescent="0.2">
      <c r="S3219" s="199"/>
      <c r="T3219" s="200"/>
      <c r="W3219" s="233" t="str">
        <f t="shared" si="56"/>
        <v>1w</v>
      </c>
      <c r="X3219" s="234">
        <f>_xll.qlCalendarAdvance(Calendar,X3218,W3219,"f",FALSE)</f>
        <v>61408</v>
      </c>
      <c r="Y3219" s="237">
        <f>_xll.qlCalendarAdvance(Calendar,X3219,NDays&amp;"D")</f>
        <v>61408</v>
      </c>
      <c r="Z3219" s="238">
        <v>3.5635685071879419E-2</v>
      </c>
      <c r="AA3219" s="240">
        <v>3.4902265790828224E-2</v>
      </c>
    </row>
    <row r="3220" spans="19:27" x14ac:dyDescent="0.2">
      <c r="S3220" s="199"/>
      <c r="T3220" s="200"/>
      <c r="W3220" s="233" t="str">
        <f t="shared" si="56"/>
        <v>1w</v>
      </c>
      <c r="X3220" s="234">
        <f>_xll.qlCalendarAdvance(Calendar,X3219,W3220,"f",FALSE)</f>
        <v>61415</v>
      </c>
      <c r="Y3220" s="237">
        <f>_xll.qlCalendarAdvance(Calendar,X3220,NDays&amp;"D")</f>
        <v>61415</v>
      </c>
      <c r="Z3220" s="238">
        <v>3.5640049906858443E-2</v>
      </c>
      <c r="AA3220" s="240">
        <v>3.4906840277302287E-2</v>
      </c>
    </row>
    <row r="3221" spans="19:27" x14ac:dyDescent="0.2">
      <c r="S3221" s="199"/>
      <c r="T3221" s="200"/>
      <c r="W3221" s="233" t="str">
        <f t="shared" ref="W3221:W3284" si="57">W3220</f>
        <v>1w</v>
      </c>
      <c r="X3221" s="234">
        <f>_xll.qlCalendarAdvance(Calendar,X3220,W3221,"f",FALSE)</f>
        <v>61422</v>
      </c>
      <c r="Y3221" s="237">
        <f>_xll.qlCalendarAdvance(Calendar,X3221,NDays&amp;"D")</f>
        <v>61422</v>
      </c>
      <c r="Z3221" s="238">
        <v>3.5642379084614761E-2</v>
      </c>
      <c r="AA3221" s="240">
        <v>3.491140096159473E-2</v>
      </c>
    </row>
    <row r="3222" spans="19:27" x14ac:dyDescent="0.2">
      <c r="S3222" s="199"/>
      <c r="T3222" s="200"/>
      <c r="W3222" s="233" t="str">
        <f t="shared" si="57"/>
        <v>1w</v>
      </c>
      <c r="X3222" s="234">
        <f>_xll.qlCalendarAdvance(Calendar,X3221,W3222,"f",FALSE)</f>
        <v>61429</v>
      </c>
      <c r="Y3222" s="237">
        <f>_xll.qlCalendarAdvance(Calendar,X3222,NDays&amp;"D")</f>
        <v>61429</v>
      </c>
      <c r="Z3222" s="238">
        <v>3.5646715971317633E-2</v>
      </c>
      <c r="AA3222" s="240">
        <v>3.4915947843624506E-2</v>
      </c>
    </row>
    <row r="3223" spans="19:27" x14ac:dyDescent="0.2">
      <c r="S3223" s="199"/>
      <c r="T3223" s="200"/>
      <c r="W3223" s="233" t="str">
        <f t="shared" si="57"/>
        <v>1w</v>
      </c>
      <c r="X3223" s="234">
        <f>_xll.qlCalendarAdvance(Calendar,X3222,W3223,"f",FALSE)</f>
        <v>61436</v>
      </c>
      <c r="Y3223" s="237">
        <f>_xll.qlCalendarAdvance(Calendar,X3223,NDays&amp;"D")</f>
        <v>61436</v>
      </c>
      <c r="Z3223" s="238">
        <v>3.5651038583150996E-2</v>
      </c>
      <c r="AA3223" s="240">
        <v>3.4920480923391617E-2</v>
      </c>
    </row>
    <row r="3224" spans="19:27" x14ac:dyDescent="0.2">
      <c r="S3224" s="199"/>
      <c r="T3224" s="200"/>
      <c r="W3224" s="233" t="str">
        <f t="shared" si="57"/>
        <v>1w</v>
      </c>
      <c r="X3224" s="234">
        <f>_xll.qlCalendarAdvance(Calendar,X3223,W3224,"f",FALSE)</f>
        <v>61443</v>
      </c>
      <c r="Y3224" s="237">
        <f>_xll.qlCalendarAdvance(Calendar,X3224,NDays&amp;"D")</f>
        <v>61443</v>
      </c>
      <c r="Z3224" s="238">
        <v>3.5655346919935882E-2</v>
      </c>
      <c r="AA3224" s="240">
        <v>3.4925000200652923E-2</v>
      </c>
    </row>
    <row r="3225" spans="19:27" x14ac:dyDescent="0.2">
      <c r="S3225" s="199"/>
      <c r="T3225" s="200"/>
      <c r="W3225" s="233" t="str">
        <f t="shared" si="57"/>
        <v>1w</v>
      </c>
      <c r="X3225" s="234">
        <f>_xll.qlCalendarAdvance(Calendar,X3224,W3225,"f",FALSE)</f>
        <v>61450</v>
      </c>
      <c r="Y3225" s="237">
        <f>_xll.qlCalendarAdvance(Calendar,X3225,NDays&amp;"D")</f>
        <v>61450</v>
      </c>
      <c r="Z3225" s="238">
        <v>3.5659640981494212E-2</v>
      </c>
      <c r="AA3225" s="240">
        <v>3.4929505676056793E-2</v>
      </c>
    </row>
    <row r="3226" spans="19:27" x14ac:dyDescent="0.2">
      <c r="S3226" s="199"/>
      <c r="T3226" s="200"/>
      <c r="W3226" s="233" t="str">
        <f t="shared" si="57"/>
        <v>1w</v>
      </c>
      <c r="X3226" s="234">
        <f>_xll.qlCalendarAdvance(Calendar,X3225,W3226,"f",FALSE)</f>
        <v>61457</v>
      </c>
      <c r="Y3226" s="237">
        <f>_xll.qlCalendarAdvance(Calendar,X3226,NDays&amp;"D")</f>
        <v>61457</v>
      </c>
      <c r="Z3226" s="238">
        <v>3.5663920767648127E-2</v>
      </c>
      <c r="AA3226" s="240">
        <v>3.4933997348873813E-2</v>
      </c>
    </row>
    <row r="3227" spans="19:27" x14ac:dyDescent="0.2">
      <c r="S3227" s="199"/>
      <c r="T3227" s="200"/>
      <c r="W3227" s="233" t="str">
        <f t="shared" si="57"/>
        <v>1w</v>
      </c>
      <c r="X3227" s="234">
        <f>_xll.qlCalendarAdvance(Calendar,X3226,W3227,"f",FALSE)</f>
        <v>61464</v>
      </c>
      <c r="Y3227" s="237">
        <f>_xll.qlCalendarAdvance(Calendar,X3227,NDays&amp;"D")</f>
        <v>61464</v>
      </c>
      <c r="Z3227" s="238">
        <v>3.5668186278220437E-2</v>
      </c>
      <c r="AA3227" s="240">
        <v>3.4938475219509213E-2</v>
      </c>
    </row>
    <row r="3228" spans="19:27" x14ac:dyDescent="0.2">
      <c r="S3228" s="199"/>
      <c r="T3228" s="200"/>
      <c r="W3228" s="233" t="str">
        <f t="shared" si="57"/>
        <v>1w</v>
      </c>
      <c r="X3228" s="234">
        <f>_xll.qlCalendarAdvance(Calendar,X3227,W3228,"f",FALSE)</f>
        <v>61471</v>
      </c>
      <c r="Y3228" s="237">
        <f>_xll.qlCalendarAdvance(Calendar,X3228,NDays&amp;"D")</f>
        <v>61471</v>
      </c>
      <c r="Z3228" s="238">
        <v>3.5672437513034838E-2</v>
      </c>
      <c r="AA3228" s="240">
        <v>3.4942939287881947E-2</v>
      </c>
    </row>
    <row r="3229" spans="19:27" x14ac:dyDescent="0.2">
      <c r="S3229" s="199"/>
      <c r="T3229" s="200"/>
      <c r="W3229" s="233" t="str">
        <f t="shared" si="57"/>
        <v>1w</v>
      </c>
      <c r="X3229" s="234">
        <f>_xll.qlCalendarAdvance(Calendar,X3228,W3229,"f",FALSE)</f>
        <v>61478</v>
      </c>
      <c r="Y3229" s="237">
        <f>_xll.qlCalendarAdvance(Calendar,X3229,NDays&amp;"D")</f>
        <v>61478</v>
      </c>
      <c r="Z3229" s="238">
        <v>3.5676674471914582E-2</v>
      </c>
      <c r="AA3229" s="240">
        <v>3.4947389553992014E-2</v>
      </c>
    </row>
    <row r="3230" spans="19:27" x14ac:dyDescent="0.2">
      <c r="S3230" s="199"/>
      <c r="T3230" s="200"/>
      <c r="W3230" s="233" t="str">
        <f t="shared" si="57"/>
        <v>1w</v>
      </c>
      <c r="X3230" s="234">
        <f>_xll.qlCalendarAdvance(Calendar,X3229,W3230,"f",FALSE)</f>
        <v>61485</v>
      </c>
      <c r="Y3230" s="237">
        <f>_xll.qlCalendarAdvance(Calendar,X3230,NDays&amp;"D")</f>
        <v>61485</v>
      </c>
      <c r="Z3230" s="238">
        <v>3.5680897154685587E-2</v>
      </c>
      <c r="AA3230" s="240">
        <v>3.4951826017839416E-2</v>
      </c>
    </row>
    <row r="3231" spans="19:27" x14ac:dyDescent="0.2">
      <c r="S3231" s="199"/>
      <c r="T3231" s="200"/>
      <c r="W3231" s="233" t="str">
        <f t="shared" si="57"/>
        <v>1w</v>
      </c>
      <c r="X3231" s="234">
        <f>_xll.qlCalendarAdvance(Calendar,X3230,W3231,"f",FALSE)</f>
        <v>61492</v>
      </c>
      <c r="Y3231" s="237">
        <f>_xll.qlCalendarAdvance(Calendar,X3231,NDays&amp;"D")</f>
        <v>61492</v>
      </c>
      <c r="Z3231" s="238">
        <v>3.5685105561172437E-2</v>
      </c>
      <c r="AA3231" s="240">
        <v>3.4956248679262059E-2</v>
      </c>
    </row>
    <row r="3232" spans="19:27" x14ac:dyDescent="0.2">
      <c r="S3232" s="199"/>
      <c r="T3232" s="200"/>
      <c r="W3232" s="233" t="str">
        <f t="shared" si="57"/>
        <v>1w</v>
      </c>
      <c r="X3232" s="234">
        <f>_xll.qlCalendarAdvance(Calendar,X3231,W3232,"f",FALSE)</f>
        <v>61499</v>
      </c>
      <c r="Y3232" s="237">
        <f>_xll.qlCalendarAdvance(Calendar,X3232,NDays&amp;"D")</f>
        <v>61499</v>
      </c>
      <c r="Z3232" s="238">
        <v>3.5689299691200826E-2</v>
      </c>
      <c r="AA3232" s="240">
        <v>3.4960657538584128E-2</v>
      </c>
    </row>
    <row r="3233" spans="19:27" x14ac:dyDescent="0.2">
      <c r="S3233" s="199"/>
      <c r="T3233" s="200"/>
      <c r="W3233" s="233" t="str">
        <f t="shared" si="57"/>
        <v>1w</v>
      </c>
      <c r="X3233" s="234">
        <f>_xll.qlCalendarAdvance(Calendar,X3232,W3233,"f",FALSE)</f>
        <v>61506</v>
      </c>
      <c r="Y3233" s="237">
        <f>_xll.qlCalendarAdvance(Calendar,X3233,NDays&amp;"D")</f>
        <v>61506</v>
      </c>
      <c r="Z3233" s="238">
        <v>3.5693479544596896E-2</v>
      </c>
      <c r="AA3233" s="240">
        <v>3.4965052595400392E-2</v>
      </c>
    </row>
    <row r="3234" spans="19:27" x14ac:dyDescent="0.2">
      <c r="S3234" s="199"/>
      <c r="T3234" s="200"/>
      <c r="W3234" s="233" t="str">
        <f t="shared" si="57"/>
        <v>1w</v>
      </c>
      <c r="X3234" s="234">
        <f>_xll.qlCalendarAdvance(Calendar,X3233,W3234,"f",FALSE)</f>
        <v>61513</v>
      </c>
      <c r="Y3234" s="237">
        <f>_xll.qlCalendarAdvance(Calendar,X3234,NDays&amp;"D")</f>
        <v>61513</v>
      </c>
      <c r="Z3234" s="238">
        <v>3.5697645121188781E-2</v>
      </c>
      <c r="AA3234" s="240">
        <v>3.4969433850116083E-2</v>
      </c>
    </row>
    <row r="3235" spans="19:27" x14ac:dyDescent="0.2">
      <c r="S3235" s="199"/>
      <c r="T3235" s="200"/>
      <c r="W3235" s="233" t="str">
        <f t="shared" si="57"/>
        <v>1w</v>
      </c>
      <c r="X3235" s="234">
        <f>_xll.qlCalendarAdvance(Calendar,X3234,W3235,"f",FALSE)</f>
        <v>61520</v>
      </c>
      <c r="Y3235" s="237">
        <f>_xll.qlCalendarAdvance(Calendar,X3235,NDays&amp;"D")</f>
        <v>61520</v>
      </c>
      <c r="Z3235" s="238">
        <v>3.5701796420803067E-2</v>
      </c>
      <c r="AA3235" s="240">
        <v>3.4973801302488061E-2</v>
      </c>
    </row>
    <row r="3236" spans="19:27" x14ac:dyDescent="0.2">
      <c r="S3236" s="199"/>
      <c r="T3236" s="200"/>
      <c r="W3236" s="233" t="str">
        <f t="shared" si="57"/>
        <v>1w</v>
      </c>
      <c r="X3236" s="234">
        <f>_xll.qlCalendarAdvance(Calendar,X3235,W3236,"f",FALSE)</f>
        <v>61527</v>
      </c>
      <c r="Y3236" s="237">
        <f>_xll.qlCalendarAdvance(Calendar,X3236,NDays&amp;"D")</f>
        <v>61527</v>
      </c>
      <c r="Z3236" s="238">
        <v>3.5705933443268334E-2</v>
      </c>
      <c r="AA3236" s="240">
        <v>3.4978154952759466E-2</v>
      </c>
    </row>
    <row r="3237" spans="19:27" x14ac:dyDescent="0.2">
      <c r="S3237" s="199"/>
      <c r="T3237" s="200"/>
      <c r="W3237" s="233" t="str">
        <f t="shared" si="57"/>
        <v>1w</v>
      </c>
      <c r="X3237" s="234">
        <f>_xll.qlCalendarAdvance(Calendar,X3236,W3237,"f",FALSE)</f>
        <v>61534</v>
      </c>
      <c r="Y3237" s="237">
        <f>_xll.qlCalendarAdvance(Calendar,X3237,NDays&amp;"D")</f>
        <v>61534</v>
      </c>
      <c r="Z3237" s="238">
        <v>3.5710056188413164E-2</v>
      </c>
      <c r="AA3237" s="240">
        <v>3.4982494800525066E-2</v>
      </c>
    </row>
    <row r="3238" spans="19:27" x14ac:dyDescent="0.2">
      <c r="S3238" s="199"/>
      <c r="T3238" s="200"/>
      <c r="W3238" s="233" t="str">
        <f t="shared" si="57"/>
        <v>1w</v>
      </c>
      <c r="X3238" s="234">
        <f>_xll.qlCalendarAdvance(Calendar,X3237,W3238,"f",FALSE)</f>
        <v>61541</v>
      </c>
      <c r="Y3238" s="237">
        <f>_xll.qlCalendarAdvance(Calendar,X3238,NDays&amp;"D")</f>
        <v>61541</v>
      </c>
      <c r="Z3238" s="238">
        <v>3.5714164656067249E-2</v>
      </c>
      <c r="AA3238" s="240">
        <v>3.4986820846109046E-2</v>
      </c>
    </row>
    <row r="3239" spans="19:27" x14ac:dyDescent="0.2">
      <c r="S3239" s="199"/>
      <c r="T3239" s="200"/>
      <c r="W3239" s="233" t="str">
        <f t="shared" si="57"/>
        <v>1w</v>
      </c>
      <c r="X3239" s="234">
        <f>_xll.qlCalendarAdvance(Calendar,X3238,W3239,"f",FALSE)</f>
        <v>61548</v>
      </c>
      <c r="Y3239" s="237">
        <f>_xll.qlCalendarAdvance(Calendar,X3239,NDays&amp;"D")</f>
        <v>61548</v>
      </c>
      <c r="Z3239" s="238">
        <v>3.5718258846060058E-2</v>
      </c>
      <c r="AA3239" s="240">
        <v>3.4991133089349313E-2</v>
      </c>
    </row>
    <row r="3240" spans="19:27" x14ac:dyDescent="0.2">
      <c r="S3240" s="199"/>
      <c r="T3240" s="200"/>
      <c r="W3240" s="233" t="str">
        <f t="shared" si="57"/>
        <v>1w</v>
      </c>
      <c r="X3240" s="234">
        <f>_xll.qlCalendarAdvance(Calendar,X3239,W3240,"f",FALSE)</f>
        <v>61555</v>
      </c>
      <c r="Y3240" s="237">
        <f>_xll.qlCalendarAdvance(Calendar,X3240,NDays&amp;"D")</f>
        <v>61555</v>
      </c>
      <c r="Z3240" s="238">
        <v>3.5722338758222838E-2</v>
      </c>
      <c r="AA3240" s="240">
        <v>3.4995431530407961E-2</v>
      </c>
    </row>
    <row r="3241" spans="19:27" x14ac:dyDescent="0.2">
      <c r="S3241" s="199"/>
      <c r="T3241" s="200"/>
      <c r="W3241" s="233" t="str">
        <f t="shared" si="57"/>
        <v>1w</v>
      </c>
      <c r="X3241" s="234">
        <f>_xll.qlCalendarAdvance(Calendar,X3240,W3241,"f",FALSE)</f>
        <v>61562</v>
      </c>
      <c r="Y3241" s="237">
        <f>_xll.qlCalendarAdvance(Calendar,X3241,NDays&amp;"D")</f>
        <v>61562</v>
      </c>
      <c r="Z3241" s="238">
        <v>3.5726404392385724E-2</v>
      </c>
      <c r="AA3241" s="240">
        <v>3.499971616904185E-2</v>
      </c>
    </row>
    <row r="3242" spans="19:27" x14ac:dyDescent="0.2">
      <c r="S3242" s="199"/>
      <c r="T3242" s="200"/>
      <c r="W3242" s="233" t="str">
        <f t="shared" si="57"/>
        <v>1w</v>
      </c>
      <c r="X3242" s="234">
        <f>_xll.qlCalendarAdvance(Calendar,X3241,W3242,"f",FALSE)</f>
        <v>61569</v>
      </c>
      <c r="Y3242" s="237">
        <f>_xll.qlCalendarAdvance(Calendar,X3242,NDays&amp;"D")</f>
        <v>61569</v>
      </c>
      <c r="Z3242" s="238">
        <v>3.573045574838174E-2</v>
      </c>
      <c r="AA3242" s="240">
        <v>3.5003987005494119E-2</v>
      </c>
    </row>
    <row r="3243" spans="19:27" x14ac:dyDescent="0.2">
      <c r="S3243" s="199"/>
      <c r="T3243" s="200"/>
      <c r="W3243" s="233" t="str">
        <f t="shared" si="57"/>
        <v>1w</v>
      </c>
      <c r="X3243" s="234">
        <f>_xll.qlCalendarAdvance(Calendar,X3242,W3243,"f",FALSE)</f>
        <v>61576</v>
      </c>
      <c r="Y3243" s="237">
        <f>_xll.qlCalendarAdvance(Calendar,X3243,NDays&amp;"D")</f>
        <v>61576</v>
      </c>
      <c r="Z3243" s="238">
        <v>3.573449282604213E-2</v>
      </c>
      <c r="AA3243" s="240">
        <v>3.5008244039683722E-2</v>
      </c>
    </row>
    <row r="3244" spans="19:27" x14ac:dyDescent="0.2">
      <c r="S3244" s="199"/>
      <c r="T3244" s="200"/>
      <c r="W3244" s="233" t="str">
        <f t="shared" si="57"/>
        <v>1w</v>
      </c>
      <c r="X3244" s="234">
        <f>_xll.qlCalendarAdvance(Calendar,X3243,W3244,"f",FALSE)</f>
        <v>61583</v>
      </c>
      <c r="Y3244" s="237">
        <f>_xll.qlCalendarAdvance(Calendar,X3244,NDays&amp;"D")</f>
        <v>61583</v>
      </c>
      <c r="Z3244" s="238">
        <v>3.5738515625200362E-2</v>
      </c>
      <c r="AA3244" s="240">
        <v>3.5012487271529613E-2</v>
      </c>
    </row>
    <row r="3245" spans="19:27" x14ac:dyDescent="0.2">
      <c r="S3245" s="199"/>
      <c r="T3245" s="200"/>
      <c r="W3245" s="233" t="str">
        <f t="shared" si="57"/>
        <v>1w</v>
      </c>
      <c r="X3245" s="234">
        <f>_xll.qlCalendarAdvance(Calendar,X3244,W3245,"f",FALSE)</f>
        <v>61590</v>
      </c>
      <c r="Y3245" s="237">
        <f>_xll.qlCalendarAdvance(Calendar,X3245,NDays&amp;"D")</f>
        <v>61590</v>
      </c>
      <c r="Z3245" s="238">
        <v>3.574252414568968E-2</v>
      </c>
      <c r="AA3245" s="240">
        <v>3.5016716701031791E-2</v>
      </c>
    </row>
    <row r="3246" spans="19:27" x14ac:dyDescent="0.2">
      <c r="S3246" s="199"/>
      <c r="T3246" s="200"/>
      <c r="W3246" s="233" t="str">
        <f t="shared" si="57"/>
        <v>1w</v>
      </c>
      <c r="X3246" s="234">
        <f>_xll.qlCalendarAdvance(Calendar,X3245,W3246,"f",FALSE)</f>
        <v>61597</v>
      </c>
      <c r="Y3246" s="237">
        <f>_xll.qlCalendarAdvance(Calendar,X3246,NDays&amp;"D")</f>
        <v>61597</v>
      </c>
      <c r="Z3246" s="238">
        <v>3.5746518387344217E-2</v>
      </c>
      <c r="AA3246" s="240">
        <v>3.502093232835235E-2</v>
      </c>
    </row>
    <row r="3247" spans="19:27" x14ac:dyDescent="0.2">
      <c r="S3247" s="199"/>
      <c r="T3247" s="200"/>
      <c r="W3247" s="233" t="str">
        <f t="shared" si="57"/>
        <v>1w</v>
      </c>
      <c r="X3247" s="234">
        <f>_xll.qlCalendarAdvance(Calendar,X3246,W3247,"f",FALSE)</f>
        <v>61604</v>
      </c>
      <c r="Y3247" s="237">
        <f>_xll.qlCalendarAdvance(Calendar,X3247,NDays&amp;"D")</f>
        <v>61604</v>
      </c>
      <c r="Z3247" s="238">
        <v>3.5750498349998994E-2</v>
      </c>
      <c r="AA3247" s="240">
        <v>3.5025134153491289E-2</v>
      </c>
    </row>
    <row r="3248" spans="19:27" x14ac:dyDescent="0.2">
      <c r="S3248" s="199"/>
      <c r="T3248" s="200"/>
      <c r="W3248" s="233" t="str">
        <f t="shared" si="57"/>
        <v>1w</v>
      </c>
      <c r="X3248" s="234">
        <f>_xll.qlCalendarAdvance(Calendar,X3247,W3248,"f",FALSE)</f>
        <v>61611</v>
      </c>
      <c r="Y3248" s="237">
        <f>_xll.qlCalendarAdvance(Calendar,X3248,NDays&amp;"D")</f>
        <v>61611</v>
      </c>
      <c r="Z3248" s="238">
        <v>3.5754464033488809E-2</v>
      </c>
      <c r="AA3248" s="240">
        <v>3.5029322176124422E-2</v>
      </c>
    </row>
    <row r="3249" spans="19:27" x14ac:dyDescent="0.2">
      <c r="S3249" s="199"/>
      <c r="T3249" s="200"/>
      <c r="W3249" s="233" t="str">
        <f t="shared" si="57"/>
        <v>1w</v>
      </c>
      <c r="X3249" s="234">
        <f>_xll.qlCalendarAdvance(Calendar,X3248,W3249,"f",FALSE)</f>
        <v>61618</v>
      </c>
      <c r="Y3249" s="237">
        <f>_xll.qlCalendarAdvance(Calendar,X3249,NDays&amp;"D")</f>
        <v>61618</v>
      </c>
      <c r="Z3249" s="238">
        <v>3.5758415437650015E-2</v>
      </c>
      <c r="AA3249" s="240">
        <v>3.503349639649489E-2</v>
      </c>
    </row>
    <row r="3250" spans="19:27" x14ac:dyDescent="0.2">
      <c r="S3250" s="199"/>
      <c r="T3250" s="200"/>
      <c r="W3250" s="233" t="str">
        <f t="shared" si="57"/>
        <v>1w</v>
      </c>
      <c r="X3250" s="234">
        <f>_xll.qlCalendarAdvance(Calendar,X3249,W3250,"f",FALSE)</f>
        <v>61625</v>
      </c>
      <c r="Y3250" s="237">
        <f>_xll.qlCalendarAdvance(Calendar,X3250,NDays&amp;"D")</f>
        <v>61625</v>
      </c>
      <c r="Z3250" s="238">
        <v>3.57623525623183E-2</v>
      </c>
      <c r="AA3250" s="240">
        <v>3.5037656814521645E-2</v>
      </c>
    </row>
    <row r="3251" spans="19:27" x14ac:dyDescent="0.2">
      <c r="S3251" s="199"/>
      <c r="T3251" s="200"/>
      <c r="W3251" s="233" t="str">
        <f t="shared" si="57"/>
        <v>1w</v>
      </c>
      <c r="X3251" s="234">
        <f>_xll.qlCalendarAdvance(Calendar,X3250,W3251,"f",FALSE)</f>
        <v>61632</v>
      </c>
      <c r="Y3251" s="237">
        <f>_xll.qlCalendarAdvance(Calendar,X3251,NDays&amp;"D")</f>
        <v>61632</v>
      </c>
      <c r="Z3251" s="238">
        <v>3.5766275407331349E-2</v>
      </c>
      <c r="AA3251" s="240">
        <v>3.5041803430528873E-2</v>
      </c>
    </row>
    <row r="3252" spans="19:27" x14ac:dyDescent="0.2">
      <c r="S3252" s="199"/>
      <c r="T3252" s="200"/>
      <c r="W3252" s="233" t="str">
        <f t="shared" si="57"/>
        <v>1w</v>
      </c>
      <c r="X3252" s="234">
        <f>_xll.qlCalendarAdvance(Calendar,X3251,W3252,"f",FALSE)</f>
        <v>61639</v>
      </c>
      <c r="Y3252" s="237">
        <f>_xll.qlCalendarAdvance(Calendar,X3252,NDays&amp;"D")</f>
        <v>61639</v>
      </c>
      <c r="Z3252" s="238">
        <v>3.5770183972526848E-2</v>
      </c>
      <c r="AA3252" s="240">
        <v>3.5045936244111342E-2</v>
      </c>
    </row>
    <row r="3253" spans="19:27" x14ac:dyDescent="0.2">
      <c r="S3253" s="199"/>
      <c r="T3253" s="200"/>
      <c r="W3253" s="233" t="str">
        <f t="shared" si="57"/>
        <v>1w</v>
      </c>
      <c r="X3253" s="234">
        <f>_xll.qlCalendarAdvance(Calendar,X3252,W3253,"f",FALSE)</f>
        <v>61646</v>
      </c>
      <c r="Y3253" s="237">
        <f>_xll.qlCalendarAdvance(Calendar,X3253,NDays&amp;"D")</f>
        <v>61646</v>
      </c>
      <c r="Z3253" s="238">
        <v>3.5774078257742925E-2</v>
      </c>
      <c r="AA3253" s="240">
        <v>3.5050055255350099E-2</v>
      </c>
    </row>
    <row r="3254" spans="19:27" x14ac:dyDescent="0.2">
      <c r="S3254" s="199"/>
      <c r="T3254" s="200"/>
      <c r="W3254" s="233" t="str">
        <f t="shared" si="57"/>
        <v>1w</v>
      </c>
      <c r="X3254" s="234">
        <f>_xll.qlCalendarAdvance(Calendar,X3253,W3254,"f",FALSE)</f>
        <v>61653</v>
      </c>
      <c r="Y3254" s="237">
        <f>_xll.qlCalendarAdvance(Calendar,X3254,NDays&amp;"D")</f>
        <v>61653</v>
      </c>
      <c r="Z3254" s="238">
        <v>3.5777958262817933E-2</v>
      </c>
      <c r="AA3254" s="240">
        <v>3.5054160464407236E-2</v>
      </c>
    </row>
    <row r="3255" spans="19:27" x14ac:dyDescent="0.2">
      <c r="S3255" s="199"/>
      <c r="T3255" s="200"/>
      <c r="W3255" s="233" t="str">
        <f t="shared" si="57"/>
        <v>1w</v>
      </c>
      <c r="X3255" s="234">
        <f>_xll.qlCalendarAdvance(Calendar,X3254,W3255,"f",FALSE)</f>
        <v>61660</v>
      </c>
      <c r="Y3255" s="237">
        <f>_xll.qlCalendarAdvance(Calendar,X3255,NDays&amp;"D")</f>
        <v>61660</v>
      </c>
      <c r="Z3255" s="238">
        <v>3.5781823987591777E-2</v>
      </c>
      <c r="AA3255" s="240">
        <v>3.5058251871039614E-2</v>
      </c>
    </row>
    <row r="3256" spans="19:27" x14ac:dyDescent="0.2">
      <c r="S3256" s="199"/>
      <c r="T3256" s="200"/>
      <c r="W3256" s="233" t="str">
        <f t="shared" si="57"/>
        <v>1w</v>
      </c>
      <c r="X3256" s="234">
        <f>_xll.qlCalendarAdvance(Calendar,X3255,W3256,"f",FALSE)</f>
        <v>61667</v>
      </c>
      <c r="Y3256" s="237">
        <f>_xll.qlCalendarAdvance(Calendar,X3256,NDays&amp;"D")</f>
        <v>61667</v>
      </c>
      <c r="Z3256" s="238">
        <v>3.5785675431904584E-2</v>
      </c>
      <c r="AA3256" s="240">
        <v>3.5062329475409326E-2</v>
      </c>
    </row>
    <row r="3257" spans="19:27" x14ac:dyDescent="0.2">
      <c r="S3257" s="199"/>
      <c r="T3257" s="200"/>
      <c r="W3257" s="233" t="str">
        <f t="shared" si="57"/>
        <v>1w</v>
      </c>
      <c r="X3257" s="234">
        <f>_xll.qlCalendarAdvance(Calendar,X3256,W3257,"f",FALSE)</f>
        <v>61674</v>
      </c>
      <c r="Y3257" s="237">
        <f>_xll.qlCalendarAdvance(Calendar,X3257,NDays&amp;"D")</f>
        <v>61674</v>
      </c>
      <c r="Z3257" s="238">
        <v>3.5789512595596706E-2</v>
      </c>
      <c r="AA3257" s="240">
        <v>3.5066393277597419E-2</v>
      </c>
    </row>
    <row r="3258" spans="19:27" x14ac:dyDescent="0.2">
      <c r="S3258" s="199"/>
      <c r="T3258" s="200"/>
      <c r="W3258" s="233" t="str">
        <f t="shared" si="57"/>
        <v>1w</v>
      </c>
      <c r="X3258" s="234">
        <f>_xll.qlCalendarAdvance(Calendar,X3257,W3258,"f",FALSE)</f>
        <v>61681</v>
      </c>
      <c r="Y3258" s="237">
        <f>_xll.qlCalendarAdvance(Calendar,X3258,NDays&amp;"D")</f>
        <v>61681</v>
      </c>
      <c r="Z3258" s="238">
        <v>3.579333547850938E-2</v>
      </c>
      <c r="AA3258" s="240">
        <v>3.5070443277522845E-2</v>
      </c>
    </row>
    <row r="3259" spans="19:27" x14ac:dyDescent="0.2">
      <c r="S3259" s="199"/>
      <c r="T3259" s="200"/>
      <c r="W3259" s="233" t="str">
        <f t="shared" si="57"/>
        <v>1w</v>
      </c>
      <c r="X3259" s="234">
        <f>_xll.qlCalendarAdvance(Calendar,X3258,W3259,"f",FALSE)</f>
        <v>61688</v>
      </c>
      <c r="Y3259" s="237">
        <f>_xll.qlCalendarAdvance(Calendar,X3259,NDays&amp;"D")</f>
        <v>61688</v>
      </c>
      <c r="Z3259" s="238">
        <v>3.5797144080483845E-2</v>
      </c>
      <c r="AA3259" s="240">
        <v>3.5074479475104559E-2</v>
      </c>
    </row>
    <row r="3260" spans="19:27" x14ac:dyDescent="0.2">
      <c r="S3260" s="199"/>
      <c r="T3260" s="200"/>
      <c r="W3260" s="233" t="str">
        <f t="shared" si="57"/>
        <v>1w</v>
      </c>
      <c r="X3260" s="234">
        <f>_xll.qlCalendarAdvance(Calendar,X3259,W3260,"f",FALSE)</f>
        <v>61695</v>
      </c>
      <c r="Y3260" s="237">
        <f>_xll.qlCalendarAdvance(Calendar,X3260,NDays&amp;"D")</f>
        <v>61695</v>
      </c>
      <c r="Z3260" s="238">
        <v>3.5800938401363114E-2</v>
      </c>
      <c r="AA3260" s="240">
        <v>3.5078501870099421E-2</v>
      </c>
    </row>
    <row r="3261" spans="19:27" x14ac:dyDescent="0.2">
      <c r="S3261" s="199"/>
      <c r="T3261" s="200"/>
      <c r="W3261" s="233" t="str">
        <f t="shared" si="57"/>
        <v>1w</v>
      </c>
      <c r="X3261" s="234">
        <f>_xll.qlCalendarAdvance(Calendar,X3260,W3261,"f",FALSE)</f>
        <v>61702</v>
      </c>
      <c r="Y3261" s="237">
        <f>_xll.qlCalendarAdvance(Calendar,X3261,NDays&amp;"D")</f>
        <v>61702</v>
      </c>
      <c r="Z3261" s="238">
        <v>3.580471844098998E-2</v>
      </c>
      <c r="AA3261" s="240">
        <v>3.5082510463155803E-2</v>
      </c>
    </row>
    <row r="3262" spans="19:27" x14ac:dyDescent="0.2">
      <c r="S3262" s="199"/>
      <c r="T3262" s="200"/>
      <c r="W3262" s="233" t="str">
        <f t="shared" si="57"/>
        <v>1w</v>
      </c>
      <c r="X3262" s="234">
        <f>_xll.qlCalendarAdvance(Calendar,X3261,W3262,"f",FALSE)</f>
        <v>61709</v>
      </c>
      <c r="Y3262" s="237">
        <f>_xll.qlCalendarAdvance(Calendar,X3262,NDays&amp;"D")</f>
        <v>61709</v>
      </c>
      <c r="Z3262" s="238">
        <v>3.5808484199207902E-2</v>
      </c>
      <c r="AA3262" s="240">
        <v>3.5086505253787426E-2</v>
      </c>
    </row>
    <row r="3263" spans="19:27" x14ac:dyDescent="0.2">
      <c r="S3263" s="199"/>
      <c r="T3263" s="200"/>
      <c r="W3263" s="233" t="str">
        <f t="shared" si="57"/>
        <v>1w</v>
      </c>
      <c r="X3263" s="234">
        <f>_xll.qlCalendarAdvance(Calendar,X3262,W3263,"f",FALSE)</f>
        <v>61716</v>
      </c>
      <c r="Y3263" s="237">
        <f>_xll.qlCalendarAdvance(Calendar,X3263,NDays&amp;"D")</f>
        <v>61716</v>
      </c>
      <c r="Z3263" s="238">
        <v>3.5812235675861226E-2</v>
      </c>
      <c r="AA3263" s="240">
        <v>3.5090486242156382E-2</v>
      </c>
    </row>
    <row r="3264" spans="19:27" x14ac:dyDescent="0.2">
      <c r="S3264" s="199"/>
      <c r="T3264" s="200"/>
      <c r="W3264" s="233" t="str">
        <f t="shared" si="57"/>
        <v>1w</v>
      </c>
      <c r="X3264" s="234">
        <f>_xll.qlCalendarAdvance(Calendar,X3263,W3264,"f",FALSE)</f>
        <v>61724</v>
      </c>
      <c r="Y3264" s="237">
        <f>_xll.qlCalendarAdvance(Calendar,X3264,NDays&amp;"D")</f>
        <v>61724</v>
      </c>
      <c r="Z3264" s="238">
        <v>3.5816505589921332E-2</v>
      </c>
      <c r="AA3264" s="240">
        <v>3.509501904239487E-2</v>
      </c>
    </row>
    <row r="3265" spans="19:27" x14ac:dyDescent="0.2">
      <c r="S3265" s="199"/>
      <c r="T3265" s="200"/>
      <c r="W3265" s="233" t="str">
        <f t="shared" si="57"/>
        <v>1w</v>
      </c>
      <c r="X3265" s="234">
        <f>_xll.qlCalendarAdvance(Calendar,X3264,W3265,"f",FALSE)</f>
        <v>61731</v>
      </c>
      <c r="Y3265" s="237">
        <f>_xll.qlCalendarAdvance(Calendar,X3265,NDays&amp;"D")</f>
        <v>61731</v>
      </c>
      <c r="Z3265" s="238">
        <v>3.5820226462699889E-2</v>
      </c>
      <c r="AA3265" s="240">
        <v>3.5098970454301437E-2</v>
      </c>
    </row>
    <row r="3266" spans="19:27" x14ac:dyDescent="0.2">
      <c r="S3266" s="199"/>
      <c r="T3266" s="200"/>
      <c r="W3266" s="233" t="str">
        <f t="shared" si="57"/>
        <v>1w</v>
      </c>
      <c r="X3266" s="234">
        <f>_xll.qlCalendarAdvance(Calendar,X3265,W3266,"f",FALSE)</f>
        <v>61738</v>
      </c>
      <c r="Y3266" s="237">
        <f>_xll.qlCalendarAdvance(Calendar,X3266,NDays&amp;"D")</f>
        <v>61738</v>
      </c>
      <c r="Z3266" s="238">
        <v>3.5823933053427348E-2</v>
      </c>
      <c r="AA3266" s="240">
        <v>3.5102908064188476E-2</v>
      </c>
    </row>
    <row r="3267" spans="19:27" x14ac:dyDescent="0.2">
      <c r="S3267" s="199"/>
      <c r="T3267" s="200"/>
      <c r="W3267" s="233" t="str">
        <f t="shared" si="57"/>
        <v>1w</v>
      </c>
      <c r="X3267" s="234">
        <f>_xll.qlCalendarAdvance(Calendar,X3266,W3267,"f",FALSE)</f>
        <v>61745</v>
      </c>
      <c r="Y3267" s="237">
        <f>_xll.qlCalendarAdvance(Calendar,X3267,NDays&amp;"D")</f>
        <v>61745</v>
      </c>
      <c r="Z3267" s="238">
        <v>3.5827625361950721E-2</v>
      </c>
      <c r="AA3267" s="240">
        <v>3.510683187156971E-2</v>
      </c>
    </row>
    <row r="3268" spans="19:27" x14ac:dyDescent="0.2">
      <c r="S3268" s="199"/>
      <c r="T3268" s="200"/>
      <c r="W3268" s="233" t="str">
        <f t="shared" si="57"/>
        <v>1w</v>
      </c>
      <c r="X3268" s="234">
        <f>_xll.qlCalendarAdvance(Calendar,X3267,W3268,"f",FALSE)</f>
        <v>61752</v>
      </c>
      <c r="Y3268" s="237">
        <f>_xll.qlCalendarAdvance(Calendar,X3268,NDays&amp;"D")</f>
        <v>61752</v>
      </c>
      <c r="Z3268" s="238">
        <v>3.5831303388117242E-2</v>
      </c>
      <c r="AA3268" s="240">
        <v>3.5110741876769325E-2</v>
      </c>
    </row>
    <row r="3269" spans="19:27" x14ac:dyDescent="0.2">
      <c r="S3269" s="199"/>
      <c r="T3269" s="200"/>
      <c r="W3269" s="233" t="str">
        <f t="shared" si="57"/>
        <v>1w</v>
      </c>
      <c r="X3269" s="234">
        <f>_xll.qlCalendarAdvance(Calendar,X3268,W3269,"f",FALSE)</f>
        <v>61759</v>
      </c>
      <c r="Y3269" s="237">
        <f>_xll.qlCalendarAdvance(Calendar,X3269,NDays&amp;"D")</f>
        <v>61759</v>
      </c>
      <c r="Z3269" s="238">
        <v>3.583496713177392E-2</v>
      </c>
      <c r="AA3269" s="240">
        <v>3.5114638079463134E-2</v>
      </c>
    </row>
    <row r="3270" spans="19:27" x14ac:dyDescent="0.2">
      <c r="S3270" s="199"/>
      <c r="T3270" s="200"/>
      <c r="W3270" s="233" t="str">
        <f t="shared" si="57"/>
        <v>1w</v>
      </c>
      <c r="X3270" s="234">
        <f>_xll.qlCalendarAdvance(Calendar,X3269,W3270,"f",FALSE)</f>
        <v>61766</v>
      </c>
      <c r="Y3270" s="237">
        <f>_xll.qlCalendarAdvance(Calendar,X3270,NDays&amp;"D")</f>
        <v>61766</v>
      </c>
      <c r="Z3270" s="238">
        <v>3.5838616592770434E-2</v>
      </c>
      <c r="AA3270" s="240">
        <v>3.5118520480137416E-2</v>
      </c>
    </row>
    <row r="3271" spans="19:27" x14ac:dyDescent="0.2">
      <c r="S3271" s="199"/>
      <c r="T3271" s="200"/>
      <c r="W3271" s="233" t="str">
        <f t="shared" si="57"/>
        <v>1w</v>
      </c>
      <c r="X3271" s="234">
        <f>_xll.qlCalendarAdvance(Calendar,X3270,W3271,"f",FALSE)</f>
        <v>61773</v>
      </c>
      <c r="Y3271" s="237">
        <f>_xll.qlCalendarAdvance(Calendar,X3271,NDays&amp;"D")</f>
        <v>61773</v>
      </c>
      <c r="Z3271" s="238">
        <v>3.5842251770954459E-2</v>
      </c>
      <c r="AA3271" s="240">
        <v>3.5122389078305893E-2</v>
      </c>
    </row>
    <row r="3272" spans="19:27" x14ac:dyDescent="0.2">
      <c r="S3272" s="199"/>
      <c r="T3272" s="200"/>
      <c r="W3272" s="233" t="str">
        <f t="shared" si="57"/>
        <v>1w</v>
      </c>
      <c r="X3272" s="234">
        <f>_xll.qlCalendarAdvance(Calendar,X3271,W3272,"f",FALSE)</f>
        <v>61780</v>
      </c>
      <c r="Y3272" s="237">
        <f>_xll.qlCalendarAdvance(Calendar,X3272,NDays&amp;"D")</f>
        <v>61780</v>
      </c>
      <c r="Z3272" s="238">
        <v>3.5845872666176559E-2</v>
      </c>
      <c r="AA3272" s="240">
        <v>3.5126243874211704E-2</v>
      </c>
    </row>
    <row r="3273" spans="19:27" x14ac:dyDescent="0.2">
      <c r="S3273" s="199"/>
      <c r="T3273" s="200"/>
      <c r="W3273" s="233" t="str">
        <f t="shared" si="57"/>
        <v>1w</v>
      </c>
      <c r="X3273" s="234">
        <f>_xll.qlCalendarAdvance(Calendar,X3272,W3273,"f",FALSE)</f>
        <v>61787</v>
      </c>
      <c r="Y3273" s="237">
        <f>_xll.qlCalendarAdvance(Calendar,X3273,NDays&amp;"D")</f>
        <v>61787</v>
      </c>
      <c r="Z3273" s="238">
        <v>3.5849479278286633E-2</v>
      </c>
      <c r="AA3273" s="240">
        <v>3.5130084867854849E-2</v>
      </c>
    </row>
    <row r="3274" spans="19:27" x14ac:dyDescent="0.2">
      <c r="S3274" s="199"/>
      <c r="T3274" s="200"/>
      <c r="W3274" s="233" t="str">
        <f t="shared" si="57"/>
        <v>1w</v>
      </c>
      <c r="X3274" s="234">
        <f>_xll.qlCalendarAdvance(Calendar,X3273,W3274,"f",FALSE)</f>
        <v>61794</v>
      </c>
      <c r="Y3274" s="237">
        <f>_xll.qlCalendarAdvance(Calendar,X3274,NDays&amp;"D")</f>
        <v>61794</v>
      </c>
      <c r="Z3274" s="238">
        <v>3.5853071607134357E-2</v>
      </c>
      <c r="AA3274" s="240">
        <v>3.5133912059235328E-2</v>
      </c>
    </row>
    <row r="3275" spans="19:27" x14ac:dyDescent="0.2">
      <c r="S3275" s="199"/>
      <c r="T3275" s="200"/>
      <c r="W3275" s="233" t="str">
        <f t="shared" si="57"/>
        <v>1w</v>
      </c>
      <c r="X3275" s="234">
        <f>_xll.qlCalendarAdvance(Calendar,X3274,W3275,"f",FALSE)</f>
        <v>61801</v>
      </c>
      <c r="Y3275" s="237">
        <f>_xll.qlCalendarAdvance(Calendar,X3275,NDays&amp;"D")</f>
        <v>61801</v>
      </c>
      <c r="Z3275" s="238">
        <v>3.5856649652572292E-2</v>
      </c>
      <c r="AA3275" s="240">
        <v>3.5137725448353141E-2</v>
      </c>
    </row>
    <row r="3276" spans="19:27" x14ac:dyDescent="0.2">
      <c r="S3276" s="199"/>
      <c r="T3276" s="200"/>
      <c r="W3276" s="233" t="str">
        <f t="shared" si="57"/>
        <v>1w</v>
      </c>
      <c r="X3276" s="234">
        <f>_xll.qlCalendarAdvance(Calendar,X3275,W3276,"f",FALSE)</f>
        <v>61808</v>
      </c>
      <c r="Y3276" s="237">
        <f>_xll.qlCalendarAdvance(Calendar,X3276,NDays&amp;"D")</f>
        <v>61808</v>
      </c>
      <c r="Z3276" s="238">
        <v>3.5860213414452113E-2</v>
      </c>
      <c r="AA3276" s="240">
        <v>3.5141525035046195E-2</v>
      </c>
    </row>
    <row r="3277" spans="19:27" x14ac:dyDescent="0.2">
      <c r="S3277" s="199"/>
      <c r="T3277" s="200"/>
      <c r="W3277" s="233" t="str">
        <f t="shared" si="57"/>
        <v>1w</v>
      </c>
      <c r="X3277" s="234">
        <f>_xll.qlCalendarAdvance(Calendar,X3276,W3277,"f",FALSE)</f>
        <v>61815</v>
      </c>
      <c r="Y3277" s="237">
        <f>_xll.qlCalendarAdvance(Calendar,X3277,NDays&amp;"D")</f>
        <v>61815</v>
      </c>
      <c r="Z3277" s="238">
        <v>3.5861777536558191E-2</v>
      </c>
      <c r="AA3277" s="240">
        <v>3.5145310819557629E-2</v>
      </c>
    </row>
    <row r="3278" spans="19:27" x14ac:dyDescent="0.2">
      <c r="S3278" s="199"/>
      <c r="T3278" s="200"/>
      <c r="W3278" s="233" t="str">
        <f t="shared" si="57"/>
        <v>1w</v>
      </c>
      <c r="X3278" s="234">
        <f>_xll.qlCalendarAdvance(Calendar,X3277,W3278,"f",FALSE)</f>
        <v>61822</v>
      </c>
      <c r="Y3278" s="237">
        <f>_xll.qlCalendarAdvance(Calendar,X3278,NDays&amp;"D")</f>
        <v>61822</v>
      </c>
      <c r="Z3278" s="238">
        <v>3.5867298086946775E-2</v>
      </c>
      <c r="AA3278" s="240">
        <v>3.5149082801725351E-2</v>
      </c>
    </row>
    <row r="3279" spans="19:27" x14ac:dyDescent="0.2">
      <c r="S3279" s="199"/>
      <c r="T3279" s="200"/>
      <c r="W3279" s="233" t="str">
        <f t="shared" si="57"/>
        <v>1w</v>
      </c>
      <c r="X3279" s="234">
        <f>_xll.qlCalendarAdvance(Calendar,X3278,W3279,"f",FALSE)</f>
        <v>61829</v>
      </c>
      <c r="Y3279" s="237">
        <f>_xll.qlCalendarAdvance(Calendar,X3279,NDays&amp;"D")</f>
        <v>61829</v>
      </c>
      <c r="Z3279" s="238">
        <v>3.5870818997268739E-2</v>
      </c>
      <c r="AA3279" s="240">
        <v>3.5160684075874471E-2</v>
      </c>
    </row>
    <row r="3280" spans="19:27" x14ac:dyDescent="0.2">
      <c r="S3280" s="199"/>
      <c r="T3280" s="200"/>
      <c r="W3280" s="233" t="str">
        <f t="shared" si="57"/>
        <v>1w</v>
      </c>
      <c r="X3280" s="234">
        <f>_xll.qlCalendarAdvance(Calendar,X3279,W3280,"f",FALSE)</f>
        <v>61836</v>
      </c>
      <c r="Y3280" s="237">
        <f>_xll.qlCalendarAdvance(Calendar,X3280,NDays&amp;"D")</f>
        <v>61836</v>
      </c>
      <c r="Z3280" s="238">
        <v>3.5874325623445946E-2</v>
      </c>
      <c r="AA3280" s="240">
        <v>3.5156585359029657E-2</v>
      </c>
    </row>
    <row r="3281" spans="19:27" x14ac:dyDescent="0.2">
      <c r="S3281" s="199"/>
      <c r="T3281" s="200"/>
      <c r="W3281" s="233" t="str">
        <f t="shared" si="57"/>
        <v>1w</v>
      </c>
      <c r="X3281" s="234">
        <f>_xll.qlCalendarAdvance(Calendar,X3280,W3281,"f",FALSE)</f>
        <v>61843</v>
      </c>
      <c r="Y3281" s="237">
        <f>_xll.qlCalendarAdvance(Calendar,X3281,NDays&amp;"D")</f>
        <v>61843</v>
      </c>
      <c r="Z3281" s="238">
        <v>3.5877817965333181E-2</v>
      </c>
      <c r="AA3281" s="240">
        <v>3.5160315934490427E-2</v>
      </c>
    </row>
    <row r="3282" spans="19:27" x14ac:dyDescent="0.2">
      <c r="S3282" s="199"/>
      <c r="T3282" s="200"/>
      <c r="W3282" s="233" t="str">
        <f t="shared" si="57"/>
        <v>1w</v>
      </c>
      <c r="X3282" s="234">
        <f>_xll.qlCalendarAdvance(Calendar,X3281,W3282,"f",FALSE)</f>
        <v>61850</v>
      </c>
      <c r="Y3282" s="237">
        <f>_xll.qlCalendarAdvance(Calendar,X3282,NDays&amp;"D")</f>
        <v>61850</v>
      </c>
      <c r="Z3282" s="238">
        <v>3.5881296022785669E-2</v>
      </c>
      <c r="AA3282" s="240">
        <v>3.5164032707364345E-2</v>
      </c>
    </row>
    <row r="3283" spans="19:27" x14ac:dyDescent="0.2">
      <c r="S3283" s="199"/>
      <c r="T3283" s="200"/>
      <c r="W3283" s="233" t="str">
        <f t="shared" si="57"/>
        <v>1w</v>
      </c>
      <c r="X3283" s="234">
        <f>_xll.qlCalendarAdvance(Calendar,X3282,W3283,"f",FALSE)</f>
        <v>61857</v>
      </c>
      <c r="Y3283" s="237">
        <f>_xll.qlCalendarAdvance(Calendar,X3283,NDays&amp;"D")</f>
        <v>61857</v>
      </c>
      <c r="Z3283" s="238">
        <v>3.5884759795659749E-2</v>
      </c>
      <c r="AA3283" s="240">
        <v>3.5167735677813505E-2</v>
      </c>
    </row>
    <row r="3284" spans="19:27" x14ac:dyDescent="0.2">
      <c r="S3284" s="199"/>
      <c r="T3284" s="200"/>
      <c r="W3284" s="233" t="str">
        <f t="shared" si="57"/>
        <v>1w</v>
      </c>
      <c r="X3284" s="234">
        <f>_xll.qlCalendarAdvance(Calendar,X3283,W3284,"f",FALSE)</f>
        <v>61864</v>
      </c>
      <c r="Y3284" s="237">
        <f>_xll.qlCalendarAdvance(Calendar,X3284,NDays&amp;"D")</f>
        <v>61864</v>
      </c>
      <c r="Z3284" s="238">
        <v>3.58882092838122E-2</v>
      </c>
      <c r="AA3284" s="240">
        <v>3.5171424846324184E-2</v>
      </c>
    </row>
    <row r="3285" spans="19:27" x14ac:dyDescent="0.2">
      <c r="S3285" s="199"/>
      <c r="T3285" s="200"/>
      <c r="W3285" s="233" t="str">
        <f t="shared" ref="W3285:W3348" si="58">W3284</f>
        <v>1w</v>
      </c>
      <c r="X3285" s="234">
        <f>_xll.qlCalendarAdvance(Calendar,X3284,W3285,"f",FALSE)</f>
        <v>61871</v>
      </c>
      <c r="Y3285" s="237">
        <f>_xll.qlCalendarAdvance(Calendar,X3285,NDays&amp;"D")</f>
        <v>61871</v>
      </c>
      <c r="Z3285" s="238">
        <v>3.5891644487100027E-2</v>
      </c>
      <c r="AA3285" s="240">
        <v>3.5175100212329058E-2</v>
      </c>
    </row>
    <row r="3286" spans="19:27" x14ac:dyDescent="0.2">
      <c r="S3286" s="199"/>
      <c r="T3286" s="200"/>
      <c r="W3286" s="233" t="str">
        <f t="shared" si="58"/>
        <v>1w</v>
      </c>
      <c r="X3286" s="234">
        <f>_xll.qlCalendarAdvance(Calendar,X3285,W3286,"f",FALSE)</f>
        <v>61878</v>
      </c>
      <c r="Y3286" s="237">
        <f>_xll.qlCalendarAdvance(Calendar,X3286,NDays&amp;"D")</f>
        <v>61878</v>
      </c>
      <c r="Z3286" s="238">
        <v>3.5895065405380899E-2</v>
      </c>
      <c r="AA3286" s="240">
        <v>3.5178761776071266E-2</v>
      </c>
    </row>
    <row r="3287" spans="19:27" x14ac:dyDescent="0.2">
      <c r="S3287" s="199"/>
      <c r="T3287" s="200"/>
      <c r="W3287" s="233" t="str">
        <f t="shared" si="58"/>
        <v>1w</v>
      </c>
      <c r="X3287" s="234">
        <f>_xll.qlCalendarAdvance(Calendar,X3286,W3287,"f",FALSE)</f>
        <v>61885</v>
      </c>
      <c r="Y3287" s="237">
        <f>_xll.qlCalendarAdvance(Calendar,X3287,NDays&amp;"D")</f>
        <v>61885</v>
      </c>
      <c r="Z3287" s="238">
        <v>3.5898472038513152E-2</v>
      </c>
      <c r="AA3287" s="240">
        <v>3.5182409537388715E-2</v>
      </c>
    </row>
    <row r="3288" spans="19:27" x14ac:dyDescent="0.2">
      <c r="S3288" s="199"/>
      <c r="T3288" s="200"/>
      <c r="W3288" s="233" t="str">
        <f t="shared" si="58"/>
        <v>1w</v>
      </c>
      <c r="X3288" s="234">
        <f>_xll.qlCalendarAdvance(Calendar,X3287,W3288,"f",FALSE)</f>
        <v>61892</v>
      </c>
      <c r="Y3288" s="237">
        <f>_xll.qlCalendarAdvance(Calendar,X3288,NDays&amp;"D")</f>
        <v>61892</v>
      </c>
      <c r="Z3288" s="238">
        <v>3.5901864386356008E-2</v>
      </c>
      <c r="AA3288" s="240">
        <v>3.5186043496524544E-2</v>
      </c>
    </row>
    <row r="3289" spans="19:27" x14ac:dyDescent="0.2">
      <c r="S3289" s="199"/>
      <c r="T3289" s="200"/>
      <c r="W3289" s="233" t="str">
        <f t="shared" si="58"/>
        <v>1w</v>
      </c>
      <c r="X3289" s="234">
        <f>_xll.qlCalendarAdvance(Calendar,X3288,W3289,"f",FALSE)</f>
        <v>61899</v>
      </c>
      <c r="Y3289" s="237">
        <f>_xll.qlCalendarAdvance(Calendar,X3289,NDays&amp;"D")</f>
        <v>61899</v>
      </c>
      <c r="Z3289" s="238">
        <v>3.5905242448769137E-2</v>
      </c>
      <c r="AA3289" s="240">
        <v>3.5189663653478753E-2</v>
      </c>
    </row>
    <row r="3290" spans="19:27" x14ac:dyDescent="0.2">
      <c r="S3290" s="199"/>
      <c r="T3290" s="200"/>
      <c r="W3290" s="233" t="str">
        <f t="shared" si="58"/>
        <v>1w</v>
      </c>
      <c r="X3290" s="234">
        <f>_xll.qlCalendarAdvance(Calendar,X3289,W3290,"f",FALSE)</f>
        <v>61906</v>
      </c>
      <c r="Y3290" s="237">
        <f>_xll.qlCalendarAdvance(Calendar,X3290,NDays&amp;"D")</f>
        <v>61906</v>
      </c>
      <c r="Z3290" s="238">
        <v>3.5908606225612871E-2</v>
      </c>
      <c r="AA3290" s="240">
        <v>3.5193270007846111E-2</v>
      </c>
    </row>
    <row r="3291" spans="19:27" x14ac:dyDescent="0.2">
      <c r="S3291" s="199"/>
      <c r="T3291" s="200"/>
      <c r="W3291" s="233" t="str">
        <f t="shared" si="58"/>
        <v>1w</v>
      </c>
      <c r="X3291" s="234">
        <f>_xll.qlCalendarAdvance(Calendar,X3290,W3291,"f",FALSE)</f>
        <v>61913</v>
      </c>
      <c r="Y3291" s="237">
        <f>_xll.qlCalendarAdvance(Calendar,X3291,NDays&amp;"D")</f>
        <v>61913</v>
      </c>
      <c r="Z3291" s="238">
        <v>3.5911955716747324E-2</v>
      </c>
      <c r="AA3291" s="240">
        <v>3.519686256003185E-2</v>
      </c>
    </row>
    <row r="3292" spans="19:27" x14ac:dyDescent="0.2">
      <c r="S3292" s="199"/>
      <c r="T3292" s="200"/>
      <c r="W3292" s="233" t="str">
        <f t="shared" si="58"/>
        <v>1w</v>
      </c>
      <c r="X3292" s="234">
        <f>_xll.qlCalendarAdvance(Calendar,X3291,W3292,"f",FALSE)</f>
        <v>61920</v>
      </c>
      <c r="Y3292" s="237">
        <f>_xll.qlCalendarAdvance(Calendar,X3292,NDays&amp;"D")</f>
        <v>61920</v>
      </c>
      <c r="Z3292" s="238">
        <v>3.5915290922034604E-2</v>
      </c>
      <c r="AA3292" s="240">
        <v>3.5200441310117014E-2</v>
      </c>
    </row>
    <row r="3293" spans="19:27" x14ac:dyDescent="0.2">
      <c r="S3293" s="199"/>
      <c r="T3293" s="200"/>
      <c r="W3293" s="233" t="str">
        <f t="shared" si="58"/>
        <v>1w</v>
      </c>
      <c r="X3293" s="234">
        <f>_xll.qlCalendarAdvance(Calendar,X3292,W3293,"f",FALSE)</f>
        <v>61927</v>
      </c>
      <c r="Y3293" s="237">
        <f>_xll.qlCalendarAdvance(Calendar,X3293,NDays&amp;"D")</f>
        <v>61927</v>
      </c>
      <c r="Z3293" s="238">
        <v>3.5918611841335935E-2</v>
      </c>
      <c r="AA3293" s="240">
        <v>3.5204006257696374E-2</v>
      </c>
    </row>
    <row r="3294" spans="19:27" x14ac:dyDescent="0.2">
      <c r="S3294" s="199"/>
      <c r="T3294" s="200"/>
      <c r="W3294" s="233" t="str">
        <f t="shared" si="58"/>
        <v>1w</v>
      </c>
      <c r="X3294" s="234">
        <f>_xll.qlCalendarAdvance(Calendar,X3293,W3294,"f",FALSE)</f>
        <v>61934</v>
      </c>
      <c r="Y3294" s="237">
        <f>_xll.qlCalendarAdvance(Calendar,X3294,NDays&amp;"D")</f>
        <v>61934</v>
      </c>
      <c r="Z3294" s="238">
        <v>3.5921918474514092E-2</v>
      </c>
      <c r="AA3294" s="240">
        <v>3.5207557402850975E-2</v>
      </c>
    </row>
    <row r="3295" spans="19:27" x14ac:dyDescent="0.2">
      <c r="S3295" s="199"/>
      <c r="T3295" s="200"/>
      <c r="W3295" s="233" t="str">
        <f t="shared" si="58"/>
        <v>1w</v>
      </c>
      <c r="X3295" s="234">
        <f>_xll.qlCalendarAdvance(Calendar,X3294,W3295,"f",FALSE)</f>
        <v>61941</v>
      </c>
      <c r="Y3295" s="237">
        <f>_xll.qlCalendarAdvance(Calendar,X3295,NDays&amp;"D")</f>
        <v>61941</v>
      </c>
      <c r="Z3295" s="238">
        <v>3.592521082143274E-2</v>
      </c>
      <c r="AA3295" s="240">
        <v>3.5211094745905003E-2</v>
      </c>
    </row>
    <row r="3296" spans="19:27" x14ac:dyDescent="0.2">
      <c r="S3296" s="199"/>
      <c r="T3296" s="200"/>
      <c r="W3296" s="233" t="str">
        <f t="shared" si="58"/>
        <v>1w</v>
      </c>
      <c r="X3296" s="234">
        <f>_xll.qlCalendarAdvance(Calendar,X3295,W3296,"f",FALSE)</f>
        <v>61948</v>
      </c>
      <c r="Y3296" s="237">
        <f>_xll.qlCalendarAdvance(Calendar,X3296,NDays&amp;"D")</f>
        <v>61948</v>
      </c>
      <c r="Z3296" s="238">
        <v>3.5928488881954879E-2</v>
      </c>
      <c r="AA3296" s="240">
        <v>3.5214618286615318E-2</v>
      </c>
    </row>
    <row r="3297" spans="19:27" x14ac:dyDescent="0.2">
      <c r="S3297" s="199"/>
      <c r="T3297" s="200"/>
      <c r="W3297" s="233" t="str">
        <f t="shared" si="58"/>
        <v>1w</v>
      </c>
      <c r="X3297" s="234">
        <f>_xll.qlCalendarAdvance(Calendar,X3296,W3297,"f",FALSE)</f>
        <v>61955</v>
      </c>
      <c r="Y3297" s="237">
        <f>_xll.qlCalendarAdvance(Calendar,X3297,NDays&amp;"D")</f>
        <v>61955</v>
      </c>
      <c r="Z3297" s="238">
        <v>3.5931752655945282E-2</v>
      </c>
      <c r="AA3297" s="240">
        <v>3.5218128024981921E-2</v>
      </c>
    </row>
    <row r="3298" spans="19:27" x14ac:dyDescent="0.2">
      <c r="S3298" s="199"/>
      <c r="T3298" s="200"/>
      <c r="W3298" s="233" t="str">
        <f t="shared" si="58"/>
        <v>1w</v>
      </c>
      <c r="X3298" s="234">
        <f>_xll.qlCalendarAdvance(Calendar,X3297,W3298,"f",FALSE)</f>
        <v>61962</v>
      </c>
      <c r="Y3298" s="237">
        <f>_xll.qlCalendarAdvance(Calendar,X3298,NDays&amp;"D")</f>
        <v>61962</v>
      </c>
      <c r="Z3298" s="238">
        <v>3.5935002143268502E-2</v>
      </c>
      <c r="AA3298" s="240">
        <v>3.5221623960923765E-2</v>
      </c>
    </row>
    <row r="3299" spans="19:27" x14ac:dyDescent="0.2">
      <c r="S3299" s="199"/>
      <c r="T3299" s="200"/>
      <c r="W3299" s="233" t="str">
        <f t="shared" si="58"/>
        <v>1w</v>
      </c>
      <c r="X3299" s="234">
        <f>_xll.qlCalendarAdvance(Calendar,X3298,W3299,"f",FALSE)</f>
        <v>61969</v>
      </c>
      <c r="Y3299" s="237">
        <f>_xll.qlCalendarAdvance(Calendar,X3299,NDays&amp;"D")</f>
        <v>61969</v>
      </c>
      <c r="Z3299" s="238">
        <v>3.5938237343790647E-2</v>
      </c>
      <c r="AA3299" s="240">
        <v>3.5225106094927128E-2</v>
      </c>
    </row>
    <row r="3300" spans="19:27" x14ac:dyDescent="0.2">
      <c r="S3300" s="199"/>
      <c r="T3300" s="200"/>
      <c r="W3300" s="233" t="str">
        <f t="shared" si="58"/>
        <v>1w</v>
      </c>
      <c r="X3300" s="234">
        <f>_xll.qlCalendarAdvance(Calendar,X3299,W3300,"f",FALSE)</f>
        <v>61976</v>
      </c>
      <c r="Y3300" s="237">
        <f>_xll.qlCalendarAdvance(Calendar,X3300,NDays&amp;"D")</f>
        <v>61976</v>
      </c>
      <c r="Z3300" s="238">
        <v>3.5941458257376935E-2</v>
      </c>
      <c r="AA3300" s="240">
        <v>3.522857442634364E-2</v>
      </c>
    </row>
    <row r="3301" spans="19:27" x14ac:dyDescent="0.2">
      <c r="S3301" s="199"/>
      <c r="T3301" s="200"/>
      <c r="W3301" s="233" t="str">
        <f t="shared" si="58"/>
        <v>1w</v>
      </c>
      <c r="X3301" s="234">
        <f>_xll.qlCalendarAdvance(Calendar,X3300,W3301,"f",FALSE)</f>
        <v>61983</v>
      </c>
      <c r="Y3301" s="237">
        <f>_xll.qlCalendarAdvance(Calendar,X3301,NDays&amp;"D")</f>
        <v>61983</v>
      </c>
      <c r="Z3301" s="238">
        <v>3.5944664883894362E-2</v>
      </c>
      <c r="AA3301" s="240">
        <v>3.5232028955335393E-2</v>
      </c>
    </row>
    <row r="3302" spans="19:27" x14ac:dyDescent="0.2">
      <c r="S3302" s="199"/>
      <c r="T3302" s="200"/>
      <c r="W3302" s="233" t="str">
        <f t="shared" si="58"/>
        <v>1w</v>
      </c>
      <c r="X3302" s="234">
        <f>_xll.qlCalendarAdvance(Calendar,X3301,W3302,"f",FALSE)</f>
        <v>61990</v>
      </c>
      <c r="Y3302" s="237">
        <f>_xll.qlCalendarAdvance(Calendar,X3302,NDays&amp;"D")</f>
        <v>61990</v>
      </c>
      <c r="Z3302" s="238">
        <v>3.5947857223210811E-2</v>
      </c>
      <c r="AA3302" s="240">
        <v>3.5235469682145526E-2</v>
      </c>
    </row>
    <row r="3303" spans="19:27" x14ac:dyDescent="0.2">
      <c r="S3303" s="199"/>
      <c r="T3303" s="200"/>
      <c r="W3303" s="233" t="str">
        <f t="shared" si="58"/>
        <v>1w</v>
      </c>
      <c r="X3303" s="234">
        <f>_xll.qlCalendarAdvance(Calendar,X3302,W3303,"f",FALSE)</f>
        <v>61997</v>
      </c>
      <c r="Y3303" s="237">
        <f>_xll.qlCalendarAdvance(Calendar,X3303,NDays&amp;"D")</f>
        <v>61997</v>
      </c>
      <c r="Z3303" s="238">
        <v>3.5951035275193277E-2</v>
      </c>
      <c r="AA3303" s="240">
        <v>3.5238896606774039E-2</v>
      </c>
    </row>
    <row r="3304" spans="19:27" x14ac:dyDescent="0.2">
      <c r="S3304" s="199"/>
      <c r="T3304" s="200"/>
      <c r="W3304" s="233" t="str">
        <f t="shared" si="58"/>
        <v>1w</v>
      </c>
      <c r="X3304" s="234">
        <f>_xll.qlCalendarAdvance(Calendar,X3303,W3304,"f",FALSE)</f>
        <v>62004</v>
      </c>
      <c r="Y3304" s="237">
        <f>_xll.qlCalendarAdvance(Calendar,X3304,NDays&amp;"D")</f>
        <v>62004</v>
      </c>
      <c r="Z3304" s="238">
        <v>3.5954199039710755E-2</v>
      </c>
      <c r="AA3304" s="240">
        <v>3.5242309728896748E-2</v>
      </c>
    </row>
    <row r="3305" spans="19:27" x14ac:dyDescent="0.2">
      <c r="S3305" s="199"/>
      <c r="T3305" s="200"/>
      <c r="W3305" s="233" t="str">
        <f t="shared" si="58"/>
        <v>1w</v>
      </c>
      <c r="X3305" s="234">
        <f>_xll.qlCalendarAdvance(Calendar,X3304,W3305,"f",FALSE)</f>
        <v>62011</v>
      </c>
      <c r="Y3305" s="237">
        <f>_xll.qlCalendarAdvance(Calendar,X3305,NDays&amp;"D")</f>
        <v>62011</v>
      </c>
      <c r="Z3305" s="238">
        <v>3.5957348516631793E-2</v>
      </c>
      <c r="AA3305" s="240">
        <v>3.524570904875679E-2</v>
      </c>
    </row>
    <row r="3306" spans="19:27" x14ac:dyDescent="0.2">
      <c r="S3306" s="199"/>
      <c r="T3306" s="200"/>
      <c r="W3306" s="233" t="str">
        <f t="shared" si="58"/>
        <v>1w</v>
      </c>
      <c r="X3306" s="234">
        <f>_xll.qlCalendarAdvance(Calendar,X3305,W3306,"f",FALSE)</f>
        <v>62018</v>
      </c>
      <c r="Y3306" s="237">
        <f>_xll.qlCalendarAdvance(Calendar,X3306,NDays&amp;"D")</f>
        <v>62018</v>
      </c>
      <c r="Z3306" s="238">
        <v>3.5960483705826718E-2</v>
      </c>
      <c r="AA3306" s="240">
        <v>3.5249094566516259E-2</v>
      </c>
    </row>
    <row r="3307" spans="19:27" x14ac:dyDescent="0.2">
      <c r="S3307" s="199"/>
      <c r="T3307" s="200"/>
      <c r="W3307" s="233" t="str">
        <f t="shared" si="58"/>
        <v>1w</v>
      </c>
      <c r="X3307" s="234">
        <f>_xll.qlCalendarAdvance(Calendar,X3306,W3307,"f",FALSE)</f>
        <v>62025</v>
      </c>
      <c r="Y3307" s="237">
        <f>_xll.qlCalendarAdvance(Calendar,X3307,NDays&amp;"D")</f>
        <v>62025</v>
      </c>
      <c r="Z3307" s="238">
        <v>3.5963604607164967E-2</v>
      </c>
      <c r="AA3307" s="240">
        <v>3.5252466281769923E-2</v>
      </c>
    </row>
    <row r="3308" spans="19:27" x14ac:dyDescent="0.2">
      <c r="S3308" s="199"/>
      <c r="T3308" s="200"/>
      <c r="W3308" s="233" t="str">
        <f t="shared" si="58"/>
        <v>1w</v>
      </c>
      <c r="X3308" s="234">
        <f>_xll.qlCalendarAdvance(Calendar,X3307,W3308,"f",FALSE)</f>
        <v>62032</v>
      </c>
      <c r="Y3308" s="237">
        <f>_xll.qlCalendarAdvance(Calendar,X3308,NDays&amp;"D")</f>
        <v>62032</v>
      </c>
      <c r="Z3308" s="238">
        <v>3.5966711220518421E-2</v>
      </c>
      <c r="AA3308" s="240">
        <v>3.5255824194679874E-2</v>
      </c>
    </row>
    <row r="3309" spans="19:27" x14ac:dyDescent="0.2">
      <c r="S3309" s="199"/>
      <c r="T3309" s="200"/>
      <c r="W3309" s="233" t="str">
        <f t="shared" si="58"/>
        <v>1w</v>
      </c>
      <c r="X3309" s="234">
        <f>_xll.qlCalendarAdvance(Calendar,X3308,W3309,"f",FALSE)</f>
        <v>62039</v>
      </c>
      <c r="Y3309" s="237">
        <f>_xll.qlCalendarAdvance(Calendar,X3309,NDays&amp;"D")</f>
        <v>62039</v>
      </c>
      <c r="Z3309" s="238">
        <v>3.5969803545757184E-2</v>
      </c>
      <c r="AA3309" s="240">
        <v>3.5259168305246114E-2</v>
      </c>
    </row>
    <row r="3310" spans="19:27" x14ac:dyDescent="0.2">
      <c r="S3310" s="199"/>
      <c r="T3310" s="200"/>
      <c r="W3310" s="233" t="str">
        <f t="shared" si="58"/>
        <v>1w</v>
      </c>
      <c r="X3310" s="234">
        <f>_xll.qlCalendarAdvance(Calendar,X3309,W3310,"f",FALSE)</f>
        <v>62046</v>
      </c>
      <c r="Y3310" s="237">
        <f>_xll.qlCalendarAdvance(Calendar,X3310,NDays&amp;"D")</f>
        <v>62046</v>
      </c>
      <c r="Z3310" s="238">
        <v>3.5972881582754024E-2</v>
      </c>
      <c r="AA3310" s="240">
        <v>3.5262498613549687E-2</v>
      </c>
    </row>
    <row r="3311" spans="19:27" x14ac:dyDescent="0.2">
      <c r="S3311" s="199"/>
      <c r="T3311" s="200"/>
      <c r="W3311" s="233" t="str">
        <f t="shared" si="58"/>
        <v>1w</v>
      </c>
      <c r="X3311" s="234">
        <f>_xll.qlCalendarAdvance(Calendar,X3310,W3311,"f",FALSE)</f>
        <v>62053</v>
      </c>
      <c r="Y3311" s="237">
        <f>_xll.qlCalendarAdvance(Calendar,X3311,NDays&amp;"D")</f>
        <v>62053</v>
      </c>
      <c r="Z3311" s="238">
        <v>3.5975945331381487E-2</v>
      </c>
      <c r="AA3311" s="240">
        <v>3.526581511967164E-2</v>
      </c>
    </row>
    <row r="3312" spans="19:27" x14ac:dyDescent="0.2">
      <c r="S3312" s="199"/>
      <c r="T3312" s="200"/>
      <c r="W3312" s="233" t="str">
        <f t="shared" si="58"/>
        <v>1w</v>
      </c>
      <c r="X3312" s="234">
        <f>_xll.qlCalendarAdvance(Calendar,X3311,W3312,"f",FALSE)</f>
        <v>62060</v>
      </c>
      <c r="Y3312" s="237">
        <f>_xll.qlCalendarAdvance(Calendar,X3312,NDays&amp;"D")</f>
        <v>62060</v>
      </c>
      <c r="Z3312" s="238">
        <v>3.5978994791512564E-2</v>
      </c>
      <c r="AA3312" s="240">
        <v>3.5269117823287788E-2</v>
      </c>
    </row>
    <row r="3313" spans="19:27" x14ac:dyDescent="0.2">
      <c r="S3313" s="199"/>
      <c r="T3313" s="200"/>
      <c r="W3313" s="233" t="str">
        <f t="shared" si="58"/>
        <v>1w</v>
      </c>
      <c r="X3313" s="234">
        <f>_xll.qlCalendarAdvance(Calendar,X3312,W3313,"f",FALSE)</f>
        <v>62067</v>
      </c>
      <c r="Y3313" s="237">
        <f>_xll.qlCalendarAdvance(Calendar,X3313,NDays&amp;"D")</f>
        <v>62067</v>
      </c>
      <c r="Z3313" s="238">
        <v>3.5982029963020912E-2</v>
      </c>
      <c r="AA3313" s="240">
        <v>3.5272406724722316E-2</v>
      </c>
    </row>
    <row r="3314" spans="19:27" x14ac:dyDescent="0.2">
      <c r="S3314" s="199"/>
      <c r="T3314" s="200"/>
      <c r="W3314" s="233" t="str">
        <f t="shared" si="58"/>
        <v>1w</v>
      </c>
      <c r="X3314" s="234">
        <f>_xll.qlCalendarAdvance(Calendar,X3313,W3314,"f",FALSE)</f>
        <v>62074</v>
      </c>
      <c r="Y3314" s="237">
        <f>_xll.qlCalendarAdvance(Calendar,X3314,NDays&amp;"D")</f>
        <v>62074</v>
      </c>
      <c r="Z3314" s="238">
        <v>3.5985050845781519E-2</v>
      </c>
      <c r="AA3314" s="240">
        <v>3.5275681823894178E-2</v>
      </c>
    </row>
    <row r="3315" spans="19:27" x14ac:dyDescent="0.2">
      <c r="S3315" s="199"/>
      <c r="T3315" s="200"/>
      <c r="W3315" s="233" t="str">
        <f t="shared" si="58"/>
        <v>1w</v>
      </c>
      <c r="X3315" s="234">
        <f>_xll.qlCalendarAdvance(Calendar,X3314,W3315,"f",FALSE)</f>
        <v>62081</v>
      </c>
      <c r="Y3315" s="237">
        <f>_xll.qlCalendarAdvance(Calendar,X3315,NDays&amp;"D")</f>
        <v>62081</v>
      </c>
      <c r="Z3315" s="238">
        <v>3.5988057439668708E-2</v>
      </c>
      <c r="AA3315" s="240">
        <v>3.5278943120641282E-2</v>
      </c>
    </row>
    <row r="3316" spans="19:27" x14ac:dyDescent="0.2">
      <c r="S3316" s="199"/>
      <c r="T3316" s="200"/>
      <c r="W3316" s="233" t="str">
        <f t="shared" si="58"/>
        <v>1w</v>
      </c>
      <c r="X3316" s="234">
        <f>_xll.qlCalendarAdvance(Calendar,X3315,W3316,"f",FALSE)</f>
        <v>62089</v>
      </c>
      <c r="Y3316" s="237">
        <f>_xll.qlCalendarAdvance(Calendar,X3316,NDays&amp;"D")</f>
        <v>62089</v>
      </c>
      <c r="Z3316" s="238">
        <v>3.5995391747138034E-2</v>
      </c>
      <c r="AA3316" s="240">
        <v>3.528652663164452E-2</v>
      </c>
    </row>
    <row r="3317" spans="19:27" x14ac:dyDescent="0.2">
      <c r="S3317" s="199"/>
      <c r="T3317" s="200"/>
      <c r="W3317" s="233" t="str">
        <f t="shared" si="58"/>
        <v>1w</v>
      </c>
      <c r="X3317" s="234">
        <f>_xll.qlCalendarAdvance(Calendar,X3316,W3317,"f",FALSE)</f>
        <v>62096</v>
      </c>
      <c r="Y3317" s="237">
        <f>_xll.qlCalendarAdvance(Calendar,X3317,NDays&amp;"D")</f>
        <v>62096</v>
      </c>
      <c r="Z3317" s="238">
        <v>3.5998366256503135E-2</v>
      </c>
      <c r="AA3317" s="240">
        <v>3.5289757004642874E-2</v>
      </c>
    </row>
    <row r="3318" spans="19:27" x14ac:dyDescent="0.2">
      <c r="S3318" s="199"/>
      <c r="T3318" s="200"/>
      <c r="W3318" s="233" t="str">
        <f t="shared" si="58"/>
        <v>1w</v>
      </c>
      <c r="X3318" s="234">
        <f>_xll.qlCalendarAdvance(Calendar,X3317,W3318,"f",FALSE)</f>
        <v>62103</v>
      </c>
      <c r="Y3318" s="237">
        <f>_xll.qlCalendarAdvance(Calendar,X3318,NDays&amp;"D")</f>
        <v>62103</v>
      </c>
      <c r="Z3318" s="238">
        <v>3.6001326473866967E-2</v>
      </c>
      <c r="AA3318" s="240">
        <v>3.5292973572866135E-2</v>
      </c>
    </row>
    <row r="3319" spans="19:27" x14ac:dyDescent="0.2">
      <c r="S3319" s="199"/>
      <c r="T3319" s="200"/>
      <c r="W3319" s="233" t="str">
        <f t="shared" si="58"/>
        <v>1w</v>
      </c>
      <c r="X3319" s="234">
        <f>_xll.qlCalendarAdvance(Calendar,X3318,W3319,"f",FALSE)</f>
        <v>62110</v>
      </c>
      <c r="Y3319" s="237">
        <f>_xll.qlCalendarAdvance(Calendar,X3319,NDays&amp;"D")</f>
        <v>62110</v>
      </c>
      <c r="Z3319" s="238">
        <v>3.6004272399104975E-2</v>
      </c>
      <c r="AA3319" s="240">
        <v>3.5296176336071149E-2</v>
      </c>
    </row>
    <row r="3320" spans="19:27" x14ac:dyDescent="0.2">
      <c r="S3320" s="199"/>
      <c r="T3320" s="200"/>
      <c r="W3320" s="233" t="str">
        <f t="shared" si="58"/>
        <v>1w</v>
      </c>
      <c r="X3320" s="234">
        <f>_xll.qlCalendarAdvance(Calendar,X3319,W3320,"f",FALSE)</f>
        <v>62117</v>
      </c>
      <c r="Y3320" s="237">
        <f>_xll.qlCalendarAdvance(Calendar,X3320,NDays&amp;"D")</f>
        <v>62117</v>
      </c>
      <c r="Z3320" s="238">
        <v>3.6007204032095709E-2</v>
      </c>
      <c r="AA3320" s="240">
        <v>3.5299365294365989E-2</v>
      </c>
    </row>
    <row r="3321" spans="19:27" x14ac:dyDescent="0.2">
      <c r="S3321" s="199"/>
      <c r="T3321" s="200"/>
      <c r="W3321" s="233" t="str">
        <f t="shared" si="58"/>
        <v>1w</v>
      </c>
      <c r="X3321" s="234">
        <f>_xll.qlCalendarAdvance(Calendar,X3320,W3321,"f",FALSE)</f>
        <v>62124</v>
      </c>
      <c r="Y3321" s="237">
        <f>_xll.qlCalendarAdvance(Calendar,X3321,NDays&amp;"D")</f>
        <v>62124</v>
      </c>
      <c r="Z3321" s="238">
        <v>3.6004258939249266E-2</v>
      </c>
      <c r="AA3321" s="240">
        <v>3.5302540447750649E-2</v>
      </c>
    </row>
    <row r="3322" spans="19:27" x14ac:dyDescent="0.2">
      <c r="S3322" s="199"/>
      <c r="T3322" s="200"/>
      <c r="W3322" s="233" t="str">
        <f t="shared" si="58"/>
        <v>1w</v>
      </c>
      <c r="X3322" s="234">
        <f>_xll.qlCalendarAdvance(Calendar,X3321,W3322,"f",FALSE)</f>
        <v>62131</v>
      </c>
      <c r="Y3322" s="237">
        <f>_xll.qlCalendarAdvance(Calendar,X3322,NDays&amp;"D")</f>
        <v>62131</v>
      </c>
      <c r="Z3322" s="238">
        <v>3.6013024420844197E-2</v>
      </c>
      <c r="AA3322" s="240">
        <v>3.5305701796198116E-2</v>
      </c>
    </row>
    <row r="3323" spans="19:27" x14ac:dyDescent="0.2">
      <c r="S3323" s="199"/>
      <c r="T3323" s="200"/>
      <c r="W3323" s="233" t="str">
        <f t="shared" si="58"/>
        <v>1w</v>
      </c>
      <c r="X3323" s="234">
        <f>_xll.qlCalendarAdvance(Calendar,X3322,W3323,"f",FALSE)</f>
        <v>62138</v>
      </c>
      <c r="Y3323" s="237">
        <f>_xll.qlCalendarAdvance(Calendar,X3323,NDays&amp;"D")</f>
        <v>62138</v>
      </c>
      <c r="Z3323" s="238">
        <v>3.6015913176361242E-2</v>
      </c>
      <c r="AA3323" s="240">
        <v>3.530884933968137E-2</v>
      </c>
    </row>
    <row r="3324" spans="19:27" x14ac:dyDescent="0.2">
      <c r="S3324" s="199"/>
      <c r="T3324" s="200"/>
      <c r="W3324" s="233" t="str">
        <f t="shared" si="58"/>
        <v>1w</v>
      </c>
      <c r="X3324" s="234">
        <f>_xll.qlCalendarAdvance(Calendar,X3323,W3324,"f",FALSE)</f>
        <v>62145</v>
      </c>
      <c r="Y3324" s="237">
        <f>_xll.qlCalendarAdvance(Calendar,X3324,NDays&amp;"D")</f>
        <v>62145</v>
      </c>
      <c r="Z3324" s="238">
        <v>3.6018787639144956E-2</v>
      </c>
      <c r="AA3324" s="240">
        <v>3.5311983078227437E-2</v>
      </c>
    </row>
    <row r="3325" spans="19:27" x14ac:dyDescent="0.2">
      <c r="S3325" s="199"/>
      <c r="T3325" s="200"/>
      <c r="W3325" s="233" t="str">
        <f t="shared" si="58"/>
        <v>1w</v>
      </c>
      <c r="X3325" s="234">
        <f>_xll.qlCalendarAdvance(Calendar,X3324,W3325,"f",FALSE)</f>
        <v>62152</v>
      </c>
      <c r="Y3325" s="237">
        <f>_xll.qlCalendarAdvance(Calendar,X3325,NDays&amp;"D")</f>
        <v>62152</v>
      </c>
      <c r="Z3325" s="238">
        <v>3.6015794272052711E-2</v>
      </c>
      <c r="AA3325" s="240">
        <v>3.5315103011863323E-2</v>
      </c>
    </row>
    <row r="3326" spans="19:27" x14ac:dyDescent="0.2">
      <c r="S3326" s="199"/>
      <c r="T3326" s="200"/>
      <c r="W3326" s="233" t="str">
        <f t="shared" si="58"/>
        <v>1w</v>
      </c>
      <c r="X3326" s="234">
        <f>_xll.qlCalendarAdvance(Calendar,X3325,W3326,"f",FALSE)</f>
        <v>62159</v>
      </c>
      <c r="Y3326" s="237">
        <f>_xll.qlCalendarAdvance(Calendar,X3326,NDays&amp;"D")</f>
        <v>62159</v>
      </c>
      <c r="Z3326" s="238">
        <v>3.6024493686037572E-2</v>
      </c>
      <c r="AA3326" s="240">
        <v>3.5318209140562017E-2</v>
      </c>
    </row>
    <row r="3327" spans="19:27" x14ac:dyDescent="0.2">
      <c r="S3327" s="199"/>
      <c r="T3327" s="200"/>
      <c r="W3327" s="233" t="str">
        <f t="shared" si="58"/>
        <v>1w</v>
      </c>
      <c r="X3327" s="234">
        <f>_xll.qlCalendarAdvance(Calendar,X3326,W3327,"f",FALSE)</f>
        <v>62166</v>
      </c>
      <c r="Y3327" s="237">
        <f>_xll.qlCalendarAdvance(Calendar,X3327,NDays&amp;"D")</f>
        <v>62166</v>
      </c>
      <c r="Z3327" s="238">
        <v>3.6027325269908858E-2</v>
      </c>
      <c r="AA3327" s="240">
        <v>3.5321301464323517E-2</v>
      </c>
    </row>
    <row r="3328" spans="19:27" x14ac:dyDescent="0.2">
      <c r="S3328" s="199"/>
      <c r="T3328" s="200"/>
      <c r="W3328" s="233" t="str">
        <f t="shared" si="58"/>
        <v>1w</v>
      </c>
      <c r="X3328" s="234">
        <f>_xll.qlCalendarAdvance(Calendar,X3327,W3328,"f",FALSE)</f>
        <v>62173</v>
      </c>
      <c r="Y3328" s="237">
        <f>_xll.qlCalendarAdvance(Calendar,X3328,NDays&amp;"D")</f>
        <v>62173</v>
      </c>
      <c r="Z3328" s="238">
        <v>3.6030142560572236E-2</v>
      </c>
      <c r="AA3328" s="240">
        <v>3.5324379983147823E-2</v>
      </c>
    </row>
    <row r="3329" spans="19:27" x14ac:dyDescent="0.2">
      <c r="S3329" s="199"/>
      <c r="T3329" s="200"/>
      <c r="W3329" s="233" t="str">
        <f t="shared" si="58"/>
        <v>1w</v>
      </c>
      <c r="X3329" s="234">
        <f>_xll.qlCalendarAdvance(Calendar,X3328,W3329,"f",FALSE)</f>
        <v>62184</v>
      </c>
      <c r="Y3329" s="237">
        <f>_xll.qlCalendarAdvance(Calendar,X3329,NDays&amp;"D")</f>
        <v>62184</v>
      </c>
      <c r="Z3329" s="238">
        <v>3.6030645273581241E-2</v>
      </c>
      <c r="AA3329" s="240">
        <v>3.5325335056132223E-2</v>
      </c>
    </row>
    <row r="3330" spans="19:27" x14ac:dyDescent="0.2">
      <c r="S3330" s="199"/>
      <c r="T3330" s="200"/>
      <c r="W3330" s="233" t="str">
        <f t="shared" si="58"/>
        <v>1w</v>
      </c>
      <c r="X3330" s="234">
        <f>_xll.qlCalendarAdvance(Calendar,X3329,W3330,"f",FALSE)</f>
        <v>62191</v>
      </c>
      <c r="Y3330" s="237">
        <f>_xll.qlCalendarAdvance(Calendar,X3330,NDays&amp;"D")</f>
        <v>62191</v>
      </c>
      <c r="Z3330" s="238">
        <v>3.6033427312068378E-2</v>
      </c>
      <c r="AA3330" s="240">
        <v>3.5328379459172998E-2</v>
      </c>
    </row>
    <row r="3331" spans="19:27" x14ac:dyDescent="0.2">
      <c r="S3331" s="199"/>
      <c r="T3331" s="200"/>
      <c r="W3331" s="233" t="str">
        <f t="shared" si="58"/>
        <v>1w</v>
      </c>
      <c r="X3331" s="234">
        <f>_xll.qlCalendarAdvance(Calendar,X3330,W3331,"f",FALSE)</f>
        <v>62198</v>
      </c>
      <c r="Y3331" s="237">
        <f>_xll.qlCalendarAdvance(Calendar,X3331,NDays&amp;"D")</f>
        <v>62198</v>
      </c>
      <c r="Z3331" s="238">
        <v>3.6036195059679699E-2</v>
      </c>
      <c r="AA3331" s="240">
        <v>3.53314100601132E-2</v>
      </c>
    </row>
    <row r="3332" spans="19:27" x14ac:dyDescent="0.2">
      <c r="S3332" s="199"/>
      <c r="T3332" s="200"/>
      <c r="W3332" s="233" t="str">
        <f t="shared" si="58"/>
        <v>1w</v>
      </c>
      <c r="X3332" s="234">
        <f>_xll.qlCalendarAdvance(Calendar,X3331,W3332,"f",FALSE)</f>
        <v>62205</v>
      </c>
      <c r="Y3332" s="237">
        <f>_xll.qlCalendarAdvance(Calendar,X3332,NDays&amp;"D")</f>
        <v>62205</v>
      </c>
      <c r="Z3332" s="238">
        <v>3.6038948516301073E-2</v>
      </c>
      <c r="AA3332" s="240">
        <v>3.5334426858709689E-2</v>
      </c>
    </row>
    <row r="3333" spans="19:27" x14ac:dyDescent="0.2">
      <c r="S3333" s="199"/>
      <c r="T3333" s="200"/>
      <c r="W3333" s="233" t="str">
        <f t="shared" si="58"/>
        <v>1w</v>
      </c>
      <c r="X3333" s="234">
        <f>_xll.qlCalendarAdvance(Calendar,X3332,W3333,"f",FALSE)</f>
        <v>62212</v>
      </c>
      <c r="Y3333" s="237">
        <f>_xll.qlCalendarAdvance(Calendar,X3333,NDays&amp;"D")</f>
        <v>62212</v>
      </c>
      <c r="Z3333" s="238">
        <v>3.6041687681817702E-2</v>
      </c>
      <c r="AA3333" s="240">
        <v>3.5337429854881419E-2</v>
      </c>
    </row>
    <row r="3334" spans="19:27" x14ac:dyDescent="0.2">
      <c r="S3334" s="199"/>
      <c r="T3334" s="200"/>
      <c r="W3334" s="233" t="str">
        <f t="shared" si="58"/>
        <v>1w</v>
      </c>
      <c r="X3334" s="234">
        <f>_xll.qlCalendarAdvance(Calendar,X3333,W3334,"f",FALSE)</f>
        <v>62219</v>
      </c>
      <c r="Y3334" s="237">
        <f>_xll.qlCalendarAdvance(Calendar,X3334,NDays&amp;"D")</f>
        <v>62219</v>
      </c>
      <c r="Z3334" s="238">
        <v>3.6044412556116789E-2</v>
      </c>
      <c r="AA3334" s="240">
        <v>3.5340419048790483E-2</v>
      </c>
    </row>
    <row r="3335" spans="19:27" x14ac:dyDescent="0.2">
      <c r="S3335" s="199"/>
      <c r="T3335" s="200"/>
      <c r="W3335" s="233" t="str">
        <f t="shared" si="58"/>
        <v>1w</v>
      </c>
      <c r="X3335" s="234">
        <f>_xll.qlCalendarAdvance(Calendar,X3334,W3335,"f",FALSE)</f>
        <v>62226</v>
      </c>
      <c r="Y3335" s="237">
        <f>_xll.qlCalendarAdvance(Calendar,X3335,NDays&amp;"D")</f>
        <v>62226</v>
      </c>
      <c r="Z3335" s="238">
        <v>3.6047123139085535E-2</v>
      </c>
      <c r="AA3335" s="240">
        <v>3.5343394440517928E-2</v>
      </c>
    </row>
    <row r="3336" spans="19:27" x14ac:dyDescent="0.2">
      <c r="S3336" s="199"/>
      <c r="T3336" s="200"/>
      <c r="W3336" s="233" t="str">
        <f t="shared" si="58"/>
        <v>1w</v>
      </c>
      <c r="X3336" s="234">
        <f>_xll.qlCalendarAdvance(Calendar,X3335,W3336,"f",FALSE)</f>
        <v>62233</v>
      </c>
      <c r="Y3336" s="237">
        <f>_xll.qlCalendarAdvance(Calendar,X3336,NDays&amp;"D")</f>
        <v>62233</v>
      </c>
      <c r="Z3336" s="238">
        <v>3.6049819430611363E-2</v>
      </c>
      <c r="AA3336" s="240">
        <v>3.5346356029739567E-2</v>
      </c>
    </row>
    <row r="3337" spans="19:27" x14ac:dyDescent="0.2">
      <c r="S3337" s="199"/>
      <c r="T3337" s="200"/>
      <c r="W3337" s="233" t="str">
        <f t="shared" si="58"/>
        <v>1w</v>
      </c>
      <c r="X3337" s="234">
        <f>_xll.qlCalendarAdvance(Calendar,X3336,W3337,"f",FALSE)</f>
        <v>62240</v>
      </c>
      <c r="Y3337" s="237">
        <f>_xll.qlCalendarAdvance(Calendar,X3337,NDays&amp;"D")</f>
        <v>62240</v>
      </c>
      <c r="Z3337" s="238">
        <v>3.6052501430583028E-2</v>
      </c>
      <c r="AA3337" s="240">
        <v>3.5349303816617494E-2</v>
      </c>
    </row>
    <row r="3338" spans="19:27" x14ac:dyDescent="0.2">
      <c r="S3338" s="199"/>
      <c r="T3338" s="200"/>
      <c r="W3338" s="233" t="str">
        <f t="shared" si="58"/>
        <v>1w</v>
      </c>
      <c r="X3338" s="234">
        <f>_xll.qlCalendarAdvance(Calendar,X3337,W3338,"f",FALSE)</f>
        <v>62247</v>
      </c>
      <c r="Y3338" s="237">
        <f>_xll.qlCalendarAdvance(Calendar,X3338,NDays&amp;"D")</f>
        <v>62247</v>
      </c>
      <c r="Z3338" s="238">
        <v>3.6055169138888843E-2</v>
      </c>
      <c r="AA3338" s="240">
        <v>3.5352237801313802E-2</v>
      </c>
    </row>
    <row r="3339" spans="19:27" x14ac:dyDescent="0.2">
      <c r="S3339" s="199"/>
      <c r="T3339" s="200"/>
      <c r="W3339" s="233" t="str">
        <f t="shared" si="58"/>
        <v>1w</v>
      </c>
      <c r="X3339" s="234">
        <f>_xll.qlCalendarAdvance(Calendar,X3338,W3339,"f",FALSE)</f>
        <v>62254</v>
      </c>
      <c r="Y3339" s="237">
        <f>_xll.qlCalendarAdvance(Calendar,X3339,NDays&amp;"D")</f>
        <v>62254</v>
      </c>
      <c r="Z3339" s="238">
        <v>3.6057822555418895E-2</v>
      </c>
      <c r="AA3339" s="240">
        <v>3.5355157983423258E-2</v>
      </c>
    </row>
    <row r="3340" spans="19:27" x14ac:dyDescent="0.2">
      <c r="S3340" s="199"/>
      <c r="T3340" s="200"/>
      <c r="W3340" s="233" t="str">
        <f t="shared" si="58"/>
        <v>1w</v>
      </c>
      <c r="X3340" s="234">
        <f>_xll.qlCalendarAdvance(Calendar,X3339,W3340,"f",FALSE)</f>
        <v>62261</v>
      </c>
      <c r="Y3340" s="237">
        <f>_xll.qlCalendarAdvance(Calendar,X3340,NDays&amp;"D")</f>
        <v>62261</v>
      </c>
      <c r="Z3340" s="238">
        <v>3.6060461680063938E-2</v>
      </c>
      <c r="AA3340" s="240">
        <v>3.5358064363513186E-2</v>
      </c>
    </row>
    <row r="3341" spans="19:27" x14ac:dyDescent="0.2">
      <c r="S3341" s="199"/>
      <c r="T3341" s="200"/>
      <c r="W3341" s="233" t="str">
        <f t="shared" si="58"/>
        <v>1w</v>
      </c>
      <c r="X3341" s="234">
        <f>_xll.qlCalendarAdvance(Calendar,X3340,W3341,"f",FALSE)</f>
        <v>62268</v>
      </c>
      <c r="Y3341" s="237">
        <f>_xll.qlCalendarAdvance(Calendar,X3341,NDays&amp;"D")</f>
        <v>62268</v>
      </c>
      <c r="Z3341" s="238">
        <v>3.6063086512713838E-2</v>
      </c>
      <c r="AA3341" s="240">
        <v>3.5360956941016264E-2</v>
      </c>
    </row>
    <row r="3342" spans="19:27" x14ac:dyDescent="0.2">
      <c r="S3342" s="199"/>
      <c r="T3342" s="200"/>
      <c r="W3342" s="233" t="str">
        <f t="shared" si="58"/>
        <v>1w</v>
      </c>
      <c r="X3342" s="234">
        <f>_xll.qlCalendarAdvance(Calendar,X3341,W3342,"f",FALSE)</f>
        <v>62275</v>
      </c>
      <c r="Y3342" s="237">
        <f>_xll.qlCalendarAdvance(Calendar,X3342,NDays&amp;"D")</f>
        <v>62275</v>
      </c>
      <c r="Z3342" s="238">
        <v>3.6065697053259793E-2</v>
      </c>
      <c r="AA3342" s="240">
        <v>3.5363835716499814E-2</v>
      </c>
    </row>
    <row r="3343" spans="19:27" x14ac:dyDescent="0.2">
      <c r="S3343" s="199"/>
      <c r="T3343" s="200"/>
      <c r="W3343" s="233" t="str">
        <f t="shared" si="58"/>
        <v>1w</v>
      </c>
      <c r="X3343" s="234">
        <f>_xll.qlCalendarAdvance(Calendar,X3342,W3343,"f",FALSE)</f>
        <v>62282</v>
      </c>
      <c r="Y3343" s="237">
        <f>_xll.qlCalendarAdvance(Calendar,X3343,NDays&amp;"D")</f>
        <v>62282</v>
      </c>
      <c r="Z3343" s="238">
        <v>3.6068293301594556E-2</v>
      </c>
      <c r="AA3343" s="240">
        <v>3.5366700689558606E-2</v>
      </c>
    </row>
    <row r="3344" spans="19:27" x14ac:dyDescent="0.2">
      <c r="S3344" s="199"/>
      <c r="T3344" s="200"/>
      <c r="W3344" s="233" t="str">
        <f t="shared" si="58"/>
        <v>1w</v>
      </c>
      <c r="X3344" s="234">
        <f>_xll.qlCalendarAdvance(Calendar,X3343,W3344,"f",FALSE)</f>
        <v>62289</v>
      </c>
      <c r="Y3344" s="237">
        <f>_xll.qlCalendarAdvance(Calendar,X3344,NDays&amp;"D")</f>
        <v>62289</v>
      </c>
      <c r="Z3344" s="238">
        <v>3.6070875257609991E-2</v>
      </c>
      <c r="AA3344" s="240">
        <v>3.5369551860030546E-2</v>
      </c>
    </row>
    <row r="3345" spans="19:27" x14ac:dyDescent="0.2">
      <c r="S3345" s="199"/>
      <c r="T3345" s="200"/>
      <c r="W3345" s="233" t="str">
        <f t="shared" si="58"/>
        <v>1w</v>
      </c>
      <c r="X3345" s="234">
        <f>_xll.qlCalendarAdvance(Calendar,X3344,W3345,"f",FALSE)</f>
        <v>62296</v>
      </c>
      <c r="Y3345" s="237">
        <f>_xll.qlCalendarAdvance(Calendar,X3345,NDays&amp;"D")</f>
        <v>62296</v>
      </c>
      <c r="Z3345" s="238">
        <v>3.6073442921199295E-2</v>
      </c>
      <c r="AA3345" s="240">
        <v>3.5372389228401913E-2</v>
      </c>
    </row>
    <row r="3346" spans="19:27" x14ac:dyDescent="0.2">
      <c r="S3346" s="199"/>
      <c r="T3346" s="200"/>
      <c r="W3346" s="233" t="str">
        <f t="shared" si="58"/>
        <v>1w</v>
      </c>
      <c r="X3346" s="234">
        <f>_xll.qlCalendarAdvance(Calendar,X3345,W3346,"f",FALSE)</f>
        <v>62303</v>
      </c>
      <c r="Y3346" s="237">
        <f>_xll.qlCalendarAdvance(Calendar,X3346,NDays&amp;"D")</f>
        <v>62303</v>
      </c>
      <c r="Z3346" s="238">
        <v>3.6075996292256773E-2</v>
      </c>
      <c r="AA3346" s="240">
        <v>3.5375212794510613E-2</v>
      </c>
    </row>
    <row r="3347" spans="19:27" x14ac:dyDescent="0.2">
      <c r="S3347" s="199"/>
      <c r="T3347" s="200"/>
      <c r="W3347" s="233" t="str">
        <f t="shared" si="58"/>
        <v>1w</v>
      </c>
      <c r="X3347" s="234">
        <f>_xll.qlCalendarAdvance(Calendar,X3346,W3347,"f",FALSE)</f>
        <v>62310</v>
      </c>
      <c r="Y3347" s="237">
        <f>_xll.qlCalendarAdvance(Calendar,X3347,NDays&amp;"D")</f>
        <v>62310</v>
      </c>
      <c r="Z3347" s="238">
        <v>3.6078535370676068E-2</v>
      </c>
      <c r="AA3347" s="240">
        <v>3.5378022558194555E-2</v>
      </c>
    </row>
    <row r="3348" spans="19:27" x14ac:dyDescent="0.2">
      <c r="S3348" s="199"/>
      <c r="T3348" s="200"/>
      <c r="W3348" s="233" t="str">
        <f t="shared" si="58"/>
        <v>1w</v>
      </c>
      <c r="X3348" s="234">
        <f>_xll.qlCalendarAdvance(Calendar,X3347,W3348,"f",FALSE)</f>
        <v>62317</v>
      </c>
      <c r="Y3348" s="237">
        <f>_xll.qlCalendarAdvance(Calendar,X3348,NDays&amp;"D")</f>
        <v>62317</v>
      </c>
      <c r="Z3348" s="238">
        <v>3.6081060156352374E-2</v>
      </c>
      <c r="AA3348" s="240">
        <v>3.5380818519534785E-2</v>
      </c>
    </row>
    <row r="3349" spans="19:27" x14ac:dyDescent="0.2">
      <c r="S3349" s="199"/>
      <c r="T3349" s="200"/>
      <c r="W3349" s="233" t="str">
        <f t="shared" ref="W3349:W3412" si="59">W3348</f>
        <v>1w</v>
      </c>
      <c r="X3349" s="234">
        <f>_xll.qlCalendarAdvance(Calendar,X3348,W3349,"f",FALSE)</f>
        <v>62324</v>
      </c>
      <c r="Y3349" s="237">
        <f>_xll.qlCalendarAdvance(Calendar,X3349,NDays&amp;"D")</f>
        <v>62324</v>
      </c>
      <c r="Z3349" s="238">
        <v>3.6083570649181107E-2</v>
      </c>
      <c r="AA3349" s="240">
        <v>3.5383600678693394E-2</v>
      </c>
    </row>
    <row r="3350" spans="19:27" x14ac:dyDescent="0.2">
      <c r="S3350" s="199"/>
      <c r="T3350" s="200"/>
      <c r="W3350" s="233" t="str">
        <f t="shared" si="59"/>
        <v>1w</v>
      </c>
      <c r="X3350" s="234">
        <f>_xll.qlCalendarAdvance(Calendar,X3349,W3350,"f",FALSE)</f>
        <v>62331</v>
      </c>
      <c r="Y3350" s="237">
        <f>_xll.qlCalendarAdvance(Calendar,X3350,NDays&amp;"D")</f>
        <v>62331</v>
      </c>
      <c r="Z3350" s="238">
        <v>3.6086066849057907E-2</v>
      </c>
      <c r="AA3350" s="240">
        <v>3.5386369035184106E-2</v>
      </c>
    </row>
    <row r="3351" spans="19:27" x14ac:dyDescent="0.2">
      <c r="S3351" s="199"/>
      <c r="T3351" s="200"/>
      <c r="W3351" s="233" t="str">
        <f t="shared" si="59"/>
        <v>1w</v>
      </c>
      <c r="X3351" s="234">
        <f>_xll.qlCalendarAdvance(Calendar,X3350,W3351,"f",FALSE)</f>
        <v>62338</v>
      </c>
      <c r="Y3351" s="237">
        <f>_xll.qlCalendarAdvance(Calendar,X3351,NDays&amp;"D")</f>
        <v>62338</v>
      </c>
      <c r="Z3351" s="238">
        <v>3.608854875588019E-2</v>
      </c>
      <c r="AA3351" s="240">
        <v>3.5389123589655291E-2</v>
      </c>
    </row>
    <row r="3352" spans="19:27" x14ac:dyDescent="0.2">
      <c r="S3352" s="199"/>
      <c r="T3352" s="200"/>
      <c r="W3352" s="233" t="str">
        <f t="shared" si="59"/>
        <v>1w</v>
      </c>
      <c r="X3352" s="234">
        <f>_xll.qlCalendarAdvance(Calendar,X3351,W3352,"f",FALSE)</f>
        <v>62345</v>
      </c>
      <c r="Y3352" s="237">
        <f>_xll.qlCalendarAdvance(Calendar,X3352,NDays&amp;"D")</f>
        <v>62345</v>
      </c>
      <c r="Z3352" s="238">
        <v>3.6091016369544926E-2</v>
      </c>
      <c r="AA3352" s="240">
        <v>3.5391864341701718E-2</v>
      </c>
    </row>
    <row r="3353" spans="19:27" x14ac:dyDescent="0.2">
      <c r="S3353" s="199"/>
      <c r="T3353" s="200"/>
      <c r="W3353" s="233" t="str">
        <f t="shared" si="59"/>
        <v>1w</v>
      </c>
      <c r="X3353" s="234">
        <f>_xll.qlCalendarAdvance(Calendar,X3352,W3353,"f",FALSE)</f>
        <v>62352</v>
      </c>
      <c r="Y3353" s="237">
        <f>_xll.qlCalendarAdvance(Calendar,X3353,NDays&amp;"D")</f>
        <v>62352</v>
      </c>
      <c r="Z3353" s="238">
        <v>3.6093469689949531E-2</v>
      </c>
      <c r="AA3353" s="240">
        <v>3.5394591291485478E-2</v>
      </c>
    </row>
    <row r="3354" spans="19:27" x14ac:dyDescent="0.2">
      <c r="S3354" s="199"/>
      <c r="T3354" s="200"/>
      <c r="W3354" s="233" t="str">
        <f t="shared" si="59"/>
        <v>1w</v>
      </c>
      <c r="X3354" s="234">
        <f>_xll.qlCalendarAdvance(Calendar,X3353,W3354,"f",FALSE)</f>
        <v>62359</v>
      </c>
      <c r="Y3354" s="237">
        <f>_xll.qlCalendarAdvance(Calendar,X3354,NDays&amp;"D")</f>
        <v>62359</v>
      </c>
      <c r="Z3354" s="238">
        <v>3.6095908716993197E-2</v>
      </c>
      <c r="AA3354" s="240">
        <v>3.5397304438925525E-2</v>
      </c>
    </row>
    <row r="3355" spans="19:27" x14ac:dyDescent="0.2">
      <c r="S3355" s="199"/>
      <c r="T3355" s="200"/>
      <c r="W3355" s="233" t="str">
        <f t="shared" si="59"/>
        <v>1w</v>
      </c>
      <c r="X3355" s="234">
        <f>_xll.qlCalendarAdvance(Calendar,X3354,W3355,"f",FALSE)</f>
        <v>62366</v>
      </c>
      <c r="Y3355" s="237">
        <f>_xll.qlCalendarAdvance(Calendar,X3355,NDays&amp;"D")</f>
        <v>62366</v>
      </c>
      <c r="Z3355" s="238">
        <v>3.6098333450574449E-2</v>
      </c>
      <c r="AA3355" s="240">
        <v>3.5400003783859768E-2</v>
      </c>
    </row>
    <row r="3356" spans="19:27" x14ac:dyDescent="0.2">
      <c r="S3356" s="199"/>
      <c r="T3356" s="200"/>
      <c r="W3356" s="233" t="str">
        <f t="shared" si="59"/>
        <v>1w</v>
      </c>
      <c r="X3356" s="234">
        <f>_xll.qlCalendarAdvance(Calendar,X3355,W3356,"f",FALSE)</f>
        <v>62373</v>
      </c>
      <c r="Y3356" s="237">
        <f>_xll.qlCalendarAdvance(Calendar,X3356,NDays&amp;"D")</f>
        <v>62373</v>
      </c>
      <c r="Z3356" s="238">
        <v>3.6100743890592923E-2</v>
      </c>
      <c r="AA3356" s="240">
        <v>3.5402689326612391E-2</v>
      </c>
    </row>
    <row r="3357" spans="19:27" x14ac:dyDescent="0.2">
      <c r="S3357" s="199"/>
      <c r="T3357" s="200"/>
      <c r="W3357" s="233" t="str">
        <f t="shared" si="59"/>
        <v>1w</v>
      </c>
      <c r="X3357" s="234">
        <f>_xll.qlCalendarAdvance(Calendar,X3356,W3357,"f",FALSE)</f>
        <v>62380</v>
      </c>
      <c r="Y3357" s="237">
        <f>_xll.qlCalendarAdvance(Calendar,X3357,NDays&amp;"D")</f>
        <v>62380</v>
      </c>
      <c r="Z3357" s="238">
        <v>3.61031400369487E-2</v>
      </c>
      <c r="AA3357" s="240">
        <v>3.5405361067102348E-2</v>
      </c>
    </row>
    <row r="3358" spans="19:27" x14ac:dyDescent="0.2">
      <c r="S3358" s="199"/>
      <c r="T3358" s="200"/>
      <c r="W3358" s="233" t="str">
        <f t="shared" si="59"/>
        <v>1w</v>
      </c>
      <c r="X3358" s="234">
        <f>_xll.qlCalendarAdvance(Calendar,X3357,W3358,"f",FALSE)</f>
        <v>62387</v>
      </c>
      <c r="Y3358" s="237">
        <f>_xll.qlCalendarAdvance(Calendar,X3358,NDays&amp;"D")</f>
        <v>62387</v>
      </c>
      <c r="Z3358" s="238">
        <v>3.6105521889543191E-2</v>
      </c>
      <c r="AA3358" s="240">
        <v>3.5408019005248592E-2</v>
      </c>
    </row>
    <row r="3359" spans="19:27" x14ac:dyDescent="0.2">
      <c r="S3359" s="199"/>
      <c r="T3359" s="200"/>
      <c r="W3359" s="233" t="str">
        <f t="shared" si="59"/>
        <v>1w</v>
      </c>
      <c r="X3359" s="234">
        <f>_xll.qlCalendarAdvance(Calendar,X3358,W3359,"f",FALSE)</f>
        <v>62394</v>
      </c>
      <c r="Y3359" s="237">
        <f>_xll.qlCalendarAdvance(Calendar,X3359,NDays&amp;"D")</f>
        <v>62394</v>
      </c>
      <c r="Z3359" s="238">
        <v>3.6107889448277142E-2</v>
      </c>
      <c r="AA3359" s="240">
        <v>3.5410663140807985E-2</v>
      </c>
    </row>
    <row r="3360" spans="19:27" x14ac:dyDescent="0.2">
      <c r="S3360" s="199"/>
      <c r="T3360" s="200"/>
      <c r="W3360" s="233" t="str">
        <f t="shared" si="59"/>
        <v>1w</v>
      </c>
      <c r="X3360" s="234">
        <f>_xll.qlCalendarAdvance(Calendar,X3359,W3360,"f",FALSE)</f>
        <v>62401</v>
      </c>
      <c r="Y3360" s="237">
        <f>_xll.qlCalendarAdvance(Calendar,X3360,NDays&amp;"D")</f>
        <v>62401</v>
      </c>
      <c r="Z3360" s="238">
        <v>3.6110242713053298E-2</v>
      </c>
      <c r="AA3360" s="240">
        <v>3.5413293474266805E-2</v>
      </c>
    </row>
    <row r="3361" spans="19:27" x14ac:dyDescent="0.2">
      <c r="S3361" s="199"/>
      <c r="T3361" s="200"/>
      <c r="W3361" s="233" t="str">
        <f t="shared" si="59"/>
        <v>1w</v>
      </c>
      <c r="X3361" s="234">
        <f>_xll.qlCalendarAdvance(Calendar,X3360,W3361,"f",FALSE)</f>
        <v>62408</v>
      </c>
      <c r="Y3361" s="237">
        <f>_xll.qlCalendarAdvance(Calendar,X3361,NDays&amp;"D")</f>
        <v>62408</v>
      </c>
      <c r="Z3361" s="238">
        <v>3.6112581683773515E-2</v>
      </c>
      <c r="AA3361" s="240">
        <v>3.5415910005544005E-2</v>
      </c>
    </row>
    <row r="3362" spans="19:27" x14ac:dyDescent="0.2">
      <c r="S3362" s="199"/>
      <c r="T3362" s="200"/>
      <c r="W3362" s="233" t="str">
        <f t="shared" si="59"/>
        <v>1w</v>
      </c>
      <c r="X3362" s="234">
        <f>_xll.qlCalendarAdvance(Calendar,X3361,W3362,"f",FALSE)</f>
        <v>62415</v>
      </c>
      <c r="Y3362" s="237">
        <f>_xll.qlCalendarAdvance(Calendar,X3362,NDays&amp;"D")</f>
        <v>62415</v>
      </c>
      <c r="Z3362" s="238">
        <v>3.6114906360341203E-2</v>
      </c>
      <c r="AA3362" s="240">
        <v>3.5418512734072261E-2</v>
      </c>
    </row>
    <row r="3363" spans="19:27" x14ac:dyDescent="0.2">
      <c r="S3363" s="199"/>
      <c r="T3363" s="200"/>
      <c r="W3363" s="233" t="str">
        <f t="shared" si="59"/>
        <v>1w</v>
      </c>
      <c r="X3363" s="234">
        <f>_xll.qlCalendarAdvance(Calendar,X3362,W3363,"f",FALSE)</f>
        <v>62422</v>
      </c>
      <c r="Y3363" s="237">
        <f>_xll.qlCalendarAdvance(Calendar,X3363,NDays&amp;"D")</f>
        <v>62422</v>
      </c>
      <c r="Z3363" s="238">
        <v>3.6117216742660219E-2</v>
      </c>
      <c r="AA3363" s="240">
        <v>3.5421101660662035E-2</v>
      </c>
    </row>
    <row r="3364" spans="19:27" x14ac:dyDescent="0.2">
      <c r="S3364" s="199"/>
      <c r="T3364" s="200"/>
      <c r="W3364" s="233" t="str">
        <f t="shared" si="59"/>
        <v>1w</v>
      </c>
      <c r="X3364" s="234">
        <f>_xll.qlCalendarAdvance(Calendar,X3363,W3364,"f",FALSE)</f>
        <v>62429</v>
      </c>
      <c r="Y3364" s="237">
        <f>_xll.qlCalendarAdvance(Calendar,X3364,NDays&amp;"D")</f>
        <v>62429</v>
      </c>
      <c r="Z3364" s="238">
        <v>3.6119512830634415E-2</v>
      </c>
      <c r="AA3364" s="240">
        <v>3.5423676784746005E-2</v>
      </c>
    </row>
    <row r="3365" spans="19:27" x14ac:dyDescent="0.2">
      <c r="S3365" s="199"/>
      <c r="T3365" s="200"/>
      <c r="W3365" s="233" t="str">
        <f t="shared" si="59"/>
        <v>1w</v>
      </c>
      <c r="X3365" s="234">
        <f>_xll.qlCalendarAdvance(Calendar,X3364,W3365,"f",FALSE)</f>
        <v>62436</v>
      </c>
      <c r="Y3365" s="237">
        <f>_xll.qlCalendarAdvance(Calendar,X3365,NDays&amp;"D")</f>
        <v>62436</v>
      </c>
      <c r="Z3365" s="238">
        <v>3.6121794624169423E-2</v>
      </c>
      <c r="AA3365" s="240">
        <v>3.5426238106567309E-2</v>
      </c>
    </row>
    <row r="3366" spans="19:27" x14ac:dyDescent="0.2">
      <c r="S3366" s="199"/>
      <c r="T3366" s="200"/>
      <c r="W3366" s="233" t="str">
        <f t="shared" si="59"/>
        <v>1w</v>
      </c>
      <c r="X3366" s="234">
        <f>_xll.qlCalendarAdvance(Calendar,X3365,W3366,"f",FALSE)</f>
        <v>62443</v>
      </c>
      <c r="Y3366" s="237">
        <f>_xll.qlCalendarAdvance(Calendar,X3366,NDays&amp;"D")</f>
        <v>62443</v>
      </c>
      <c r="Z3366" s="238">
        <v>3.6124062123170653E-2</v>
      </c>
      <c r="AA3366" s="240">
        <v>3.5428785625882808E-2</v>
      </c>
    </row>
    <row r="3367" spans="19:27" x14ac:dyDescent="0.2">
      <c r="S3367" s="199"/>
      <c r="T3367" s="200"/>
      <c r="W3367" s="233" t="str">
        <f t="shared" si="59"/>
        <v>1w</v>
      </c>
      <c r="X3367" s="234">
        <f>_xll.qlCalendarAdvance(Calendar,X3366,W3367,"f",FALSE)</f>
        <v>62450</v>
      </c>
      <c r="Y3367" s="237">
        <f>_xll.qlCalendarAdvance(Calendar,X3367,NDays&amp;"D")</f>
        <v>62450</v>
      </c>
      <c r="Z3367" s="238">
        <v>3.6126315327544178E-2</v>
      </c>
      <c r="AA3367" s="240">
        <v>3.543131934317878E-2</v>
      </c>
    </row>
    <row r="3368" spans="19:27" x14ac:dyDescent="0.2">
      <c r="S3368" s="199"/>
      <c r="T3368" s="200"/>
      <c r="W3368" s="233" t="str">
        <f t="shared" si="59"/>
        <v>1w</v>
      </c>
      <c r="X3368" s="234">
        <f>_xll.qlCalendarAdvance(Calendar,X3367,W3368,"f",FALSE)</f>
        <v>62457</v>
      </c>
      <c r="Y3368" s="237">
        <f>_xll.qlCalendarAdvance(Calendar,X3368,NDays&amp;"D")</f>
        <v>62457</v>
      </c>
      <c r="Z3368" s="238">
        <v>3.6128554237196298E-2</v>
      </c>
      <c r="AA3368" s="240">
        <v>3.54338392578879E-2</v>
      </c>
    </row>
    <row r="3369" spans="19:27" x14ac:dyDescent="0.2">
      <c r="S3369" s="199"/>
      <c r="T3369" s="200"/>
      <c r="W3369" s="233" t="str">
        <f t="shared" si="59"/>
        <v>1w</v>
      </c>
      <c r="X3369" s="234">
        <f>_xll.qlCalendarAdvance(Calendar,X3368,W3369,"f",FALSE)</f>
        <v>62464</v>
      </c>
      <c r="Y3369" s="237">
        <f>_xll.qlCalendarAdvance(Calendar,X3369,NDays&amp;"D")</f>
        <v>62464</v>
      </c>
      <c r="Z3369" s="238">
        <v>3.6130778852034862E-2</v>
      </c>
      <c r="AA3369" s="240">
        <v>3.5436345370253308E-2</v>
      </c>
    </row>
    <row r="3370" spans="19:27" x14ac:dyDescent="0.2">
      <c r="S3370" s="199"/>
      <c r="T3370" s="200"/>
      <c r="W3370" s="233" t="str">
        <f t="shared" si="59"/>
        <v>1w</v>
      </c>
      <c r="X3370" s="234">
        <f>_xll.qlCalendarAdvance(Calendar,X3369,W3370,"f",FALSE)</f>
        <v>62471</v>
      </c>
      <c r="Y3370" s="237">
        <f>_xll.qlCalendarAdvance(Calendar,X3370,NDays&amp;"D")</f>
        <v>62471</v>
      </c>
      <c r="Z3370" s="238">
        <v>3.61329891719675E-2</v>
      </c>
      <c r="AA3370" s="240">
        <v>3.5438837680275004E-2</v>
      </c>
    </row>
    <row r="3371" spans="19:27" x14ac:dyDescent="0.2">
      <c r="S3371" s="199"/>
      <c r="T3371" s="200"/>
      <c r="W3371" s="233" t="str">
        <f t="shared" si="59"/>
        <v>1w</v>
      </c>
      <c r="X3371" s="234">
        <f>_xll.qlCalendarAdvance(Calendar,X3370,W3371,"f",FALSE)</f>
        <v>62478</v>
      </c>
      <c r="Y3371" s="237">
        <f>_xll.qlCalendarAdvance(Calendar,X3371,NDays&amp;"D")</f>
        <v>62478</v>
      </c>
      <c r="Z3371" s="238">
        <v>3.613518519690273E-2</v>
      </c>
      <c r="AA3371" s="240">
        <v>3.5441316188196126E-2</v>
      </c>
    </row>
    <row r="3372" spans="19:27" x14ac:dyDescent="0.2">
      <c r="S3372" s="199"/>
      <c r="T3372" s="200"/>
      <c r="W3372" s="233" t="str">
        <f t="shared" si="59"/>
        <v>1w</v>
      </c>
      <c r="X3372" s="234">
        <f>_xll.qlCalendarAdvance(Calendar,X3371,W3372,"f",FALSE)</f>
        <v>62485</v>
      </c>
      <c r="Y3372" s="237">
        <f>_xll.qlCalendarAdvance(Calendar,X3372,NDays&amp;"D")</f>
        <v>62485</v>
      </c>
      <c r="Z3372" s="238">
        <v>3.6137366926749959E-2</v>
      </c>
      <c r="AA3372" s="240">
        <v>3.5443780893692489E-2</v>
      </c>
    </row>
    <row r="3373" spans="19:27" x14ac:dyDescent="0.2">
      <c r="S3373" s="199"/>
      <c r="T3373" s="200"/>
      <c r="W3373" s="233" t="str">
        <f t="shared" si="59"/>
        <v>1w</v>
      </c>
      <c r="X3373" s="234">
        <f>_xll.qlCalendarAdvance(Calendar,X3372,W3373,"f",FALSE)</f>
        <v>62492</v>
      </c>
      <c r="Y3373" s="237">
        <f>_xll.qlCalendarAdvance(Calendar,X3373,NDays&amp;"D")</f>
        <v>62492</v>
      </c>
      <c r="Z3373" s="238">
        <v>3.6139534361418368E-2</v>
      </c>
      <c r="AA3373" s="240">
        <v>3.5446231796683048E-2</v>
      </c>
    </row>
    <row r="3374" spans="19:27" x14ac:dyDescent="0.2">
      <c r="S3374" s="199"/>
      <c r="T3374" s="200"/>
      <c r="W3374" s="233" t="str">
        <f t="shared" si="59"/>
        <v>1w</v>
      </c>
      <c r="X3374" s="234">
        <f>_xll.qlCalendarAdvance(Calendar,X3373,W3374,"f",FALSE)</f>
        <v>62499</v>
      </c>
      <c r="Y3374" s="237">
        <f>_xll.qlCalendarAdvance(Calendar,X3374,NDays&amp;"D")</f>
        <v>62499</v>
      </c>
      <c r="Z3374" s="238">
        <v>3.6141687500818698E-2</v>
      </c>
      <c r="AA3374" s="240">
        <v>3.5448668897491986E-2</v>
      </c>
    </row>
    <row r="3375" spans="19:27" x14ac:dyDescent="0.2">
      <c r="S3375" s="199"/>
      <c r="T3375" s="200"/>
      <c r="W3375" s="233" t="str">
        <f t="shared" si="59"/>
        <v>1w</v>
      </c>
      <c r="X3375" s="234">
        <f>_xll.qlCalendarAdvance(Calendar,X3374,W3375,"f",FALSE)</f>
        <v>62506</v>
      </c>
      <c r="Y3375" s="237">
        <f>_xll.qlCalendarAdvance(Calendar,X3375,NDays&amp;"D")</f>
        <v>62506</v>
      </c>
      <c r="Z3375" s="238">
        <v>3.6143826344861019E-2</v>
      </c>
      <c r="AA3375" s="240">
        <v>3.5451092195957212E-2</v>
      </c>
    </row>
    <row r="3376" spans="19:27" x14ac:dyDescent="0.2">
      <c r="S3376" s="199"/>
      <c r="T3376" s="200"/>
      <c r="W3376" s="233" t="str">
        <f t="shared" si="59"/>
        <v>1w</v>
      </c>
      <c r="X3376" s="234">
        <f>_xll.qlCalendarAdvance(Calendar,X3375,W3376,"f",FALSE)</f>
        <v>62513</v>
      </c>
      <c r="Y3376" s="237">
        <f>_xll.qlCalendarAdvance(Calendar,X3376,NDays&amp;"D")</f>
        <v>62513</v>
      </c>
      <c r="Z3376" s="238">
        <v>3.6145950893457846E-2</v>
      </c>
      <c r="AA3376" s="240">
        <v>3.545350169199768E-2</v>
      </c>
    </row>
    <row r="3377" spans="19:27" x14ac:dyDescent="0.2">
      <c r="S3377" s="199"/>
      <c r="T3377" s="200"/>
      <c r="W3377" s="233" t="str">
        <f t="shared" si="59"/>
        <v>1w</v>
      </c>
      <c r="X3377" s="234">
        <f>_xll.qlCalendarAdvance(Calendar,X3376,W3377,"f",FALSE)</f>
        <v>62520</v>
      </c>
      <c r="Y3377" s="237">
        <f>_xll.qlCalendarAdvance(Calendar,X3377,NDays&amp;"D")</f>
        <v>62520</v>
      </c>
      <c r="Z3377" s="238">
        <v>3.6149971303643121E-2</v>
      </c>
      <c r="AA3377" s="240">
        <v>3.5455897385694435E-2</v>
      </c>
    </row>
    <row r="3378" spans="19:27" x14ac:dyDescent="0.2">
      <c r="S3378" s="199"/>
      <c r="T3378" s="200"/>
      <c r="W3378" s="233" t="str">
        <f t="shared" si="59"/>
        <v>1w</v>
      </c>
      <c r="X3378" s="234">
        <f>_xll.qlCalendarAdvance(Calendar,X3377,W3378,"f",FALSE)</f>
        <v>62527</v>
      </c>
      <c r="Y3378" s="237">
        <f>_xll.qlCalendarAdvance(Calendar,X3378,NDays&amp;"D")</f>
        <v>62527</v>
      </c>
      <c r="Z3378" s="238">
        <v>3.6152066443776047E-2</v>
      </c>
      <c r="AA3378" s="240">
        <v>3.545827927720957E-2</v>
      </c>
    </row>
    <row r="3379" spans="19:27" x14ac:dyDescent="0.2">
      <c r="S3379" s="199"/>
      <c r="T3379" s="200"/>
      <c r="W3379" s="233" t="str">
        <f t="shared" si="59"/>
        <v>1w</v>
      </c>
      <c r="X3379" s="234">
        <f>_xll.qlCalendarAdvance(Calendar,X3378,W3379,"f",FALSE)</f>
        <v>62534</v>
      </c>
      <c r="Y3379" s="237">
        <f>_xll.qlCalendarAdvance(Calendar,X3379,NDays&amp;"D")</f>
        <v>62534</v>
      </c>
      <c r="Z3379" s="238">
        <v>3.6154147286814702E-2</v>
      </c>
      <c r="AA3379" s="240">
        <v>3.5460647366299947E-2</v>
      </c>
    </row>
    <row r="3380" spans="19:27" x14ac:dyDescent="0.2">
      <c r="S3380" s="199"/>
      <c r="T3380" s="200"/>
      <c r="W3380" s="233" t="str">
        <f t="shared" si="59"/>
        <v>1w</v>
      </c>
      <c r="X3380" s="234">
        <f>_xll.qlCalendarAdvance(Calendar,X3379,W3380,"f",FALSE)</f>
        <v>62541</v>
      </c>
      <c r="Y3380" s="237">
        <f>_xll.qlCalendarAdvance(Calendar,X3380,NDays&amp;"D")</f>
        <v>62541</v>
      </c>
      <c r="Z3380" s="238">
        <v>3.6156213832673603E-2</v>
      </c>
      <c r="AA3380" s="240">
        <v>3.5463001652965565E-2</v>
      </c>
    </row>
    <row r="3381" spans="19:27" x14ac:dyDescent="0.2">
      <c r="S3381" s="199"/>
      <c r="T3381" s="200"/>
      <c r="W3381" s="233" t="str">
        <f t="shared" si="59"/>
        <v>1w</v>
      </c>
      <c r="X3381" s="234">
        <f>_xll.qlCalendarAdvance(Calendar,X3380,W3381,"f",FALSE)</f>
        <v>62548</v>
      </c>
      <c r="Y3381" s="237">
        <f>_xll.qlCalendarAdvance(Calendar,X3381,NDays&amp;"D")</f>
        <v>62548</v>
      </c>
      <c r="Z3381" s="238">
        <v>3.6158266081267057E-2</v>
      </c>
      <c r="AA3381" s="240">
        <v>3.5465342137449563E-2</v>
      </c>
    </row>
    <row r="3382" spans="19:27" x14ac:dyDescent="0.2">
      <c r="S3382" s="199"/>
      <c r="T3382" s="200"/>
      <c r="W3382" s="233" t="str">
        <f t="shared" si="59"/>
        <v>1w</v>
      </c>
      <c r="X3382" s="234">
        <f>_xll.qlCalendarAdvance(Calendar,X3381,W3382,"f",FALSE)</f>
        <v>62555</v>
      </c>
      <c r="Y3382" s="237">
        <f>_xll.qlCalendarAdvance(Calendar,X3382,NDays&amp;"D")</f>
        <v>62555</v>
      </c>
      <c r="Z3382" s="238">
        <v>3.6160304032509812E-2</v>
      </c>
      <c r="AA3382" s="240">
        <v>3.5467668819670894E-2</v>
      </c>
    </row>
    <row r="3383" spans="19:27" x14ac:dyDescent="0.2">
      <c r="S3383" s="199"/>
      <c r="T3383" s="200"/>
      <c r="W3383" s="233" t="str">
        <f t="shared" si="59"/>
        <v>1w</v>
      </c>
      <c r="X3383" s="234">
        <f>_xll.qlCalendarAdvance(Calendar,X3382,W3383,"f",FALSE)</f>
        <v>62562</v>
      </c>
      <c r="Y3383" s="237">
        <f>_xll.qlCalendarAdvance(Calendar,X3383,NDays&amp;"D")</f>
        <v>62562</v>
      </c>
      <c r="Z3383" s="238">
        <v>3.6162327686316609E-2</v>
      </c>
      <c r="AA3383" s="240">
        <v>3.5469981699305375E-2</v>
      </c>
    </row>
    <row r="3384" spans="19:27" x14ac:dyDescent="0.2">
      <c r="S3384" s="199"/>
      <c r="T3384" s="200"/>
      <c r="W3384" s="233" t="str">
        <f t="shared" si="59"/>
        <v>1w</v>
      </c>
      <c r="X3384" s="234">
        <f>_xll.qlCalendarAdvance(Calendar,X3383,W3384,"f",FALSE)</f>
        <v>62569</v>
      </c>
      <c r="Y3384" s="237">
        <f>_xll.qlCalendarAdvance(Calendar,X3384,NDays&amp;"D")</f>
        <v>62569</v>
      </c>
      <c r="Z3384" s="238">
        <v>3.6164337042603745E-2</v>
      </c>
      <c r="AA3384" s="240">
        <v>3.547228077667719E-2</v>
      </c>
    </row>
    <row r="3385" spans="19:27" x14ac:dyDescent="0.2">
      <c r="S3385" s="199"/>
      <c r="T3385" s="200"/>
      <c r="W3385" s="233" t="str">
        <f t="shared" si="59"/>
        <v>1w</v>
      </c>
      <c r="X3385" s="234">
        <f>_xll.qlCalendarAdvance(Calendar,X3384,W3385,"f",FALSE)</f>
        <v>62576</v>
      </c>
      <c r="Y3385" s="237">
        <f>_xll.qlCalendarAdvance(Calendar,X3385,NDays&amp;"D")</f>
        <v>62576</v>
      </c>
      <c r="Z3385" s="238">
        <v>3.6166332101288626E-2</v>
      </c>
      <c r="AA3385" s="240">
        <v>3.5474566051786338E-2</v>
      </c>
    </row>
    <row r="3386" spans="19:27" x14ac:dyDescent="0.2">
      <c r="S3386" s="199"/>
      <c r="T3386" s="200"/>
      <c r="W3386" s="233" t="str">
        <f t="shared" si="59"/>
        <v>1w</v>
      </c>
      <c r="X3386" s="234">
        <f>_xll.qlCalendarAdvance(Calendar,X3385,W3386,"f",FALSE)</f>
        <v>62583</v>
      </c>
      <c r="Y3386" s="237">
        <f>_xll.qlCalendarAdvance(Calendar,X3386,NDays&amp;"D")</f>
        <v>62583</v>
      </c>
      <c r="Z3386" s="238">
        <v>3.6168312862287333E-2</v>
      </c>
      <c r="AA3386" s="240">
        <v>3.547683752463282E-2</v>
      </c>
    </row>
    <row r="3387" spans="19:27" x14ac:dyDescent="0.2">
      <c r="S3387" s="199"/>
      <c r="T3387" s="200"/>
      <c r="W3387" s="233" t="str">
        <f t="shared" si="59"/>
        <v>1w</v>
      </c>
      <c r="X3387" s="234">
        <f>_xll.qlCalendarAdvance(Calendar,X3386,W3387,"f",FALSE)</f>
        <v>62590</v>
      </c>
      <c r="Y3387" s="237">
        <f>_xll.qlCalendarAdvance(Calendar,X3387,NDays&amp;"D")</f>
        <v>62590</v>
      </c>
      <c r="Z3387" s="238">
        <v>3.6170279325517925E-2</v>
      </c>
      <c r="AA3387" s="240">
        <v>3.5479095194973498E-2</v>
      </c>
    </row>
    <row r="3388" spans="19:27" x14ac:dyDescent="0.2">
      <c r="S3388" s="199"/>
      <c r="T3388" s="200"/>
      <c r="W3388" s="233" t="str">
        <f t="shared" si="59"/>
        <v>1w</v>
      </c>
      <c r="X3388" s="234">
        <f>_xll.qlCalendarAdvance(Calendar,X3387,W3388,"f",FALSE)</f>
        <v>62597</v>
      </c>
      <c r="Y3388" s="237">
        <f>_xll.qlCalendarAdvance(Calendar,X3388,NDays&amp;"D")</f>
        <v>62597</v>
      </c>
      <c r="Z3388" s="238">
        <v>3.6172231490898911E-2</v>
      </c>
      <c r="AA3388" s="240">
        <v>3.5481339062970463E-2</v>
      </c>
    </row>
    <row r="3389" spans="19:27" x14ac:dyDescent="0.2">
      <c r="S3389" s="199"/>
      <c r="T3389" s="200"/>
      <c r="W3389" s="233" t="str">
        <f t="shared" si="59"/>
        <v>1w</v>
      </c>
      <c r="X3389" s="234">
        <f>_xll.qlCalendarAdvance(Calendar,X3388,W3389,"f",FALSE)</f>
        <v>62604</v>
      </c>
      <c r="Y3389" s="237">
        <f>_xll.qlCalendarAdvance(Calendar,X3389,NDays&amp;"D")</f>
        <v>62604</v>
      </c>
      <c r="Z3389" s="238">
        <v>3.6174169358349474E-2</v>
      </c>
      <c r="AA3389" s="240">
        <v>3.5483569128785808E-2</v>
      </c>
    </row>
    <row r="3390" spans="19:27" x14ac:dyDescent="0.2">
      <c r="S3390" s="199"/>
      <c r="T3390" s="200"/>
      <c r="W3390" s="233" t="str">
        <f t="shared" si="59"/>
        <v>1w</v>
      </c>
      <c r="X3390" s="234">
        <f>_xll.qlCalendarAdvance(Calendar,X3389,W3390,"f",FALSE)</f>
        <v>62611</v>
      </c>
      <c r="Y3390" s="237">
        <f>_xll.qlCalendarAdvance(Calendar,X3390,NDays&amp;"D")</f>
        <v>62611</v>
      </c>
      <c r="Z3390" s="238">
        <v>3.6176092927788346E-2</v>
      </c>
      <c r="AA3390" s="240">
        <v>3.5485785392095348E-2</v>
      </c>
    </row>
    <row r="3391" spans="19:27" x14ac:dyDescent="0.2">
      <c r="S3391" s="199"/>
      <c r="T3391" s="200"/>
      <c r="W3391" s="233" t="str">
        <f t="shared" si="59"/>
        <v>1w</v>
      </c>
      <c r="X3391" s="234">
        <f>_xll.qlCalendarAdvance(Calendar,X3390,W3391,"f",FALSE)</f>
        <v>62618</v>
      </c>
      <c r="Y3391" s="237">
        <f>_xll.qlCalendarAdvance(Calendar,X3391,NDays&amp;"D")</f>
        <v>62618</v>
      </c>
      <c r="Z3391" s="238">
        <v>3.6178002199136465E-2</v>
      </c>
      <c r="AA3391" s="240">
        <v>3.5487987853061176E-2</v>
      </c>
    </row>
    <row r="3392" spans="19:27" x14ac:dyDescent="0.2">
      <c r="S3392" s="199"/>
      <c r="T3392" s="200"/>
      <c r="W3392" s="233" t="str">
        <f t="shared" si="59"/>
        <v>1w</v>
      </c>
      <c r="X3392" s="234">
        <f>_xll.qlCalendarAdvance(Calendar,X3391,W3392,"f",FALSE)</f>
        <v>62625</v>
      </c>
      <c r="Y3392" s="237">
        <f>_xll.qlCalendarAdvance(Calendar,X3392,NDays&amp;"D")</f>
        <v>62625</v>
      </c>
      <c r="Z3392" s="238">
        <v>3.6179897172314568E-2</v>
      </c>
      <c r="AA3392" s="240">
        <v>3.5490176511764338E-2</v>
      </c>
    </row>
    <row r="3393" spans="19:27" x14ac:dyDescent="0.2">
      <c r="S3393" s="199"/>
      <c r="T3393" s="200"/>
      <c r="W3393" s="233" t="str">
        <f t="shared" si="59"/>
        <v>1w</v>
      </c>
      <c r="X3393" s="234">
        <f>_xll.qlCalendarAdvance(Calendar,X3392,W3393,"f",FALSE)</f>
        <v>62632</v>
      </c>
      <c r="Y3393" s="237">
        <f>_xll.qlCalendarAdvance(Calendar,X3393,NDays&amp;"D")</f>
        <v>62632</v>
      </c>
      <c r="Z3393" s="238">
        <v>3.6181777847244259E-2</v>
      </c>
      <c r="AA3393" s="240">
        <v>3.5492351368285879E-2</v>
      </c>
    </row>
    <row r="3394" spans="19:27" x14ac:dyDescent="0.2">
      <c r="S3394" s="199"/>
      <c r="T3394" s="200"/>
      <c r="W3394" s="233" t="str">
        <f t="shared" si="59"/>
        <v>1w</v>
      </c>
      <c r="X3394" s="234">
        <f>_xll.qlCalendarAdvance(Calendar,X3393,W3394,"f",FALSE)</f>
        <v>62639</v>
      </c>
      <c r="Y3394" s="237">
        <f>_xll.qlCalendarAdvance(Calendar,X3394,NDays&amp;"D")</f>
        <v>62639</v>
      </c>
      <c r="Z3394" s="238">
        <v>3.6183644223846484E-2</v>
      </c>
      <c r="AA3394" s="240">
        <v>3.5494512422301616E-2</v>
      </c>
    </row>
    <row r="3395" spans="19:27" x14ac:dyDescent="0.2">
      <c r="S3395" s="199"/>
      <c r="T3395" s="200"/>
      <c r="W3395" s="233" t="str">
        <f t="shared" si="59"/>
        <v>1w</v>
      </c>
      <c r="X3395" s="234">
        <f>_xll.qlCalendarAdvance(Calendar,X3394,W3395,"f",FALSE)</f>
        <v>62646</v>
      </c>
      <c r="Y3395" s="237">
        <f>_xll.qlCalendarAdvance(Calendar,X3395,NDays&amp;"D")</f>
        <v>62646</v>
      </c>
      <c r="Z3395" s="238">
        <v>3.6185496302043742E-2</v>
      </c>
      <c r="AA3395" s="240">
        <v>3.5496659673892594E-2</v>
      </c>
    </row>
    <row r="3396" spans="19:27" x14ac:dyDescent="0.2">
      <c r="S3396" s="199"/>
      <c r="T3396" s="200"/>
      <c r="W3396" s="233" t="str">
        <f t="shared" si="59"/>
        <v>1w</v>
      </c>
      <c r="X3396" s="234">
        <f>_xll.qlCalendarAdvance(Calendar,X3395,W3396,"f",FALSE)</f>
        <v>62653</v>
      </c>
      <c r="Y3396" s="237">
        <f>_xll.qlCalendarAdvance(Calendar,X3396,NDays&amp;"D")</f>
        <v>62653</v>
      </c>
      <c r="Z3396" s="238">
        <v>3.6187334081760524E-2</v>
      </c>
      <c r="AA3396" s="240">
        <v>3.5498793123301953E-2</v>
      </c>
    </row>
    <row r="3397" spans="19:27" x14ac:dyDescent="0.2">
      <c r="S3397" s="199"/>
      <c r="T3397" s="200"/>
      <c r="W3397" s="233" t="str">
        <f t="shared" si="59"/>
        <v>1w</v>
      </c>
      <c r="X3397" s="234">
        <f>_xll.qlCalendarAdvance(Calendar,X3396,W3397,"f",FALSE)</f>
        <v>62660</v>
      </c>
      <c r="Y3397" s="237">
        <f>_xll.qlCalendarAdvance(Calendar,X3397,NDays&amp;"D")</f>
        <v>62660</v>
      </c>
      <c r="Z3397" s="238">
        <v>3.6189157562919544E-2</v>
      </c>
      <c r="AA3397" s="240">
        <v>3.5500912770367599E-2</v>
      </c>
    </row>
    <row r="3398" spans="19:27" x14ac:dyDescent="0.2">
      <c r="S3398" s="199"/>
      <c r="T3398" s="200"/>
      <c r="W3398" s="233" t="str">
        <f t="shared" si="59"/>
        <v>1w</v>
      </c>
      <c r="X3398" s="234">
        <f>_xll.qlCalendarAdvance(Calendar,X3397,W3398,"f",FALSE)</f>
        <v>62667</v>
      </c>
      <c r="Y3398" s="237">
        <f>_xll.qlCalendarAdvance(Calendar,X3398,NDays&amp;"D")</f>
        <v>62667</v>
      </c>
      <c r="Z3398" s="238">
        <v>3.619096674544485E-2</v>
      </c>
      <c r="AA3398" s="240">
        <v>3.5503018615089532E-2</v>
      </c>
    </row>
    <row r="3399" spans="19:27" x14ac:dyDescent="0.2">
      <c r="S3399" s="199"/>
      <c r="T3399" s="200"/>
      <c r="W3399" s="233" t="str">
        <f t="shared" si="59"/>
        <v>1w</v>
      </c>
      <c r="X3399" s="234">
        <f>_xll.qlCalendarAdvance(Calendar,X3398,W3399,"f",FALSE)</f>
        <v>62674</v>
      </c>
      <c r="Y3399" s="237">
        <f>_xll.qlCalendarAdvance(Calendar,X3399,NDays&amp;"D")</f>
        <v>62674</v>
      </c>
      <c r="Z3399" s="238">
        <v>3.6192761629261598E-2</v>
      </c>
      <c r="AA3399" s="240">
        <v>3.5505110657224614E-2</v>
      </c>
    </row>
    <row r="3400" spans="19:27" x14ac:dyDescent="0.2">
      <c r="S3400" s="199"/>
      <c r="T3400" s="200"/>
      <c r="W3400" s="233" t="str">
        <f t="shared" si="59"/>
        <v>1w</v>
      </c>
      <c r="X3400" s="234">
        <f>_xll.qlCalendarAdvance(Calendar,X3399,W3400,"f",FALSE)</f>
        <v>62681</v>
      </c>
      <c r="Y3400" s="237">
        <f>_xll.qlCalendarAdvance(Calendar,X3400,NDays&amp;"D")</f>
        <v>62681</v>
      </c>
      <c r="Z3400" s="238">
        <v>3.6194542214296042E-2</v>
      </c>
      <c r="AA3400" s="240">
        <v>3.5507188897340169E-2</v>
      </c>
    </row>
    <row r="3401" spans="19:27" x14ac:dyDescent="0.2">
      <c r="S3401" s="199"/>
      <c r="T3401" s="200"/>
      <c r="W3401" s="233" t="str">
        <f t="shared" si="59"/>
        <v>1w</v>
      </c>
      <c r="X3401" s="234">
        <f>_xll.qlCalendarAdvance(Calendar,X3400,W3401,"f",FALSE)</f>
        <v>62688</v>
      </c>
      <c r="Y3401" s="237">
        <f>_xll.qlCalendarAdvance(Calendar,X3401,NDays&amp;"D")</f>
        <v>62688</v>
      </c>
      <c r="Z3401" s="238">
        <v>3.6196308500473354E-2</v>
      </c>
      <c r="AA3401" s="240">
        <v>3.5509253335112012E-2</v>
      </c>
    </row>
    <row r="3402" spans="19:27" x14ac:dyDescent="0.2">
      <c r="S3402" s="199"/>
      <c r="T3402" s="200"/>
      <c r="W3402" s="233" t="str">
        <f t="shared" si="59"/>
        <v>1w</v>
      </c>
      <c r="X3402" s="234">
        <f>_xll.qlCalendarAdvance(Calendar,X3401,W3402,"f",FALSE)</f>
        <v>62695</v>
      </c>
      <c r="Y3402" s="237">
        <f>_xll.qlCalendarAdvance(Calendar,X3402,NDays&amp;"D")</f>
        <v>62695</v>
      </c>
      <c r="Z3402" s="238">
        <v>3.6198060487720216E-2</v>
      </c>
      <c r="AA3402" s="240">
        <v>3.5511303970215957E-2</v>
      </c>
    </row>
    <row r="3403" spans="19:27" x14ac:dyDescent="0.2">
      <c r="S3403" s="199"/>
      <c r="T3403" s="200"/>
      <c r="W3403" s="233" t="str">
        <f t="shared" si="59"/>
        <v>1w</v>
      </c>
      <c r="X3403" s="234">
        <f>_xll.qlCalendarAdvance(Calendar,X3402,W3403,"f",FALSE)</f>
        <v>62702</v>
      </c>
      <c r="Y3403" s="237">
        <f>_xll.qlCalendarAdvance(Calendar,X3403,NDays&amp;"D")</f>
        <v>62702</v>
      </c>
      <c r="Z3403" s="238">
        <v>3.6199798175964457E-2</v>
      </c>
      <c r="AA3403" s="240">
        <v>3.5513340803219329E-2</v>
      </c>
    </row>
    <row r="3404" spans="19:27" x14ac:dyDescent="0.2">
      <c r="S3404" s="199"/>
      <c r="T3404" s="200"/>
      <c r="W3404" s="233" t="str">
        <f t="shared" si="59"/>
        <v>1w</v>
      </c>
      <c r="X3404" s="234">
        <f>_xll.qlCalendarAdvance(Calendar,X3403,W3404,"f",FALSE)</f>
        <v>62709</v>
      </c>
      <c r="Y3404" s="237">
        <f>_xll.qlCalendarAdvance(Calendar,X3404,NDays&amp;"D")</f>
        <v>62709</v>
      </c>
      <c r="Z3404" s="238">
        <v>3.62015215651341E-2</v>
      </c>
      <c r="AA3404" s="240">
        <v>3.5515363833960034E-2</v>
      </c>
    </row>
    <row r="3405" spans="19:27" x14ac:dyDescent="0.2">
      <c r="S3405" s="199"/>
      <c r="T3405" s="200"/>
      <c r="W3405" s="233" t="str">
        <f t="shared" si="59"/>
        <v>1w</v>
      </c>
      <c r="X3405" s="234">
        <f>_xll.qlCalendarAdvance(Calendar,X3404,W3405,"f",FALSE)</f>
        <v>62716</v>
      </c>
      <c r="Y3405" s="237">
        <f>_xll.qlCalendarAdvance(Calendar,X3405,NDays&amp;"D")</f>
        <v>62716</v>
      </c>
      <c r="Z3405" s="238">
        <v>3.620323065515673E-2</v>
      </c>
      <c r="AA3405" s="240">
        <v>3.5517373062275981E-2</v>
      </c>
    </row>
    <row r="3406" spans="19:27" x14ac:dyDescent="0.2">
      <c r="S3406" s="199"/>
      <c r="T3406" s="200"/>
      <c r="W3406" s="233" t="str">
        <f t="shared" si="59"/>
        <v>1w</v>
      </c>
      <c r="X3406" s="234">
        <f>_xll.qlCalendarAdvance(Calendar,X3405,W3406,"f",FALSE)</f>
        <v>62723</v>
      </c>
      <c r="Y3406" s="237">
        <f>_xll.qlCalendarAdvance(Calendar,X3406,NDays&amp;"D")</f>
        <v>62723</v>
      </c>
      <c r="Z3406" s="238">
        <v>3.6204925445961503E-2</v>
      </c>
      <c r="AA3406" s="240">
        <v>3.5519368488086123E-2</v>
      </c>
    </row>
    <row r="3407" spans="19:27" x14ac:dyDescent="0.2">
      <c r="S3407" s="199"/>
      <c r="T3407" s="200"/>
      <c r="W3407" s="233" t="str">
        <f t="shared" si="59"/>
        <v>1w</v>
      </c>
      <c r="X3407" s="234">
        <f>_xll.qlCalendarAdvance(Calendar,X3406,W3407,"f",FALSE)</f>
        <v>62730</v>
      </c>
      <c r="Y3407" s="237">
        <f>_xll.qlCalendarAdvance(Calendar,X3407,NDays&amp;"D")</f>
        <v>62730</v>
      </c>
      <c r="Z3407" s="238">
        <v>3.6206605937478431E-2</v>
      </c>
      <c r="AA3407" s="240">
        <v>3.5521350111714645E-2</v>
      </c>
    </row>
    <row r="3408" spans="19:27" x14ac:dyDescent="0.2">
      <c r="S3408" s="199"/>
      <c r="T3408" s="200"/>
      <c r="W3408" s="233" t="str">
        <f t="shared" si="59"/>
        <v>1w</v>
      </c>
      <c r="X3408" s="234">
        <f>_xll.qlCalendarAdvance(Calendar,X3407,W3408,"f",FALSE)</f>
        <v>62737</v>
      </c>
      <c r="Y3408" s="237">
        <f>_xll.qlCalendarAdvance(Calendar,X3408,NDays&amp;"D")</f>
        <v>62737</v>
      </c>
      <c r="Z3408" s="238">
        <v>3.6208272129637988E-2</v>
      </c>
      <c r="AA3408" s="240">
        <v>3.5523317932999454E-2</v>
      </c>
    </row>
    <row r="3409" spans="19:27" x14ac:dyDescent="0.2">
      <c r="S3409" s="199"/>
      <c r="T3409" s="200"/>
      <c r="W3409" s="233" t="str">
        <f t="shared" si="59"/>
        <v>1w</v>
      </c>
      <c r="X3409" s="234">
        <f>_xll.qlCalendarAdvance(Calendar,X3408,W3409,"f",FALSE)</f>
        <v>62744</v>
      </c>
      <c r="Y3409" s="237">
        <f>_xll.qlCalendarAdvance(Calendar,X3409,NDays&amp;"D")</f>
        <v>62744</v>
      </c>
      <c r="Z3409" s="238">
        <v>3.6209924022370422E-2</v>
      </c>
      <c r="AA3409" s="240">
        <v>3.5525271951778459E-2</v>
      </c>
    </row>
    <row r="3410" spans="19:27" x14ac:dyDescent="0.2">
      <c r="S3410" s="199"/>
      <c r="T3410" s="200"/>
      <c r="W3410" s="233" t="str">
        <f t="shared" si="59"/>
        <v>1w</v>
      </c>
      <c r="X3410" s="234">
        <f>_xll.qlCalendarAdvance(Calendar,X3409,W3410,"f",FALSE)</f>
        <v>62751</v>
      </c>
      <c r="Y3410" s="237">
        <f>_xll.qlCalendarAdvance(Calendar,X3410,NDays&amp;"D")</f>
        <v>62751</v>
      </c>
      <c r="Z3410" s="238">
        <v>3.6211561615607304E-2</v>
      </c>
      <c r="AA3410" s="240">
        <v>3.5527212168294797E-2</v>
      </c>
    </row>
    <row r="3411" spans="19:27" x14ac:dyDescent="0.2">
      <c r="S3411" s="199"/>
      <c r="T3411" s="200"/>
      <c r="W3411" s="233" t="str">
        <f t="shared" si="59"/>
        <v>1w</v>
      </c>
      <c r="X3411" s="234">
        <f>_xll.qlCalendarAdvance(Calendar,X3410,W3411,"f",FALSE)</f>
        <v>62758</v>
      </c>
      <c r="Y3411" s="237">
        <f>_xll.qlCalendarAdvance(Calendar,X3411,NDays&amp;"D")</f>
        <v>62758</v>
      </c>
      <c r="Z3411" s="238">
        <v>3.6213184909281756E-2</v>
      </c>
      <c r="AA3411" s="240">
        <v>3.5529138582629516E-2</v>
      </c>
    </row>
    <row r="3412" spans="19:27" x14ac:dyDescent="0.2">
      <c r="S3412" s="199"/>
      <c r="T3412" s="200"/>
      <c r="W3412" s="233" t="str">
        <f t="shared" si="59"/>
        <v>1w</v>
      </c>
      <c r="X3412" s="234">
        <f>_xll.qlCalendarAdvance(Calendar,X3411,W3412,"f",FALSE)</f>
        <v>62765</v>
      </c>
      <c r="Y3412" s="237">
        <f>_xll.qlCalendarAdvance(Calendar,X3412,NDays&amp;"D")</f>
        <v>62765</v>
      </c>
      <c r="Z3412" s="238">
        <v>3.6214793903324487E-2</v>
      </c>
      <c r="AA3412" s="240">
        <v>3.553105119445843E-2</v>
      </c>
    </row>
    <row r="3413" spans="19:27" x14ac:dyDescent="0.2">
      <c r="S3413" s="199"/>
      <c r="T3413" s="200"/>
      <c r="W3413" s="233" t="str">
        <f t="shared" ref="W3413:W3476" si="60">W3412</f>
        <v>1w</v>
      </c>
      <c r="X3413" s="234">
        <f>_xll.qlCalendarAdvance(Calendar,X3412,W3413,"f",FALSE)</f>
        <v>62772</v>
      </c>
      <c r="Y3413" s="237">
        <f>_xll.qlCalendarAdvance(Calendar,X3413,NDays&amp;"D")</f>
        <v>62772</v>
      </c>
      <c r="Z3413" s="238">
        <v>3.6216388597669708E-2</v>
      </c>
      <c r="AA3413" s="240">
        <v>3.5532950003943631E-2</v>
      </c>
    </row>
    <row r="3414" spans="19:27" x14ac:dyDescent="0.2">
      <c r="S3414" s="199"/>
      <c r="T3414" s="200"/>
      <c r="W3414" s="233" t="str">
        <f t="shared" si="60"/>
        <v>1w</v>
      </c>
      <c r="X3414" s="234">
        <f>_xll.qlCalendarAdvance(Calendar,X3413,W3414,"f",FALSE)</f>
        <v>62779</v>
      </c>
      <c r="Y3414" s="237">
        <f>_xll.qlCalendarAdvance(Calendar,X3414,NDays&amp;"D")</f>
        <v>62779</v>
      </c>
      <c r="Z3414" s="238">
        <v>3.6217968992251888E-2</v>
      </c>
      <c r="AA3414" s="240">
        <v>3.5534835011328259E-2</v>
      </c>
    </row>
    <row r="3415" spans="19:27" x14ac:dyDescent="0.2">
      <c r="S3415" s="199"/>
      <c r="T3415" s="200"/>
      <c r="W3415" s="233" t="str">
        <f t="shared" si="60"/>
        <v>1w</v>
      </c>
      <c r="X3415" s="234">
        <f>_xll.qlCalendarAdvance(Calendar,X3414,W3415,"f",FALSE)</f>
        <v>62786</v>
      </c>
      <c r="Y3415" s="237">
        <f>_xll.qlCalendarAdvance(Calendar,X3415,NDays&amp;"D")</f>
        <v>62786</v>
      </c>
      <c r="Z3415" s="238">
        <v>3.62195350870037E-2</v>
      </c>
      <c r="AA3415" s="240">
        <v>3.5536706216044989E-2</v>
      </c>
    </row>
    <row r="3416" spans="19:27" x14ac:dyDescent="0.2">
      <c r="S3416" s="199"/>
      <c r="T3416" s="200"/>
      <c r="W3416" s="233" t="str">
        <f t="shared" si="60"/>
        <v>1w</v>
      </c>
      <c r="X3416" s="234">
        <f>_xll.qlCalendarAdvance(Calendar,X3415,W3416,"f",FALSE)</f>
        <v>62793</v>
      </c>
      <c r="Y3416" s="237">
        <f>_xll.qlCalendarAdvance(Calendar,X3416,NDays&amp;"D")</f>
        <v>62793</v>
      </c>
      <c r="Z3416" s="238">
        <v>3.6221086881862041E-2</v>
      </c>
      <c r="AA3416" s="240">
        <v>3.5538563618580099E-2</v>
      </c>
    </row>
    <row r="3417" spans="19:27" x14ac:dyDescent="0.2">
      <c r="S3417" s="199"/>
      <c r="T3417" s="200"/>
      <c r="W3417" s="233" t="str">
        <f t="shared" si="60"/>
        <v>1w</v>
      </c>
      <c r="X3417" s="234">
        <f>_xll.qlCalendarAdvance(Calendar,X3416,W3417,"f",FALSE)</f>
        <v>62800</v>
      </c>
      <c r="Y3417" s="237">
        <f>_xll.qlCalendarAdvance(Calendar,X3417,NDays&amp;"D")</f>
        <v>62800</v>
      </c>
      <c r="Z3417" s="238">
        <v>3.6222624376760701E-2</v>
      </c>
      <c r="AA3417" s="240">
        <v>3.5540407218690451E-2</v>
      </c>
    </row>
    <row r="3418" spans="19:27" x14ac:dyDescent="0.2">
      <c r="S3418" s="199"/>
      <c r="T3418" s="200"/>
      <c r="W3418" s="233" t="str">
        <f t="shared" si="60"/>
        <v>1w</v>
      </c>
      <c r="X3418" s="234">
        <f>_xll.qlCalendarAdvance(Calendar,X3417,W3418,"f",FALSE)</f>
        <v>62807</v>
      </c>
      <c r="Y3418" s="237">
        <f>_xll.qlCalendarAdvance(Calendar,X3418,NDays&amp;"D")</f>
        <v>62807</v>
      </c>
      <c r="Z3418" s="238">
        <v>3.6224147571637451E-2</v>
      </c>
      <c r="AA3418" s="240">
        <v>3.5542237016619183E-2</v>
      </c>
    </row>
    <row r="3419" spans="19:27" x14ac:dyDescent="0.2">
      <c r="S3419" s="199"/>
      <c r="T3419" s="200"/>
      <c r="W3419" s="233" t="str">
        <f t="shared" si="60"/>
        <v>1w</v>
      </c>
      <c r="X3419" s="234">
        <f>_xll.qlCalendarAdvance(Calendar,X3418,W3419,"f",FALSE)</f>
        <v>62814</v>
      </c>
      <c r="Y3419" s="237">
        <f>_xll.qlCalendarAdvance(Calendar,X3419,NDays&amp;"D")</f>
        <v>62814</v>
      </c>
      <c r="Z3419" s="238">
        <v>3.622565646642785E-2</v>
      </c>
      <c r="AA3419" s="240">
        <v>3.5544053012042109E-2</v>
      </c>
    </row>
    <row r="3420" spans="19:27" x14ac:dyDescent="0.2">
      <c r="S3420" s="199"/>
      <c r="T3420" s="200"/>
      <c r="W3420" s="233" t="str">
        <f t="shared" si="60"/>
        <v>1w</v>
      </c>
      <c r="X3420" s="234">
        <f>_xll.qlCalendarAdvance(Calendar,X3419,W3420,"f",FALSE)</f>
        <v>62821</v>
      </c>
      <c r="Y3420" s="237">
        <f>_xll.qlCalendarAdvance(Calendar,X3420,NDays&amp;"D")</f>
        <v>62821</v>
      </c>
      <c r="Z3420" s="238">
        <v>3.6227151061069468E-2</v>
      </c>
      <c r="AA3420" s="240">
        <v>3.5545855205040278E-2</v>
      </c>
    </row>
    <row r="3421" spans="19:27" x14ac:dyDescent="0.2">
      <c r="S3421" s="199"/>
      <c r="T3421" s="200"/>
      <c r="W3421" s="233" t="str">
        <f t="shared" si="60"/>
        <v>1w</v>
      </c>
      <c r="X3421" s="234">
        <f>_xll.qlCalendarAdvance(Calendar,X3420,W3421,"f",FALSE)</f>
        <v>62828</v>
      </c>
      <c r="Y3421" s="237">
        <f>_xll.qlCalendarAdvance(Calendar,X3421,NDays&amp;"D")</f>
        <v>62828</v>
      </c>
      <c r="Z3421" s="238">
        <v>3.6228631355500952E-2</v>
      </c>
      <c r="AA3421" s="240">
        <v>3.5547643595937872E-2</v>
      </c>
    </row>
    <row r="3422" spans="19:27" x14ac:dyDescent="0.2">
      <c r="S3422" s="199"/>
      <c r="T3422" s="200"/>
      <c r="W3422" s="233" t="str">
        <f t="shared" si="60"/>
        <v>1w</v>
      </c>
      <c r="X3422" s="234">
        <f>_xll.qlCalendarAdvance(Calendar,X3421,W3422,"f",FALSE)</f>
        <v>62835</v>
      </c>
      <c r="Y3422" s="237">
        <f>_xll.qlCalendarAdvance(Calendar,X3422,NDays&amp;"D")</f>
        <v>62835</v>
      </c>
      <c r="Z3422" s="238">
        <v>3.6230097349660519E-2</v>
      </c>
      <c r="AA3422" s="240">
        <v>3.5549418184410708E-2</v>
      </c>
    </row>
    <row r="3423" spans="19:27" x14ac:dyDescent="0.2">
      <c r="S3423" s="199"/>
      <c r="T3423" s="200"/>
      <c r="W3423" s="233" t="str">
        <f t="shared" si="60"/>
        <v>1w</v>
      </c>
      <c r="X3423" s="234">
        <f>_xll.qlCalendarAdvance(Calendar,X3422,W3423,"f",FALSE)</f>
        <v>62842</v>
      </c>
      <c r="Y3423" s="237">
        <f>_xll.qlCalendarAdvance(Calendar,X3423,NDays&amp;"D")</f>
        <v>62842</v>
      </c>
      <c r="Z3423" s="238">
        <v>3.623154904348707E-2</v>
      </c>
      <c r="AA3423" s="240">
        <v>3.5551178970458785E-2</v>
      </c>
    </row>
    <row r="3424" spans="19:27" x14ac:dyDescent="0.2">
      <c r="S3424" s="199"/>
      <c r="T3424" s="200"/>
      <c r="W3424" s="233" t="str">
        <f t="shared" si="60"/>
        <v>1w</v>
      </c>
      <c r="X3424" s="234">
        <f>_xll.qlCalendarAdvance(Calendar,X3423,W3424,"f",FALSE)</f>
        <v>62849</v>
      </c>
      <c r="Y3424" s="237">
        <f>_xll.qlCalendarAdvance(Calendar,X3424,NDays&amp;"D")</f>
        <v>62849</v>
      </c>
      <c r="Z3424" s="238">
        <v>3.6232986436920134E-2</v>
      </c>
      <c r="AA3424" s="240">
        <v>3.5552925954082104E-2</v>
      </c>
    </row>
    <row r="3425" spans="19:27" x14ac:dyDescent="0.2">
      <c r="S3425" s="199"/>
      <c r="T3425" s="200"/>
      <c r="W3425" s="233" t="str">
        <f t="shared" si="60"/>
        <v>1w</v>
      </c>
      <c r="X3425" s="234">
        <f>_xll.qlCalendarAdvance(Calendar,X3424,W3425,"f",FALSE)</f>
        <v>62856</v>
      </c>
      <c r="Y3425" s="237">
        <f>_xll.qlCalendarAdvance(Calendar,X3425,NDays&amp;"D")</f>
        <v>62856</v>
      </c>
      <c r="Z3425" s="238">
        <v>3.6234409529900591E-2</v>
      </c>
      <c r="AA3425" s="240">
        <v>3.5554659135604849E-2</v>
      </c>
    </row>
    <row r="3426" spans="19:27" x14ac:dyDescent="0.2">
      <c r="S3426" s="199"/>
      <c r="T3426" s="200"/>
      <c r="W3426" s="233" t="str">
        <f t="shared" si="60"/>
        <v>1w</v>
      </c>
      <c r="X3426" s="234">
        <f>_xll.qlCalendarAdvance(Calendar,X3425,W3426,"f",FALSE)</f>
        <v>62863</v>
      </c>
      <c r="Y3426" s="237">
        <f>_xll.qlCalendarAdvance(Calendar,X3426,NDays&amp;"D")</f>
        <v>62863</v>
      </c>
      <c r="Z3426" s="238">
        <v>3.6235818322369322E-2</v>
      </c>
      <c r="AA3426" s="240">
        <v>3.5556378514783882E-2</v>
      </c>
    </row>
    <row r="3427" spans="19:27" x14ac:dyDescent="0.2">
      <c r="S3427" s="199"/>
      <c r="T3427" s="200"/>
      <c r="W3427" s="233" t="str">
        <f t="shared" si="60"/>
        <v>1w</v>
      </c>
      <c r="X3427" s="234">
        <f>_xll.qlCalendarAdvance(Calendar,X3426,W3427,"f",FALSE)</f>
        <v>62870</v>
      </c>
      <c r="Y3427" s="237">
        <f>_xll.qlCalendarAdvance(Calendar,X3427,NDays&amp;"D")</f>
        <v>62870</v>
      </c>
      <c r="Z3427" s="238">
        <v>3.6237212814267207E-2</v>
      </c>
      <c r="AA3427" s="240">
        <v>3.5558084091213971E-2</v>
      </c>
    </row>
    <row r="3428" spans="19:27" x14ac:dyDescent="0.2">
      <c r="S3428" s="199"/>
      <c r="T3428" s="200"/>
      <c r="W3428" s="233" t="str">
        <f t="shared" si="60"/>
        <v>1w</v>
      </c>
      <c r="X3428" s="234">
        <f>_xll.qlCalendarAdvance(Calendar,X3427,W3428,"f",FALSE)</f>
        <v>62877</v>
      </c>
      <c r="Y3428" s="237">
        <f>_xll.qlCalendarAdvance(Calendar,X3428,NDays&amp;"D")</f>
        <v>62877</v>
      </c>
      <c r="Z3428" s="238">
        <v>3.6238593005536883E-2</v>
      </c>
      <c r="AA3428" s="240">
        <v>3.5559775865624532E-2</v>
      </c>
    </row>
    <row r="3429" spans="19:27" x14ac:dyDescent="0.2">
      <c r="S3429" s="199"/>
      <c r="T3429" s="200"/>
      <c r="W3429" s="233" t="str">
        <f t="shared" si="60"/>
        <v>1w</v>
      </c>
      <c r="X3429" s="234">
        <f>_xll.qlCalendarAdvance(Calendar,X3428,W3429,"f",FALSE)</f>
        <v>62884</v>
      </c>
      <c r="Y3429" s="237">
        <f>_xll.qlCalendarAdvance(Calendar,X3429,NDays&amp;"D")</f>
        <v>62884</v>
      </c>
      <c r="Z3429" s="238">
        <v>3.6238093080213529E-2</v>
      </c>
      <c r="AA3429" s="240">
        <v>3.5561453837772428E-2</v>
      </c>
    </row>
    <row r="3430" spans="19:27" x14ac:dyDescent="0.2">
      <c r="S3430" s="199"/>
      <c r="T3430" s="200"/>
      <c r="W3430" s="233" t="str">
        <f t="shared" si="60"/>
        <v>1w</v>
      </c>
      <c r="X3430" s="234">
        <f>_xll.qlCalendarAdvance(Calendar,X3429,W3430,"f",FALSE)</f>
        <v>62891</v>
      </c>
      <c r="Y3430" s="237">
        <f>_xll.qlCalendarAdvance(Calendar,X3430,NDays&amp;"D")</f>
        <v>62891</v>
      </c>
      <c r="Z3430" s="238">
        <v>3.6239445559640204E-2</v>
      </c>
      <c r="AA3430" s="240">
        <v>3.5563118007414518E-2</v>
      </c>
    </row>
    <row r="3431" spans="19:27" x14ac:dyDescent="0.2">
      <c r="S3431" s="199"/>
      <c r="T3431" s="200"/>
      <c r="W3431" s="233" t="str">
        <f t="shared" si="60"/>
        <v>1w</v>
      </c>
      <c r="X3431" s="234">
        <f>_xll.qlCalendarAdvance(Calendar,X3430,W3431,"f",FALSE)</f>
        <v>62898</v>
      </c>
      <c r="Y3431" s="237">
        <f>_xll.qlCalendarAdvance(Calendar,X3431,NDays&amp;"D")</f>
        <v>62898</v>
      </c>
      <c r="Z3431" s="238">
        <v>3.6240783739662108E-2</v>
      </c>
      <c r="AA3431" s="240">
        <v>3.556476837463185E-2</v>
      </c>
    </row>
    <row r="3432" spans="19:27" x14ac:dyDescent="0.2">
      <c r="S3432" s="199"/>
      <c r="T3432" s="200"/>
      <c r="W3432" s="233" t="str">
        <f t="shared" si="60"/>
        <v>1w</v>
      </c>
      <c r="X3432" s="234">
        <f>_xll.qlCalendarAdvance(Calendar,X3431,W3432,"f",FALSE)</f>
        <v>62905</v>
      </c>
      <c r="Y3432" s="237">
        <f>_xll.qlCalendarAdvance(Calendar,X3432,NDays&amp;"D")</f>
        <v>62905</v>
      </c>
      <c r="Z3432" s="238">
        <v>3.6242107620223951E-2</v>
      </c>
      <c r="AA3432" s="240">
        <v>3.5566404939667562E-2</v>
      </c>
    </row>
    <row r="3433" spans="19:27" x14ac:dyDescent="0.2">
      <c r="S3433" s="199"/>
      <c r="T3433" s="200"/>
      <c r="W3433" s="233" t="str">
        <f t="shared" si="60"/>
        <v>1w</v>
      </c>
      <c r="X3433" s="234">
        <f>_xll.qlCalendarAdvance(Calendar,X3432,W3433,"f",FALSE)</f>
        <v>62912</v>
      </c>
      <c r="Y3433" s="237">
        <f>_xll.qlCalendarAdvance(Calendar,X3433,NDays&amp;"D")</f>
        <v>62912</v>
      </c>
      <c r="Z3433" s="238">
        <v>3.6243417201270889E-2</v>
      </c>
      <c r="AA3433" s="240">
        <v>3.5568027702278515E-2</v>
      </c>
    </row>
    <row r="3434" spans="19:27" x14ac:dyDescent="0.2">
      <c r="S3434" s="199"/>
      <c r="T3434" s="200"/>
      <c r="W3434" s="233" t="str">
        <f t="shared" si="60"/>
        <v>1w</v>
      </c>
      <c r="X3434" s="234">
        <f>_xll.qlCalendarAdvance(Calendar,X3433,W3434,"f",FALSE)</f>
        <v>62919</v>
      </c>
      <c r="Y3434" s="237">
        <f>_xll.qlCalendarAdvance(Calendar,X3434,NDays&amp;"D")</f>
        <v>62919</v>
      </c>
      <c r="Z3434" s="238">
        <v>3.6244712482748742E-2</v>
      </c>
      <c r="AA3434" s="240">
        <v>3.5569636662545756E-2</v>
      </c>
    </row>
    <row r="3435" spans="19:27" x14ac:dyDescent="0.2">
      <c r="S3435" s="199"/>
      <c r="T3435" s="200"/>
      <c r="W3435" s="233" t="str">
        <f t="shared" si="60"/>
        <v>1w</v>
      </c>
      <c r="X3435" s="234">
        <f>_xll.qlCalendarAdvance(Calendar,X3434,W3435,"f",FALSE)</f>
        <v>62926</v>
      </c>
      <c r="Y3435" s="237">
        <f>_xll.qlCalendarAdvance(Calendar,X3435,NDays&amp;"D")</f>
        <v>62926</v>
      </c>
      <c r="Z3435" s="238">
        <v>3.6245993464603554E-2</v>
      </c>
      <c r="AA3435" s="240">
        <v>3.5571231820307192E-2</v>
      </c>
    </row>
    <row r="3436" spans="19:27" x14ac:dyDescent="0.2">
      <c r="S3436" s="199"/>
      <c r="T3436" s="200"/>
      <c r="W3436" s="233" t="str">
        <f t="shared" si="60"/>
        <v>1w</v>
      </c>
      <c r="X3436" s="234">
        <f>_xll.qlCalendarAdvance(Calendar,X3435,W3436,"f",FALSE)</f>
        <v>62933</v>
      </c>
      <c r="Y3436" s="237">
        <f>_xll.qlCalendarAdvance(Calendar,X3436,NDays&amp;"D")</f>
        <v>62933</v>
      </c>
      <c r="Z3436" s="238">
        <v>3.6247260146783367E-2</v>
      </c>
      <c r="AA3436" s="240">
        <v>3.5572813175968054E-2</v>
      </c>
    </row>
    <row r="3437" spans="19:27" x14ac:dyDescent="0.2">
      <c r="S3437" s="199"/>
      <c r="T3437" s="200"/>
      <c r="W3437" s="233" t="str">
        <f t="shared" si="60"/>
        <v>1w</v>
      </c>
      <c r="X3437" s="234">
        <f>_xll.qlCalendarAdvance(Calendar,X3436,W3437,"f",FALSE)</f>
        <v>62940</v>
      </c>
      <c r="Y3437" s="237">
        <f>_xll.qlCalendarAdvance(Calendar,X3437,NDays&amp;"D")</f>
        <v>62940</v>
      </c>
      <c r="Z3437" s="238">
        <v>3.6248512529234889E-2</v>
      </c>
      <c r="AA3437" s="240">
        <v>3.5574380729204158E-2</v>
      </c>
    </row>
    <row r="3438" spans="19:27" x14ac:dyDescent="0.2">
      <c r="S3438" s="199"/>
      <c r="T3438" s="200"/>
      <c r="W3438" s="233" t="str">
        <f t="shared" si="60"/>
        <v>1w</v>
      </c>
      <c r="X3438" s="234">
        <f>_xll.qlCalendarAdvance(Calendar,X3437,W3438,"f",FALSE)</f>
        <v>62947</v>
      </c>
      <c r="Y3438" s="237">
        <f>_xll.qlCalendarAdvance(Calendar,X3438,NDays&amp;"D")</f>
        <v>62947</v>
      </c>
      <c r="Z3438" s="238">
        <v>3.624975061190594E-2</v>
      </c>
      <c r="AA3438" s="240">
        <v>3.5575934480015503E-2</v>
      </c>
    </row>
    <row r="3439" spans="19:27" x14ac:dyDescent="0.2">
      <c r="S3439" s="199"/>
      <c r="T3439" s="200"/>
      <c r="W3439" s="233" t="str">
        <f t="shared" si="60"/>
        <v>1w</v>
      </c>
      <c r="X3439" s="234">
        <f>_xll.qlCalendarAdvance(Calendar,X3438,W3439,"f",FALSE)</f>
        <v>62954</v>
      </c>
      <c r="Y3439" s="237">
        <f>_xll.qlCalendarAdvance(Calendar,X3439,NDays&amp;"D")</f>
        <v>62954</v>
      </c>
      <c r="Z3439" s="238">
        <v>3.6250974394746116E-2</v>
      </c>
      <c r="AA3439" s="240">
        <v>3.5577474428564182E-2</v>
      </c>
    </row>
    <row r="3440" spans="19:27" x14ac:dyDescent="0.2">
      <c r="S3440" s="199"/>
      <c r="T3440" s="200"/>
      <c r="W3440" s="233" t="str">
        <f t="shared" si="60"/>
        <v>1w</v>
      </c>
      <c r="X3440" s="234">
        <f>_xll.qlCalendarAdvance(Calendar,X3439,W3440,"f",FALSE)</f>
        <v>62961</v>
      </c>
      <c r="Y3440" s="237">
        <f>_xll.qlCalendarAdvance(Calendar,X3440,NDays&amp;"D")</f>
        <v>62961</v>
      </c>
      <c r="Z3440" s="238">
        <v>3.6252183877704125E-2</v>
      </c>
      <c r="AA3440" s="240">
        <v>3.5579000574850195E-2</v>
      </c>
    </row>
    <row r="3441" spans="19:27" x14ac:dyDescent="0.2">
      <c r="S3441" s="199"/>
      <c r="T3441" s="200"/>
      <c r="W3441" s="233" t="str">
        <f t="shared" si="60"/>
        <v>1w</v>
      </c>
      <c r="X3441" s="234">
        <f>_xll.qlCalendarAdvance(Calendar,X3440,W3441,"f",FALSE)</f>
        <v>62968</v>
      </c>
      <c r="Y3441" s="237">
        <f>_xll.qlCalendarAdvance(Calendar,X3441,NDays&amp;"D")</f>
        <v>62968</v>
      </c>
      <c r="Z3441" s="238">
        <v>3.6253379060729785E-2</v>
      </c>
      <c r="AA3441" s="240">
        <v>3.5580512918630403E-2</v>
      </c>
    </row>
    <row r="3442" spans="19:27" x14ac:dyDescent="0.2">
      <c r="S3442" s="199"/>
      <c r="T3442" s="200"/>
      <c r="W3442" s="233" t="str">
        <f t="shared" si="60"/>
        <v>1w</v>
      </c>
      <c r="X3442" s="234">
        <f>_xll.qlCalendarAdvance(Calendar,X3441,W3442,"f",FALSE)</f>
        <v>62975</v>
      </c>
      <c r="Y3442" s="237">
        <f>_xll.qlCalendarAdvance(Calendar,X3442,NDays&amp;"D")</f>
        <v>62975</v>
      </c>
      <c r="Z3442" s="238">
        <v>3.6254559943774467E-2</v>
      </c>
      <c r="AA3442" s="240">
        <v>3.5582011459985852E-2</v>
      </c>
    </row>
    <row r="3443" spans="19:27" x14ac:dyDescent="0.2">
      <c r="S3443" s="199"/>
      <c r="T3443" s="200"/>
      <c r="W3443" s="233" t="str">
        <f t="shared" si="60"/>
        <v>1w</v>
      </c>
      <c r="X3443" s="234">
        <f>_xll.qlCalendarAdvance(Calendar,X3442,W3443,"f",FALSE)</f>
        <v>62982</v>
      </c>
      <c r="Y3443" s="237">
        <f>_xll.qlCalendarAdvance(Calendar,X3443,NDays&amp;"D")</f>
        <v>62982</v>
      </c>
      <c r="Z3443" s="238">
        <v>3.6255726526788656E-2</v>
      </c>
      <c r="AA3443" s="240">
        <v>3.5583496199240727E-2</v>
      </c>
    </row>
    <row r="3444" spans="19:27" x14ac:dyDescent="0.2">
      <c r="S3444" s="199"/>
      <c r="T3444" s="200"/>
      <c r="W3444" s="233" t="str">
        <f t="shared" si="60"/>
        <v>1w</v>
      </c>
      <c r="X3444" s="234">
        <f>_xll.qlCalendarAdvance(Calendar,X3443,W3444,"f",FALSE)</f>
        <v>62989</v>
      </c>
      <c r="Y3444" s="237">
        <f>_xll.qlCalendarAdvance(Calendar,X3444,NDays&amp;"D")</f>
        <v>62989</v>
      </c>
      <c r="Z3444" s="238">
        <v>3.6256878809724169E-2</v>
      </c>
      <c r="AA3444" s="240">
        <v>3.5584967135989798E-2</v>
      </c>
    </row>
    <row r="3445" spans="19:27" x14ac:dyDescent="0.2">
      <c r="S3445" s="199"/>
      <c r="T3445" s="200"/>
      <c r="W3445" s="233" t="str">
        <f t="shared" si="60"/>
        <v>1w</v>
      </c>
      <c r="X3445" s="234">
        <f>_xll.qlCalendarAdvance(Calendar,X3444,W3445,"f",FALSE)</f>
        <v>62996</v>
      </c>
      <c r="Y3445" s="237">
        <f>_xll.qlCalendarAdvance(Calendar,X3445,NDays&amp;"D")</f>
        <v>62996</v>
      </c>
      <c r="Z3445" s="238">
        <v>3.6258016792533043E-2</v>
      </c>
      <c r="AA3445" s="240">
        <v>3.5586424270395156E-2</v>
      </c>
    </row>
    <row r="3446" spans="19:27" x14ac:dyDescent="0.2">
      <c r="S3446" s="199"/>
      <c r="T3446" s="200"/>
      <c r="W3446" s="233" t="str">
        <f t="shared" si="60"/>
        <v>1w</v>
      </c>
      <c r="X3446" s="234">
        <f>_xll.qlCalendarAdvance(Calendar,X3445,W3446,"f",FALSE)</f>
        <v>63003</v>
      </c>
      <c r="Y3446" s="237">
        <f>_xll.qlCalendarAdvance(Calendar,X3446,NDays&amp;"D")</f>
        <v>63003</v>
      </c>
      <c r="Z3446" s="238">
        <v>3.625914047516865E-2</v>
      </c>
      <c r="AA3446" s="240">
        <v>3.5587867602375756E-2</v>
      </c>
    </row>
    <row r="3447" spans="19:27" x14ac:dyDescent="0.2">
      <c r="S3447" s="199"/>
      <c r="T3447" s="200"/>
      <c r="W3447" s="233" t="str">
        <f t="shared" si="60"/>
        <v>1w</v>
      </c>
      <c r="X3447" s="234">
        <f>_xll.qlCalendarAdvance(Calendar,X3446,W3447,"f",FALSE)</f>
        <v>63010</v>
      </c>
      <c r="Y3447" s="237">
        <f>_xll.qlCalendarAdvance(Calendar,X3447,NDays&amp;"D")</f>
        <v>63010</v>
      </c>
      <c r="Z3447" s="238">
        <v>3.6260249857584137E-2</v>
      </c>
      <c r="AA3447" s="240">
        <v>3.5589297132174735E-2</v>
      </c>
    </row>
    <row r="3448" spans="19:27" x14ac:dyDescent="0.2">
      <c r="S3448" s="199"/>
      <c r="T3448" s="200"/>
      <c r="W3448" s="233" t="str">
        <f t="shared" si="60"/>
        <v>1w</v>
      </c>
      <c r="X3448" s="234">
        <f>_xll.qlCalendarAdvance(Calendar,X3447,W3448,"f",FALSE)</f>
        <v>63017</v>
      </c>
      <c r="Y3448" s="237">
        <f>_xll.qlCalendarAdvance(Calendar,X3448,NDays&amp;"D")</f>
        <v>63017</v>
      </c>
      <c r="Z3448" s="238">
        <v>3.6261344939733986E-2</v>
      </c>
      <c r="AA3448" s="240">
        <v>3.5590712859711049E-2</v>
      </c>
    </row>
    <row r="3449" spans="19:27" x14ac:dyDescent="0.2">
      <c r="S3449" s="199"/>
      <c r="T3449" s="200"/>
      <c r="W3449" s="233" t="str">
        <f t="shared" si="60"/>
        <v>1w</v>
      </c>
      <c r="X3449" s="234">
        <f>_xll.qlCalendarAdvance(Calendar,X3448,W3449,"f",FALSE)</f>
        <v>63024</v>
      </c>
      <c r="Y3449" s="237">
        <f>_xll.qlCalendarAdvance(Calendar,X3449,NDays&amp;"D")</f>
        <v>63024</v>
      </c>
      <c r="Z3449" s="238">
        <v>3.6262425721571789E-2</v>
      </c>
      <c r="AA3449" s="240">
        <v>3.5592114784579465E-2</v>
      </c>
    </row>
    <row r="3450" spans="19:27" x14ac:dyDescent="0.2">
      <c r="S3450" s="199"/>
      <c r="T3450" s="200"/>
      <c r="W3450" s="233" t="str">
        <f t="shared" si="60"/>
        <v>1w</v>
      </c>
      <c r="X3450" s="234">
        <f>_xll.qlCalendarAdvance(Calendar,X3449,W3450,"f",FALSE)</f>
        <v>63031</v>
      </c>
      <c r="Y3450" s="237">
        <f>_xll.qlCalendarAdvance(Calendar,X3450,NDays&amp;"D")</f>
        <v>63031</v>
      </c>
      <c r="Z3450" s="238">
        <v>3.6263492203053804E-2</v>
      </c>
      <c r="AA3450" s="240">
        <v>3.5593502907185215E-2</v>
      </c>
    </row>
    <row r="3451" spans="19:27" x14ac:dyDescent="0.2">
      <c r="S3451" s="199"/>
      <c r="T3451" s="200"/>
      <c r="W3451" s="233" t="str">
        <f t="shared" si="60"/>
        <v>1w</v>
      </c>
      <c r="X3451" s="234">
        <f>_xll.qlCalendarAdvance(Calendar,X3450,W3451,"f",FALSE)</f>
        <v>63038</v>
      </c>
      <c r="Y3451" s="237">
        <f>_xll.qlCalendarAdvance(Calendar,X3451,NDays&amp;"D")</f>
        <v>63038</v>
      </c>
      <c r="Z3451" s="238">
        <v>3.6264544384135844E-2</v>
      </c>
      <c r="AA3451" s="240">
        <v>3.5594877227528299E-2</v>
      </c>
    </row>
    <row r="3452" spans="19:27" x14ac:dyDescent="0.2">
      <c r="S3452" s="199"/>
      <c r="T3452" s="200"/>
      <c r="W3452" s="233" t="str">
        <f t="shared" si="60"/>
        <v>1w</v>
      </c>
      <c r="X3452" s="234">
        <f>_xll.qlCalendarAdvance(Calendar,X3451,W3452,"f",FALSE)</f>
        <v>63045</v>
      </c>
      <c r="Y3452" s="237">
        <f>_xll.qlCalendarAdvance(Calendar,X3452,NDays&amp;"D")</f>
        <v>63045</v>
      </c>
      <c r="Z3452" s="238">
        <v>3.6265582264773943E-2</v>
      </c>
      <c r="AA3452" s="240">
        <v>3.559623774552767E-2</v>
      </c>
    </row>
    <row r="3453" spans="19:27" x14ac:dyDescent="0.2">
      <c r="S3453" s="199"/>
      <c r="T3453" s="200"/>
      <c r="W3453" s="233" t="str">
        <f t="shared" si="60"/>
        <v>1w</v>
      </c>
      <c r="X3453" s="234">
        <f>_xll.qlCalendarAdvance(Calendar,X3452,W3453,"f",FALSE)</f>
        <v>63052</v>
      </c>
      <c r="Y3453" s="237">
        <f>_xll.qlCalendarAdvance(Calendar,X3453,NDays&amp;"D")</f>
        <v>63052</v>
      </c>
      <c r="Z3453" s="238">
        <v>3.6266605844925692E-2</v>
      </c>
      <c r="AA3453" s="240">
        <v>3.5597584461183329E-2</v>
      </c>
    </row>
    <row r="3454" spans="19:27" x14ac:dyDescent="0.2">
      <c r="S3454" s="199"/>
      <c r="T3454" s="200"/>
      <c r="W3454" s="233" t="str">
        <f t="shared" si="60"/>
        <v>1w</v>
      </c>
      <c r="X3454" s="234">
        <f>_xll.qlCalendarAdvance(Calendar,X3453,W3454,"f",FALSE)</f>
        <v>63059</v>
      </c>
      <c r="Y3454" s="237">
        <f>_xll.qlCalendarAdvance(Calendar,X3454,NDays&amp;"D")</f>
        <v>63059</v>
      </c>
      <c r="Z3454" s="238">
        <v>3.6267615124547792E-2</v>
      </c>
      <c r="AA3454" s="240">
        <v>3.559891737441423E-2</v>
      </c>
    </row>
    <row r="3455" spans="19:27" x14ac:dyDescent="0.2">
      <c r="S3455" s="199"/>
      <c r="T3455" s="200"/>
      <c r="W3455" s="233" t="str">
        <f t="shared" si="60"/>
        <v>1w</v>
      </c>
      <c r="X3455" s="234">
        <f>_xll.qlCalendarAdvance(Calendar,X3454,W3455,"f",FALSE)</f>
        <v>63066</v>
      </c>
      <c r="Y3455" s="237">
        <f>_xll.qlCalendarAdvance(Calendar,X3455,NDays&amp;"D")</f>
        <v>63066</v>
      </c>
      <c r="Z3455" s="238">
        <v>3.6268610103598942E-2</v>
      </c>
      <c r="AA3455" s="240">
        <v>3.560023648546351E-2</v>
      </c>
    </row>
    <row r="3456" spans="19:27" x14ac:dyDescent="0.2">
      <c r="S3456" s="199"/>
      <c r="T3456" s="200"/>
      <c r="W3456" s="233" t="str">
        <f t="shared" si="60"/>
        <v>1w</v>
      </c>
      <c r="X3456" s="234">
        <f>_xll.qlCalendarAdvance(Calendar,X3455,W3456,"f",FALSE)</f>
        <v>63073</v>
      </c>
      <c r="Y3456" s="237">
        <f>_xll.qlCalendarAdvance(Calendar,X3456,NDays&amp;"D")</f>
        <v>63073</v>
      </c>
      <c r="Z3456" s="238">
        <v>3.6269590782038508E-2</v>
      </c>
      <c r="AA3456" s="240">
        <v>3.5601541793925939E-2</v>
      </c>
    </row>
    <row r="3457" spans="19:27" x14ac:dyDescent="0.2">
      <c r="S3457" s="199"/>
      <c r="T3457" s="200"/>
      <c r="W3457" s="233" t="str">
        <f t="shared" si="60"/>
        <v>1w</v>
      </c>
      <c r="X3457" s="234">
        <f>_xll.qlCalendarAdvance(Calendar,X3456,W3457,"f",FALSE)</f>
        <v>63080</v>
      </c>
      <c r="Y3457" s="237">
        <f>_xll.qlCalendarAdvance(Calendar,X3457,NDays&amp;"D")</f>
        <v>63080</v>
      </c>
      <c r="Z3457" s="238">
        <v>3.627055715982519E-2</v>
      </c>
      <c r="AA3457" s="240">
        <v>3.5602833300206749E-2</v>
      </c>
    </row>
    <row r="3458" spans="19:27" x14ac:dyDescent="0.2">
      <c r="S3458" s="199"/>
      <c r="T3458" s="200"/>
      <c r="W3458" s="233" t="str">
        <f t="shared" si="60"/>
        <v>1w</v>
      </c>
      <c r="X3458" s="234">
        <f>_xll.qlCalendarAdvance(Calendar,X3457,W3458,"f",FALSE)</f>
        <v>63087</v>
      </c>
      <c r="Y3458" s="237">
        <f>_xll.qlCalendarAdvance(Calendar,X3458,NDays&amp;"D")</f>
        <v>63087</v>
      </c>
      <c r="Z3458" s="238">
        <v>3.6271509236918797E-2</v>
      </c>
      <c r="AA3458" s="240">
        <v>3.5604111004143846E-2</v>
      </c>
    </row>
    <row r="3459" spans="19:27" x14ac:dyDescent="0.2">
      <c r="S3459" s="199"/>
      <c r="T3459" s="200"/>
      <c r="W3459" s="233" t="str">
        <f t="shared" si="60"/>
        <v>1w</v>
      </c>
      <c r="X3459" s="234">
        <f>_xll.qlCalendarAdvance(Calendar,X3458,W3459,"f",FALSE)</f>
        <v>63094</v>
      </c>
      <c r="Y3459" s="237">
        <f>_xll.qlCalendarAdvance(Calendar,X3459,NDays&amp;"D")</f>
        <v>63094</v>
      </c>
      <c r="Z3459" s="238">
        <v>3.6272447013280473E-2</v>
      </c>
      <c r="AA3459" s="240">
        <v>3.5605374905575138E-2</v>
      </c>
    </row>
    <row r="3460" spans="19:27" x14ac:dyDescent="0.2">
      <c r="S3460" s="199"/>
      <c r="T3460" s="200"/>
      <c r="W3460" s="233" t="str">
        <f t="shared" si="60"/>
        <v>1w</v>
      </c>
      <c r="X3460" s="234">
        <f>_xll.qlCalendarAdvance(Calendar,X3459,W3460,"f",FALSE)</f>
        <v>63101</v>
      </c>
      <c r="Y3460" s="237">
        <f>_xll.qlCalendarAdvance(Calendar,X3460,NDays&amp;"D")</f>
        <v>63101</v>
      </c>
      <c r="Z3460" s="238">
        <v>3.6273370488871359E-2</v>
      </c>
      <c r="AA3460" s="240">
        <v>3.5606625004662718E-2</v>
      </c>
    </row>
    <row r="3461" spans="19:27" x14ac:dyDescent="0.2">
      <c r="S3461" s="199"/>
      <c r="T3461" s="200"/>
      <c r="W3461" s="233" t="str">
        <f t="shared" si="60"/>
        <v>1w</v>
      </c>
      <c r="X3461" s="234">
        <f>_xll.qlCalendarAdvance(Calendar,X3460,W3461,"f",FALSE)</f>
        <v>63108</v>
      </c>
      <c r="Y3461" s="237">
        <f>_xll.qlCalendarAdvance(Calendar,X3461,NDays&amp;"D")</f>
        <v>63108</v>
      </c>
      <c r="Z3461" s="238">
        <v>3.627427966365282E-2</v>
      </c>
      <c r="AA3461" s="240">
        <v>3.5607861301487631E-2</v>
      </c>
    </row>
    <row r="3462" spans="19:27" x14ac:dyDescent="0.2">
      <c r="S3462" s="199"/>
      <c r="T3462" s="200"/>
      <c r="W3462" s="233" t="str">
        <f t="shared" si="60"/>
        <v>1w</v>
      </c>
      <c r="X3462" s="234">
        <f>_xll.qlCalendarAdvance(Calendar,X3461,W3462,"f",FALSE)</f>
        <v>63115</v>
      </c>
      <c r="Y3462" s="237">
        <f>_xll.qlCalendarAdvance(Calendar,X3462,NDays&amp;"D")</f>
        <v>63115</v>
      </c>
      <c r="Z3462" s="238">
        <v>3.6275174537587551E-2</v>
      </c>
      <c r="AA3462" s="240">
        <v>3.5609083796049879E-2</v>
      </c>
    </row>
    <row r="3463" spans="19:27" x14ac:dyDescent="0.2">
      <c r="S3463" s="199"/>
      <c r="T3463" s="200"/>
      <c r="W3463" s="233" t="str">
        <f t="shared" si="60"/>
        <v>1w</v>
      </c>
      <c r="X3463" s="234">
        <f>_xll.qlCalendarAdvance(Calendar,X3462,W3463,"f",FALSE)</f>
        <v>63122</v>
      </c>
      <c r="Y3463" s="237">
        <f>_xll.qlCalendarAdvance(Calendar,X3463,NDays&amp;"D")</f>
        <v>63122</v>
      </c>
      <c r="Z3463" s="238">
        <v>3.627605511063825E-2</v>
      </c>
      <c r="AA3463" s="240">
        <v>3.5610292488106321E-2</v>
      </c>
    </row>
    <row r="3464" spans="19:27" x14ac:dyDescent="0.2">
      <c r="S3464" s="199"/>
      <c r="T3464" s="200"/>
      <c r="W3464" s="233" t="str">
        <f t="shared" si="60"/>
        <v>1w</v>
      </c>
      <c r="X3464" s="234">
        <f>_xll.qlCalendarAdvance(Calendar,X3463,W3464,"f",FALSE)</f>
        <v>63129</v>
      </c>
      <c r="Y3464" s="237">
        <f>_xll.qlCalendarAdvance(Calendar,X3464,NDays&amp;"D")</f>
        <v>63129</v>
      </c>
      <c r="Z3464" s="238">
        <v>3.6276921382768723E-2</v>
      </c>
      <c r="AA3464" s="240">
        <v>3.5611487377738005E-2</v>
      </c>
    </row>
    <row r="3465" spans="19:27" x14ac:dyDescent="0.2">
      <c r="S3465" s="199"/>
      <c r="T3465" s="200"/>
      <c r="W3465" s="233" t="str">
        <f t="shared" si="60"/>
        <v>1w</v>
      </c>
      <c r="X3465" s="234">
        <f>_xll.qlCalendarAdvance(Calendar,X3464,W3465,"f",FALSE)</f>
        <v>63136</v>
      </c>
      <c r="Y3465" s="237">
        <f>_xll.qlCalendarAdvance(Calendar,X3465,NDays&amp;"D")</f>
        <v>63136</v>
      </c>
      <c r="Z3465" s="238">
        <v>3.6277773353943443E-2</v>
      </c>
      <c r="AA3465" s="240">
        <v>3.5612668465350161E-2</v>
      </c>
    </row>
    <row r="3466" spans="19:27" x14ac:dyDescent="0.2">
      <c r="S3466" s="199"/>
      <c r="T3466" s="200"/>
      <c r="W3466" s="233" t="str">
        <f t="shared" si="60"/>
        <v>1w</v>
      </c>
      <c r="X3466" s="234">
        <f>_xll.qlCalendarAdvance(Calendar,X3465,W3466,"f",FALSE)</f>
        <v>63143</v>
      </c>
      <c r="Y3466" s="237">
        <f>_xll.qlCalendarAdvance(Calendar,X3466,NDays&amp;"D")</f>
        <v>63143</v>
      </c>
      <c r="Z3466" s="238">
        <v>3.6278611024125773E-2</v>
      </c>
      <c r="AA3466" s="240">
        <v>3.5613835750213374E-2</v>
      </c>
    </row>
    <row r="3467" spans="19:27" x14ac:dyDescent="0.2">
      <c r="S3467" s="199"/>
      <c r="T3467" s="200"/>
      <c r="W3467" s="233" t="str">
        <f t="shared" si="60"/>
        <v>1w</v>
      </c>
      <c r="X3467" s="234">
        <f>_xll.qlCalendarAdvance(Calendar,X3466,W3467,"f",FALSE)</f>
        <v>63150</v>
      </c>
      <c r="Y3467" s="237">
        <f>_xll.qlCalendarAdvance(Calendar,X3467,NDays&amp;"D")</f>
        <v>63150</v>
      </c>
      <c r="Z3467" s="238">
        <v>3.6279434393282628E-2</v>
      </c>
      <c r="AA3467" s="240">
        <v>3.5614989232976013E-2</v>
      </c>
    </row>
    <row r="3468" spans="19:27" x14ac:dyDescent="0.2">
      <c r="S3468" s="199"/>
      <c r="T3468" s="200"/>
      <c r="W3468" s="233" t="str">
        <f t="shared" si="60"/>
        <v>1w</v>
      </c>
      <c r="X3468" s="234">
        <f>_xll.qlCalendarAdvance(Calendar,X3467,W3468,"f",FALSE)</f>
        <v>63157</v>
      </c>
      <c r="Y3468" s="237">
        <f>_xll.qlCalendarAdvance(Calendar,X3468,NDays&amp;"D")</f>
        <v>63157</v>
      </c>
      <c r="Z3468" s="238">
        <v>3.6280243461378925E-2</v>
      </c>
      <c r="AA3468" s="240">
        <v>3.5616128913232847E-2</v>
      </c>
    </row>
    <row r="3469" spans="19:27" x14ac:dyDescent="0.2">
      <c r="S3469" s="199"/>
      <c r="T3469" s="200"/>
      <c r="W3469" s="233" t="str">
        <f t="shared" si="60"/>
        <v>1w</v>
      </c>
      <c r="X3469" s="234">
        <f>_xll.qlCalendarAdvance(Calendar,X3468,W3469,"f",FALSE)</f>
        <v>63164</v>
      </c>
      <c r="Y3469" s="237">
        <f>_xll.qlCalendarAdvance(Calendar,X3469,NDays&amp;"D")</f>
        <v>63164</v>
      </c>
      <c r="Z3469" s="238">
        <v>3.6281038228381579E-2</v>
      </c>
      <c r="AA3469" s="240">
        <v>3.5617254791308062E-2</v>
      </c>
    </row>
    <row r="3470" spans="19:27" x14ac:dyDescent="0.2">
      <c r="S3470" s="199"/>
      <c r="T3470" s="200"/>
      <c r="W3470" s="233" t="str">
        <f t="shared" si="60"/>
        <v>1w</v>
      </c>
      <c r="X3470" s="234">
        <f>_xll.qlCalendarAdvance(Calendar,X3469,W3470,"f",FALSE)</f>
        <v>63171</v>
      </c>
      <c r="Y3470" s="237">
        <f>_xll.qlCalendarAdvance(Calendar,X3470,NDays&amp;"D")</f>
        <v>63171</v>
      </c>
      <c r="Z3470" s="238">
        <v>3.6281818694257728E-2</v>
      </c>
      <c r="AA3470" s="240">
        <v>3.5618366866958517E-2</v>
      </c>
    </row>
    <row r="3471" spans="19:27" x14ac:dyDescent="0.2">
      <c r="S3471" s="199"/>
      <c r="T3471" s="200"/>
      <c r="W3471" s="233" t="str">
        <f t="shared" si="60"/>
        <v>1w</v>
      </c>
      <c r="X3471" s="234">
        <f>_xll.qlCalendarAdvance(Calendar,X3470,W3471,"f",FALSE)</f>
        <v>63178</v>
      </c>
      <c r="Y3471" s="237">
        <f>_xll.qlCalendarAdvance(Calendar,X3471,NDays&amp;"D")</f>
        <v>63178</v>
      </c>
      <c r="Z3471" s="238">
        <v>3.6282584858974731E-2</v>
      </c>
      <c r="AA3471" s="240">
        <v>3.5619465140103168E-2</v>
      </c>
    </row>
    <row r="3472" spans="19:27" x14ac:dyDescent="0.2">
      <c r="S3472" s="199"/>
      <c r="T3472" s="200"/>
      <c r="W3472" s="233" t="str">
        <f t="shared" si="60"/>
        <v>1w</v>
      </c>
      <c r="X3472" s="234">
        <f>_xll.qlCalendarAdvance(Calendar,X3471,W3472,"f",FALSE)</f>
        <v>63186</v>
      </c>
      <c r="Y3472" s="237">
        <f>_xll.qlCalendarAdvance(Calendar,X3472,NDays&amp;"D")</f>
        <v>63186</v>
      </c>
      <c r="Z3472" s="238">
        <v>3.628344296413033E-2</v>
      </c>
      <c r="AA3472" s="240">
        <v>3.5620703408784093E-2</v>
      </c>
    </row>
    <row r="3473" spans="19:27" x14ac:dyDescent="0.2">
      <c r="S3473" s="199"/>
      <c r="T3473" s="200"/>
      <c r="W3473" s="233" t="str">
        <f t="shared" si="60"/>
        <v>1w</v>
      </c>
      <c r="X3473" s="234">
        <f>_xll.qlCalendarAdvance(Calendar,X3472,W3473,"f",FALSE)</f>
        <v>63193</v>
      </c>
      <c r="Y3473" s="237">
        <f>_xll.qlCalendarAdvance(Calendar,X3473,NDays&amp;"D")</f>
        <v>63193</v>
      </c>
      <c r="Z3473" s="238">
        <v>3.6284178483400265E-2</v>
      </c>
      <c r="AA3473" s="240">
        <v>3.5621772105466354E-2</v>
      </c>
    </row>
    <row r="3474" spans="19:27" x14ac:dyDescent="0.2">
      <c r="S3474" s="199"/>
      <c r="T3474" s="200"/>
      <c r="W3474" s="233" t="str">
        <f t="shared" si="60"/>
        <v>1w</v>
      </c>
      <c r="X3474" s="234">
        <f>_xll.qlCalendarAdvance(Calendar,X3473,W3474,"f",FALSE)</f>
        <v>63200</v>
      </c>
      <c r="Y3474" s="237">
        <f>_xll.qlCalendarAdvance(Calendar,X3474,NDays&amp;"D")</f>
        <v>63200</v>
      </c>
      <c r="Z3474" s="238">
        <v>3.6284899701414242E-2</v>
      </c>
      <c r="AA3474" s="240">
        <v>3.5622827000129087E-2</v>
      </c>
    </row>
    <row r="3475" spans="19:27" x14ac:dyDescent="0.2">
      <c r="S3475" s="199"/>
      <c r="T3475" s="200"/>
      <c r="W3475" s="233" t="str">
        <f t="shared" si="60"/>
        <v>1w</v>
      </c>
      <c r="X3475" s="234">
        <f>_xll.qlCalendarAdvance(Calendar,X3474,W3475,"f",FALSE)</f>
        <v>63207</v>
      </c>
      <c r="Y3475" s="237">
        <f>_xll.qlCalendarAdvance(Calendar,X3475,NDays&amp;"D")</f>
        <v>63207</v>
      </c>
      <c r="Z3475" s="238">
        <v>3.6285606618141175E-2</v>
      </c>
      <c r="AA3475" s="240">
        <v>3.5623868092123923E-2</v>
      </c>
    </row>
    <row r="3476" spans="19:27" x14ac:dyDescent="0.2">
      <c r="S3476" s="199"/>
      <c r="T3476" s="200"/>
      <c r="W3476" s="233" t="str">
        <f t="shared" si="60"/>
        <v>1w</v>
      </c>
      <c r="X3476" s="234">
        <f>_xll.qlCalendarAdvance(Calendar,X3475,W3476,"f",FALSE)</f>
        <v>63214</v>
      </c>
      <c r="Y3476" s="237">
        <f>_xll.qlCalendarAdvance(Calendar,X3476,NDays&amp;"D")</f>
        <v>63214</v>
      </c>
      <c r="Z3476" s="238">
        <v>3.6286299233552421E-2</v>
      </c>
      <c r="AA3476" s="240">
        <v>3.5624895381775046E-2</v>
      </c>
    </row>
    <row r="3477" spans="19:27" x14ac:dyDescent="0.2">
      <c r="S3477" s="199"/>
      <c r="T3477" s="200"/>
      <c r="W3477" s="233" t="str">
        <f t="shared" ref="W3477:W3540" si="61">W3476</f>
        <v>1w</v>
      </c>
      <c r="X3477" s="234">
        <f>_xll.qlCalendarAdvance(Calendar,X3476,W3477,"f",FALSE)</f>
        <v>63221</v>
      </c>
      <c r="Y3477" s="237">
        <f>_xll.qlCalendarAdvance(Calendar,X3477,NDays&amp;"D")</f>
        <v>63221</v>
      </c>
      <c r="Z3477" s="238">
        <v>3.6286977547619337E-2</v>
      </c>
      <c r="AA3477" s="240">
        <v>3.5625908869244549E-2</v>
      </c>
    </row>
    <row r="3478" spans="19:27" x14ac:dyDescent="0.2">
      <c r="S3478" s="199"/>
      <c r="T3478" s="200"/>
      <c r="W3478" s="233" t="str">
        <f t="shared" si="61"/>
        <v>1w</v>
      </c>
      <c r="X3478" s="234">
        <f>_xll.qlCalendarAdvance(Calendar,X3477,W3478,"f",FALSE)</f>
        <v>63228</v>
      </c>
      <c r="Y3478" s="237">
        <f>_xll.qlCalendarAdvance(Calendar,X3478,NDays&amp;"D")</f>
        <v>63228</v>
      </c>
      <c r="Z3478" s="238">
        <v>3.6287641560313499E-2</v>
      </c>
      <c r="AA3478" s="240">
        <v>3.5626908554208248E-2</v>
      </c>
    </row>
    <row r="3479" spans="19:27" x14ac:dyDescent="0.2">
      <c r="S3479" s="199"/>
      <c r="T3479" s="200"/>
      <c r="W3479" s="233" t="str">
        <f t="shared" si="61"/>
        <v>1w</v>
      </c>
      <c r="X3479" s="234">
        <f>_xll.qlCalendarAdvance(Calendar,X3478,W3479,"f",FALSE)</f>
        <v>63235</v>
      </c>
      <c r="Y3479" s="237">
        <f>_xll.qlCalendarAdvance(Calendar,X3479,NDays&amp;"D")</f>
        <v>63235</v>
      </c>
      <c r="Z3479" s="238">
        <v>3.628829127160782E-2</v>
      </c>
      <c r="AA3479" s="240">
        <v>3.5627894436828234E-2</v>
      </c>
    </row>
    <row r="3480" spans="19:27" x14ac:dyDescent="0.2">
      <c r="S3480" s="199"/>
      <c r="T3480" s="200"/>
      <c r="W3480" s="233" t="str">
        <f t="shared" si="61"/>
        <v>1w</v>
      </c>
      <c r="X3480" s="234">
        <f>_xll.qlCalendarAdvance(Calendar,X3479,W3480,"f",FALSE)</f>
        <v>63242</v>
      </c>
      <c r="Y3480" s="237">
        <f>_xll.qlCalendarAdvance(Calendar,X3480,NDays&amp;"D")</f>
        <v>63242</v>
      </c>
      <c r="Z3480" s="238">
        <v>3.6288926681475209E-2</v>
      </c>
      <c r="AA3480" s="240">
        <v>3.5628866517185553E-2</v>
      </c>
    </row>
    <row r="3481" spans="19:27" x14ac:dyDescent="0.2">
      <c r="S3481" s="199"/>
      <c r="T3481" s="200"/>
      <c r="W3481" s="233" t="str">
        <f t="shared" si="61"/>
        <v>1w</v>
      </c>
      <c r="X3481" s="234">
        <f>_xll.qlCalendarAdvance(Calendar,X3480,W3481,"f",FALSE)</f>
        <v>63249</v>
      </c>
      <c r="Y3481" s="237">
        <f>_xll.qlCalendarAdvance(Calendar,X3481,NDays&amp;"D")</f>
        <v>63249</v>
      </c>
      <c r="Z3481" s="238">
        <v>3.6289547789889021E-2</v>
      </c>
      <c r="AA3481" s="240">
        <v>3.5629824795280207E-2</v>
      </c>
    </row>
    <row r="3482" spans="19:27" x14ac:dyDescent="0.2">
      <c r="S3482" s="199"/>
      <c r="T3482" s="200"/>
      <c r="W3482" s="233" t="str">
        <f t="shared" si="61"/>
        <v>1w</v>
      </c>
      <c r="X3482" s="234">
        <f>_xll.qlCalendarAdvance(Calendar,X3481,W3482,"f",FALSE)</f>
        <v>63256</v>
      </c>
      <c r="Y3482" s="237">
        <f>_xll.qlCalendarAdvance(Calendar,X3482,NDays&amp;"D")</f>
        <v>63256</v>
      </c>
      <c r="Z3482" s="238">
        <v>3.6290154596824165E-2</v>
      </c>
      <c r="AA3482" s="240">
        <v>3.5630769270869056E-2</v>
      </c>
    </row>
    <row r="3483" spans="19:27" x14ac:dyDescent="0.2">
      <c r="S3483" s="199"/>
      <c r="T3483" s="200"/>
      <c r="W3483" s="233" t="str">
        <f t="shared" si="61"/>
        <v>1w</v>
      </c>
      <c r="X3483" s="234">
        <f>_xll.qlCalendarAdvance(Calendar,X3482,W3483,"f",FALSE)</f>
        <v>63263</v>
      </c>
      <c r="Y3483" s="237">
        <f>_xll.qlCalendarAdvance(Calendar,X3483,NDays&amp;"D")</f>
        <v>63263</v>
      </c>
      <c r="Z3483" s="238">
        <v>3.6290747102255105E-2</v>
      </c>
      <c r="AA3483" s="240">
        <v>3.5631699944033146E-2</v>
      </c>
    </row>
    <row r="3484" spans="19:27" x14ac:dyDescent="0.2">
      <c r="S3484" s="199"/>
      <c r="T3484" s="200"/>
      <c r="W3484" s="233" t="str">
        <f t="shared" si="61"/>
        <v>1w</v>
      </c>
      <c r="X3484" s="234">
        <f>_xll.qlCalendarAdvance(Calendar,X3483,W3484,"f",FALSE)</f>
        <v>63270</v>
      </c>
      <c r="Y3484" s="237">
        <f>_xll.qlCalendarAdvance(Calendar,X3484,NDays&amp;"D")</f>
        <v>63270</v>
      </c>
      <c r="Z3484" s="238">
        <v>3.6291325306157196E-2</v>
      </c>
      <c r="AA3484" s="240">
        <v>3.5632616815015616E-2</v>
      </c>
    </row>
    <row r="3485" spans="19:27" x14ac:dyDescent="0.2">
      <c r="S3485" s="199"/>
      <c r="T3485" s="200"/>
      <c r="W3485" s="233" t="str">
        <f t="shared" si="61"/>
        <v>1w</v>
      </c>
      <c r="X3485" s="234">
        <f>_xll.qlCalendarAdvance(Calendar,X3484,W3485,"f",FALSE)</f>
        <v>63277</v>
      </c>
      <c r="Y3485" s="237">
        <f>_xll.qlCalendarAdvance(Calendar,X3485,NDays&amp;"D")</f>
        <v>63277</v>
      </c>
      <c r="Z3485" s="238">
        <v>3.6291889208507122E-2</v>
      </c>
      <c r="AA3485" s="240">
        <v>3.5633519883492282E-2</v>
      </c>
    </row>
    <row r="3486" spans="19:27" x14ac:dyDescent="0.2">
      <c r="S3486" s="199"/>
      <c r="T3486" s="200"/>
      <c r="W3486" s="233" t="str">
        <f t="shared" si="61"/>
        <v>1w</v>
      </c>
      <c r="X3486" s="234">
        <f>_xll.qlCalendarAdvance(Calendar,X3485,W3486,"f",FALSE)</f>
        <v>63284</v>
      </c>
      <c r="Y3486" s="237">
        <f>_xll.qlCalendarAdvance(Calendar,X3486,NDays&amp;"D")</f>
        <v>63284</v>
      </c>
      <c r="Z3486" s="238">
        <v>3.6292438809280902E-2</v>
      </c>
      <c r="AA3486" s="240">
        <v>3.5634409149787327E-2</v>
      </c>
    </row>
    <row r="3487" spans="19:27" x14ac:dyDescent="0.2">
      <c r="S3487" s="199"/>
      <c r="T3487" s="200"/>
      <c r="W3487" s="233" t="str">
        <f t="shared" si="61"/>
        <v>1w</v>
      </c>
      <c r="X3487" s="234">
        <f>_xll.qlCalendarAdvance(Calendar,X3486,W3487,"f",FALSE)</f>
        <v>63291</v>
      </c>
      <c r="Y3487" s="237">
        <f>_xll.qlCalendarAdvance(Calendar,X3487,NDays&amp;"D")</f>
        <v>63291</v>
      </c>
      <c r="Z3487" s="238">
        <v>3.6292974108456333E-2</v>
      </c>
      <c r="AA3487" s="240">
        <v>3.5635284613657614E-2</v>
      </c>
    </row>
    <row r="3488" spans="19:27" x14ac:dyDescent="0.2">
      <c r="S3488" s="199"/>
      <c r="T3488" s="200"/>
      <c r="W3488" s="233" t="str">
        <f t="shared" si="61"/>
        <v>1w</v>
      </c>
      <c r="X3488" s="234">
        <f>_xll.qlCalendarAdvance(Calendar,X3487,W3488,"f",FALSE)</f>
        <v>63298</v>
      </c>
      <c r="Y3488" s="237">
        <f>_xll.qlCalendarAdvance(Calendar,X3488,NDays&amp;"D")</f>
        <v>63298</v>
      </c>
      <c r="Z3488" s="238">
        <v>3.6293495106010543E-2</v>
      </c>
      <c r="AA3488" s="240">
        <v>3.5636146275103142E-2</v>
      </c>
    </row>
    <row r="3489" spans="19:27" x14ac:dyDescent="0.2">
      <c r="S3489" s="199"/>
      <c r="T3489" s="200"/>
      <c r="W3489" s="233" t="str">
        <f t="shared" si="61"/>
        <v>1w</v>
      </c>
      <c r="X3489" s="234">
        <f>_xll.qlCalendarAdvance(Calendar,X3488,W3489,"f",FALSE)</f>
        <v>63305</v>
      </c>
      <c r="Y3489" s="237">
        <f>_xll.qlCalendarAdvance(Calendar,X3489,NDays&amp;"D")</f>
        <v>63305</v>
      </c>
      <c r="Z3489" s="238">
        <v>3.629400180192266E-2</v>
      </c>
      <c r="AA3489" s="240">
        <v>3.5636994134204958E-2</v>
      </c>
    </row>
    <row r="3490" spans="19:27" x14ac:dyDescent="0.2">
      <c r="S3490" s="199"/>
      <c r="T3490" s="200"/>
      <c r="W3490" s="233" t="str">
        <f t="shared" si="61"/>
        <v>1w</v>
      </c>
      <c r="X3490" s="234">
        <f>_xll.qlCalendarAdvance(Calendar,X3489,W3490,"f",FALSE)</f>
        <v>63312</v>
      </c>
      <c r="Y3490" s="237">
        <f>_xll.qlCalendarAdvance(Calendar,X3490,NDays&amp;"D")</f>
        <v>63312</v>
      </c>
      <c r="Z3490" s="238">
        <v>3.6294494196171145E-2</v>
      </c>
      <c r="AA3490" s="240">
        <v>3.5637828190882015E-2</v>
      </c>
    </row>
    <row r="3491" spans="19:27" x14ac:dyDescent="0.2">
      <c r="S3491" s="199"/>
      <c r="T3491" s="200"/>
      <c r="W3491" s="233" t="str">
        <f t="shared" si="61"/>
        <v>1w</v>
      </c>
      <c r="X3491" s="234">
        <f>_xll.qlCalendarAdvance(Calendar,X3490,W3491,"f",FALSE)</f>
        <v>63319</v>
      </c>
      <c r="Y3491" s="237">
        <f>_xll.qlCalendarAdvance(Calendar,X3491,NDays&amp;"D")</f>
        <v>63319</v>
      </c>
      <c r="Z3491" s="238">
        <v>3.6294972288736016E-2</v>
      </c>
      <c r="AA3491" s="240">
        <v>3.5638648445296406E-2</v>
      </c>
    </row>
    <row r="3492" spans="19:27" x14ac:dyDescent="0.2">
      <c r="S3492" s="199"/>
      <c r="T3492" s="200"/>
      <c r="W3492" s="233" t="str">
        <f t="shared" si="61"/>
        <v>1w</v>
      </c>
      <c r="X3492" s="234">
        <f>_xll.qlCalendarAdvance(Calendar,X3491,W3492,"f",FALSE)</f>
        <v>63326</v>
      </c>
      <c r="Y3492" s="237">
        <f>_xll.qlCalendarAdvance(Calendar,X3492,NDays&amp;"D")</f>
        <v>63326</v>
      </c>
      <c r="Z3492" s="238">
        <v>3.6295436079597065E-2</v>
      </c>
      <c r="AA3492" s="240">
        <v>3.5639454897448131E-2</v>
      </c>
    </row>
    <row r="3493" spans="19:27" x14ac:dyDescent="0.2">
      <c r="S3493" s="199"/>
      <c r="T3493" s="200"/>
      <c r="W3493" s="233" t="str">
        <f t="shared" si="61"/>
        <v>1w</v>
      </c>
      <c r="X3493" s="234">
        <f>_xll.qlCalendarAdvance(Calendar,X3492,W3493,"f",FALSE)</f>
        <v>63333</v>
      </c>
      <c r="Y3493" s="237">
        <f>_xll.qlCalendarAdvance(Calendar,X3493,NDays&amp;"D")</f>
        <v>63333</v>
      </c>
      <c r="Z3493" s="238">
        <v>3.6295885568735864E-2</v>
      </c>
      <c r="AA3493" s="240">
        <v>3.5640247547175097E-2</v>
      </c>
    </row>
    <row r="3494" spans="19:27" x14ac:dyDescent="0.2">
      <c r="S3494" s="199"/>
      <c r="T3494" s="200"/>
      <c r="W3494" s="233" t="str">
        <f t="shared" si="61"/>
        <v>1w</v>
      </c>
      <c r="X3494" s="234">
        <f>_xll.qlCalendarAdvance(Calendar,X3493,W3494,"f",FALSE)</f>
        <v>63340</v>
      </c>
      <c r="Y3494" s="237">
        <f>_xll.qlCalendarAdvance(Calendar,X3494,NDays&amp;"D")</f>
        <v>63340</v>
      </c>
      <c r="Z3494" s="238">
        <v>3.6296320756133094E-2</v>
      </c>
      <c r="AA3494" s="240">
        <v>3.5641026394477304E-2</v>
      </c>
    </row>
    <row r="3495" spans="19:27" x14ac:dyDescent="0.2">
      <c r="S3495" s="199"/>
      <c r="T3495" s="200"/>
      <c r="W3495" s="233" t="str">
        <f t="shared" si="61"/>
        <v>1w</v>
      </c>
      <c r="X3495" s="234">
        <f>_xll.qlCalendarAdvance(Calendar,X3494,W3495,"f",FALSE)</f>
        <v>63347</v>
      </c>
      <c r="Y3495" s="237">
        <f>_xll.qlCalendarAdvance(Calendar,X3495,NDays&amp;"D")</f>
        <v>63347</v>
      </c>
      <c r="Z3495" s="238">
        <v>3.6296741641770547E-2</v>
      </c>
      <c r="AA3495" s="240">
        <v>3.5641791439435799E-2</v>
      </c>
    </row>
    <row r="3496" spans="19:27" x14ac:dyDescent="0.2">
      <c r="S3496" s="199"/>
      <c r="T3496" s="200"/>
      <c r="W3496" s="233" t="str">
        <f t="shared" si="61"/>
        <v>1w</v>
      </c>
      <c r="X3496" s="234">
        <f>_xll.qlCalendarAdvance(Calendar,X3495,W3496,"f",FALSE)</f>
        <v>63354</v>
      </c>
      <c r="Y3496" s="237">
        <f>_xll.qlCalendarAdvance(Calendar,X3496,NDays&amp;"D")</f>
        <v>63354</v>
      </c>
      <c r="Z3496" s="238">
        <v>3.6297148225631126E-2</v>
      </c>
      <c r="AA3496" s="240">
        <v>3.5642542682131628E-2</v>
      </c>
    </row>
    <row r="3497" spans="19:27" x14ac:dyDescent="0.2">
      <c r="W3497" s="233" t="str">
        <f t="shared" si="61"/>
        <v>1w</v>
      </c>
      <c r="X3497" s="234">
        <f>_xll.qlCalendarAdvance(Calendar,X3496,W3497,"f",FALSE)</f>
        <v>63361</v>
      </c>
      <c r="Y3497" s="237">
        <f>_xll.qlCalendarAdvance(Calendar,X3497,NDays&amp;"D")</f>
        <v>63361</v>
      </c>
      <c r="Z3497" s="238">
        <v>3.62975405076984E-2</v>
      </c>
      <c r="AA3497" s="240">
        <v>3.5643280122402698E-2</v>
      </c>
    </row>
    <row r="3498" spans="19:27" x14ac:dyDescent="0.2">
      <c r="W3498" s="233" t="str">
        <f t="shared" si="61"/>
        <v>1w</v>
      </c>
      <c r="X3498" s="234">
        <f>_xll.qlCalendarAdvance(Calendar,X3497,W3498,"f",FALSE)</f>
        <v>63368</v>
      </c>
      <c r="Y3498" s="237">
        <f>_xll.qlCalendarAdvance(Calendar,X3498,NDays&amp;"D")</f>
        <v>63368</v>
      </c>
      <c r="Z3498" s="238" t="e">
        <v>#N/A</v>
      </c>
      <c r="AA3498" s="240">
        <v>3.5644003760167964E-2</v>
      </c>
    </row>
    <row r="3499" spans="19:27" x14ac:dyDescent="0.2">
      <c r="W3499" s="233" t="str">
        <f t="shared" si="61"/>
        <v>1w</v>
      </c>
      <c r="X3499" s="234">
        <f>_xll.qlCalendarAdvance(Calendar,X3498,W3499,"f",FALSE)</f>
        <v>63375</v>
      </c>
      <c r="Y3499" s="237">
        <f>_xll.qlCalendarAdvance(Calendar,X3499,NDays&amp;"D")</f>
        <v>63375</v>
      </c>
      <c r="Z3499" s="238" t="e">
        <v>#N/A</v>
      </c>
      <c r="AA3499" s="240">
        <v>3.5644713595751609E-2</v>
      </c>
    </row>
    <row r="3500" spans="19:27" x14ac:dyDescent="0.2">
      <c r="W3500" s="233" t="str">
        <f t="shared" si="61"/>
        <v>1w</v>
      </c>
      <c r="X3500" s="234">
        <f>_xll.qlCalendarAdvance(Calendar,X3499,W3500,"f",FALSE)</f>
        <v>63382</v>
      </c>
      <c r="Y3500" s="237">
        <f>_xll.qlCalendarAdvance(Calendar,X3500,NDays&amp;"D")</f>
        <v>63382</v>
      </c>
      <c r="Z3500" s="238" t="e">
        <v>#N/A</v>
      </c>
      <c r="AA3500" s="240">
        <v>3.5645409628910496E-2</v>
      </c>
    </row>
    <row r="3501" spans="19:27" x14ac:dyDescent="0.2">
      <c r="W3501" s="233" t="str">
        <f t="shared" si="61"/>
        <v>1w</v>
      </c>
      <c r="X3501" s="234">
        <f>_xll.qlCalendarAdvance(Calendar,X3500,W3501,"f",FALSE)</f>
        <v>63389</v>
      </c>
      <c r="Y3501" s="237">
        <f>_xll.qlCalendarAdvance(Calendar,X3501,NDays&amp;"D")</f>
        <v>63389</v>
      </c>
      <c r="Z3501" s="238" t="e">
        <v>#N/A</v>
      </c>
      <c r="AA3501" s="240">
        <v>3.5646091859806717E-2</v>
      </c>
    </row>
    <row r="3502" spans="19:27" x14ac:dyDescent="0.2">
      <c r="W3502" s="233" t="str">
        <f t="shared" si="61"/>
        <v>1w</v>
      </c>
      <c r="X3502" s="234">
        <f>_xll.qlCalendarAdvance(Calendar,X3501,W3502,"f",FALSE)</f>
        <v>63396</v>
      </c>
      <c r="Y3502" s="237">
        <f>_xll.qlCalendarAdvance(Calendar,X3502,NDays&amp;"D")</f>
        <v>63396</v>
      </c>
      <c r="Z3502" s="238" t="e">
        <v>#N/A</v>
      </c>
      <c r="AA3502" s="240">
        <v>3.5646760288278179E-2</v>
      </c>
    </row>
    <row r="3503" spans="19:27" x14ac:dyDescent="0.2">
      <c r="W3503" s="233" t="str">
        <f t="shared" si="61"/>
        <v>1w</v>
      </c>
      <c r="X3503" s="234">
        <f>_xll.qlCalendarAdvance(Calendar,X3502,W3503,"f",FALSE)</f>
        <v>63403</v>
      </c>
      <c r="Y3503" s="237">
        <f>_xll.qlCalendarAdvance(Calendar,X3503,NDays&amp;"D")</f>
        <v>63403</v>
      </c>
      <c r="Z3503" s="238" t="e">
        <v>#N/A</v>
      </c>
      <c r="AA3503" s="240">
        <v>3.5647414914486975E-2</v>
      </c>
    </row>
    <row r="3504" spans="19:27" x14ac:dyDescent="0.2">
      <c r="W3504" s="233" t="str">
        <f t="shared" si="61"/>
        <v>1w</v>
      </c>
      <c r="X3504" s="234">
        <f>_xll.qlCalendarAdvance(Calendar,X3503,W3504,"f",FALSE)</f>
        <v>63410</v>
      </c>
      <c r="Y3504" s="237">
        <f>_xll.qlCalendarAdvance(Calendar,X3504,NDays&amp;"D")</f>
        <v>63410</v>
      </c>
      <c r="Z3504" s="238" t="e">
        <v>#N/A</v>
      </c>
      <c r="AA3504" s="240">
        <v>3.5648055738352058E-2</v>
      </c>
    </row>
    <row r="3505" spans="23:27" x14ac:dyDescent="0.2">
      <c r="W3505" s="233" t="str">
        <f t="shared" si="61"/>
        <v>1w</v>
      </c>
      <c r="X3505" s="234">
        <f>_xll.qlCalendarAdvance(Calendar,X3504,W3505,"f",FALSE)</f>
        <v>63417</v>
      </c>
      <c r="Y3505" s="237">
        <f>_xll.qlCalendarAdvance(Calendar,X3505,NDays&amp;"D")</f>
        <v>63417</v>
      </c>
      <c r="Z3505" s="238" t="e">
        <v>#N/A</v>
      </c>
      <c r="AA3505" s="240">
        <v>3.5648682759549244E-2</v>
      </c>
    </row>
    <row r="3506" spans="23:27" x14ac:dyDescent="0.2">
      <c r="W3506" s="233" t="str">
        <f t="shared" si="61"/>
        <v>1w</v>
      </c>
      <c r="X3506" s="234">
        <f>_xll.qlCalendarAdvance(Calendar,X3505,W3506,"f",FALSE)</f>
        <v>63424</v>
      </c>
      <c r="Y3506" s="237">
        <f>_xll.qlCalendarAdvance(Calendar,X3506,NDays&amp;"D")</f>
        <v>63424</v>
      </c>
      <c r="Z3506" s="238" t="e">
        <v>#N/A</v>
      </c>
      <c r="AA3506" s="240">
        <v>3.5649295978807949E-2</v>
      </c>
    </row>
    <row r="3507" spans="23:27" x14ac:dyDescent="0.2">
      <c r="W3507" s="233" t="str">
        <f t="shared" si="61"/>
        <v>1w</v>
      </c>
      <c r="X3507" s="234">
        <f>_xll.qlCalendarAdvance(Calendar,X3506,W3507,"f",FALSE)</f>
        <v>63431</v>
      </c>
      <c r="Y3507" s="237">
        <f>_xll.qlCalendarAdvance(Calendar,X3507,NDays&amp;"D")</f>
        <v>63431</v>
      </c>
      <c r="Z3507" s="238" t="e">
        <v>#N/A</v>
      </c>
      <c r="AA3507" s="240">
        <v>3.5649895395479803E-2</v>
      </c>
    </row>
    <row r="3508" spans="23:27" x14ac:dyDescent="0.2">
      <c r="W3508" s="233" t="str">
        <f t="shared" si="61"/>
        <v>1w</v>
      </c>
      <c r="X3508" s="234">
        <f>_xll.qlCalendarAdvance(Calendar,X3507,W3508,"f",FALSE)</f>
        <v>63438</v>
      </c>
      <c r="Y3508" s="237">
        <f>_xll.qlCalendarAdvance(Calendar,X3508,NDays&amp;"D")</f>
        <v>63438</v>
      </c>
      <c r="Z3508" s="238" t="e">
        <v>#N/A</v>
      </c>
      <c r="AA3508" s="240">
        <v>3.5650481009726898E-2</v>
      </c>
    </row>
    <row r="3509" spans="23:27" x14ac:dyDescent="0.2">
      <c r="W3509" s="233" t="str">
        <f t="shared" si="61"/>
        <v>1w</v>
      </c>
      <c r="X3509" s="234">
        <f>_xll.qlCalendarAdvance(Calendar,X3508,W3509,"f",FALSE)</f>
        <v>63445</v>
      </c>
      <c r="Y3509" s="237">
        <f>_xll.qlCalendarAdvance(Calendar,X3509,NDays&amp;"D")</f>
        <v>63445</v>
      </c>
      <c r="Z3509" s="238" t="e">
        <v>#N/A</v>
      </c>
      <c r="AA3509" s="240">
        <v>3.5651052821711327E-2</v>
      </c>
    </row>
    <row r="3510" spans="23:27" x14ac:dyDescent="0.2">
      <c r="W3510" s="233" t="str">
        <f t="shared" si="61"/>
        <v>1w</v>
      </c>
      <c r="X3510" s="234">
        <f>_xll.qlCalendarAdvance(Calendar,X3509,W3510,"f",FALSE)</f>
        <v>63452</v>
      </c>
      <c r="Y3510" s="237">
        <f>_xll.qlCalendarAdvance(Calendar,X3510,NDays&amp;"D")</f>
        <v>63452</v>
      </c>
      <c r="Z3510" s="238" t="e">
        <v>#N/A</v>
      </c>
      <c r="AA3510" s="240">
        <v>3.5651610831352043E-2</v>
      </c>
    </row>
    <row r="3511" spans="23:27" x14ac:dyDescent="0.2">
      <c r="W3511" s="233" t="str">
        <f t="shared" si="61"/>
        <v>1w</v>
      </c>
      <c r="X3511" s="234">
        <f>_xll.qlCalendarAdvance(Calendar,X3510,W3511,"f",FALSE)</f>
        <v>63459</v>
      </c>
      <c r="Y3511" s="237">
        <f>_xll.qlCalendarAdvance(Calendar,X3511,NDays&amp;"D")</f>
        <v>63459</v>
      </c>
      <c r="Z3511" s="238" t="e">
        <v>#N/A</v>
      </c>
      <c r="AA3511" s="240">
        <v>3.5652155038649047E-2</v>
      </c>
    </row>
    <row r="3512" spans="23:27" x14ac:dyDescent="0.2">
      <c r="W3512" s="233" t="str">
        <f t="shared" si="61"/>
        <v>1w</v>
      </c>
      <c r="X3512" s="234">
        <f>_xll.qlCalendarAdvance(Calendar,X3511,W3512,"f",FALSE)</f>
        <v>63466</v>
      </c>
      <c r="Y3512" s="237">
        <f>_xll.qlCalendarAdvance(Calendar,X3512,NDays&amp;"D")</f>
        <v>63466</v>
      </c>
      <c r="Z3512" s="238" t="e">
        <v>#N/A</v>
      </c>
      <c r="AA3512" s="240">
        <v>3.5652685443440246E-2</v>
      </c>
    </row>
    <row r="3513" spans="23:27" x14ac:dyDescent="0.2">
      <c r="W3513" s="233" t="str">
        <f t="shared" si="61"/>
        <v>1w</v>
      </c>
      <c r="X3513" s="234">
        <f>_xll.qlCalendarAdvance(Calendar,X3512,W3513,"f",FALSE)</f>
        <v>63473</v>
      </c>
      <c r="Y3513" s="237">
        <f>_xll.qlCalendarAdvance(Calendar,X3513,NDays&amp;"D")</f>
        <v>63473</v>
      </c>
      <c r="Z3513" s="238" t="e">
        <v>#N/A</v>
      </c>
      <c r="AA3513" s="240">
        <v>3.5653202046211918E-2</v>
      </c>
    </row>
    <row r="3514" spans="23:27" x14ac:dyDescent="0.2">
      <c r="W3514" s="233" t="str">
        <f t="shared" si="61"/>
        <v>1w</v>
      </c>
      <c r="X3514" s="234">
        <f>_xll.qlCalendarAdvance(Calendar,X3513,W3514,"f",FALSE)</f>
        <v>63480</v>
      </c>
      <c r="Y3514" s="237">
        <f>_xll.qlCalendarAdvance(Calendar,X3514,NDays&amp;"D")</f>
        <v>63480</v>
      </c>
      <c r="Z3514" s="238" t="e">
        <v>#N/A</v>
      </c>
      <c r="AA3514" s="240">
        <v>3.5653704846396739E-2</v>
      </c>
    </row>
    <row r="3515" spans="23:27" x14ac:dyDescent="0.2">
      <c r="W3515" s="233" t="str">
        <f t="shared" si="61"/>
        <v>1w</v>
      </c>
      <c r="X3515" s="234">
        <f>_xll.qlCalendarAdvance(Calendar,X3514,W3515,"f",FALSE)</f>
        <v>63487</v>
      </c>
      <c r="Y3515" s="237">
        <f>_xll.qlCalendarAdvance(Calendar,X3515,NDays&amp;"D")</f>
        <v>63487</v>
      </c>
      <c r="Z3515" s="238" t="e">
        <v>#N/A</v>
      </c>
      <c r="AA3515" s="240">
        <v>3.5654193844237847E-2</v>
      </c>
    </row>
    <row r="3516" spans="23:27" x14ac:dyDescent="0.2">
      <c r="W3516" s="233" t="str">
        <f t="shared" si="61"/>
        <v>1w</v>
      </c>
      <c r="X3516" s="234">
        <f>_xll.qlCalendarAdvance(Calendar,X3515,W3516,"f",FALSE)</f>
        <v>63494</v>
      </c>
      <c r="Y3516" s="237">
        <f>_xll.qlCalendarAdvance(Calendar,X3516,NDays&amp;"D")</f>
        <v>63494</v>
      </c>
      <c r="Z3516" s="238" t="e">
        <v>#N/A</v>
      </c>
      <c r="AA3516" s="240">
        <v>3.5654669039654197E-2</v>
      </c>
    </row>
    <row r="3517" spans="23:27" x14ac:dyDescent="0.2">
      <c r="W3517" s="233" t="str">
        <f t="shared" si="61"/>
        <v>1w</v>
      </c>
      <c r="X3517" s="234">
        <f>_xll.qlCalendarAdvance(Calendar,X3516,W3517,"f",FALSE)</f>
        <v>63501</v>
      </c>
      <c r="Y3517" s="237">
        <f>_xll.qlCalendarAdvance(Calendar,X3517,NDays&amp;"D")</f>
        <v>63501</v>
      </c>
      <c r="Z3517" s="238" t="e">
        <v>#N/A</v>
      </c>
      <c r="AA3517" s="240">
        <v>3.5655130432888926E-2</v>
      </c>
    </row>
    <row r="3518" spans="23:27" x14ac:dyDescent="0.2">
      <c r="W3518" s="233" t="str">
        <f t="shared" si="61"/>
        <v>1w</v>
      </c>
      <c r="X3518" s="234">
        <f>_xll.qlCalendarAdvance(Calendar,X3517,W3518,"f",FALSE)</f>
        <v>63508</v>
      </c>
      <c r="Y3518" s="237">
        <f>_xll.qlCalendarAdvance(Calendar,X3518,NDays&amp;"D")</f>
        <v>63508</v>
      </c>
      <c r="Z3518" s="238" t="e">
        <v>#N/A</v>
      </c>
      <c r="AA3518" s="240">
        <v>3.5655578023617851E-2</v>
      </c>
    </row>
    <row r="3519" spans="23:27" x14ac:dyDescent="0.2">
      <c r="W3519" s="233" t="str">
        <f t="shared" si="61"/>
        <v>1w</v>
      </c>
      <c r="X3519" s="234">
        <f>_xll.qlCalendarAdvance(Calendar,X3518,W3519,"f",FALSE)</f>
        <v>63515</v>
      </c>
      <c r="Y3519" s="237">
        <f>_xll.qlCalendarAdvance(Calendar,X3519,NDays&amp;"D")</f>
        <v>63515</v>
      </c>
      <c r="Z3519" s="238" t="e">
        <v>#N/A</v>
      </c>
      <c r="AA3519" s="240">
        <v>3.5656011811840971E-2</v>
      </c>
    </row>
    <row r="3520" spans="23:27" x14ac:dyDescent="0.2">
      <c r="W3520" s="233" t="str">
        <f t="shared" si="61"/>
        <v>1w</v>
      </c>
      <c r="X3520" s="234">
        <f>_xll.qlCalendarAdvance(Calendar,X3519,W3520,"f",FALSE)</f>
        <v>63522</v>
      </c>
      <c r="Y3520" s="237">
        <f>_xll.qlCalendarAdvance(Calendar,X3520,NDays&amp;"D")</f>
        <v>63522</v>
      </c>
      <c r="Z3520" s="238" t="e">
        <v>#N/A</v>
      </c>
      <c r="AA3520" s="240">
        <v>3.5656431797963517E-2</v>
      </c>
    </row>
    <row r="3521" spans="23:27" x14ac:dyDescent="0.2">
      <c r="W3521" s="233" t="str">
        <f t="shared" si="61"/>
        <v>1w</v>
      </c>
      <c r="X3521" s="234">
        <f>_xll.qlCalendarAdvance(Calendar,X3520,W3521,"f",FALSE)</f>
        <v>63529</v>
      </c>
      <c r="Y3521" s="237">
        <f>_xll.qlCalendarAdvance(Calendar,X3521,NDays&amp;"D")</f>
        <v>63529</v>
      </c>
      <c r="Z3521" s="238" t="e">
        <v>#N/A</v>
      </c>
      <c r="AA3521" s="240">
        <v>3.5656837981742351E-2</v>
      </c>
    </row>
    <row r="3522" spans="23:27" x14ac:dyDescent="0.2">
      <c r="W3522" s="233" t="str">
        <f t="shared" si="61"/>
        <v>1w</v>
      </c>
      <c r="X3522" s="234">
        <f>_xll.qlCalendarAdvance(Calendar,X3521,W3522,"f",FALSE)</f>
        <v>63536</v>
      </c>
      <c r="Y3522" s="237">
        <f>_xll.qlCalendarAdvance(Calendar,X3522,NDays&amp;"D")</f>
        <v>63536</v>
      </c>
      <c r="Z3522" s="238" t="e">
        <v>#N/A</v>
      </c>
      <c r="AA3522" s="240">
        <v>3.5657230363096426E-2</v>
      </c>
    </row>
    <row r="3523" spans="23:27" x14ac:dyDescent="0.2">
      <c r="W3523" s="233" t="str">
        <f t="shared" si="61"/>
        <v>1w</v>
      </c>
      <c r="X3523" s="234">
        <f>_xll.qlCalendarAdvance(Calendar,X3522,W3523,"f",FALSE)</f>
        <v>63543</v>
      </c>
      <c r="Y3523" s="237">
        <f>_xll.qlCalendarAdvance(Calendar,X3523,NDays&amp;"D")</f>
        <v>63543</v>
      </c>
      <c r="Z3523" s="238" t="e">
        <v>#N/A</v>
      </c>
      <c r="AA3523" s="240">
        <v>3.5657608942025742E-2</v>
      </c>
    </row>
    <row r="3524" spans="23:27" x14ac:dyDescent="0.2">
      <c r="W3524" s="233" t="str">
        <f t="shared" si="61"/>
        <v>1w</v>
      </c>
      <c r="X3524" s="234">
        <f>_xll.qlCalendarAdvance(Calendar,X3523,W3524,"f",FALSE)</f>
        <v>63550</v>
      </c>
      <c r="Y3524" s="237">
        <f>_xll.qlCalendarAdvance(Calendar,X3524,NDays&amp;"D")</f>
        <v>63550</v>
      </c>
      <c r="Z3524" s="238" t="e">
        <v>#N/A</v>
      </c>
      <c r="AA3524" s="240">
        <v>3.5657973718692393E-2</v>
      </c>
    </row>
    <row r="3525" spans="23:27" x14ac:dyDescent="0.2">
      <c r="W3525" s="233" t="str">
        <f t="shared" si="61"/>
        <v>1w</v>
      </c>
      <c r="X3525" s="234">
        <f>_xll.qlCalendarAdvance(Calendar,X3524,W3525,"f",FALSE)</f>
        <v>63557</v>
      </c>
      <c r="Y3525" s="237">
        <f>_xll.qlCalendarAdvance(Calendar,X3525,NDays&amp;"D")</f>
        <v>63557</v>
      </c>
      <c r="Z3525" s="238" t="e">
        <v>#N/A</v>
      </c>
      <c r="AA3525" s="240">
        <v>3.5658324692853238E-2</v>
      </c>
    </row>
    <row r="3526" spans="23:27" x14ac:dyDescent="0.2">
      <c r="W3526" s="233" t="str">
        <f t="shared" si="61"/>
        <v>1w</v>
      </c>
      <c r="X3526" s="234">
        <f>_xll.qlCalendarAdvance(Calendar,X3525,W3526,"f",FALSE)</f>
        <v>63564</v>
      </c>
      <c r="Y3526" s="237">
        <f>_xll.qlCalendarAdvance(Calendar,X3526,NDays&amp;"D")</f>
        <v>63564</v>
      </c>
      <c r="Z3526" s="238" t="e">
        <v>#N/A</v>
      </c>
      <c r="AA3526" s="240">
        <v>3.5658661864751418E-2</v>
      </c>
    </row>
    <row r="3527" spans="23:27" x14ac:dyDescent="0.2">
      <c r="W3527" s="233" t="str">
        <f t="shared" si="61"/>
        <v>1w</v>
      </c>
      <c r="X3527" s="234">
        <f>_xll.qlCalendarAdvance(Calendar,X3526,W3527,"f",FALSE)</f>
        <v>63571</v>
      </c>
      <c r="Y3527" s="237">
        <f>_xll.qlCalendarAdvance(Calendar,X3527,NDays&amp;"D")</f>
        <v>63571</v>
      </c>
      <c r="Z3527" s="238" t="e">
        <v>#N/A</v>
      </c>
      <c r="AA3527" s="240">
        <v>3.5658985234305884E-2</v>
      </c>
    </row>
    <row r="3528" spans="23:27" x14ac:dyDescent="0.2">
      <c r="W3528" s="233" t="str">
        <f t="shared" si="61"/>
        <v>1w</v>
      </c>
      <c r="X3528" s="234">
        <f>_xll.qlCalendarAdvance(Calendar,X3527,W3528,"f",FALSE)</f>
        <v>63578</v>
      </c>
      <c r="Y3528" s="237">
        <f>_xll.qlCalendarAdvance(Calendar,X3528,NDays&amp;"D")</f>
        <v>63578</v>
      </c>
      <c r="Z3528" s="238" t="e">
        <v>#N/A</v>
      </c>
      <c r="AA3528" s="240">
        <v>3.5659294801516639E-2</v>
      </c>
    </row>
    <row r="3529" spans="23:27" x14ac:dyDescent="0.2">
      <c r="W3529" s="233" t="str">
        <f t="shared" si="61"/>
        <v>1w</v>
      </c>
      <c r="X3529" s="234">
        <f>_xll.qlCalendarAdvance(Calendar,X3528,W3529,"f",FALSE)</f>
        <v>63585</v>
      </c>
      <c r="Y3529" s="237">
        <f>_xll.qlCalendarAdvance(Calendar,X3529,NDays&amp;"D")</f>
        <v>63585</v>
      </c>
      <c r="Z3529" s="238" t="e">
        <v>#N/A</v>
      </c>
      <c r="AA3529" s="240">
        <v>3.5659590566383681E-2</v>
      </c>
    </row>
    <row r="3530" spans="23:27" x14ac:dyDescent="0.2">
      <c r="W3530" s="233" t="str">
        <f t="shared" si="61"/>
        <v>1w</v>
      </c>
      <c r="X3530" s="234">
        <f>_xll.qlCalendarAdvance(Calendar,X3529,W3530,"f",FALSE)</f>
        <v>63592</v>
      </c>
      <c r="Y3530" s="237">
        <f>_xll.qlCalendarAdvance(Calendar,X3530,NDays&amp;"D")</f>
        <v>63592</v>
      </c>
      <c r="Z3530" s="238" t="e">
        <v>#N/A</v>
      </c>
      <c r="AA3530" s="240">
        <v>3.5659872528744918E-2</v>
      </c>
    </row>
    <row r="3531" spans="23:27" x14ac:dyDescent="0.2">
      <c r="W3531" s="233" t="str">
        <f t="shared" si="61"/>
        <v>1w</v>
      </c>
      <c r="X3531" s="234">
        <f>_xll.qlCalendarAdvance(Calendar,X3530,W3531,"f",FALSE)</f>
        <v>63599</v>
      </c>
      <c r="Y3531" s="237">
        <f>_xll.qlCalendarAdvance(Calendar,X3531,NDays&amp;"D")</f>
        <v>63599</v>
      </c>
      <c r="Z3531" s="238" t="e">
        <v>#N/A</v>
      </c>
      <c r="AA3531" s="240">
        <v>3.5660140688924535E-2</v>
      </c>
    </row>
    <row r="3532" spans="23:27" x14ac:dyDescent="0.2">
      <c r="W3532" s="233" t="str">
        <f t="shared" si="61"/>
        <v>1w</v>
      </c>
      <c r="X3532" s="234">
        <f>_xll.qlCalendarAdvance(Calendar,X3531,W3532,"f",FALSE)</f>
        <v>63606</v>
      </c>
      <c r="Y3532" s="237">
        <f>_xll.qlCalendarAdvance(Calendar,X3532,NDays&amp;"D")</f>
        <v>63606</v>
      </c>
      <c r="Z3532" s="238" t="e">
        <v>#N/A</v>
      </c>
      <c r="AA3532" s="240">
        <v>3.566039504676044E-2</v>
      </c>
    </row>
    <row r="3533" spans="23:27" x14ac:dyDescent="0.2">
      <c r="W3533" s="233" t="str">
        <f t="shared" si="61"/>
        <v>1w</v>
      </c>
      <c r="X3533" s="234">
        <f>_xll.qlCalendarAdvance(Calendar,X3532,W3533,"f",FALSE)</f>
        <v>63613</v>
      </c>
      <c r="Y3533" s="237">
        <f>_xll.qlCalendarAdvance(Calendar,X3533,NDays&amp;"D")</f>
        <v>63613</v>
      </c>
      <c r="Z3533" s="238" t="e">
        <v>#N/A</v>
      </c>
      <c r="AA3533" s="240">
        <v>3.566063560209054E-2</v>
      </c>
    </row>
    <row r="3534" spans="23:27" x14ac:dyDescent="0.2">
      <c r="W3534" s="233" t="str">
        <f t="shared" si="61"/>
        <v>1w</v>
      </c>
      <c r="X3534" s="234">
        <f>_xll.qlCalendarAdvance(Calendar,X3533,W3534,"f",FALSE)</f>
        <v>63620</v>
      </c>
      <c r="Y3534" s="237">
        <f>_xll.qlCalendarAdvance(Calendar,X3534,NDays&amp;"D")</f>
        <v>63620</v>
      </c>
      <c r="Z3534" s="238" t="e">
        <v>#N/A</v>
      </c>
      <c r="AA3534" s="240">
        <v>3.5660862354995881E-2</v>
      </c>
    </row>
    <row r="3535" spans="23:27" x14ac:dyDescent="0.2">
      <c r="W3535" s="233" t="str">
        <f t="shared" si="61"/>
        <v>1w</v>
      </c>
      <c r="X3535" s="234">
        <f>_xll.qlCalendarAdvance(Calendar,X3534,W3535,"f",FALSE)</f>
        <v>63627</v>
      </c>
      <c r="Y3535" s="237">
        <f>_xll.qlCalendarAdvance(Calendar,X3535,NDays&amp;"D")</f>
        <v>63627</v>
      </c>
      <c r="Z3535" s="238" t="e">
        <v>#N/A</v>
      </c>
      <c r="AA3535" s="240">
        <v>3.5661075305881695E-2</v>
      </c>
    </row>
    <row r="3536" spans="23:27" x14ac:dyDescent="0.2">
      <c r="W3536" s="233" t="str">
        <f t="shared" si="61"/>
        <v>1w</v>
      </c>
      <c r="X3536" s="234">
        <f>_xll.qlCalendarAdvance(Calendar,X3535,W3536,"f",FALSE)</f>
        <v>63634</v>
      </c>
      <c r="Y3536" s="237">
        <f>_xll.qlCalendarAdvance(Calendar,X3536,NDays&amp;"D")</f>
        <v>63634</v>
      </c>
      <c r="Z3536" s="238" t="e">
        <v>#N/A</v>
      </c>
      <c r="AA3536" s="240">
        <v>3.5661274454099612E-2</v>
      </c>
    </row>
    <row r="3537" spans="2:27" x14ac:dyDescent="0.2">
      <c r="W3537" s="233" t="str">
        <f t="shared" si="61"/>
        <v>1w</v>
      </c>
      <c r="X3537" s="234">
        <f>_xll.qlCalendarAdvance(Calendar,X3536,W3537,"f",FALSE)</f>
        <v>63641</v>
      </c>
      <c r="Y3537" s="237">
        <f>_xll.qlCalendarAdvance(Calendar,X3537,NDays&amp;"D")</f>
        <v>63641</v>
      </c>
      <c r="Z3537" s="238" t="e">
        <v>#N/A</v>
      </c>
      <c r="AA3537" s="240">
        <v>3.5661459799973816E-2</v>
      </c>
    </row>
    <row r="3538" spans="2:27" x14ac:dyDescent="0.2">
      <c r="W3538" s="233" t="str">
        <f t="shared" si="61"/>
        <v>1w</v>
      </c>
      <c r="X3538" s="234">
        <f>_xll.qlCalendarAdvance(Calendar,X3537,W3538,"f",FALSE)</f>
        <v>63648</v>
      </c>
      <c r="Y3538" s="237">
        <f>_xll.qlCalendarAdvance(Calendar,X3538,NDays&amp;"D")</f>
        <v>63648</v>
      </c>
      <c r="Z3538" s="238" t="e">
        <v>#N/A</v>
      </c>
      <c r="AA3538" s="240">
        <v>3.5661631343585354E-2</v>
      </c>
    </row>
    <row r="3539" spans="2:27" x14ac:dyDescent="0.2">
      <c r="W3539" s="233" t="str">
        <f t="shared" si="61"/>
        <v>1w</v>
      </c>
      <c r="X3539" s="234">
        <f>_xll.qlCalendarAdvance(Calendar,X3538,W3539,"f",FALSE)</f>
        <v>63655</v>
      </c>
      <c r="Y3539" s="237">
        <f>_xll.qlCalendarAdvance(Calendar,X3539,NDays&amp;"D")</f>
        <v>63655</v>
      </c>
      <c r="Z3539" s="238" t="e">
        <v>#N/A</v>
      </c>
      <c r="AA3539" s="240">
        <v>3.5661789084934226E-2</v>
      </c>
    </row>
    <row r="3540" spans="2:27" x14ac:dyDescent="0.2">
      <c r="W3540" s="233" t="str">
        <f t="shared" si="61"/>
        <v>1w</v>
      </c>
      <c r="X3540" s="234">
        <f>_xll.qlCalendarAdvance(Calendar,X3539,W3540,"f",FALSE)</f>
        <v>63662</v>
      </c>
      <c r="Y3540" s="237">
        <f>_xll.qlCalendarAdvance(Calendar,X3540,NDays&amp;"D")</f>
        <v>63662</v>
      </c>
      <c r="Z3540" s="238" t="e">
        <v>#N/A</v>
      </c>
      <c r="AA3540" s="240">
        <v>3.5661933023858339E-2</v>
      </c>
    </row>
    <row r="3541" spans="2:27" x14ac:dyDescent="0.2">
      <c r="W3541" s="233" t="str">
        <f t="shared" ref="W3541:W3552" si="62">W3540</f>
        <v>1w</v>
      </c>
      <c r="X3541" s="234">
        <f>_xll.qlCalendarAdvance(Calendar,X3540,W3541,"f",FALSE)</f>
        <v>63669</v>
      </c>
      <c r="Y3541" s="237">
        <f>_xll.qlCalendarAdvance(Calendar,X3541,NDays&amp;"D")</f>
        <v>63669</v>
      </c>
      <c r="Z3541" s="238" t="e">
        <v>#N/A</v>
      </c>
      <c r="AA3541" s="240">
        <v>3.5662063160357693E-2</v>
      </c>
    </row>
    <row r="3542" spans="2:27" x14ac:dyDescent="0.2">
      <c r="W3542" s="233" t="str">
        <f t="shared" si="62"/>
        <v>1w</v>
      </c>
      <c r="X3542" s="234">
        <f>_xll.qlCalendarAdvance(Calendar,X3541,W3542,"f",FALSE)</f>
        <v>63676</v>
      </c>
      <c r="Y3542" s="237">
        <f>_xll.qlCalendarAdvance(Calendar,X3542,NDays&amp;"D")</f>
        <v>63676</v>
      </c>
      <c r="Z3542" s="238" t="e">
        <v>#N/A</v>
      </c>
      <c r="AA3542" s="240">
        <v>3.5662179494513335E-2</v>
      </c>
    </row>
    <row r="3543" spans="2:27" x14ac:dyDescent="0.2">
      <c r="B3543" s="234"/>
      <c r="C3543" s="237"/>
      <c r="D3543" s="238"/>
      <c r="E3543" s="238"/>
      <c r="W3543" s="233" t="str">
        <f t="shared" si="62"/>
        <v>1w</v>
      </c>
      <c r="X3543" s="234">
        <f>_xll.qlCalendarAdvance(Calendar,X3542,W3543,"f",FALSE)</f>
        <v>63683</v>
      </c>
      <c r="Y3543" s="237">
        <f>_xll.qlCalendarAdvance(Calendar,X3543,NDays&amp;"D")</f>
        <v>63683</v>
      </c>
      <c r="Z3543" s="238" t="e">
        <v>#N/A</v>
      </c>
      <c r="AA3543" s="240">
        <v>3.5662282026406311E-2</v>
      </c>
    </row>
    <row r="3544" spans="2:27" x14ac:dyDescent="0.2">
      <c r="B3544" s="234"/>
      <c r="C3544" s="237"/>
      <c r="D3544" s="238"/>
      <c r="E3544" s="238"/>
      <c r="W3544" s="233" t="str">
        <f t="shared" si="62"/>
        <v>1w</v>
      </c>
      <c r="X3544" s="234">
        <f>_xll.qlCalendarAdvance(Calendar,X3543,W3544,"f",FALSE)</f>
        <v>63690</v>
      </c>
      <c r="Y3544" s="237">
        <f>_xll.qlCalendarAdvance(Calendar,X3544,NDays&amp;"D")</f>
        <v>63690</v>
      </c>
      <c r="Z3544" s="238" t="e">
        <v>#N/A</v>
      </c>
      <c r="AA3544" s="240">
        <v>3.5662370755793482E-2</v>
      </c>
    </row>
    <row r="3545" spans="2:27" x14ac:dyDescent="0.2">
      <c r="B3545" s="234"/>
      <c r="C3545" s="237"/>
      <c r="D3545" s="238"/>
      <c r="E3545" s="238"/>
      <c r="W3545" s="233" t="str">
        <f t="shared" si="62"/>
        <v>1w</v>
      </c>
      <c r="X3545" s="234">
        <f>_xll.qlCalendarAdvance(Calendar,X3544,W3545,"f",FALSE)</f>
        <v>63697</v>
      </c>
      <c r="Y3545" s="237">
        <f>_xll.qlCalendarAdvance(Calendar,X3545,NDays&amp;"D")</f>
        <v>63697</v>
      </c>
      <c r="Z3545" s="238" t="e">
        <v>#N/A</v>
      </c>
      <c r="AA3545" s="240">
        <v>3.5662445682755894E-2</v>
      </c>
    </row>
    <row r="3546" spans="2:27" x14ac:dyDescent="0.2">
      <c r="B3546" s="234"/>
      <c r="C3546" s="237"/>
      <c r="D3546" s="238"/>
      <c r="E3546" s="238"/>
      <c r="W3546" s="233" t="str">
        <f t="shared" si="62"/>
        <v>1w</v>
      </c>
      <c r="X3546" s="234">
        <f>_xll.qlCalendarAdvance(Calendar,X3545,W3546,"f",FALSE)</f>
        <v>63704</v>
      </c>
      <c r="Y3546" s="237">
        <f>_xll.qlCalendarAdvance(Calendar,X3546,NDays&amp;"D")</f>
        <v>63704</v>
      </c>
      <c r="Z3546" s="238" t="e">
        <v>#N/A</v>
      </c>
      <c r="AA3546" s="240">
        <v>3.5662506807698779E-2</v>
      </c>
    </row>
    <row r="3547" spans="2:27" x14ac:dyDescent="0.2">
      <c r="B3547" s="234"/>
      <c r="C3547" s="237"/>
      <c r="D3547" s="238"/>
      <c r="E3547" s="238"/>
      <c r="W3547" s="233" t="str">
        <f t="shared" si="62"/>
        <v>1w</v>
      </c>
      <c r="X3547" s="234">
        <f>_xll.qlCalendarAdvance(Calendar,X3546,W3547,"f",FALSE)</f>
        <v>63711</v>
      </c>
      <c r="Y3547" s="237">
        <f>_xll.qlCalendarAdvance(Calendar,X3547,NDays&amp;"D")</f>
        <v>63711</v>
      </c>
      <c r="Z3547" s="238" t="e">
        <v>#N/A</v>
      </c>
      <c r="AA3547" s="240">
        <v>3.5662554129973767E-2</v>
      </c>
    </row>
    <row r="3548" spans="2:27" x14ac:dyDescent="0.2">
      <c r="B3548" s="234"/>
      <c r="C3548" s="237"/>
      <c r="D3548" s="238"/>
      <c r="E3548" s="238"/>
      <c r="W3548" s="233" t="str">
        <f t="shared" si="62"/>
        <v>1w</v>
      </c>
      <c r="X3548" s="234">
        <f>_xll.qlCalendarAdvance(Calendar,X3547,W3548,"f",FALSE)</f>
        <v>63718</v>
      </c>
      <c r="Y3548" s="237">
        <f>_xll.qlCalendarAdvance(Calendar,X3548,NDays&amp;"D")</f>
        <v>63718</v>
      </c>
      <c r="Z3548" s="238" t="e">
        <v>#N/A</v>
      </c>
      <c r="AA3548" s="240">
        <v>3.5662587649986088E-2</v>
      </c>
    </row>
    <row r="3549" spans="2:27" x14ac:dyDescent="0.2">
      <c r="B3549" s="234"/>
      <c r="C3549" s="237"/>
      <c r="D3549" s="238"/>
      <c r="E3549" s="238"/>
      <c r="W3549" s="233" t="str">
        <f t="shared" si="62"/>
        <v>1w</v>
      </c>
      <c r="X3549" s="234">
        <f>_xll.qlCalendarAdvance(Calendar,X3548,W3549,"f",FALSE)</f>
        <v>63725</v>
      </c>
      <c r="Y3549" s="237">
        <f>_xll.qlCalendarAdvance(Calendar,X3549,NDays&amp;"D")</f>
        <v>63725</v>
      </c>
      <c r="Z3549" s="238" t="e">
        <v>#N/A</v>
      </c>
      <c r="AA3549" s="240">
        <v>3.5662607367492605E-2</v>
      </c>
    </row>
    <row r="3550" spans="2:27" x14ac:dyDescent="0.2">
      <c r="B3550" s="234"/>
      <c r="C3550" s="237"/>
      <c r="D3550" s="238"/>
      <c r="E3550" s="238"/>
      <c r="W3550" s="233" t="str">
        <f t="shared" si="62"/>
        <v>1w</v>
      </c>
      <c r="X3550" s="234">
        <f>_xll.qlCalendarAdvance(Calendar,X3549,W3550,"f",FALSE)</f>
        <v>63732</v>
      </c>
      <c r="Y3550" s="237">
        <f>_xll.qlCalendarAdvance(Calendar,X3550,NDays&amp;"D")</f>
        <v>63732</v>
      </c>
      <c r="Z3550" s="238" t="e">
        <v>#N/A</v>
      </c>
      <c r="AA3550" s="240" t="e">
        <v>#N/A</v>
      </c>
    </row>
    <row r="3551" spans="2:27" x14ac:dyDescent="0.2">
      <c r="B3551" s="234"/>
      <c r="C3551" s="237"/>
      <c r="D3551" s="238"/>
      <c r="E3551" s="238"/>
      <c r="W3551" s="233" t="str">
        <f t="shared" si="62"/>
        <v>1w</v>
      </c>
      <c r="X3551" s="234">
        <f>_xll.qlCalendarAdvance(Calendar,X3550,W3551,"f",FALSE)</f>
        <v>63739</v>
      </c>
      <c r="Y3551" s="237">
        <f>_xll.qlCalendarAdvance(Calendar,X3551,NDays&amp;"D")</f>
        <v>63739</v>
      </c>
      <c r="Z3551" s="238" t="e">
        <v>#N/A</v>
      </c>
      <c r="AA3551" s="240" t="e">
        <v>#N/A</v>
      </c>
    </row>
    <row r="3552" spans="2:27" ht="12" thickBot="1" x14ac:dyDescent="0.25">
      <c r="B3552" s="234"/>
      <c r="C3552" s="237"/>
      <c r="D3552" s="238"/>
      <c r="E3552" s="238"/>
      <c r="W3552" s="243" t="str">
        <f t="shared" si="62"/>
        <v>1w</v>
      </c>
      <c r="X3552" s="245">
        <f>_xll.qlCalendarAdvance(Calendar,X3551,W3552,"f",FALSE)</f>
        <v>63746</v>
      </c>
      <c r="Y3552" s="249">
        <f>_xll.qlCalendarAdvance(Calendar,X3552,NDays&amp;"D")</f>
        <v>63746</v>
      </c>
      <c r="Z3552" s="239" t="e">
        <v>#N/A</v>
      </c>
      <c r="AA3552" s="241" t="e">
        <v>#N/A</v>
      </c>
    </row>
    <row r="3553" spans="2:22" x14ac:dyDescent="0.2">
      <c r="B3553" s="234"/>
      <c r="C3553" s="237"/>
      <c r="D3553" s="238"/>
      <c r="E3553" s="238"/>
      <c r="V3553" s="244"/>
    </row>
    <row r="3554" spans="2:22" x14ac:dyDescent="0.2">
      <c r="B3554" s="234"/>
      <c r="C3554" s="237"/>
      <c r="D3554" s="238"/>
      <c r="E3554" s="238"/>
      <c r="V3554" s="244"/>
    </row>
    <row r="3555" spans="2:22" x14ac:dyDescent="0.2">
      <c r="B3555" s="234"/>
      <c r="C3555" s="237"/>
      <c r="D3555" s="238"/>
      <c r="E3555" s="238"/>
      <c r="V3555" s="244"/>
    </row>
    <row r="3556" spans="2:22" x14ac:dyDescent="0.2">
      <c r="B3556" s="234"/>
      <c r="C3556" s="237"/>
      <c r="D3556" s="238"/>
      <c r="E3556" s="238"/>
      <c r="V3556" s="244"/>
    </row>
    <row r="3557" spans="2:22" x14ac:dyDescent="0.2">
      <c r="B3557" s="234"/>
      <c r="C3557" s="237"/>
      <c r="D3557" s="238"/>
      <c r="E3557" s="238"/>
      <c r="V3557" s="244"/>
    </row>
    <row r="3558" spans="2:22" x14ac:dyDescent="0.2">
      <c r="B3558" s="234"/>
      <c r="C3558" s="237"/>
      <c r="D3558" s="238"/>
      <c r="E3558" s="238"/>
      <c r="V3558" s="244"/>
    </row>
    <row r="3559" spans="2:22" x14ac:dyDescent="0.2">
      <c r="B3559" s="234"/>
      <c r="C3559" s="237"/>
      <c r="D3559" s="238"/>
      <c r="E3559" s="238"/>
      <c r="V3559" s="244"/>
    </row>
    <row r="3560" spans="2:22" x14ac:dyDescent="0.2">
      <c r="B3560" s="234"/>
      <c r="C3560" s="237"/>
      <c r="D3560" s="238"/>
      <c r="E3560" s="238"/>
    </row>
  </sheetData>
  <dataConsolidate/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1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2014-06-27T09:18:29Z</dcterms:modified>
</cp:coreProperties>
</file>
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/>
  </bookViews>
  <sheets>
    <sheet name="General Settings" sheetId="56" r:id="rId1"/>
    <sheet name="EUR" sheetId="70" r:id="rId2"/>
    <sheet name="USD" sheetId="71" r:id="rId3"/>
    <sheet name="Euribor" sheetId="64" r:id="rId4"/>
    <sheet name="Euribor365" sheetId="65" r:id="rId5"/>
    <sheet name="EuriborSwapIsdaFixA" sheetId="66" r:id="rId6"/>
    <sheet name="EuriborSwapIsdaFixB" sheetId="67" r:id="rId7"/>
    <sheet name="EuriborSwapIfrFix" sheetId="68" r:id="rId8"/>
    <sheet name="Libor" sheetId="6" r:id="rId9"/>
    <sheet name="LiborSwapIsdaFixAm" sheetId="7" r:id="rId10"/>
    <sheet name="LiborSwapIsdaFixPm" sheetId="8" r:id="rId11"/>
    <sheet name="LiborSwapForBasisCalc" sheetId="9" r:id="rId12"/>
    <sheet name="BasisSwap1MxM" sheetId="11" r:id="rId13"/>
    <sheet name="BasisSwap3M6M" sheetId="12" r:id="rId14"/>
    <sheet name="BasisSwapxM12M" sheetId="13" r:id="rId15"/>
    <sheet name="Deposits" sheetId="15" r:id="rId16"/>
    <sheet name="FRA" sheetId="16" r:id="rId17"/>
    <sheet name="Futures1M" sheetId="17" r:id="rId18"/>
    <sheet name="Futures3M" sheetId="18" r:id="rId19"/>
    <sheet name="ImmFra6M " sheetId="19" r:id="rId20"/>
    <sheet name="FuturesHWConvAdj" sheetId="20" r:id="rId21"/>
    <sheet name="OIS" sheetId="22" r:id="rId22"/>
    <sheet name="Swaps1M" sheetId="23" r:id="rId23"/>
    <sheet name="SwapsIMMDated" sheetId="24" r:id="rId24"/>
    <sheet name="Swap3M" sheetId="25" r:id="rId25"/>
    <sheet name="Swap6M" sheetId="26" r:id="rId26"/>
    <sheet name="ON" sheetId="28" r:id="rId27"/>
    <sheet name="1M" sheetId="29" r:id="rId28"/>
    <sheet name="3M" sheetId="30" r:id="rId29"/>
    <sheet name="6M" sheetId="31" r:id="rId30"/>
    <sheet name="1Y" sheetId="32" r:id="rId31"/>
    <sheet name="1M (2)" sheetId="34" r:id="rId32"/>
    <sheet name="3M (2)" sheetId="35" r:id="rId33"/>
    <sheet name="6M (2)" sheetId="36" r:id="rId34"/>
    <sheet name="1Y (2)" sheetId="37" r:id="rId35"/>
    <sheet name="1M (3)" sheetId="39" r:id="rId36"/>
    <sheet name="3M (3)" sheetId="40" r:id="rId37"/>
    <sheet name="FwdEONIAOIS" sheetId="55" r:id="rId38"/>
    <sheet name="SFIX3" sheetId="60" r:id="rId39"/>
    <sheet name="IB365" sheetId="61" r:id="rId40"/>
    <sheet name="IBOR" sheetId="62" r:id="rId41"/>
  </sheets>
  <definedNames>
    <definedName name="Contributor" localSheetId="37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2">BasisSwap1MxM!$AG$5:$AI$9</definedName>
    <definedName name="Conventions" localSheetId="13">BasisSwap3M6M!$AG$5:$AI$9</definedName>
    <definedName name="Conventions" localSheetId="14">BasisSwapxM12M!$AG$5:$AI$9</definedName>
    <definedName name="Conventions" localSheetId="24">Swap3M!$AG$5:$AI$9</definedName>
    <definedName name="Conventions" localSheetId="25">Swap6M!$AG$5:$AI$9</definedName>
    <definedName name="Counter" localSheetId="37">FwdEONIAOIS!$Q$3</definedName>
    <definedName name="Counter">Futures1M!$AA$4</definedName>
    <definedName name="Currency" localSheetId="1">EUR!$E$3</definedName>
    <definedName name="Currency" localSheetId="3">'General Settings'!$J$11</definedName>
    <definedName name="Currency" localSheetId="4">'General Settings'!$J$11</definedName>
    <definedName name="Currency" localSheetId="7">'General Settings'!$J$11</definedName>
    <definedName name="Currency" localSheetId="5">'General Settings'!$J$11</definedName>
    <definedName name="Currency" localSheetId="6">'General Settings'!$J$11</definedName>
    <definedName name="Currency" localSheetId="2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5">'General Settings'!#REF!</definedName>
    <definedName name="FamilyName" localSheetId="36">'General Settings'!#REF!</definedName>
    <definedName name="FamilyName" localSheetId="3">Euribor!$F$3</definedName>
    <definedName name="FamilyName" localSheetId="4">Euribor365!$F$3</definedName>
    <definedName name="FamilyName" localSheetId="7">EuriborSwapIfrFix!$G$3</definedName>
    <definedName name="FamilyName" localSheetId="5">EuriborSwapIsdaFixA!$G$3</definedName>
    <definedName name="FamilyName" localSheetId="6">EuriborSwapIsdaFixB!$G$3</definedName>
    <definedName name="FamilyName" localSheetId="8">Libor!$F$3</definedName>
    <definedName name="FamilyName" localSheetId="11">LiborSwapForBasisCalc!$F$3</definedName>
    <definedName name="FamilyName" localSheetId="9">LiborSwapIsdaFixAm!$F$3</definedName>
    <definedName name="FamilyName" localSheetId="10">LiborSwapIsdaFixPm!$F$3</definedName>
    <definedName name="FamilyName">'General Settings'!$J$22</definedName>
    <definedName name="FileName" localSheetId="3">Euribor!$E$5</definedName>
    <definedName name="FileName" localSheetId="4">Euribor365!$E$5</definedName>
    <definedName name="FileName" localSheetId="7">EuriborSwapIfrFix!$F$6</definedName>
    <definedName name="FileName" localSheetId="5">EuriborSwapIsdaFixA!$F$6</definedName>
    <definedName name="FileName" localSheetId="6">EuriborSwapIsdaFixB!$F$6</definedName>
    <definedName name="FileName" localSheetId="8">Libor!$E$5</definedName>
    <definedName name="FileName" localSheetId="11">LiborSwapForBasisCalc!$E$9</definedName>
    <definedName name="FileName" localSheetId="9">LiborSwapIsdaFixAm!$E$6</definedName>
    <definedName name="FileName" localSheetId="10">LiborSwapIsdaFixPm!$E$6</definedName>
    <definedName name="FileOverwrite">'General Settings'!$J$9</definedName>
    <definedName name="FixingType" localSheetId="7">EuriborSwapIfrFix!$G$4</definedName>
    <definedName name="FixingType" localSheetId="5">EuriborSwapIsdaFixA!$G$4</definedName>
    <definedName name="FixingType" localSheetId="6">EuriborSwapIsdaFixB!$G$4</definedName>
    <definedName name="FixingType" localSheetId="11">LiborSwapForBasisCalc!$F$4</definedName>
    <definedName name="FixingType" localSheetId="9">LiborSwapIsdaFixAm!$F$4</definedName>
    <definedName name="FixingType" localSheetId="10">LiborSwapIsdaFixPm!$F$4</definedName>
    <definedName name="FixingType">'General Settings'!$J$23</definedName>
    <definedName name="FuturesCodes" localSheetId="17">Futures1M!$M$6:$M$17</definedName>
    <definedName name="FuturesCodes" localSheetId="18">Futures3M!$M$6:$M$47</definedName>
    <definedName name="FuturesDates" localSheetId="17">Futures1M!$N$6:$N$17</definedName>
    <definedName name="FuturesDates" localSheetId="18">Futures3M!$N$6:$N$47</definedName>
    <definedName name="IborIndex" localSheetId="35">'1M (3)'!$F$4</definedName>
    <definedName name="IborIndex" localSheetId="36">'3M (3)'!$F$4</definedName>
    <definedName name="Instruments" localSheetId="12">BasisSwap1MxM!$R$5:$R$42</definedName>
    <definedName name="Instruments" localSheetId="14">BasisSwapxM12M!$R$5:$R$42</definedName>
    <definedName name="Instruments" localSheetId="16">FRA!$M$7:$M$21</definedName>
    <definedName name="Instruments" localSheetId="37">FwdEONIAOIS!$E$5:$E$10</definedName>
    <definedName name="Instruments" localSheetId="21">OIS!$N$5:$N$58</definedName>
    <definedName name="Instruments" localSheetId="24">Swap3M!$R$5:$R$42</definedName>
    <definedName name="Instruments" localSheetId="25">Swap6M!$R$5:$R$42</definedName>
    <definedName name="Instruments" localSheetId="22">Swaps1M!$N$5:$N$18</definedName>
    <definedName name="Instruments" localSheetId="23">SwapsIMMDated!$N$5:$N$11</definedName>
    <definedName name="InterpolationType">'General Settings'!$D$8</definedName>
    <definedName name="LastUpdate">'General Settings'!$E$20</definedName>
    <definedName name="LiffeCodes" localSheetId="17">Futures1M!$AD$6:$AE$10</definedName>
    <definedName name="LiffeCodes" localSheetId="18">Futures3M!$AD$6:$AE$10</definedName>
    <definedName name="LiveDataFeed">'General Settings'!$E$23</definedName>
    <definedName name="MeanReversion" localSheetId="35">'1M (3)'!$F$3</definedName>
    <definedName name="MeanReversion" localSheetId="36">'3M (3)'!$F$3</definedName>
    <definedName name="Months" localSheetId="27">'1M'!$B$1</definedName>
    <definedName name="Months" localSheetId="30">'1Y'!$B$1</definedName>
    <definedName name="Months" localSheetId="28">'3M'!$B$1</definedName>
    <definedName name="Months" localSheetId="29">'6M'!$B$1</definedName>
    <definedName name="Months" localSheetId="26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7">FwdEONIAOIS!$P$5:$P$10</definedName>
    <definedName name="QuoteLive" localSheetId="12">BasisSwap1MxM!$X$5:$X$42</definedName>
    <definedName name="QuoteLive" localSheetId="13">BasisSwap3M6M!$X$5:$X$42</definedName>
    <definedName name="QuoteLive" localSheetId="14">BasisSwapxM12M!$X$5:$X$42</definedName>
    <definedName name="QuoteLive" localSheetId="15">Deposits!$K$5:$K$22</definedName>
    <definedName name="QuoteLive" localSheetId="16">FRA!$S$7:$S$21</definedName>
    <definedName name="QuoteLive" localSheetId="17">Futures1M!$U$6:$U$17</definedName>
    <definedName name="QuoteLive" localSheetId="18">Futures3M!$U$6:$U$47</definedName>
    <definedName name="QuoteLive" localSheetId="20">FuturesHWConvAdj!$L$5:$L$6</definedName>
    <definedName name="QuoteLive" localSheetId="37">FwdEONIAOIS!$K$5:$K$10</definedName>
    <definedName name="QuoteLive" localSheetId="21">OIS!$T$5:$T$58</definedName>
    <definedName name="QuoteLive" localSheetId="24">Swap3M!$X$5:$X$42</definedName>
    <definedName name="QuoteLive" localSheetId="25">Swap6M!$X$5:$X$42</definedName>
    <definedName name="QuoteLive" localSheetId="22">Swaps1M!$T$5:$T$18</definedName>
    <definedName name="QuoteLive" localSheetId="23">SwapsIMMDated!$T$5:$T$11</definedName>
    <definedName name="QuoteStatic" localSheetId="37">FwdEONIAOIS!$M$5:$M$10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7">'1M'!$C$1</definedName>
    <definedName name="Tenor" localSheetId="30">'1Y'!$C$1</definedName>
    <definedName name="Tenor" localSheetId="28">'3M'!$C$1</definedName>
    <definedName name="Tenor" localSheetId="29">'6M'!$C$1</definedName>
    <definedName name="Tenor" localSheetId="26">ON!$C$1</definedName>
    <definedName name="Traits" localSheetId="39">'IB365'!$C$24:$E$30</definedName>
    <definedName name="Traits" localSheetId="40">IBOR!$C$24:$E$30</definedName>
    <definedName name="Traits" localSheetId="8">Libor!$N$25:$P$31</definedName>
    <definedName name="Traits" localSheetId="9">LiborSwapIsdaFixAm!$L$24:$N$30</definedName>
    <definedName name="Traits" localSheetId="10">LiborSwapIsdaFixPm!$L$24:$N$30</definedName>
    <definedName name="Traits" localSheetId="38">SFIX3!$C$21:$E$27</definedName>
    <definedName name="Trigger">'General Settings'!$J$4</definedName>
    <definedName name="TriggerCounter">'General Settings'!$D$7</definedName>
    <definedName name="Volatility" localSheetId="35">'1M (3)'!$F$2</definedName>
    <definedName name="Volatility" localSheetId="36">'3M (3)'!$F$2</definedName>
  </definedNames>
  <calcPr calcId="145621"/>
</workbook>
</file>

<file path=xl/calcChain.xml><?xml version="1.0" encoding="utf-8"?>
<calcChain xmlns="http://schemas.openxmlformats.org/spreadsheetml/2006/main">
  <c r="M5" i="8" l="1"/>
  <c r="S5" i="8"/>
  <c r="M6" i="8"/>
  <c r="M7" i="8"/>
  <c r="P7" i="8"/>
  <c r="Q7" i="8"/>
  <c r="S7" i="8"/>
  <c r="T7" i="8"/>
  <c r="U7" i="8"/>
  <c r="V7" i="8"/>
  <c r="W7" i="8"/>
  <c r="X7" i="8"/>
  <c r="M8" i="8"/>
  <c r="P8" i="8"/>
  <c r="Q8" i="8"/>
  <c r="S8" i="8"/>
  <c r="T8" i="8"/>
  <c r="U8" i="8" l="1"/>
  <c r="V8" i="8"/>
  <c r="W8" i="8"/>
  <c r="X8" i="8"/>
  <c r="M9" i="8"/>
  <c r="P9" i="8"/>
  <c r="Q9" i="8"/>
  <c r="S9" i="8"/>
  <c r="T9" i="8"/>
  <c r="U9" i="8" l="1"/>
  <c r="V9" i="8"/>
  <c r="W9" i="8"/>
  <c r="X9" i="8"/>
  <c r="M10" i="8"/>
  <c r="P10" i="8"/>
  <c r="Q10" i="8"/>
  <c r="S10" i="8"/>
  <c r="T10" i="8"/>
  <c r="U10" i="8" l="1"/>
  <c r="V10" i="8"/>
  <c r="W10" i="8"/>
  <c r="X10" i="8"/>
  <c r="M11" i="8"/>
  <c r="P11" i="8"/>
  <c r="Q11" i="8"/>
  <c r="S11" i="8"/>
  <c r="T11" i="8"/>
  <c r="U11" i="8"/>
  <c r="V11" i="8"/>
  <c r="W11" i="8"/>
  <c r="X11" i="8"/>
  <c r="M12" i="8"/>
  <c r="P12" i="8"/>
  <c r="Q12" i="8"/>
  <c r="S12" i="8"/>
  <c r="T12" i="8"/>
  <c r="U12" i="8"/>
  <c r="V12" i="8"/>
  <c r="W12" i="8"/>
  <c r="X12" i="8"/>
  <c r="M13" i="8"/>
  <c r="P13" i="8"/>
  <c r="Q13" i="8"/>
  <c r="S13" i="8"/>
  <c r="T13" i="8"/>
  <c r="U13" i="8"/>
  <c r="V13" i="8"/>
  <c r="W13" i="8"/>
  <c r="X13" i="8"/>
  <c r="M14" i="8"/>
  <c r="P14" i="8"/>
  <c r="Q14" i="8"/>
  <c r="S14" i="8"/>
  <c r="T14" i="8"/>
  <c r="U14" i="8"/>
  <c r="V14" i="8" s="1"/>
  <c r="W14" i="8"/>
  <c r="X14" i="8"/>
  <c r="M15" i="8"/>
  <c r="P15" i="8"/>
  <c r="Q15" i="8"/>
  <c r="S15" i="8"/>
  <c r="T15" i="8"/>
  <c r="U15" i="8"/>
  <c r="V15" i="8"/>
  <c r="W15" i="8"/>
  <c r="X15" i="8"/>
  <c r="M16" i="8"/>
  <c r="P16" i="8"/>
  <c r="Q16" i="8"/>
  <c r="S16" i="8"/>
  <c r="T16" i="8"/>
  <c r="U16" i="8"/>
  <c r="V16" i="8" s="1"/>
  <c r="W16" i="8"/>
  <c r="X16" i="8"/>
  <c r="M17" i="8"/>
  <c r="P17" i="8"/>
  <c r="Q17" i="8"/>
  <c r="S17" i="8"/>
  <c r="T17" i="8"/>
  <c r="U17" i="8"/>
  <c r="V17" i="8" s="1"/>
  <c r="W17" i="8"/>
  <c r="X17" i="8"/>
  <c r="M18" i="8"/>
  <c r="P18" i="8"/>
  <c r="Q18" i="8"/>
  <c r="S18" i="8"/>
  <c r="T18" i="8"/>
  <c r="U18" i="8"/>
  <c r="V18" i="8" s="1"/>
  <c r="W18" i="8"/>
  <c r="X18" i="8"/>
  <c r="M19" i="8"/>
  <c r="P19" i="8"/>
  <c r="Q19" i="8"/>
  <c r="S19" i="8"/>
  <c r="T19" i="8"/>
  <c r="U19" i="8"/>
  <c r="V19" i="8" s="1"/>
  <c r="W19" i="8"/>
  <c r="X19" i="8"/>
  <c r="M20" i="8"/>
  <c r="P20" i="8"/>
  <c r="Q20" i="8"/>
  <c r="S20" i="8"/>
  <c r="T20" i="8"/>
  <c r="U20" i="8"/>
  <c r="V20" i="8" s="1"/>
  <c r="W20" i="8"/>
  <c r="X20" i="8"/>
  <c r="M21" i="8"/>
  <c r="P21" i="8"/>
  <c r="Q21" i="8" s="1"/>
  <c r="S21" i="8"/>
  <c r="T21" i="8"/>
  <c r="U21" i="8"/>
  <c r="V21" i="8"/>
  <c r="W21" i="8"/>
  <c r="X21" i="8"/>
  <c r="V5" i="8" s="1"/>
  <c r="M5" i="7"/>
  <c r="S5" i="7"/>
  <c r="M6" i="7"/>
  <c r="M7" i="7"/>
  <c r="P7" i="7"/>
  <c r="S7" i="7"/>
  <c r="T7" i="7"/>
  <c r="Q7" i="7" s="1"/>
  <c r="U7" i="7"/>
  <c r="V7" i="7"/>
  <c r="W7" i="7"/>
  <c r="X7" i="7"/>
  <c r="M8" i="7"/>
  <c r="P8" i="7"/>
  <c r="S8" i="7" l="1"/>
  <c r="T8" i="7"/>
  <c r="Q8" i="7" s="1"/>
  <c r="U8" i="7"/>
  <c r="V8" i="7"/>
  <c r="W8" i="7"/>
  <c r="X8" i="7"/>
  <c r="M9" i="7"/>
  <c r="P9" i="7"/>
  <c r="S9" i="7" l="1"/>
  <c r="T9" i="7"/>
  <c r="Q9" i="7" s="1"/>
  <c r="U9" i="7"/>
  <c r="V9" i="7"/>
  <c r="W9" i="7"/>
  <c r="X9" i="7"/>
  <c r="M10" i="7"/>
  <c r="P10" i="7"/>
  <c r="S10" i="7" l="1"/>
  <c r="T10" i="7"/>
  <c r="Q10" i="7" s="1"/>
  <c r="U10" i="7"/>
  <c r="V10" i="7"/>
  <c r="W10" i="7"/>
  <c r="X10" i="7"/>
  <c r="M11" i="7"/>
  <c r="P11" i="7"/>
  <c r="S11" i="7"/>
  <c r="T11" i="7"/>
  <c r="Q11" i="7" s="1"/>
  <c r="U11" i="7"/>
  <c r="V11" i="7"/>
  <c r="W11" i="7"/>
  <c r="X11" i="7"/>
  <c r="M12" i="7"/>
  <c r="P12" i="7"/>
  <c r="S12" i="7"/>
  <c r="T12" i="7"/>
  <c r="Q12" i="7" s="1"/>
  <c r="U12" i="7"/>
  <c r="V12" i="7"/>
  <c r="W12" i="7"/>
  <c r="X12" i="7"/>
  <c r="M13" i="7"/>
  <c r="P13" i="7"/>
  <c r="S13" i="7"/>
  <c r="T13" i="7"/>
  <c r="Q13" i="7" s="1"/>
  <c r="U13" i="7"/>
  <c r="V13" i="7"/>
  <c r="W13" i="7"/>
  <c r="X13" i="7"/>
  <c r="M14" i="7"/>
  <c r="P14" i="7"/>
  <c r="S14" i="7"/>
  <c r="T14" i="7"/>
  <c r="Q14" i="7" s="1"/>
  <c r="U14" i="7"/>
  <c r="V14" i="7"/>
  <c r="W14" i="7"/>
  <c r="X14" i="7"/>
  <c r="M15" i="7"/>
  <c r="P15" i="7"/>
  <c r="S15" i="7"/>
  <c r="T15" i="7"/>
  <c r="Q15" i="7" s="1"/>
  <c r="U15" i="7"/>
  <c r="V15" i="7"/>
  <c r="W15" i="7"/>
  <c r="X15" i="7"/>
  <c r="M16" i="7"/>
  <c r="P16" i="7"/>
  <c r="S16" i="7"/>
  <c r="T16" i="7"/>
  <c r="Q16" i="7" s="1"/>
  <c r="U16" i="7"/>
  <c r="V16" i="7"/>
  <c r="W16" i="7"/>
  <c r="X16" i="7"/>
  <c r="M17" i="7"/>
  <c r="P17" i="7"/>
  <c r="Q17" i="7"/>
  <c r="S17" i="7"/>
  <c r="T17" i="7"/>
  <c r="U17" i="7"/>
  <c r="V17" i="7"/>
  <c r="W17" i="7"/>
  <c r="X17" i="7"/>
  <c r="M18" i="7"/>
  <c r="P18" i="7"/>
  <c r="S18" i="7"/>
  <c r="T18" i="7"/>
  <c r="Q18" i="7" s="1"/>
  <c r="U18" i="7"/>
  <c r="V18" i="7"/>
  <c r="W18" i="7"/>
  <c r="X18" i="7"/>
  <c r="M19" i="7"/>
  <c r="P19" i="7"/>
  <c r="S19" i="7"/>
  <c r="T19" i="7"/>
  <c r="Q19" i="7" s="1"/>
  <c r="U19" i="7"/>
  <c r="V19" i="7"/>
  <c r="W19" i="7"/>
  <c r="X19" i="7"/>
  <c r="M20" i="7"/>
  <c r="P20" i="7"/>
  <c r="Q20" i="7"/>
  <c r="S20" i="7"/>
  <c r="T20" i="7"/>
  <c r="U20" i="7"/>
  <c r="V20" i="7"/>
  <c r="W20" i="7"/>
  <c r="X20" i="7"/>
  <c r="M21" i="7"/>
  <c r="P21" i="7"/>
  <c r="S21" i="7"/>
  <c r="T21" i="7"/>
  <c r="Q21" i="7" s="1"/>
  <c r="U21" i="7"/>
  <c r="V21" i="7"/>
  <c r="W21" i="7"/>
  <c r="X21" i="7"/>
  <c r="V5" i="7" s="1"/>
  <c r="S4" i="26"/>
  <c r="P5" i="26" a="1"/>
  <c r="P5" i="26" s="1"/>
  <c r="Q5" i="26" a="1"/>
  <c r="Q5" i="26" s="1"/>
  <c r="X5" i="26"/>
  <c r="R5" i="26" l="1"/>
  <c r="AB5" i="26" s="1"/>
  <c r="AK5" i="26"/>
  <c r="P6" i="26"/>
  <c r="R6" i="26" s="1"/>
  <c r="Q6" i="26"/>
  <c r="X6" i="26"/>
  <c r="AB6" i="26" l="1"/>
  <c r="AK6" i="26"/>
  <c r="P7" i="26"/>
  <c r="Q7" i="26"/>
  <c r="X7" i="26"/>
  <c r="R7" i="26" l="1"/>
  <c r="AB7" i="26"/>
  <c r="AK7" i="26"/>
  <c r="P8" i="26"/>
  <c r="Q8" i="26"/>
  <c r="X8" i="26"/>
  <c r="R8" i="26" l="1"/>
  <c r="AB8" i="26"/>
  <c r="AK8" i="26"/>
  <c r="P9" i="26"/>
  <c r="R9" i="26" s="1"/>
  <c r="Q9" i="26"/>
  <c r="X9" i="26"/>
  <c r="AB9" i="26" l="1"/>
  <c r="AK9" i="26"/>
  <c r="P10" i="26"/>
  <c r="Q10" i="26"/>
  <c r="X10" i="26"/>
  <c r="R10" i="26" l="1"/>
  <c r="AB10" i="26"/>
  <c r="AK10" i="26"/>
  <c r="P11" i="26"/>
  <c r="R11" i="26" s="1"/>
  <c r="Q11" i="26"/>
  <c r="X11" i="26"/>
  <c r="AB11" i="26" l="1"/>
  <c r="AK11" i="26"/>
  <c r="P12" i="26"/>
  <c r="Q12" i="26"/>
  <c r="R12" i="26"/>
  <c r="X12" i="26"/>
  <c r="AB12" i="26" l="1"/>
  <c r="AK12" i="26"/>
  <c r="P13" i="26"/>
  <c r="Q13" i="26"/>
  <c r="R13" i="26"/>
  <c r="X13" i="26"/>
  <c r="AB13" i="26" l="1"/>
  <c r="AK13" i="26"/>
  <c r="P14" i="26"/>
  <c r="Q14" i="26"/>
  <c r="R14" i="26"/>
  <c r="X14" i="26"/>
  <c r="AB14" i="26" l="1"/>
  <c r="AK14" i="26"/>
  <c r="P15" i="26"/>
  <c r="Q15" i="26"/>
  <c r="X15" i="26"/>
  <c r="R15" i="26" l="1"/>
  <c r="AB15" i="26"/>
  <c r="AK15" i="26"/>
  <c r="P16" i="26"/>
  <c r="R16" i="26" s="1"/>
  <c r="Q16" i="26"/>
  <c r="X16" i="26"/>
  <c r="AB16" i="26" l="1"/>
  <c r="AK16" i="26"/>
  <c r="P17" i="26"/>
  <c r="Q17" i="26"/>
  <c r="R17" i="26"/>
  <c r="X17" i="26"/>
  <c r="AB17" i="26" l="1"/>
  <c r="AK17" i="26"/>
  <c r="P18" i="26"/>
  <c r="Q18" i="26"/>
  <c r="R18" i="26"/>
  <c r="X18" i="26"/>
  <c r="AB18" i="26" l="1"/>
  <c r="AK18" i="26"/>
  <c r="P19" i="26"/>
  <c r="Q19" i="26"/>
  <c r="R19" i="26"/>
  <c r="X19" i="26"/>
  <c r="AB19" i="26" l="1"/>
  <c r="AK19" i="26"/>
  <c r="P20" i="26"/>
  <c r="Q20" i="26"/>
  <c r="R20" i="26"/>
  <c r="X20" i="26"/>
  <c r="AB20" i="26" l="1"/>
  <c r="AK20" i="26"/>
  <c r="P21" i="26"/>
  <c r="Q21" i="26"/>
  <c r="R21" i="26"/>
  <c r="X21" i="26"/>
  <c r="AB21" i="26" l="1"/>
  <c r="AK21" i="26"/>
  <c r="P22" i="26"/>
  <c r="Q22" i="26"/>
  <c r="R22" i="26"/>
  <c r="X22" i="26"/>
  <c r="AB22" i="26" l="1"/>
  <c r="AK22" i="26"/>
  <c r="P23" i="26"/>
  <c r="Q23" i="26"/>
  <c r="X23" i="26"/>
  <c r="R23" i="26" l="1"/>
  <c r="AB23" i="26" s="1"/>
  <c r="AK23" i="26"/>
  <c r="P24" i="26"/>
  <c r="R24" i="26" s="1"/>
  <c r="Q24" i="26"/>
  <c r="X24" i="26"/>
  <c r="AB24" i="26" l="1"/>
  <c r="AK24" i="26"/>
  <c r="P25" i="26"/>
  <c r="Q25" i="26"/>
  <c r="R25" i="26"/>
  <c r="X25" i="26"/>
  <c r="AB25" i="26" l="1"/>
  <c r="AK25" i="26"/>
  <c r="P26" i="26"/>
  <c r="Q26" i="26"/>
  <c r="R26" i="26"/>
  <c r="X26" i="26"/>
  <c r="AB26" i="26" l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R30" i="26"/>
  <c r="X30" i="26"/>
  <c r="AB30" i="26" l="1"/>
  <c r="AK30" i="26"/>
  <c r="P31" i="26"/>
  <c r="Q31" i="26"/>
  <c r="R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R34" i="26"/>
  <c r="X34" i="26"/>
  <c r="AB34" i="26" l="1"/>
  <c r="AK34" i="26"/>
  <c r="P35" i="26"/>
  <c r="Q35" i="26"/>
  <c r="R35" i="26"/>
  <c r="X35" i="26"/>
  <c r="AB35" i="26" l="1"/>
  <c r="AK35" i="26"/>
  <c r="P36" i="26"/>
  <c r="Q36" i="26"/>
  <c r="R36" i="26"/>
  <c r="X36" i="26"/>
  <c r="AB36" i="26" l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AD5" i="26"/>
  <c r="AD13" i="26"/>
  <c r="AD21" i="26"/>
  <c r="AD29" i="26"/>
  <c r="AD37" i="26"/>
  <c r="AD14" i="26"/>
  <c r="AD22" i="26"/>
  <c r="AD30" i="26"/>
  <c r="AD38" i="26"/>
  <c r="AD23" i="26"/>
  <c r="AD39" i="26"/>
  <c r="AD8" i="26"/>
  <c r="AD24" i="26"/>
  <c r="AD40" i="26"/>
  <c r="AD9" i="26"/>
  <c r="AD33" i="26"/>
  <c r="AD26" i="26"/>
  <c r="AD6" i="26"/>
  <c r="AD32" i="26"/>
  <c r="AD25" i="26"/>
  <c r="AD18" i="26"/>
  <c r="AD34" i="26"/>
  <c r="AD11" i="26"/>
  <c r="AD27" i="26"/>
  <c r="AD20" i="26"/>
  <c r="AD28" i="26"/>
  <c r="AD7" i="26"/>
  <c r="AD15" i="26"/>
  <c r="AD31" i="26"/>
  <c r="AD16" i="26"/>
  <c r="AD17" i="26"/>
  <c r="AD41" i="26"/>
  <c r="AD10" i="26"/>
  <c r="AD19" i="26"/>
  <c r="AD35" i="26"/>
  <c r="AD12" i="26"/>
  <c r="AD36" i="26"/>
  <c r="S4" i="25"/>
  <c r="P5" i="25" a="1"/>
  <c r="P5" i="25"/>
  <c r="Q5" i="25" a="1"/>
  <c r="Q5" i="25" s="1"/>
  <c r="R5" i="25" s="1"/>
  <c r="X5" i="25"/>
  <c r="AB5" i="25" l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R8" i="25"/>
  <c r="X8" i="25"/>
  <c r="AB8" i="25" l="1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R25" i="25" s="1"/>
  <c r="Q25" i="25"/>
  <c r="X25" i="25"/>
  <c r="AB25" i="25" l="1"/>
  <c r="AK25" i="25"/>
  <c r="P26" i="25"/>
  <c r="Q26" i="25"/>
  <c r="R26" i="25"/>
  <c r="X26" i="25"/>
  <c r="AB26" i="25" l="1"/>
  <c r="AK26" i="25"/>
  <c r="P27" i="25"/>
  <c r="Q27" i="25"/>
  <c r="R27" i="25"/>
  <c r="X27" i="25"/>
  <c r="AB27" i="25" l="1"/>
  <c r="AK27" i="25"/>
  <c r="P28" i="25"/>
  <c r="Q28" i="25"/>
  <c r="R28" i="25"/>
  <c r="X28" i="25"/>
  <c r="AB28" i="25" l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R31" i="25"/>
  <c r="X31" i="25"/>
  <c r="AB31" i="25" l="1"/>
  <c r="AK31" i="25"/>
  <c r="P32" i="25"/>
  <c r="Q32" i="25"/>
  <c r="R32" i="25"/>
  <c r="X32" i="25"/>
  <c r="AB32" i="25" l="1"/>
  <c r="AK32" i="25"/>
  <c r="P33" i="25"/>
  <c r="Q33" i="25"/>
  <c r="R33" i="25"/>
  <c r="X33" i="25"/>
  <c r="AB33" i="25" l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R40" i="25"/>
  <c r="X40" i="25"/>
  <c r="AB40" i="25" l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AD5" i="25"/>
  <c r="AD13" i="25"/>
  <c r="AD21" i="25"/>
  <c r="AD29" i="25"/>
  <c r="AD37" i="25"/>
  <c r="AD6" i="25"/>
  <c r="AD14" i="25"/>
  <c r="AD22" i="25"/>
  <c r="AD38" i="25"/>
  <c r="AD7" i="25"/>
  <c r="AD15" i="25"/>
  <c r="AD23" i="25"/>
  <c r="AD31" i="25"/>
  <c r="AD16" i="25"/>
  <c r="AD40" i="25"/>
  <c r="AD30" i="25"/>
  <c r="AD39" i="25"/>
  <c r="AD8" i="25"/>
  <c r="AD24" i="25"/>
  <c r="AD32" i="25"/>
  <c r="AD9" i="25"/>
  <c r="AD17" i="25"/>
  <c r="AD25" i="25"/>
  <c r="AD33" i="25"/>
  <c r="AD41" i="25"/>
  <c r="AD10" i="25"/>
  <c r="AD18" i="25"/>
  <c r="AD26" i="25"/>
  <c r="AD34" i="25"/>
  <c r="AD11" i="25"/>
  <c r="AD19" i="25"/>
  <c r="AD27" i="25"/>
  <c r="AD35" i="25"/>
  <c r="AD12" i="25"/>
  <c r="AD20" i="25"/>
  <c r="AD28" i="25"/>
  <c r="AD36" i="25"/>
  <c r="H4" i="20"/>
  <c r="H5" i="20"/>
  <c r="L5" i="20"/>
  <c r="Q5" i="20" s="1" a="1"/>
  <c r="Q5" i="20" s="1"/>
  <c r="P5" i="20"/>
  <c r="R5" i="20"/>
  <c r="P6" i="20"/>
  <c r="Q6" i="20"/>
  <c r="R6" i="20"/>
  <c r="R3" i="20" s="1"/>
  <c r="O5" i="18"/>
  <c r="N6" i="18" a="1"/>
  <c r="N6" i="18"/>
  <c r="U6" i="18"/>
  <c r="AG6" i="18"/>
  <c r="N7" i="18"/>
  <c r="U7" i="18"/>
  <c r="AG7" i="18"/>
  <c r="N8" i="18"/>
  <c r="U8" i="18"/>
  <c r="AG8" i="18"/>
  <c r="N9" i="18"/>
  <c r="U9" i="18"/>
  <c r="AG9" i="18"/>
  <c r="N10" i="18"/>
  <c r="U10" i="18"/>
  <c r="AG10" i="18"/>
  <c r="N11" i="18"/>
  <c r="U11" i="18"/>
  <c r="AG11" i="18"/>
  <c r="N12" i="18"/>
  <c r="U12" i="18"/>
  <c r="AG12" i="18"/>
  <c r="N13" i="18"/>
  <c r="U13" i="18"/>
  <c r="AG13" i="18"/>
  <c r="N14" i="18"/>
  <c r="U14" i="18"/>
  <c r="AG14" i="18"/>
  <c r="N15" i="18"/>
  <c r="U15" i="18"/>
  <c r="AG15" i="18"/>
  <c r="N16" i="18"/>
  <c r="U16" i="18"/>
  <c r="AG16" i="18"/>
  <c r="N17" i="18"/>
  <c r="U17" i="18"/>
  <c r="AG17" i="18"/>
  <c r="N18" i="18"/>
  <c r="U18" i="18"/>
  <c r="AG18" i="18"/>
  <c r="N19" i="18"/>
  <c r="U19" i="18"/>
  <c r="AG19" i="18"/>
  <c r="N20" i="18"/>
  <c r="U20" i="18"/>
  <c r="AG20" i="18"/>
  <c r="N21" i="18"/>
  <c r="U21" i="18"/>
  <c r="AG21" i="18"/>
  <c r="N22" i="18"/>
  <c r="U22" i="18"/>
  <c r="AG22" i="18"/>
  <c r="N23" i="18"/>
  <c r="U23" i="18"/>
  <c r="AG23" i="18"/>
  <c r="N24" i="18"/>
  <c r="U24" i="18"/>
  <c r="AG24" i="18"/>
  <c r="N25" i="18"/>
  <c r="U25" i="18"/>
  <c r="AG25" i="18"/>
  <c r="N26" i="18"/>
  <c r="U26" i="18"/>
  <c r="AG26" i="18"/>
  <c r="N27" i="18"/>
  <c r="U27" i="18"/>
  <c r="AG27" i="18"/>
  <c r="N28" i="18"/>
  <c r="U28" i="18"/>
  <c r="AG28" i="18"/>
  <c r="N29" i="18"/>
  <c r="U29" i="18"/>
  <c r="AG29" i="18"/>
  <c r="N30" i="18"/>
  <c r="U30" i="18"/>
  <c r="AG30" i="18"/>
  <c r="N31" i="18"/>
  <c r="U31" i="18"/>
  <c r="AG31" i="18"/>
  <c r="N32" i="18"/>
  <c r="U32" i="18"/>
  <c r="AG32" i="18"/>
  <c r="N33" i="18"/>
  <c r="U33" i="18"/>
  <c r="AG33" i="18"/>
  <c r="N34" i="18"/>
  <c r="U34" i="18"/>
  <c r="AG34" i="18"/>
  <c r="N35" i="18"/>
  <c r="U35" i="18"/>
  <c r="AG35" i="18"/>
  <c r="N36" i="18"/>
  <c r="U36" i="18"/>
  <c r="AG36" i="18"/>
  <c r="N37" i="18"/>
  <c r="U37" i="18"/>
  <c r="AG37" i="18"/>
  <c r="N38" i="18"/>
  <c r="U38" i="18"/>
  <c r="AG38" i="18"/>
  <c r="N39" i="18"/>
  <c r="U39" i="18"/>
  <c r="AG39" i="18"/>
  <c r="N40" i="18"/>
  <c r="U40" i="18"/>
  <c r="AG40" i="18"/>
  <c r="N41" i="18"/>
  <c r="U41" i="18"/>
  <c r="AG41" i="18"/>
  <c r="N42" i="18"/>
  <c r="U42" i="18"/>
  <c r="AG42" i="18"/>
  <c r="N43" i="18"/>
  <c r="U43" i="18"/>
  <c r="AG43" i="18"/>
  <c r="N44" i="18"/>
  <c r="U44" i="18"/>
  <c r="AG44" i="18"/>
  <c r="N45" i="18"/>
  <c r="U45" i="18"/>
  <c r="AG45" i="18"/>
  <c r="N46" i="18"/>
  <c r="U46" i="18"/>
  <c r="AG46" i="18"/>
  <c r="N47" i="18"/>
  <c r="U47" i="18"/>
  <c r="Z6" i="18" l="1" a="1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O5" i="17"/>
  <c r="N6" i="17" a="1"/>
  <c r="N6" i="17"/>
  <c r="U6" i="17"/>
  <c r="AG6" i="17"/>
  <c r="N7" i="17"/>
  <c r="U7" i="17"/>
  <c r="AG7" i="17"/>
  <c r="N8" i="17"/>
  <c r="U8" i="17"/>
  <c r="AG8" i="17"/>
  <c r="N9" i="17"/>
  <c r="U9" i="17"/>
  <c r="AG9" i="17"/>
  <c r="N10" i="17"/>
  <c r="U10" i="17"/>
  <c r="AG10" i="17"/>
  <c r="N11" i="17"/>
  <c r="U11" i="17"/>
  <c r="AG11" i="17"/>
  <c r="N12" i="17"/>
  <c r="U12" i="17"/>
  <c r="AG12" i="17"/>
  <c r="N13" i="17"/>
  <c r="U13" i="17"/>
  <c r="AG13" i="17"/>
  <c r="N14" i="17"/>
  <c r="U14" i="17"/>
  <c r="AG14" i="17"/>
  <c r="N15" i="17"/>
  <c r="U15" i="17"/>
  <c r="AG15" i="17"/>
  <c r="N16" i="17"/>
  <c r="U16" i="17"/>
  <c r="AG16" i="17"/>
  <c r="N17" i="17"/>
  <c r="U17" i="17"/>
  <c r="Z6" i="17" l="1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N6" i="16"/>
  <c r="M7" i="16"/>
  <c r="S7" i="16"/>
  <c r="W7" i="16"/>
  <c r="AF5" i="16"/>
  <c r="M8" i="16"/>
  <c r="S8" i="16"/>
  <c r="W8" i="16" l="1"/>
  <c r="AF6" i="16"/>
  <c r="M9" i="16"/>
  <c r="S9" i="16"/>
  <c r="W9" i="16" l="1"/>
  <c r="AF7" i="16"/>
  <c r="M10" i="16"/>
  <c r="S10" i="16"/>
  <c r="W10" i="16" l="1"/>
  <c r="AF8" i="16"/>
  <c r="M11" i="16"/>
  <c r="S11" i="16"/>
  <c r="W11" i="16" l="1"/>
  <c r="AF9" i="16"/>
  <c r="M12" i="16"/>
  <c r="S12" i="16"/>
  <c r="W12" i="16" l="1"/>
  <c r="AF10" i="16"/>
  <c r="M13" i="16"/>
  <c r="S13" i="16"/>
  <c r="W13" i="16" l="1"/>
  <c r="AF11" i="16"/>
  <c r="M14" i="16"/>
  <c r="S14" i="16"/>
  <c r="W14" i="16" l="1"/>
  <c r="AF12" i="16"/>
  <c r="M15" i="16"/>
  <c r="S15" i="16"/>
  <c r="W15" i="16" l="1"/>
  <c r="AF13" i="16"/>
  <c r="M16" i="16"/>
  <c r="S16" i="16"/>
  <c r="W16" i="16" l="1"/>
  <c r="AF14" i="16"/>
  <c r="M17" i="16"/>
  <c r="S17" i="16"/>
  <c r="W17" i="16" l="1"/>
  <c r="AF15" i="16"/>
  <c r="M18" i="16"/>
  <c r="S18" i="16"/>
  <c r="W18" i="16" l="1"/>
  <c r="AF16" i="16"/>
  <c r="M19" i="16"/>
  <c r="S19" i="16"/>
  <c r="W19" i="16" l="1"/>
  <c r="AF17" i="16"/>
  <c r="M20" i="16"/>
  <c r="S20" i="16"/>
  <c r="W20" i="16" l="1"/>
  <c r="AF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F19" i="16"/>
  <c r="Y7" i="16"/>
  <c r="Y15" i="16"/>
  <c r="Y8" i="16"/>
  <c r="Y16" i="16"/>
  <c r="Y9" i="16"/>
  <c r="Y17" i="16"/>
  <c r="Y10" i="16"/>
  <c r="Y18" i="16"/>
  <c r="Y11" i="16"/>
  <c r="Y19" i="16"/>
  <c r="Y12" i="16"/>
  <c r="Y13" i="16"/>
  <c r="Y20" i="16"/>
  <c r="Y14" i="16"/>
  <c r="J4" i="15"/>
  <c r="K4" i="15"/>
  <c r="J5" i="15" a="1"/>
  <c r="J6" i="15" s="1"/>
  <c r="J5" i="15"/>
  <c r="O5" i="15" a="1"/>
  <c r="O5" i="15" s="1"/>
  <c r="W5" i="15"/>
  <c r="J8" i="15" a="1"/>
  <c r="J10" i="15" s="1"/>
  <c r="O8" i="15"/>
  <c r="O12" i="15"/>
  <c r="O16" i="15"/>
  <c r="O20" i="15"/>
  <c r="J27" i="15"/>
  <c r="J21" i="15" l="1"/>
  <c r="J17" i="15"/>
  <c r="J13" i="15"/>
  <c r="J9" i="15"/>
  <c r="J20" i="15"/>
  <c r="J16" i="15"/>
  <c r="J12" i="15"/>
  <c r="J8" i="15"/>
  <c r="O19" i="15"/>
  <c r="O15" i="15"/>
  <c r="O11" i="15"/>
  <c r="J19" i="15"/>
  <c r="J15" i="15"/>
  <c r="J11" i="15"/>
  <c r="O7" i="15"/>
  <c r="O22" i="15"/>
  <c r="O18" i="15"/>
  <c r="O14" i="15"/>
  <c r="O10" i="15"/>
  <c r="J7" i="15"/>
  <c r="J22" i="15"/>
  <c r="J18" i="15"/>
  <c r="J14" i="15"/>
  <c r="O6" i="15"/>
  <c r="O21" i="15"/>
  <c r="O17" i="15"/>
  <c r="O13" i="15"/>
  <c r="O9" i="15"/>
  <c r="M28" i="15"/>
  <c r="K5" i="15" s="1"/>
  <c r="M29" i="15"/>
  <c r="K6" i="15" s="1"/>
  <c r="M30" i="15"/>
  <c r="K7" i="15" s="1"/>
  <c r="P5" i="15" l="1" a="1"/>
  <c r="P5" i="15" l="1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Q5" i="15"/>
  <c r="Q13" i="15"/>
  <c r="Q21" i="15"/>
  <c r="Q16" i="15"/>
  <c r="Q9" i="15"/>
  <c r="Q6" i="15"/>
  <c r="Q14" i="15"/>
  <c r="Q22" i="15"/>
  <c r="Q17" i="15"/>
  <c r="Q10" i="15"/>
  <c r="Q7" i="15"/>
  <c r="Q15" i="15"/>
  <c r="Q8" i="15"/>
  <c r="Q18" i="15"/>
  <c r="Q11" i="15"/>
  <c r="Q19" i="15"/>
  <c r="Q12" i="15"/>
  <c r="Q20" i="15"/>
  <c r="N5" i="23" l="1"/>
  <c r="X5" i="23" s="1"/>
  <c r="N6" i="23"/>
  <c r="T5" i="23"/>
  <c r="T6" i="23"/>
  <c r="O4" i="23"/>
  <c r="AC5" i="23" l="1"/>
  <c r="X6" i="23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X5" i="24" s="1"/>
  <c r="N6" i="24"/>
  <c r="T6" i="24"/>
  <c r="T5" i="24"/>
  <c r="Z6" i="23"/>
  <c r="Z10" i="23"/>
  <c r="Z11" i="23"/>
  <c r="Z12" i="23"/>
  <c r="Z15" i="23"/>
  <c r="Z8" i="23"/>
  <c r="Z16" i="23"/>
  <c r="Z13" i="23"/>
  <c r="Z14" i="23"/>
  <c r="Z17" i="23"/>
  <c r="Z7" i="23"/>
  <c r="Z9" i="23"/>
  <c r="Z5" i="23"/>
  <c r="AG5" i="24" l="1"/>
  <c r="X6" i="24"/>
  <c r="AG6" i="24"/>
  <c r="N7" i="24"/>
  <c r="T7" i="24"/>
  <c r="X7" i="24" l="1"/>
  <c r="AG7" i="24"/>
  <c r="N8" i="24"/>
  <c r="T8" i="24"/>
  <c r="X8" i="24" l="1"/>
  <c r="AG8" i="24"/>
  <c r="N9" i="24"/>
  <c r="T9" i="24"/>
  <c r="X9" i="24" l="1"/>
  <c r="AG9" i="24"/>
  <c r="N10" i="24"/>
  <c r="T10" i="24"/>
  <c r="X10" i="24" l="1"/>
  <c r="AG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G11" i="24"/>
  <c r="P5" i="11" a="1"/>
  <c r="P5" i="11" s="1"/>
  <c r="Q5" i="11" a="1"/>
  <c r="Q5" i="11" s="1"/>
  <c r="V5" i="11"/>
  <c r="Z8" i="24"/>
  <c r="Z5" i="24"/>
  <c r="Z6" i="24"/>
  <c r="Z9" i="24"/>
  <c r="Z7" i="24"/>
  <c r="Z10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W7" i="11"/>
  <c r="AB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W22" i="11"/>
  <c r="AB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W31" i="11"/>
  <c r="AB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R36" i="11" s="1"/>
  <c r="Q36" i="11"/>
  <c r="V36" i="11"/>
  <c r="W36" i="11" l="1"/>
  <c r="AB36" i="11"/>
  <c r="P37" i="11"/>
  <c r="Q37" i="11"/>
  <c r="V37" i="11"/>
  <c r="R37" i="11" l="1"/>
  <c r="AB37" i="11" s="1"/>
  <c r="W37" i="11"/>
  <c r="P38" i="11"/>
  <c r="R38" i="11" s="1"/>
  <c r="Q38" i="11"/>
  <c r="V38" i="11"/>
  <c r="W38" i="11" l="1"/>
  <c r="AB38" i="11"/>
  <c r="P39" i="11"/>
  <c r="Q39" i="11"/>
  <c r="V39" i="11"/>
  <c r="R39" i="11" l="1"/>
  <c r="AB39" i="11" s="1"/>
  <c r="W39" i="11"/>
  <c r="P40" i="11"/>
  <c r="R40" i="11" s="1"/>
  <c r="Q40" i="11"/>
  <c r="V40" i="11"/>
  <c r="W40" i="11" l="1"/>
  <c r="AB40" i="11"/>
  <c r="P41" i="11"/>
  <c r="Q41" i="11"/>
  <c r="V41" i="11"/>
  <c r="R41" i="11" l="1"/>
  <c r="AB41" i="11" s="1"/>
  <c r="W41" i="11"/>
  <c r="P42" i="11"/>
  <c r="R42" i="11" s="1"/>
  <c r="S5" i="11" s="1" a="1"/>
  <c r="S42" i="11" s="1"/>
  <c r="Q42" i="11"/>
  <c r="V42" i="11"/>
  <c r="S5" i="11" l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W42" i="11"/>
  <c r="AB42" i="11"/>
  <c r="S2" i="12"/>
  <c r="P5" i="12" a="1"/>
  <c r="P5" i="12" s="1"/>
  <c r="Q5" i="12" a="1"/>
  <c r="Q5" i="12" s="1"/>
  <c r="V5" i="12"/>
  <c r="S4" i="12"/>
  <c r="R5" i="12" l="1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R11" i="12" s="1"/>
  <c r="Q11" i="12"/>
  <c r="V11" i="12"/>
  <c r="W11" i="12" l="1"/>
  <c r="AB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W20" i="13"/>
  <c r="AB20" i="13"/>
  <c r="P21" i="13"/>
  <c r="R21" i="13" s="1"/>
  <c r="Q21" i="13"/>
  <c r="V21" i="13"/>
  <c r="W21" i="13" l="1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X5" i="22"/>
  <c r="N6" i="22"/>
  <c r="T5" i="22"/>
  <c r="T6" i="22"/>
  <c r="O4" i="22"/>
  <c r="X6" i="22" l="1"/>
  <c r="N7" i="22"/>
  <c r="T7" i="22"/>
  <c r="X7" i="22" l="1"/>
  <c r="N8" i="22"/>
  <c r="T8" i="22"/>
  <c r="X8" i="22" l="1"/>
  <c r="N9" i="22"/>
  <c r="T9" i="22"/>
  <c r="X9" i="22" l="1"/>
  <c r="N10" i="22"/>
  <c r="T10" i="22"/>
  <c r="X10" i="22" l="1"/>
  <c r="N11" i="22"/>
  <c r="T11" i="22"/>
  <c r="X11" i="22" l="1"/>
  <c r="N12" i="22"/>
  <c r="T12" i="22"/>
  <c r="X12" i="22" l="1"/>
  <c r="N13" i="22"/>
  <c r="T13" i="22"/>
  <c r="X13" i="22" l="1"/>
  <c r="N14" i="22"/>
  <c r="T14" i="22"/>
  <c r="X14" i="22" l="1"/>
  <c r="N15" i="22"/>
  <c r="T15" i="22"/>
  <c r="X15" i="22" l="1"/>
  <c r="N16" i="22"/>
  <c r="T16" i="22"/>
  <c r="X16" i="22" l="1"/>
  <c r="N17" i="22"/>
  <c r="T17" i="22"/>
  <c r="X17" i="22" l="1"/>
  <c r="N18" i="22"/>
  <c r="T18" i="22"/>
  <c r="X18" i="22" l="1"/>
  <c r="N19" i="22"/>
  <c r="T19" i="22"/>
  <c r="X19" i="22" l="1"/>
  <c r="N20" i="22"/>
  <c r="T20" i="22"/>
  <c r="X20" i="22" l="1"/>
  <c r="N21" i="22"/>
  <c r="T21" i="22"/>
  <c r="X21" i="22" l="1"/>
  <c r="N22" i="22"/>
  <c r="T22" i="22"/>
  <c r="X22" i="22" l="1"/>
  <c r="N23" i="22"/>
  <c r="T23" i="22"/>
  <c r="X23" i="22" l="1"/>
  <c r="N24" i="22"/>
  <c r="T24" i="22"/>
  <c r="X24" i="22" l="1"/>
  <c r="N25" i="22"/>
  <c r="T25" i="22"/>
  <c r="X25" i="22" l="1"/>
  <c r="N26" i="22"/>
  <c r="T26" i="22"/>
  <c r="X26" i="22" l="1"/>
  <c r="N27" i="22"/>
  <c r="T27" i="22"/>
  <c r="X27" i="22" l="1"/>
  <c r="N28" i="22"/>
  <c r="T28" i="22"/>
  <c r="X28" i="22" l="1"/>
  <c r="N29" i="22"/>
  <c r="T29" i="22"/>
  <c r="X29" i="22" l="1"/>
  <c r="N30" i="22"/>
  <c r="T30" i="22"/>
  <c r="X30" i="22" l="1"/>
  <c r="N31" i="22"/>
  <c r="T31" i="22"/>
  <c r="X31" i="22" l="1"/>
  <c r="N32" i="22"/>
  <c r="T32" i="22"/>
  <c r="X32" i="22" l="1"/>
  <c r="N33" i="22"/>
  <c r="T33" i="22"/>
  <c r="X33" i="22" l="1"/>
  <c r="N34" i="22"/>
  <c r="T34" i="22"/>
  <c r="X34" i="22" l="1"/>
  <c r="N35" i="22"/>
  <c r="T35" i="22"/>
  <c r="X35" i="22" l="1"/>
  <c r="N36" i="22"/>
  <c r="T36" i="22"/>
  <c r="X36" i="22" l="1"/>
  <c r="N37" i="22"/>
  <c r="T37" i="22"/>
  <c r="X37" i="22" l="1"/>
  <c r="N38" i="22"/>
  <c r="T38" i="22"/>
  <c r="X38" i="22" l="1"/>
  <c r="N39" i="22"/>
  <c r="T39" i="22"/>
  <c r="X39" i="22" l="1"/>
  <c r="N40" i="22"/>
  <c r="T40" i="22"/>
  <c r="X40" i="22" l="1"/>
  <c r="N41" i="22"/>
  <c r="T41" i="22"/>
  <c r="X41" i="22" l="1"/>
  <c r="N42" i="22"/>
  <c r="T42" i="22"/>
  <c r="X42" i="22" l="1"/>
  <c r="N43" i="22"/>
  <c r="T43" i="22"/>
  <c r="X43" i="22" l="1"/>
  <c r="N44" i="22"/>
  <c r="T44" i="22"/>
  <c r="X44" i="22" l="1"/>
  <c r="N45" i="22"/>
  <c r="T45" i="22"/>
  <c r="X45" i="22" l="1"/>
  <c r="N46" i="22"/>
  <c r="T46" i="22"/>
  <c r="X46" i="22" l="1"/>
  <c r="N47" i="22"/>
  <c r="T47" i="22"/>
  <c r="X47" i="22" l="1"/>
  <c r="N48" i="22"/>
  <c r="T48" i="22"/>
  <c r="X48" i="22" l="1"/>
  <c r="N49" i="22"/>
  <c r="T49" i="22"/>
  <c r="X49" i="22" l="1"/>
  <c r="N50" i="22"/>
  <c r="T50" i="22"/>
  <c r="X50" i="22" l="1"/>
  <c r="N51" i="22"/>
  <c r="T51" i="22"/>
  <c r="X51" i="22" l="1"/>
  <c r="N52" i="22"/>
  <c r="T52" i="22"/>
  <c r="X52" i="22" l="1"/>
  <c r="N53" i="22"/>
  <c r="T53" i="22"/>
  <c r="X53" i="22" l="1"/>
  <c r="N54" i="22"/>
  <c r="T54" i="22"/>
  <c r="X54" i="22" l="1"/>
  <c r="N55" i="22"/>
  <c r="T55" i="22"/>
  <c r="X55" i="22" l="1"/>
  <c r="N56" i="22"/>
  <c r="T56" i="22"/>
  <c r="X56" i="22" l="1"/>
  <c r="N57" i="22"/>
  <c r="T57" i="22"/>
  <c r="X57" i="22" l="1"/>
  <c r="N58" i="22"/>
  <c r="O5" i="22" s="1" a="1"/>
  <c r="O58" i="22" s="1"/>
  <c r="T58" i="22"/>
  <c r="Y5" i="22" l="1" a="1"/>
  <c r="Y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8" i="22"/>
  <c r="Z58" i="22"/>
  <c r="Y5" i="22" l="1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O3" i="6"/>
  <c r="O5" i="6" s="1"/>
  <c r="U3" i="6"/>
  <c r="U5" i="6" s="1"/>
  <c r="R5" i="6"/>
  <c r="R6" i="6"/>
  <c r="S6" i="6" s="1"/>
  <c r="V5" i="6"/>
  <c r="Z13" i="22"/>
  <c r="Z22" i="22"/>
  <c r="Z39" i="22"/>
  <c r="Z52" i="22"/>
  <c r="Z9" i="22"/>
  <c r="Z34" i="22"/>
  <c r="Z10" i="22"/>
  <c r="Z35" i="22"/>
  <c r="Z44" i="22"/>
  <c r="Z46" i="22"/>
  <c r="Z49" i="22"/>
  <c r="Z54" i="22"/>
  <c r="Z57" i="22"/>
  <c r="Z27" i="22"/>
  <c r="Z53" i="22"/>
  <c r="Z43" i="22"/>
  <c r="Z56" i="22"/>
  <c r="Z21" i="22"/>
  <c r="Z30" i="22"/>
  <c r="Z47" i="22"/>
  <c r="Z8" i="22"/>
  <c r="Z17" i="22"/>
  <c r="Z42" i="22"/>
  <c r="Z33" i="22"/>
  <c r="Z37" i="22"/>
  <c r="Z24" i="22"/>
  <c r="Z7" i="22"/>
  <c r="Z26" i="22"/>
  <c r="Z18" i="22"/>
  <c r="Z51" i="22"/>
  <c r="Z36" i="22"/>
  <c r="Z29" i="22"/>
  <c r="Z38" i="22"/>
  <c r="Z55" i="22"/>
  <c r="Z16" i="22"/>
  <c r="Z50" i="22"/>
  <c r="Z41" i="22"/>
  <c r="Z11" i="22"/>
  <c r="Z45" i="22"/>
  <c r="Z32" i="22"/>
  <c r="Z15" i="22"/>
  <c r="Z40" i="22"/>
  <c r="Z25" i="22"/>
  <c r="Z6" i="22"/>
  <c r="Z23" i="22"/>
  <c r="Z19" i="22"/>
  <c r="Z48" i="22"/>
  <c r="Z12" i="22"/>
  <c r="Z20" i="22"/>
  <c r="Z5" i="22"/>
  <c r="Z14" i="22"/>
  <c r="Z31" i="22"/>
  <c r="Z28" i="22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V8" i="6"/>
  <c r="V9" i="6"/>
  <c r="V7" i="6"/>
  <c r="Y7" i="6"/>
  <c r="V6" i="6"/>
  <c r="Y6" i="6"/>
  <c r="X6" i="6" l="1"/>
  <c r="X7" i="6"/>
  <c r="W5" i="6"/>
  <c r="W9" i="6"/>
  <c r="X9" i="6" s="1"/>
  <c r="Z9" i="6" s="1"/>
  <c r="O10" i="6"/>
  <c r="R10" i="6"/>
  <c r="S10" i="6" s="1"/>
  <c r="U10" i="6"/>
  <c r="S8" i="6"/>
  <c r="Y5" i="6"/>
  <c r="V10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U17" i="6"/>
  <c r="W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U21" i="6"/>
  <c r="W21" i="6"/>
  <c r="O22" i="6"/>
  <c r="R22" i="6"/>
  <c r="U22" i="6"/>
  <c r="W8" i="6"/>
  <c r="V11" i="6"/>
  <c r="V12" i="6"/>
  <c r="V13" i="6"/>
  <c r="V14" i="6"/>
  <c r="Y17" i="6"/>
  <c r="Y18" i="6"/>
  <c r="Y14" i="6"/>
  <c r="Y10" i="6"/>
  <c r="V18" i="6"/>
  <c r="Y15" i="6"/>
  <c r="V20" i="6"/>
  <c r="V21" i="6"/>
  <c r="V16" i="6"/>
  <c r="V17" i="6"/>
  <c r="V15" i="6"/>
  <c r="Y19" i="6"/>
  <c r="Y20" i="6"/>
  <c r="Y21" i="6"/>
  <c r="V22" i="6"/>
  <c r="V19" i="6"/>
  <c r="F7" i="64"/>
  <c r="Y8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12" i="6"/>
  <c r="S16" i="6"/>
  <c r="S22" i="6"/>
  <c r="S13" i="6"/>
  <c r="S11" i="6"/>
  <c r="J12" i="56" l="1"/>
  <c r="J13" i="56"/>
  <c r="W13" i="6"/>
  <c r="W16" i="6"/>
  <c r="W12" i="6"/>
  <c r="W22" i="6"/>
  <c r="W11" i="6"/>
  <c r="J14" i="56"/>
  <c r="Y13" i="6"/>
  <c r="Y16" i="6"/>
  <c r="Y12" i="6"/>
  <c r="Y22" i="6"/>
  <c r="Y11" i="6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D5" i="70"/>
  <c r="D6" i="70"/>
  <c r="D7" i="70"/>
  <c r="D8" i="70"/>
  <c r="D9" i="70"/>
  <c r="D10" i="70"/>
  <c r="D11" i="70"/>
  <c r="D12" i="70"/>
  <c r="C13" i="70"/>
  <c r="D13" i="70" s="1"/>
  <c r="C14" i="70"/>
  <c r="D14" i="70" s="1"/>
  <c r="C15" i="70"/>
  <c r="D15" i="70" s="1"/>
  <c r="C16" i="70"/>
  <c r="D16" i="70" s="1"/>
  <c r="C17" i="70"/>
  <c r="D17" i="70" s="1"/>
  <c r="D18" i="70"/>
  <c r="D19" i="70"/>
  <c r="D20" i="70"/>
  <c r="D21" i="70"/>
  <c r="D22" i="70"/>
  <c r="D24" i="70"/>
  <c r="D25" i="70"/>
  <c r="D26" i="70"/>
  <c r="D28" i="70"/>
  <c r="D29" i="70"/>
  <c r="D30" i="70"/>
  <c r="D31" i="70"/>
  <c r="D32" i="70"/>
  <c r="D33" i="70"/>
  <c r="D34" i="70"/>
  <c r="D35" i="70"/>
  <c r="D36" i="70"/>
  <c r="D37" i="70"/>
  <c r="D38" i="70"/>
  <c r="E37" i="70"/>
  <c r="E14" i="71"/>
  <c r="E27" i="71"/>
  <c r="E28" i="71"/>
  <c r="E9" i="71"/>
  <c r="E10" i="71"/>
  <c r="E29" i="70"/>
  <c r="E38" i="70"/>
  <c r="E25" i="70"/>
  <c r="E34" i="70"/>
  <c r="E32" i="71"/>
  <c r="E24" i="71"/>
  <c r="F9" i="71"/>
  <c r="E17" i="71"/>
  <c r="E17" i="70"/>
  <c r="E7" i="71"/>
  <c r="E8" i="70"/>
  <c r="E26" i="70"/>
  <c r="E11" i="70"/>
  <c r="E20" i="71"/>
  <c r="E35" i="70"/>
  <c r="E32" i="70"/>
  <c r="E10" i="70"/>
  <c r="E33" i="70"/>
  <c r="E14" i="70"/>
  <c r="E21" i="70"/>
  <c r="E8" i="71"/>
  <c r="E30" i="71"/>
  <c r="E33" i="71"/>
  <c r="E30" i="70"/>
  <c r="E7" i="70"/>
  <c r="E11" i="71"/>
  <c r="F10" i="70"/>
  <c r="E25" i="71"/>
  <c r="E6" i="71"/>
  <c r="E36" i="70"/>
  <c r="E15" i="70"/>
  <c r="E16" i="71"/>
  <c r="E13" i="70"/>
  <c r="E6" i="70"/>
  <c r="E31" i="70"/>
  <c r="F15" i="70"/>
  <c r="E13" i="71"/>
  <c r="F13" i="71" s="1"/>
  <c r="E26" i="71"/>
  <c r="E29" i="71"/>
  <c r="E18" i="70"/>
  <c r="E19" i="70"/>
  <c r="E15" i="71"/>
  <c r="E31" i="71"/>
  <c r="F25" i="70"/>
  <c r="E16" i="70"/>
  <c r="E20" i="70"/>
  <c r="E22" i="70"/>
  <c r="E12" i="70"/>
  <c r="E9" i="70"/>
  <c r="E12" i="71"/>
  <c r="E21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5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I6" i="64"/>
  <c r="F21" i="71"/>
  <c r="F28" i="71"/>
  <c r="G13" i="66"/>
  <c r="G19" i="67"/>
  <c r="G14" i="66"/>
  <c r="G48" i="66"/>
  <c r="G20" i="68"/>
  <c r="G56" i="68"/>
  <c r="G26" i="67"/>
  <c r="F18" i="70"/>
  <c r="G62" i="67"/>
  <c r="F8" i="64"/>
  <c r="G40" i="67"/>
  <c r="G54" i="67"/>
  <c r="G34" i="66"/>
  <c r="F9" i="65"/>
  <c r="G21" i="68"/>
  <c r="G40" i="68"/>
  <c r="F8" i="70"/>
  <c r="G16" i="68"/>
  <c r="G8" i="67"/>
  <c r="F13" i="65"/>
  <c r="H14" i="66"/>
  <c r="G61" i="68"/>
  <c r="G48" i="68"/>
  <c r="F38" i="70"/>
  <c r="F10" i="65"/>
  <c r="G54" i="66"/>
  <c r="G22" i="67"/>
  <c r="F21" i="64"/>
  <c r="F14" i="71"/>
  <c r="G11" i="67"/>
  <c r="G49" i="66"/>
  <c r="G27" i="66"/>
  <c r="G18" i="66"/>
  <c r="F30" i="71"/>
  <c r="G28" i="68"/>
  <c r="G56" i="66"/>
  <c r="F15" i="71"/>
  <c r="F21" i="70"/>
  <c r="F7" i="65"/>
  <c r="G44" i="67"/>
  <c r="G61" i="66"/>
  <c r="H61" i="66" s="1"/>
  <c r="G54" i="68"/>
  <c r="H56" i="68"/>
  <c r="G46" i="68"/>
  <c r="G17" i="67"/>
  <c r="F15" i="65"/>
  <c r="F33" i="70"/>
  <c r="G11" i="66"/>
  <c r="F6" i="71"/>
  <c r="G23" i="66"/>
  <c r="G23" i="68"/>
  <c r="G22" i="68"/>
  <c r="F17" i="65"/>
  <c r="F29" i="70"/>
  <c r="G66" i="66"/>
  <c r="F9" i="64"/>
  <c r="F37" i="70"/>
  <c r="G19" i="68"/>
  <c r="F8" i="71"/>
  <c r="G25" i="68"/>
  <c r="F16" i="71"/>
  <c r="G49" i="68"/>
  <c r="G35" i="67"/>
  <c r="F7" i="71"/>
  <c r="G31" i="68"/>
  <c r="F32" i="71"/>
  <c r="F34" i="70"/>
  <c r="G45" i="67"/>
  <c r="G28" i="67"/>
  <c r="F17" i="64"/>
  <c r="H21" i="64"/>
  <c r="F7" i="70"/>
  <c r="F30" i="70"/>
  <c r="F6" i="70"/>
  <c r="H48" i="66"/>
  <c r="G17" i="68"/>
  <c r="G13" i="67"/>
  <c r="F16" i="70"/>
  <c r="G63" i="66"/>
  <c r="G52" i="67"/>
  <c r="G37" i="67"/>
  <c r="G62" i="68"/>
  <c r="G15" i="67"/>
  <c r="H15" i="67" s="1"/>
  <c r="G53" i="68"/>
  <c r="F12" i="71"/>
  <c r="G14" i="67"/>
  <c r="H14" i="67" s="1"/>
  <c r="G45" i="66"/>
  <c r="G36" i="67"/>
  <c r="F15" i="64"/>
  <c r="G52" i="68"/>
  <c r="H52" i="68" s="1"/>
  <c r="G24" i="67"/>
  <c r="G57" i="66"/>
  <c r="H57" i="66" s="1"/>
  <c r="G65" i="68"/>
  <c r="G12" i="66"/>
  <c r="G18" i="67"/>
  <c r="G22" i="66"/>
  <c r="G19" i="66"/>
  <c r="G43" i="67"/>
  <c r="G33" i="68"/>
  <c r="H19" i="68"/>
  <c r="F19" i="70"/>
  <c r="F22" i="70"/>
  <c r="G46" i="67"/>
  <c r="G38" i="67"/>
  <c r="F6" i="65"/>
  <c r="G51" i="66"/>
  <c r="H12" i="66"/>
  <c r="G36" i="68"/>
  <c r="G58" i="67"/>
  <c r="G15" i="66"/>
  <c r="G42" i="67"/>
  <c r="G31" i="67"/>
  <c r="F11" i="64"/>
  <c r="H11" i="64" s="1"/>
  <c r="G50" i="66"/>
  <c r="H17" i="67"/>
  <c r="G29" i="66"/>
  <c r="G40" i="66"/>
  <c r="G53" i="67"/>
  <c r="H17" i="68"/>
  <c r="H53" i="67"/>
  <c r="F31" i="71"/>
  <c r="F18" i="64"/>
  <c r="H18" i="64" s="1"/>
  <c r="G60" i="67"/>
  <c r="G8" i="68"/>
  <c r="G37" i="66"/>
  <c r="H37" i="66" s="1"/>
  <c r="H15" i="64"/>
  <c r="G63" i="68"/>
  <c r="G17" i="66"/>
  <c r="G63" i="67"/>
  <c r="G32" i="66"/>
  <c r="F8" i="65"/>
  <c r="G9" i="68"/>
  <c r="H9" i="68" s="1"/>
  <c r="F20" i="70"/>
  <c r="F9" i="70"/>
  <c r="H65" i="68"/>
  <c r="G56" i="67"/>
  <c r="G27" i="67"/>
  <c r="G26" i="66"/>
  <c r="F16" i="64"/>
  <c r="G55" i="68"/>
  <c r="G64" i="68"/>
  <c r="G25" i="66"/>
  <c r="G57" i="67"/>
  <c r="F12" i="65"/>
  <c r="G37" i="68"/>
  <c r="G24" i="68"/>
  <c r="G41" i="66"/>
  <c r="H66" i="66"/>
  <c r="F13" i="70"/>
  <c r="F33" i="71"/>
  <c r="G50" i="67"/>
  <c r="H60" i="67"/>
  <c r="G44" i="68"/>
  <c r="G30" i="66"/>
  <c r="G57" i="68"/>
  <c r="H57" i="68" s="1"/>
  <c r="G47" i="67"/>
  <c r="F16" i="65"/>
  <c r="G16" i="65" s="1"/>
  <c r="F11" i="65"/>
  <c r="G13" i="68"/>
  <c r="F18" i="65"/>
  <c r="G41" i="67"/>
  <c r="G65" i="67"/>
  <c r="F29" i="71"/>
  <c r="G44" i="66"/>
  <c r="G38" i="66"/>
  <c r="H38" i="66" s="1"/>
  <c r="F11" i="70"/>
  <c r="G18" i="68"/>
  <c r="H41" i="66"/>
  <c r="G7" i="66"/>
  <c r="F35" i="70"/>
  <c r="G16" i="66"/>
  <c r="F26" i="71"/>
  <c r="F36" i="70"/>
  <c r="G26" i="68"/>
  <c r="G21" i="67"/>
  <c r="H21" i="67" s="1"/>
  <c r="G33" i="66"/>
  <c r="G12" i="67"/>
  <c r="F32" i="70"/>
  <c r="G59" i="67"/>
  <c r="H59" i="67" s="1"/>
  <c r="F26" i="70"/>
  <c r="F20" i="65"/>
  <c r="G24" i="66"/>
  <c r="F27" i="71"/>
  <c r="G30" i="68"/>
  <c r="G47" i="66"/>
  <c r="G51" i="67"/>
  <c r="H54" i="68"/>
  <c r="G59" i="66"/>
  <c r="G29" i="68"/>
  <c r="F24" i="71"/>
  <c r="G34" i="68"/>
  <c r="F20" i="64"/>
  <c r="G65" i="66"/>
  <c r="G60" i="66"/>
  <c r="G30" i="67"/>
  <c r="G29" i="67"/>
  <c r="H29" i="67" s="1"/>
  <c r="G23" i="67"/>
  <c r="G10" i="68"/>
  <c r="G48" i="67"/>
  <c r="F14" i="64"/>
  <c r="F20" i="71"/>
  <c r="G32" i="67"/>
  <c r="G35" i="68"/>
  <c r="F25" i="71"/>
  <c r="G61" i="67"/>
  <c r="F12" i="70"/>
  <c r="F10" i="71"/>
  <c r="G52" i="66"/>
  <c r="H52" i="66" s="1"/>
  <c r="G51" i="68"/>
  <c r="G9" i="65"/>
  <c r="G10" i="67"/>
  <c r="F17" i="71"/>
  <c r="H63" i="67"/>
  <c r="G47" i="68"/>
  <c r="G46" i="66"/>
  <c r="H46" i="66" s="1"/>
  <c r="G31" i="66"/>
  <c r="G64" i="67"/>
  <c r="G50" i="68"/>
  <c r="F14" i="65"/>
  <c r="F31" i="70"/>
  <c r="G9" i="66"/>
  <c r="G8" i="66"/>
  <c r="G43" i="68"/>
  <c r="H43" i="68" s="1"/>
  <c r="F17" i="70"/>
  <c r="G10" i="66"/>
  <c r="G39" i="67"/>
  <c r="H39" i="67" s="1"/>
  <c r="G32" i="68"/>
  <c r="G36" i="66"/>
  <c r="H44" i="68"/>
  <c r="G9" i="67"/>
  <c r="H9" i="67" s="1"/>
  <c r="G42" i="66"/>
  <c r="G45" i="68"/>
  <c r="H23" i="66"/>
  <c r="G66" i="68"/>
  <c r="G33" i="67"/>
  <c r="G35" i="66"/>
  <c r="G21" i="66"/>
  <c r="H14" i="64"/>
  <c r="G8" i="65"/>
  <c r="F13" i="64"/>
  <c r="G14" i="68"/>
  <c r="H14" i="68" s="1"/>
  <c r="F19" i="64"/>
  <c r="H19" i="64" s="1"/>
  <c r="G64" i="66"/>
  <c r="H20" i="64"/>
  <c r="G20" i="67"/>
  <c r="F14" i="70"/>
  <c r="H35" i="68"/>
  <c r="G16" i="67"/>
  <c r="G42" i="68"/>
  <c r="G25" i="67"/>
  <c r="G58" i="66"/>
  <c r="G7" i="64"/>
  <c r="G12" i="68"/>
  <c r="G38" i="68"/>
  <c r="H37" i="67"/>
  <c r="G49" i="67"/>
  <c r="F19" i="65"/>
  <c r="G20" i="66"/>
  <c r="G53" i="66"/>
  <c r="G43" i="66"/>
  <c r="G13" i="64"/>
  <c r="G6" i="65"/>
  <c r="G58" i="68"/>
  <c r="G66" i="67"/>
  <c r="H66" i="67" s="1"/>
  <c r="F6" i="64"/>
  <c r="F11" i="71"/>
  <c r="G28" i="66"/>
  <c r="H28" i="66" s="1"/>
  <c r="G34" i="67"/>
  <c r="G11" i="68"/>
  <c r="H11" i="68" s="1"/>
  <c r="G59" i="68"/>
  <c r="I7" i="64"/>
  <c r="H19" i="66"/>
  <c r="G55" i="66"/>
  <c r="F22" i="64"/>
  <c r="F10" i="64"/>
  <c r="H10" i="64" s="1"/>
  <c r="G27" i="68"/>
  <c r="H13" i="64"/>
  <c r="G62" i="66"/>
  <c r="H62" i="66" s="1"/>
  <c r="G55" i="67"/>
  <c r="G39" i="68"/>
  <c r="G7" i="67"/>
  <c r="H7" i="67" s="1"/>
  <c r="G7" i="68"/>
  <c r="G39" i="66"/>
  <c r="H39" i="66" s="1"/>
  <c r="H45" i="66"/>
  <c r="H46" i="67"/>
  <c r="F12" i="64"/>
  <c r="G41" i="68"/>
  <c r="G60" i="68"/>
  <c r="G15" i="68"/>
  <c r="G6" i="66"/>
  <c r="F23" i="71"/>
  <c r="E5" i="71"/>
  <c r="E5" i="70"/>
  <c r="E19" i="71"/>
  <c r="E24" i="70"/>
  <c r="E28" i="70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22" i="64"/>
  <c r="H16" i="67"/>
  <c r="H50" i="68"/>
  <c r="H59" i="66"/>
  <c r="H50" i="67"/>
  <c r="H17" i="66"/>
  <c r="H17" i="64"/>
  <c r="H18" i="66"/>
  <c r="H20" i="66"/>
  <c r="H6" i="64"/>
  <c r="H29" i="66"/>
  <c r="H11" i="67"/>
  <c r="H53" i="68"/>
  <c r="G15" i="65"/>
  <c r="H24" i="67"/>
  <c r="H58" i="68"/>
  <c r="H61" i="67"/>
  <c r="H33" i="68"/>
  <c r="G12" i="65"/>
  <c r="H45" i="68"/>
  <c r="H42" i="67"/>
  <c r="H55" i="66"/>
  <c r="H21" i="66"/>
  <c r="H31" i="66"/>
  <c r="H51" i="67"/>
  <c r="H24" i="68"/>
  <c r="H40" i="66"/>
  <c r="H49" i="68"/>
  <c r="H22" i="67"/>
  <c r="G21" i="64"/>
  <c r="H59" i="68"/>
  <c r="H11" i="66"/>
  <c r="H30" i="68"/>
  <c r="H31" i="68"/>
  <c r="G18" i="64"/>
  <c r="H40" i="68"/>
  <c r="H23" i="68"/>
  <c r="G20" i="64"/>
  <c r="H10" i="68"/>
  <c r="H57" i="67"/>
  <c r="H39" i="68"/>
  <c r="H53" i="66"/>
  <c r="H66" i="68"/>
  <c r="H47" i="68"/>
  <c r="H24" i="66"/>
  <c r="H37" i="68"/>
  <c r="H50" i="66"/>
  <c r="H9" i="64"/>
  <c r="G10" i="65"/>
  <c r="G22" i="64"/>
  <c r="H42" i="66"/>
  <c r="H33" i="66"/>
  <c r="H8" i="67"/>
  <c r="H58" i="66"/>
  <c r="H54" i="67"/>
  <c r="H55" i="68"/>
  <c r="H26" i="68"/>
  <c r="H45" i="67"/>
  <c r="H36" i="67"/>
  <c r="H25" i="68"/>
  <c r="H34" i="68"/>
  <c r="H43" i="66"/>
  <c r="G19" i="65"/>
  <c r="H36" i="66"/>
  <c r="H10" i="67"/>
  <c r="H16" i="66"/>
  <c r="H64" i="68"/>
  <c r="H31" i="67"/>
  <c r="H22" i="68"/>
  <c r="H48" i="68"/>
  <c r="H47" i="66"/>
  <c r="G20" i="65"/>
  <c r="H26" i="67"/>
  <c r="H15" i="66"/>
  <c r="H64" i="66"/>
  <c r="H51" i="66"/>
  <c r="G14" i="64"/>
  <c r="G17" i="65"/>
  <c r="H32" i="67"/>
  <c r="H51" i="68"/>
  <c r="H34" i="67"/>
  <c r="H22" i="66"/>
  <c r="I13" i="64"/>
  <c r="H38" i="68"/>
  <c r="H32" i="68"/>
  <c r="H48" i="67"/>
  <c r="H7" i="66"/>
  <c r="G16" i="64"/>
  <c r="I16" i="64" s="1"/>
  <c r="H58" i="67"/>
  <c r="H46" i="68"/>
  <c r="G13" i="65"/>
  <c r="H36" i="68"/>
  <c r="H35" i="67"/>
  <c r="H8" i="64"/>
  <c r="H27" i="66"/>
  <c r="H65" i="66"/>
  <c r="H30" i="67"/>
  <c r="H41" i="68"/>
  <c r="H62" i="67"/>
  <c r="H63" i="66"/>
  <c r="G17" i="64"/>
  <c r="H65" i="67"/>
  <c r="H12" i="67"/>
  <c r="H33" i="67"/>
  <c r="H55" i="67"/>
  <c r="H12" i="68"/>
  <c r="H8" i="66"/>
  <c r="H23" i="67"/>
  <c r="H18" i="68"/>
  <c r="H26" i="66"/>
  <c r="H38" i="67"/>
  <c r="H44" i="67"/>
  <c r="H21" i="68"/>
  <c r="H25" i="66"/>
  <c r="G18" i="65"/>
  <c r="G12" i="64"/>
  <c r="I12" i="64" s="1"/>
  <c r="G15" i="64"/>
  <c r="I15" i="64" s="1"/>
  <c r="H62" i="68"/>
  <c r="H35" i="66"/>
  <c r="H12" i="64"/>
  <c r="H61" i="68"/>
  <c r="H49" i="67"/>
  <c r="G19" i="64"/>
  <c r="H20" i="67"/>
  <c r="H56" i="66"/>
  <c r="H63" i="68"/>
  <c r="H25" i="67"/>
  <c r="H9" i="66"/>
  <c r="H60" i="66"/>
  <c r="H44" i="66"/>
  <c r="H27" i="67"/>
  <c r="H18" i="67"/>
  <c r="G7" i="65"/>
  <c r="H34" i="66"/>
  <c r="H19" i="67"/>
  <c r="H41" i="67"/>
  <c r="H13" i="68"/>
  <c r="G11" i="64"/>
  <c r="I11" i="64" s="1"/>
  <c r="H8" i="68"/>
  <c r="H47" i="67"/>
  <c r="H10" i="66"/>
  <c r="H54" i="66"/>
  <c r="H13" i="66"/>
  <c r="H49" i="66"/>
  <c r="H28" i="67"/>
  <c r="H52" i="67"/>
  <c r="H32" i="66"/>
  <c r="H15" i="68"/>
  <c r="H42" i="68"/>
  <c r="G14" i="65"/>
  <c r="H29" i="68"/>
  <c r="G11" i="65"/>
  <c r="H56" i="67"/>
  <c r="H13" i="67"/>
  <c r="H28" i="68"/>
  <c r="G8" i="64"/>
  <c r="I8" i="64" s="1"/>
  <c r="H16" i="64"/>
  <c r="G9" i="64"/>
  <c r="I9" i="64" s="1"/>
  <c r="H16" i="68"/>
  <c r="H27" i="68"/>
  <c r="H20" i="68"/>
  <c r="H40" i="67"/>
  <c r="H7" i="64"/>
  <c r="H64" i="67"/>
  <c r="H60" i="68"/>
  <c r="G10" i="64"/>
  <c r="I10" i="64" s="1"/>
  <c r="H7" i="68"/>
  <c r="I21" i="64"/>
  <c r="H30" i="66"/>
  <c r="H43" i="67"/>
  <c r="F19" i="71"/>
  <c r="G6" i="67"/>
  <c r="D3" i="62"/>
  <c r="F28" i="70"/>
  <c r="F24" i="70"/>
  <c r="G6" i="68"/>
  <c r="H6" i="68" s="1"/>
  <c r="D3" i="61"/>
  <c r="F5" i="64"/>
  <c r="F5" i="65"/>
  <c r="H6" i="66"/>
  <c r="F5" i="71"/>
  <c r="F5" i="70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20" i="62"/>
  <c r="N19" i="62"/>
  <c r="K11" i="62"/>
  <c r="N15" i="61"/>
  <c r="K20" i="61"/>
  <c r="N7" i="61"/>
  <c r="K4" i="62"/>
  <c r="S7" i="62"/>
  <c r="N14" i="62"/>
  <c r="S11" i="62"/>
  <c r="N11" i="61"/>
  <c r="K14" i="62"/>
  <c r="N4" i="61"/>
  <c r="K8" i="62"/>
  <c r="S9" i="62"/>
  <c r="N9" i="61"/>
  <c r="K17" i="61"/>
  <c r="N4" i="62"/>
  <c r="K13" i="61"/>
  <c r="N16" i="61"/>
  <c r="K5" i="62"/>
  <c r="K10" i="62"/>
  <c r="N20" i="62"/>
  <c r="K7" i="62"/>
  <c r="S17" i="62"/>
  <c r="K5" i="61"/>
  <c r="N8" i="61"/>
  <c r="N17" i="61"/>
  <c r="N5" i="62"/>
  <c r="K10" i="61"/>
  <c r="K19" i="62"/>
  <c r="K19" i="61"/>
  <c r="K15" i="61"/>
  <c r="K15" i="62"/>
  <c r="S4" i="62"/>
  <c r="N10" i="62"/>
  <c r="K9" i="61"/>
  <c r="K13" i="62"/>
  <c r="K8" i="61"/>
  <c r="S15" i="62"/>
  <c r="N13" i="62"/>
  <c r="S21" i="62"/>
  <c r="N15" i="62"/>
  <c r="N17" i="62"/>
  <c r="S10" i="62"/>
  <c r="N14" i="61"/>
  <c r="N8" i="62"/>
  <c r="S16" i="62"/>
  <c r="N7" i="62"/>
  <c r="N9" i="62"/>
  <c r="N19" i="61"/>
  <c r="S12" i="62"/>
  <c r="N18" i="62"/>
  <c r="K9" i="62"/>
  <c r="N12" i="61"/>
  <c r="N20" i="61"/>
  <c r="K12" i="62"/>
  <c r="S8" i="62"/>
  <c r="K21" i="61"/>
  <c r="S20" i="62"/>
  <c r="N21" i="62"/>
  <c r="S14" i="62"/>
  <c r="K16" i="61"/>
  <c r="K18" i="62"/>
  <c r="N13" i="61"/>
  <c r="K14" i="61"/>
  <c r="N12" i="62"/>
  <c r="K12" i="61"/>
  <c r="S19" i="62"/>
  <c r="N16" i="62"/>
  <c r="K11" i="61"/>
  <c r="N10" i="61"/>
  <c r="N5" i="61"/>
  <c r="K17" i="62"/>
  <c r="K18" i="61"/>
  <c r="K21" i="62"/>
  <c r="K6" i="61"/>
  <c r="N6" i="61"/>
  <c r="K7" i="61"/>
  <c r="N21" i="61"/>
  <c r="K16" i="62"/>
  <c r="S13" i="62"/>
  <c r="N11" i="62"/>
  <c r="S18" i="62"/>
  <c r="K4" i="61"/>
  <c r="N18" i="61"/>
  <c r="I20" i="64"/>
  <c r="I22" i="64"/>
  <c r="I19" i="64"/>
  <c r="I18" i="64"/>
  <c r="I17" i="64"/>
  <c r="I14" i="64"/>
  <c r="G5" i="65"/>
  <c r="H5" i="64"/>
  <c r="H6" i="67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5" i="60"/>
  <c r="K4" i="60"/>
  <c r="K14" i="60"/>
  <c r="K17" i="60"/>
  <c r="N7" i="60"/>
  <c r="N4" i="60"/>
  <c r="N5" i="60"/>
  <c r="N16" i="60"/>
  <c r="K10" i="60"/>
  <c r="N17" i="60"/>
  <c r="K16" i="60"/>
  <c r="N9" i="60"/>
  <c r="N10" i="60"/>
  <c r="K7" i="60"/>
  <c r="K5" i="60"/>
  <c r="N15" i="60"/>
  <c r="K8" i="60"/>
  <c r="K18" i="60"/>
  <c r="K9" i="60"/>
  <c r="N14" i="60"/>
  <c r="N12" i="60"/>
  <c r="K13" i="60"/>
  <c r="N13" i="60"/>
  <c r="K6" i="60"/>
  <c r="N11" i="60"/>
  <c r="N6" i="60"/>
  <c r="K11" i="60"/>
  <c r="K12" i="60"/>
  <c r="N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K5" i="55"/>
  <c r="K10" i="55"/>
  <c r="K6" i="55"/>
  <c r="K7" i="55"/>
  <c r="Q3" i="55"/>
  <c r="K8" i="55"/>
  <c r="B1" i="56"/>
  <c r="F4" i="55"/>
  <c r="P5" i="55" l="1" a="1"/>
  <c r="F5" i="55" a="1"/>
  <c r="P5" i="55" l="1"/>
  <c r="P7" i="55"/>
  <c r="P10" i="55"/>
  <c r="P9" i="55"/>
  <c r="P6" i="55"/>
  <c r="P8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75" i="40"/>
  <c r="G33" i="40"/>
  <c r="G110" i="40"/>
  <c r="G30" i="40"/>
  <c r="G93" i="40"/>
  <c r="G49" i="40"/>
  <c r="G113" i="40"/>
  <c r="G9" i="40"/>
  <c r="G44" i="40"/>
  <c r="G15" i="40"/>
  <c r="G120" i="40"/>
  <c r="G78" i="40"/>
  <c r="G63" i="40"/>
  <c r="G53" i="40"/>
  <c r="G114" i="40"/>
  <c r="G64" i="40"/>
  <c r="G69" i="40"/>
  <c r="G77" i="40"/>
  <c r="G118" i="40"/>
  <c r="G96" i="40"/>
  <c r="G31" i="40"/>
  <c r="G18" i="40"/>
  <c r="G57" i="40"/>
  <c r="G111" i="40"/>
  <c r="G86" i="40"/>
  <c r="G32" i="40"/>
  <c r="G95" i="40"/>
  <c r="G117" i="40"/>
  <c r="G87" i="40"/>
  <c r="G122" i="40"/>
  <c r="G54" i="40"/>
  <c r="G99" i="40"/>
  <c r="G97" i="40"/>
  <c r="G88" i="40"/>
  <c r="G68" i="40"/>
  <c r="G94" i="40"/>
  <c r="G39" i="40"/>
  <c r="G123" i="40"/>
  <c r="G98" i="40"/>
  <c r="G21" i="40"/>
  <c r="G105" i="40"/>
  <c r="G60" i="40"/>
  <c r="G46" i="40"/>
  <c r="G79" i="40"/>
  <c r="G27" i="40"/>
  <c r="G50" i="40"/>
  <c r="G40" i="40"/>
  <c r="G72" i="40"/>
  <c r="G83" i="40"/>
  <c r="G82" i="40"/>
  <c r="G41" i="40"/>
  <c r="G90" i="40"/>
  <c r="G89" i="40"/>
  <c r="G14" i="40"/>
  <c r="G115" i="40"/>
  <c r="G29" i="40"/>
  <c r="G92" i="40"/>
  <c r="G125" i="40"/>
  <c r="G121" i="40"/>
  <c r="G107" i="40"/>
  <c r="G28" i="40"/>
  <c r="G124" i="40"/>
  <c r="G70" i="40"/>
  <c r="G100" i="40"/>
  <c r="G52" i="40"/>
  <c r="G19" i="40"/>
  <c r="G10" i="40"/>
  <c r="G126" i="40"/>
  <c r="G106" i="40"/>
  <c r="G84" i="40"/>
  <c r="G80" i="40"/>
  <c r="G45" i="40"/>
  <c r="G12" i="40"/>
  <c r="G65" i="40"/>
  <c r="G16" i="40"/>
  <c r="G11" i="40"/>
  <c r="G13" i="40"/>
  <c r="G102" i="40"/>
  <c r="G91" i="40"/>
  <c r="G35" i="40"/>
  <c r="G43" i="40"/>
  <c r="G26" i="40"/>
  <c r="G56" i="40"/>
  <c r="G112" i="40"/>
  <c r="G101" i="40"/>
  <c r="G20" i="40"/>
  <c r="G62" i="40"/>
  <c r="G66" i="40"/>
  <c r="G23" i="40"/>
  <c r="G59" i="40"/>
  <c r="G47" i="40"/>
  <c r="G61" i="40"/>
  <c r="G109" i="40"/>
  <c r="G22" i="40"/>
  <c r="G81" i="40"/>
  <c r="G73" i="40"/>
  <c r="G24" i="40"/>
  <c r="G119" i="40"/>
  <c r="G103" i="40"/>
  <c r="G34" i="40"/>
  <c r="G58" i="40"/>
  <c r="G67" i="40"/>
  <c r="G74" i="40"/>
  <c r="G85" i="40"/>
  <c r="G48" i="40"/>
  <c r="G108" i="40"/>
  <c r="G42" i="40"/>
  <c r="G51" i="40"/>
  <c r="G36" i="40"/>
  <c r="G71" i="40"/>
  <c r="G55" i="40"/>
  <c r="G76" i="40"/>
  <c r="G104" i="40"/>
  <c r="G7" i="40"/>
  <c r="G38" i="40"/>
  <c r="G17" i="40"/>
  <c r="G8" i="40"/>
  <c r="G25" i="40"/>
  <c r="G116" i="40"/>
  <c r="G37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84" i="39"/>
  <c r="G63" i="39"/>
  <c r="G12" i="39"/>
  <c r="G7" i="39"/>
  <c r="G124" i="39"/>
  <c r="G57" i="39"/>
  <c r="G32" i="39"/>
  <c r="G30" i="39"/>
  <c r="G78" i="39"/>
  <c r="G122" i="39"/>
  <c r="G21" i="39"/>
  <c r="G95" i="39"/>
  <c r="G56" i="39"/>
  <c r="G52" i="39"/>
  <c r="G34" i="39"/>
  <c r="G24" i="39"/>
  <c r="G14" i="39"/>
  <c r="G18" i="39"/>
  <c r="G33" i="39"/>
  <c r="G103" i="39"/>
  <c r="G39" i="39"/>
  <c r="G58" i="39"/>
  <c r="G27" i="39"/>
  <c r="G45" i="39"/>
  <c r="G109" i="39"/>
  <c r="G86" i="39"/>
  <c r="G46" i="39"/>
  <c r="G67" i="39"/>
  <c r="G23" i="39"/>
  <c r="G82" i="39"/>
  <c r="G22" i="39"/>
  <c r="G120" i="39"/>
  <c r="G111" i="39"/>
  <c r="G104" i="39"/>
  <c r="G69" i="39"/>
  <c r="G74" i="39"/>
  <c r="G54" i="39"/>
  <c r="G116" i="39"/>
  <c r="G42" i="39"/>
  <c r="G117" i="39"/>
  <c r="G99" i="39"/>
  <c r="G101" i="39"/>
  <c r="G15" i="39"/>
  <c r="G31" i="39"/>
  <c r="G85" i="39"/>
  <c r="G44" i="39"/>
  <c r="G40" i="39"/>
  <c r="G35" i="39"/>
  <c r="G83" i="39"/>
  <c r="G97" i="39"/>
  <c r="G75" i="39"/>
  <c r="G16" i="39"/>
  <c r="G49" i="39"/>
  <c r="G118" i="39"/>
  <c r="G28" i="39"/>
  <c r="G51" i="39"/>
  <c r="G71" i="39"/>
  <c r="G65" i="39"/>
  <c r="G53" i="39"/>
  <c r="G62" i="39"/>
  <c r="G41" i="39"/>
  <c r="G121" i="39"/>
  <c r="G126" i="39"/>
  <c r="G87" i="39"/>
  <c r="G47" i="39"/>
  <c r="G81" i="39"/>
  <c r="G108" i="39"/>
  <c r="G107" i="39"/>
  <c r="G125" i="39"/>
  <c r="G48" i="39"/>
  <c r="G70" i="39"/>
  <c r="G89" i="39"/>
  <c r="G66" i="39"/>
  <c r="G98" i="39"/>
  <c r="G79" i="39"/>
  <c r="G20" i="39"/>
  <c r="G73" i="39"/>
  <c r="G76" i="39"/>
  <c r="G100" i="39"/>
  <c r="G59" i="39"/>
  <c r="G106" i="39"/>
  <c r="G96" i="39"/>
  <c r="G88" i="39"/>
  <c r="G64" i="39"/>
  <c r="G38" i="39"/>
  <c r="G11" i="39"/>
  <c r="G115" i="39"/>
  <c r="G55" i="39"/>
  <c r="G8" i="39"/>
  <c r="G50" i="39"/>
  <c r="G112" i="39"/>
  <c r="G110" i="39"/>
  <c r="G113" i="39"/>
  <c r="G123" i="39"/>
  <c r="G91" i="39"/>
  <c r="G90" i="39"/>
  <c r="G60" i="39"/>
  <c r="G105" i="39"/>
  <c r="G19" i="39"/>
  <c r="G26" i="39"/>
  <c r="G119" i="39"/>
  <c r="G102" i="39"/>
  <c r="G10" i="39"/>
  <c r="G17" i="39"/>
  <c r="G29" i="39"/>
  <c r="G77" i="39"/>
  <c r="G80" i="39"/>
  <c r="G114" i="39"/>
  <c r="G94" i="39"/>
  <c r="G92" i="39"/>
  <c r="G72" i="39"/>
  <c r="G43" i="39"/>
  <c r="G13" i="39"/>
  <c r="G68" i="39"/>
  <c r="G9" i="39"/>
  <c r="G36" i="39"/>
  <c r="G37" i="39"/>
  <c r="G93" i="39"/>
  <c r="G61" i="39"/>
  <c r="G25" i="39"/>
  <c r="H96" i="40"/>
  <c r="H29" i="40"/>
  <c r="H63" i="40"/>
  <c r="H35" i="40"/>
  <c r="H59" i="40"/>
  <c r="H20" i="40"/>
  <c r="H90" i="40"/>
  <c r="H120" i="40"/>
  <c r="H121" i="40"/>
  <c r="H34" i="40"/>
  <c r="H57" i="40"/>
  <c r="H113" i="40"/>
  <c r="H86" i="40"/>
  <c r="H101" i="40"/>
  <c r="H116" i="40"/>
  <c r="H76" i="40"/>
  <c r="H43" i="40"/>
  <c r="H77" i="40"/>
  <c r="H24" i="40"/>
  <c r="H21" i="40"/>
  <c r="H115" i="40"/>
  <c r="H44" i="40"/>
  <c r="H107" i="40"/>
  <c r="H95" i="40"/>
  <c r="H14" i="40"/>
  <c r="H85" i="40"/>
  <c r="H7" i="40"/>
  <c r="H62" i="40"/>
  <c r="H61" i="40"/>
  <c r="H46" i="40"/>
  <c r="H92" i="40"/>
  <c r="H126" i="40"/>
  <c r="H108" i="40"/>
  <c r="H50" i="40"/>
  <c r="H100" i="40"/>
  <c r="H30" i="40"/>
  <c r="H122" i="40"/>
  <c r="H93" i="40"/>
  <c r="H42" i="40"/>
  <c r="H17" i="40"/>
  <c r="H114" i="40"/>
  <c r="H32" i="40"/>
  <c r="H18" i="40"/>
  <c r="H102" i="40"/>
  <c r="H10" i="40"/>
  <c r="H117" i="40"/>
  <c r="H81" i="40"/>
  <c r="H109" i="40"/>
  <c r="H23" i="40"/>
  <c r="H38" i="40"/>
  <c r="H104" i="40"/>
  <c r="H55" i="40"/>
  <c r="H79" i="40"/>
  <c r="H51" i="40"/>
  <c r="H31" i="40"/>
  <c r="H19" i="40"/>
  <c r="H106" i="40"/>
  <c r="H124" i="40"/>
  <c r="H73" i="40"/>
  <c r="H37" i="40"/>
  <c r="H36" i="40"/>
  <c r="H48" i="40"/>
  <c r="H94" i="40"/>
  <c r="H111" i="40"/>
  <c r="H84" i="40"/>
  <c r="H103" i="40"/>
  <c r="H69" i="40"/>
  <c r="H87" i="40"/>
  <c r="H49" i="40"/>
  <c r="H45" i="40"/>
  <c r="H53" i="40"/>
  <c r="H75" i="40"/>
  <c r="H105" i="40"/>
  <c r="H74" i="40"/>
  <c r="H60" i="40"/>
  <c r="H27" i="40"/>
  <c r="H118" i="40"/>
  <c r="H83" i="40"/>
  <c r="H99" i="40"/>
  <c r="H66" i="40"/>
  <c r="H68" i="40"/>
  <c r="H22" i="40"/>
  <c r="H15" i="40"/>
  <c r="H13" i="40"/>
  <c r="H88" i="40"/>
  <c r="H78" i="40"/>
  <c r="H65" i="40"/>
  <c r="H11" i="40"/>
  <c r="H54" i="40"/>
  <c r="H71" i="40"/>
  <c r="H58" i="40"/>
  <c r="H97" i="40"/>
  <c r="H98" i="40"/>
  <c r="H47" i="40"/>
  <c r="H123" i="40"/>
  <c r="H64" i="40"/>
  <c r="H67" i="40"/>
  <c r="H72" i="40"/>
  <c r="H110" i="40"/>
  <c r="H112" i="40"/>
  <c r="H33" i="40"/>
  <c r="H82" i="40"/>
  <c r="H52" i="40"/>
  <c r="H39" i="40"/>
  <c r="H25" i="40"/>
  <c r="H80" i="40"/>
  <c r="H91" i="40"/>
  <c r="H89" i="40"/>
  <c r="H28" i="40"/>
  <c r="H56" i="40"/>
  <c r="H40" i="40"/>
  <c r="H16" i="40"/>
  <c r="H125" i="40"/>
  <c r="H12" i="40"/>
  <c r="H41" i="40"/>
  <c r="H8" i="40"/>
  <c r="H70" i="40"/>
  <c r="H26" i="40"/>
  <c r="H9" i="40"/>
  <c r="H119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1" i="34"/>
  <c r="L22" i="35"/>
  <c r="L17" i="34"/>
  <c r="L35" i="35"/>
  <c r="L5" i="35"/>
  <c r="L4" i="35"/>
  <c r="L23" i="35"/>
  <c r="L32" i="34"/>
  <c r="L28" i="34"/>
  <c r="L5" i="34"/>
  <c r="L19" i="35"/>
  <c r="L12" i="34"/>
  <c r="L17" i="35"/>
  <c r="L29" i="34"/>
  <c r="L23" i="34"/>
  <c r="L14" i="34"/>
  <c r="L29" i="35"/>
  <c r="L36" i="35"/>
  <c r="L11" i="34"/>
  <c r="L15" i="35"/>
  <c r="L26" i="34"/>
  <c r="L25" i="35"/>
  <c r="L7" i="35"/>
  <c r="L34" i="35"/>
  <c r="L8" i="35"/>
  <c r="L31" i="35"/>
  <c r="L15" i="34"/>
  <c r="L9" i="34"/>
  <c r="L27" i="34"/>
  <c r="L27" i="35"/>
  <c r="L6" i="35"/>
  <c r="L13" i="35"/>
  <c r="L11" i="35"/>
  <c r="L13" i="34"/>
  <c r="L30" i="35"/>
  <c r="L4" i="34"/>
  <c r="L9" i="35"/>
  <c r="L19" i="34"/>
  <c r="L30" i="34"/>
  <c r="L36" i="34"/>
  <c r="L6" i="34"/>
  <c r="L21" i="35"/>
  <c r="L12" i="35"/>
  <c r="L3" i="34"/>
  <c r="L18" i="35"/>
  <c r="L32" i="35"/>
  <c r="L8" i="34"/>
  <c r="L14" i="35"/>
  <c r="L35" i="34"/>
  <c r="L20" i="34"/>
  <c r="L26" i="35"/>
  <c r="L33" i="34"/>
  <c r="L24" i="34"/>
  <c r="L21" i="34"/>
  <c r="L28" i="35"/>
  <c r="L7" i="34"/>
  <c r="L22" i="34"/>
  <c r="L10" i="35"/>
  <c r="L34" i="34"/>
  <c r="L25" i="34"/>
  <c r="L24" i="35"/>
  <c r="L20" i="35"/>
  <c r="L33" i="35"/>
  <c r="L16" i="35"/>
  <c r="L16" i="34"/>
  <c r="L10" i="34"/>
  <c r="L3" i="35"/>
  <c r="L18" i="34"/>
  <c r="H44" i="39"/>
  <c r="H84" i="39"/>
  <c r="H95" i="39"/>
  <c r="H124" i="39"/>
  <c r="H12" i="39"/>
  <c r="H43" i="39"/>
  <c r="H69" i="39"/>
  <c r="H76" i="39"/>
  <c r="H27" i="39"/>
  <c r="H60" i="39"/>
  <c r="H82" i="39"/>
  <c r="H45" i="39"/>
  <c r="H54" i="39"/>
  <c r="H47" i="39"/>
  <c r="H59" i="39"/>
  <c r="H17" i="39"/>
  <c r="H94" i="39"/>
  <c r="H21" i="39"/>
  <c r="H73" i="39"/>
  <c r="H56" i="39"/>
  <c r="H115" i="39"/>
  <c r="H101" i="39"/>
  <c r="H117" i="39"/>
  <c r="H89" i="39"/>
  <c r="H74" i="39"/>
  <c r="H107" i="39"/>
  <c r="H14" i="39"/>
  <c r="H88" i="39"/>
  <c r="H70" i="39"/>
  <c r="H104" i="39"/>
  <c r="H62" i="39"/>
  <c r="H31" i="39"/>
  <c r="H71" i="39"/>
  <c r="H83" i="39"/>
  <c r="H103" i="39"/>
  <c r="H80" i="39"/>
  <c r="H105" i="39"/>
  <c r="H66" i="39"/>
  <c r="H125" i="39"/>
  <c r="H33" i="39"/>
  <c r="H118" i="39"/>
  <c r="H48" i="39"/>
  <c r="H40" i="39"/>
  <c r="H38" i="39"/>
  <c r="H75" i="39"/>
  <c r="H24" i="39"/>
  <c r="H122" i="39"/>
  <c r="H52" i="39"/>
  <c r="H111" i="39"/>
  <c r="H51" i="39"/>
  <c r="H86" i="39"/>
  <c r="H39" i="39"/>
  <c r="H41" i="39"/>
  <c r="H36" i="39"/>
  <c r="H79" i="39"/>
  <c r="H64" i="39"/>
  <c r="H90" i="39"/>
  <c r="H96" i="39"/>
  <c r="H34" i="39"/>
  <c r="H68" i="39"/>
  <c r="H20" i="39"/>
  <c r="H28" i="39"/>
  <c r="H67" i="39"/>
  <c r="H87" i="39"/>
  <c r="H120" i="39"/>
  <c r="H61" i="39"/>
  <c r="H32" i="39"/>
  <c r="H121" i="39"/>
  <c r="H25" i="39"/>
  <c r="H29" i="39"/>
  <c r="H10" i="39"/>
  <c r="H98" i="39"/>
  <c r="H63" i="39"/>
  <c r="H16" i="39"/>
  <c r="H113" i="39"/>
  <c r="H97" i="39"/>
  <c r="H108" i="39"/>
  <c r="H72" i="39"/>
  <c r="H11" i="39"/>
  <c r="H7" i="39"/>
  <c r="H77" i="39"/>
  <c r="H53" i="39"/>
  <c r="H100" i="39"/>
  <c r="H26" i="39"/>
  <c r="H50" i="39"/>
  <c r="H15" i="39"/>
  <c r="H110" i="39"/>
  <c r="H58" i="39"/>
  <c r="H23" i="39"/>
  <c r="H102" i="39"/>
  <c r="H109" i="39"/>
  <c r="H112" i="39"/>
  <c r="H85" i="39"/>
  <c r="H9" i="39"/>
  <c r="H42" i="39"/>
  <c r="H13" i="39"/>
  <c r="H123" i="39"/>
  <c r="H91" i="39"/>
  <c r="H78" i="39"/>
  <c r="H65" i="39"/>
  <c r="H19" i="39"/>
  <c r="H114" i="39"/>
  <c r="H119" i="39"/>
  <c r="H37" i="39"/>
  <c r="H92" i="39"/>
  <c r="H35" i="39"/>
  <c r="H126" i="39"/>
  <c r="H99" i="39"/>
  <c r="H30" i="39"/>
  <c r="H46" i="39"/>
  <c r="H93" i="39"/>
  <c r="H57" i="39"/>
  <c r="H8" i="39"/>
  <c r="H55" i="39"/>
  <c r="H116" i="39"/>
  <c r="H49" i="39"/>
  <c r="H22" i="39"/>
  <c r="H81" i="39"/>
  <c r="H18" i="39"/>
  <c r="H106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5" i="37"/>
  <c r="K28" i="37"/>
  <c r="K15" i="37"/>
  <c r="K22" i="37"/>
  <c r="K30" i="36"/>
  <c r="K30" i="37"/>
  <c r="K17" i="36"/>
  <c r="K34" i="37"/>
  <c r="K28" i="36"/>
  <c r="K5" i="36"/>
  <c r="K19" i="36"/>
  <c r="K23" i="36"/>
  <c r="K32" i="37"/>
  <c r="K4" i="36"/>
  <c r="K20" i="37"/>
  <c r="K9" i="37"/>
  <c r="K29" i="37"/>
  <c r="K13" i="36"/>
  <c r="K24" i="36"/>
  <c r="K18" i="36"/>
  <c r="K10" i="37"/>
  <c r="K10" i="36"/>
  <c r="K8" i="36"/>
  <c r="K25" i="37"/>
  <c r="K12" i="36"/>
  <c r="K27" i="37"/>
  <c r="K34" i="36"/>
  <c r="K26" i="36"/>
  <c r="K14" i="36"/>
  <c r="K3" i="36"/>
  <c r="K16" i="37"/>
  <c r="K36" i="36"/>
  <c r="K35" i="36"/>
  <c r="K13" i="37"/>
  <c r="K17" i="37"/>
  <c r="K18" i="37"/>
  <c r="K15" i="36"/>
  <c r="K12" i="37"/>
  <c r="K14" i="37"/>
  <c r="K3" i="37"/>
  <c r="K11" i="37"/>
  <c r="K31" i="37"/>
  <c r="K9" i="36"/>
  <c r="K20" i="36"/>
  <c r="K16" i="36"/>
  <c r="K21" i="36"/>
  <c r="K23" i="37"/>
  <c r="K24" i="37"/>
  <c r="K4" i="37"/>
  <c r="K32" i="36"/>
  <c r="K19" i="37"/>
  <c r="K22" i="36"/>
  <c r="K27" i="36"/>
  <c r="K26" i="37"/>
  <c r="K6" i="36"/>
  <c r="K7" i="37"/>
  <c r="K21" i="37"/>
  <c r="K25" i="36"/>
  <c r="K7" i="36"/>
  <c r="K33" i="37"/>
  <c r="K11" i="36"/>
  <c r="K29" i="36"/>
  <c r="K35" i="37"/>
  <c r="K6" i="37"/>
  <c r="K31" i="36"/>
  <c r="K8" i="37"/>
  <c r="K36" i="37"/>
  <c r="K33" i="36"/>
  <c r="K2" i="35"/>
  <c r="K2" i="34"/>
  <c r="J2" i="36" l="1"/>
  <c r="J2" i="37"/>
  <c r="C1" i="32"/>
  <c r="L24" i="36"/>
  <c r="L23" i="36"/>
  <c r="L9" i="36"/>
  <c r="L18" i="36"/>
  <c r="L21" i="37"/>
  <c r="L27" i="37"/>
  <c r="L4" i="36"/>
  <c r="L32" i="36"/>
  <c r="L19" i="36"/>
  <c r="L30" i="36"/>
  <c r="L8" i="37"/>
  <c r="L26" i="37"/>
  <c r="L32" i="37"/>
  <c r="L4" i="37"/>
  <c r="L5" i="36"/>
  <c r="L24" i="37"/>
  <c r="L28" i="37"/>
  <c r="L22" i="36"/>
  <c r="L35" i="36"/>
  <c r="L33" i="37"/>
  <c r="L36" i="36"/>
  <c r="L34" i="37"/>
  <c r="L15" i="36"/>
  <c r="L35" i="37"/>
  <c r="L10" i="37"/>
  <c r="L22" i="37"/>
  <c r="L12" i="37"/>
  <c r="L10" i="36"/>
  <c r="L29" i="36"/>
  <c r="L7" i="37"/>
  <c r="L25" i="37"/>
  <c r="L16" i="36"/>
  <c r="L31" i="36"/>
  <c r="L34" i="36"/>
  <c r="L3" i="37"/>
  <c r="L12" i="36"/>
  <c r="L33" i="36"/>
  <c r="L21" i="36"/>
  <c r="L36" i="37"/>
  <c r="L11" i="37"/>
  <c r="L3" i="36"/>
  <c r="L5" i="37"/>
  <c r="L27" i="36"/>
  <c r="L6" i="36"/>
  <c r="L11" i="36"/>
  <c r="L29" i="37"/>
  <c r="L19" i="37"/>
  <c r="L28" i="36"/>
  <c r="L13" i="37"/>
  <c r="L30" i="37"/>
  <c r="L7" i="36"/>
  <c r="L31" i="37"/>
  <c r="L9" i="37"/>
  <c r="L8" i="36"/>
  <c r="L6" i="37"/>
  <c r="L16" i="37"/>
  <c r="L14" i="37"/>
  <c r="L13" i="36"/>
  <c r="L15" i="37"/>
  <c r="L20" i="37"/>
  <c r="L17" i="36"/>
  <c r="L23" i="37"/>
  <c r="L25" i="36"/>
  <c r="L26" i="36"/>
  <c r="L18" i="37"/>
  <c r="L14" i="36"/>
  <c r="L20" i="36"/>
  <c r="L17" i="37"/>
  <c r="L2" i="34"/>
  <c r="K2" i="37"/>
  <c r="L2" i="35"/>
  <c r="K2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16" i="32"/>
  <c r="D10" i="32"/>
  <c r="D29" i="32"/>
  <c r="D9" i="32"/>
  <c r="D20" i="32"/>
  <c r="D55" i="32"/>
  <c r="D40" i="32"/>
  <c r="D52" i="32"/>
  <c r="D6" i="32"/>
  <c r="D13" i="32"/>
  <c r="D31" i="32"/>
  <c r="D23" i="32"/>
  <c r="D22" i="32"/>
  <c r="D64" i="32"/>
  <c r="D33" i="32"/>
  <c r="D43" i="32"/>
  <c r="D45" i="32"/>
  <c r="D63" i="32"/>
  <c r="D62" i="32"/>
  <c r="D44" i="32"/>
  <c r="D5" i="32"/>
  <c r="D30" i="32"/>
  <c r="D60" i="32"/>
  <c r="D59" i="32"/>
  <c r="D36" i="32"/>
  <c r="D58" i="32"/>
  <c r="D42" i="32"/>
  <c r="D14" i="32"/>
  <c r="D8" i="32"/>
  <c r="D28" i="32"/>
  <c r="D38" i="32"/>
  <c r="D4" i="32"/>
  <c r="D35" i="32"/>
  <c r="D39" i="32"/>
  <c r="D3" i="32"/>
  <c r="D41" i="32"/>
  <c r="D15" i="32"/>
  <c r="D46" i="32"/>
  <c r="D17" i="32"/>
  <c r="D50" i="32"/>
  <c r="D56" i="32"/>
  <c r="D53" i="32"/>
  <c r="D24" i="32"/>
  <c r="D19" i="32"/>
  <c r="D57" i="32"/>
  <c r="D34" i="32"/>
  <c r="D51" i="32"/>
  <c r="D32" i="32"/>
  <c r="D49" i="32"/>
  <c r="D27" i="32"/>
  <c r="D7" i="32"/>
  <c r="D26" i="32"/>
  <c r="D25" i="32"/>
  <c r="D54" i="32"/>
  <c r="D21" i="32"/>
  <c r="D11" i="32"/>
  <c r="D18" i="32"/>
  <c r="D37" i="32"/>
  <c r="E37" i="32" s="1"/>
  <c r="D12" i="32"/>
  <c r="D61" i="32"/>
  <c r="D47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6" i="32"/>
  <c r="E5" i="32"/>
  <c r="D9" i="31"/>
  <c r="E20" i="32"/>
  <c r="E4" i="32"/>
  <c r="E19" i="32"/>
  <c r="E14" i="32"/>
  <c r="E32" i="32"/>
  <c r="D15" i="31"/>
  <c r="E28" i="32"/>
  <c r="E25" i="32"/>
  <c r="E42" i="32"/>
  <c r="D11" i="31"/>
  <c r="E48" i="32"/>
  <c r="D10" i="31"/>
  <c r="E3" i="32"/>
  <c r="E29" i="32"/>
  <c r="E41" i="32"/>
  <c r="E26" i="32"/>
  <c r="D13" i="31"/>
  <c r="E7" i="32"/>
  <c r="E33" i="32"/>
  <c r="E13" i="32"/>
  <c r="D7" i="31"/>
  <c r="E38" i="32"/>
  <c r="E35" i="32"/>
  <c r="E10" i="32"/>
  <c r="E12" i="32"/>
  <c r="D12" i="31"/>
  <c r="E36" i="32"/>
  <c r="E44" i="32"/>
  <c r="D4" i="31"/>
  <c r="E51" i="32"/>
  <c r="E60" i="32"/>
  <c r="E56" i="32"/>
  <c r="E15" i="32"/>
  <c r="E61" i="32"/>
  <c r="D5" i="31"/>
  <c r="E16" i="32"/>
  <c r="E45" i="32"/>
  <c r="D6" i="31"/>
  <c r="E47" i="32"/>
  <c r="E23" i="32"/>
  <c r="E21" i="32"/>
  <c r="E40" i="32"/>
  <c r="E17" i="32"/>
  <c r="E30" i="32"/>
  <c r="E52" i="32"/>
  <c r="E31" i="32"/>
  <c r="E46" i="32"/>
  <c r="E64" i="32"/>
  <c r="E55" i="32"/>
  <c r="E57" i="32"/>
  <c r="E50" i="32"/>
  <c r="E8" i="32"/>
  <c r="E27" i="32"/>
  <c r="E62" i="32"/>
  <c r="E18" i="32"/>
  <c r="D3" i="31"/>
  <c r="E39" i="32"/>
  <c r="E53" i="32"/>
  <c r="E34" i="32"/>
  <c r="E22" i="32"/>
  <c r="E24" i="32"/>
  <c r="E63" i="32"/>
  <c r="E49" i="32"/>
  <c r="E43" i="32"/>
  <c r="E58" i="32"/>
  <c r="E11" i="32"/>
  <c r="E54" i="32"/>
  <c r="E9" i="32"/>
  <c r="D16" i="31"/>
  <c r="D8" i="31"/>
  <c r="E59" i="32"/>
  <c r="D14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4" i="31"/>
  <c r="E16" i="31"/>
  <c r="D10" i="30"/>
  <c r="E15" i="31"/>
  <c r="D5" i="30"/>
  <c r="E9" i="31"/>
  <c r="E12" i="31"/>
  <c r="D8" i="30"/>
  <c r="E10" i="31"/>
  <c r="E6" i="31"/>
  <c r="E13" i="31"/>
  <c r="E5" i="31"/>
  <c r="D6" i="30"/>
  <c r="D7" i="30"/>
  <c r="E8" i="31"/>
  <c r="D11" i="30"/>
  <c r="E4" i="31"/>
  <c r="D3" i="30"/>
  <c r="E7" i="31"/>
  <c r="D4" i="30"/>
  <c r="E3" i="31"/>
  <c r="D13" i="30"/>
  <c r="D9" i="30"/>
  <c r="E11" i="31"/>
  <c r="E3" i="30"/>
  <c r="D12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9" i="30"/>
  <c r="D4" i="28"/>
  <c r="D9" i="29"/>
  <c r="E5" i="30"/>
  <c r="E12" i="30"/>
  <c r="D11" i="29"/>
  <c r="D7" i="29"/>
  <c r="D10" i="29"/>
  <c r="E10" i="30"/>
  <c r="D6" i="29"/>
  <c r="E7" i="30"/>
  <c r="E8" i="30"/>
  <c r="D8" i="29"/>
  <c r="D4" i="29"/>
  <c r="D3" i="29"/>
  <c r="E4" i="30"/>
  <c r="E13" i="30"/>
  <c r="D3" i="28"/>
  <c r="E11" i="30"/>
  <c r="D5" i="29"/>
  <c r="E6" i="30"/>
  <c r="D2" i="29"/>
  <c r="D2" i="31"/>
  <c r="D2" i="28"/>
  <c r="D2" i="32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55" i="22"/>
  <c r="F41" i="22"/>
  <c r="F6" i="22"/>
  <c r="F20" i="22"/>
  <c r="F7" i="22"/>
  <c r="F14" i="22"/>
  <c r="F11" i="24"/>
  <c r="F21" i="22"/>
  <c r="F10" i="23"/>
  <c r="F9" i="23"/>
  <c r="F45" i="22"/>
  <c r="F17" i="22"/>
  <c r="F40" i="22"/>
  <c r="D60" i="22"/>
  <c r="F9" i="22"/>
  <c r="F12" i="22"/>
  <c r="F48" i="22"/>
  <c r="F37" i="22"/>
  <c r="F11" i="23"/>
  <c r="F54" i="22"/>
  <c r="F5" i="22"/>
  <c r="F7" i="23"/>
  <c r="F35" i="22"/>
  <c r="F6" i="23"/>
  <c r="F36" i="22"/>
  <c r="F13" i="22"/>
  <c r="F42" i="22"/>
  <c r="F15" i="22"/>
  <c r="F33" i="22"/>
  <c r="E11" i="29"/>
  <c r="F31" i="22"/>
  <c r="E6" i="29"/>
  <c r="E4" i="29"/>
  <c r="F29" i="22"/>
  <c r="F43" i="22"/>
  <c r="F30" i="22"/>
  <c r="F49" i="22"/>
  <c r="F26" i="22"/>
  <c r="F52" i="22"/>
  <c r="F6" i="24"/>
  <c r="F13" i="23"/>
  <c r="F53" i="22"/>
  <c r="F34" i="22"/>
  <c r="F51" i="22"/>
  <c r="F8" i="24"/>
  <c r="E10" i="29"/>
  <c r="E7" i="29"/>
  <c r="F27" i="22"/>
  <c r="F9" i="24"/>
  <c r="F5" i="23"/>
  <c r="F15" i="23"/>
  <c r="E3" i="29"/>
  <c r="F57" i="22"/>
  <c r="F22" i="22"/>
  <c r="F11" i="22"/>
  <c r="F38" i="22"/>
  <c r="F28" i="22"/>
  <c r="F56" i="22"/>
  <c r="F14" i="23"/>
  <c r="F47" i="22"/>
  <c r="F32" i="22"/>
  <c r="F58" i="22"/>
  <c r="F12" i="23"/>
  <c r="E3" i="28"/>
  <c r="F50" i="22"/>
  <c r="G28" i="22"/>
  <c r="F25" i="22"/>
  <c r="F19" i="22"/>
  <c r="F23" i="22"/>
  <c r="F24" i="22"/>
  <c r="E8" i="29"/>
  <c r="F10" i="24"/>
  <c r="F44" i="22"/>
  <c r="F8" i="22"/>
  <c r="F10" i="22"/>
  <c r="F46" i="22"/>
  <c r="F5" i="24"/>
  <c r="E4" i="28"/>
  <c r="F18" i="22"/>
  <c r="F8" i="23"/>
  <c r="E9" i="29"/>
  <c r="F39" i="22"/>
  <c r="E5" i="29"/>
  <c r="F7" i="24"/>
  <c r="F16" i="22"/>
  <c r="E2" i="29"/>
  <c r="E2" i="32"/>
  <c r="E2" i="31"/>
  <c r="E2" i="28"/>
  <c r="E2" i="30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26" i="22"/>
  <c r="F29" i="25"/>
  <c r="G29" i="22"/>
  <c r="G5" i="24"/>
  <c r="F40" i="26"/>
  <c r="G15" i="23"/>
  <c r="G7" i="24"/>
  <c r="F35" i="26"/>
  <c r="G21" i="22"/>
  <c r="G40" i="22"/>
  <c r="G5" i="22"/>
  <c r="G6" i="22"/>
  <c r="G22" i="22"/>
  <c r="G45" i="22"/>
  <c r="G37" i="22"/>
  <c r="F16" i="26"/>
  <c r="G18" i="22"/>
  <c r="G46" i="22"/>
  <c r="G24" i="22"/>
  <c r="D61" i="22"/>
  <c r="G49" i="22"/>
  <c r="G16" i="22"/>
  <c r="F12" i="25"/>
  <c r="G11" i="24"/>
  <c r="G30" i="22"/>
  <c r="G44" i="22"/>
  <c r="G9" i="23"/>
  <c r="G48" i="22"/>
  <c r="G52" i="22"/>
  <c r="G38" i="22"/>
  <c r="F24" i="25"/>
  <c r="G36" i="22"/>
  <c r="G7" i="22"/>
  <c r="F11" i="25"/>
  <c r="G9" i="24"/>
  <c r="F19" i="26"/>
  <c r="G9" i="22"/>
  <c r="F8" i="26"/>
  <c r="G8" i="22"/>
  <c r="G25" i="22"/>
  <c r="G50" i="22"/>
  <c r="F16" i="25"/>
  <c r="F60" i="22"/>
  <c r="G10" i="22"/>
  <c r="G39" i="22"/>
  <c r="G57" i="22"/>
  <c r="G19" i="22"/>
  <c r="F29" i="26"/>
  <c r="G23" i="22"/>
  <c r="F13" i="25"/>
  <c r="F32" i="26"/>
  <c r="G47" i="22"/>
  <c r="G58" i="22"/>
  <c r="F19" i="25"/>
  <c r="G13" i="23"/>
  <c r="G42" i="22"/>
  <c r="G34" i="22"/>
  <c r="G55" i="22"/>
  <c r="G56" i="22"/>
  <c r="F24" i="26"/>
  <c r="G10" i="24"/>
  <c r="G8" i="23"/>
  <c r="F8" i="25"/>
  <c r="G15" i="22"/>
  <c r="G6" i="23"/>
  <c r="G31" i="22"/>
  <c r="G11" i="23"/>
  <c r="G35" i="22"/>
  <c r="G8" i="24"/>
  <c r="G7" i="23"/>
  <c r="F37" i="25"/>
  <c r="G32" i="22"/>
  <c r="G5" i="23"/>
  <c r="G10" i="23"/>
  <c r="G20" i="22"/>
  <c r="G41" i="22"/>
  <c r="G43" i="22"/>
  <c r="G11" i="22"/>
  <c r="G54" i="22"/>
  <c r="F21" i="25"/>
  <c r="G12" i="23"/>
  <c r="G12" i="22"/>
  <c r="G6" i="24"/>
  <c r="G14" i="22"/>
  <c r="G33" i="22"/>
  <c r="G53" i="22"/>
  <c r="F27" i="26"/>
  <c r="G27" i="22"/>
  <c r="G17" i="22"/>
  <c r="G13" i="22"/>
  <c r="G51" i="22"/>
  <c r="G14" i="23"/>
  <c r="F11" i="26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12" i="25"/>
  <c r="G19" i="25"/>
  <c r="F28" i="25"/>
  <c r="G29" i="26"/>
  <c r="F17" i="26"/>
  <c r="F15" i="25"/>
  <c r="F41" i="25"/>
  <c r="F17" i="25"/>
  <c r="F7" i="25"/>
  <c r="F33" i="25"/>
  <c r="F61" i="22"/>
  <c r="F40" i="25"/>
  <c r="F38" i="26"/>
  <c r="F36" i="26"/>
  <c r="F18" i="25"/>
  <c r="F31" i="25"/>
  <c r="F13" i="26"/>
  <c r="F6" i="25"/>
  <c r="F20" i="26"/>
  <c r="G19" i="26"/>
  <c r="F27" i="25"/>
  <c r="F25" i="26"/>
  <c r="G16" i="25"/>
  <c r="G8" i="25"/>
  <c r="F41" i="26"/>
  <c r="F22" i="26"/>
  <c r="F42" i="26"/>
  <c r="F34" i="26"/>
  <c r="F33" i="26"/>
  <c r="G11" i="26"/>
  <c r="G27" i="26"/>
  <c r="F26" i="26"/>
  <c r="G13" i="25"/>
  <c r="F23" i="26"/>
  <c r="F10" i="26"/>
  <c r="F9" i="25"/>
  <c r="F15" i="26"/>
  <c r="F35" i="25"/>
  <c r="F18" i="26"/>
  <c r="F39" i="26"/>
  <c r="G35" i="26"/>
  <c r="F42" i="25"/>
  <c r="F31" i="26"/>
  <c r="F26" i="25"/>
  <c r="F34" i="25"/>
  <c r="F12" i="26"/>
  <c r="F32" i="25"/>
  <c r="F7" i="26"/>
  <c r="F28" i="26"/>
  <c r="G37" i="25"/>
  <c r="F37" i="26"/>
  <c r="G60" i="22"/>
  <c r="G32" i="26"/>
  <c r="F10" i="25"/>
  <c r="G16" i="26"/>
  <c r="G24" i="25"/>
  <c r="F14" i="25"/>
  <c r="F21" i="26"/>
  <c r="G21" i="25"/>
  <c r="F20" i="25"/>
  <c r="F6" i="26"/>
  <c r="G11" i="25"/>
  <c r="F23" i="25"/>
  <c r="F9" i="26"/>
  <c r="F25" i="25"/>
  <c r="G24" i="26"/>
  <c r="F30" i="25"/>
  <c r="G40" i="26"/>
  <c r="G8" i="26"/>
  <c r="F14" i="26"/>
  <c r="F22" i="25"/>
  <c r="F30" i="26"/>
  <c r="F36" i="25"/>
  <c r="F38" i="25"/>
  <c r="G29" i="25"/>
  <c r="F39" i="25"/>
  <c r="D62" i="22"/>
  <c r="E62" i="22" l="1"/>
  <c r="D63" i="22"/>
  <c r="G33" i="26"/>
  <c r="G17" i="26"/>
  <c r="G42" i="26"/>
  <c r="F62" i="22"/>
  <c r="G6" i="26"/>
  <c r="G26" i="26"/>
  <c r="G7" i="26"/>
  <c r="G38" i="25"/>
  <c r="G31" i="26"/>
  <c r="G15" i="26"/>
  <c r="G13" i="26"/>
  <c r="G12" i="26"/>
  <c r="G9" i="25"/>
  <c r="G40" i="25"/>
  <c r="G39" i="26"/>
  <c r="G27" i="25"/>
  <c r="G18" i="26"/>
  <c r="G21" i="26"/>
  <c r="G25" i="25"/>
  <c r="G31" i="25"/>
  <c r="D64" i="22"/>
  <c r="G20" i="25"/>
  <c r="G20" i="26"/>
  <c r="G30" i="25"/>
  <c r="G6" i="25"/>
  <c r="G22" i="26"/>
  <c r="G14" i="26"/>
  <c r="G26" i="25"/>
  <c r="G9" i="26"/>
  <c r="G32" i="25"/>
  <c r="G10" i="25"/>
  <c r="G7" i="25"/>
  <c r="G23" i="26"/>
  <c r="G28" i="25"/>
  <c r="G38" i="26"/>
  <c r="G33" i="25"/>
  <c r="G28" i="26"/>
  <c r="G22" i="25"/>
  <c r="G35" i="25"/>
  <c r="G34" i="25"/>
  <c r="G34" i="26"/>
  <c r="G10" i="26"/>
  <c r="G41" i="25"/>
  <c r="G37" i="26"/>
  <c r="G36" i="26"/>
  <c r="G30" i="26"/>
  <c r="G41" i="26"/>
  <c r="G62" i="22"/>
  <c r="G39" i="25"/>
  <c r="G14" i="25"/>
  <c r="G17" i="25"/>
  <c r="G18" i="25"/>
  <c r="G15" i="25"/>
  <c r="G23" i="25"/>
  <c r="G36" i="25"/>
  <c r="G25" i="26"/>
  <c r="G61" i="22"/>
  <c r="G42" i="25"/>
  <c r="E63" i="22" l="1"/>
  <c r="E64" i="22"/>
  <c r="F63" i="22"/>
  <c r="G63" i="22" s="1"/>
  <c r="D65" i="22"/>
  <c r="F64" i="22"/>
  <c r="E65" i="22" l="1"/>
  <c r="G64" i="22"/>
  <c r="F65" i="22"/>
  <c r="D66" i="22"/>
  <c r="E66" i="22" l="1"/>
  <c r="D67" i="22"/>
  <c r="F66" i="22"/>
  <c r="G65" i="22"/>
  <c r="E67" i="22" l="1"/>
  <c r="G66" i="22"/>
  <c r="F67" i="22"/>
  <c r="D68" i="22"/>
  <c r="E68" i="22" l="1"/>
  <c r="G67" i="22"/>
  <c r="F68" i="22"/>
  <c r="D69" i="22"/>
  <c r="E69" i="22" l="1"/>
  <c r="D70" i="22"/>
  <c r="G68" i="22"/>
  <c r="F69" i="22"/>
  <c r="E70" i="22" l="1"/>
  <c r="G69" i="22"/>
  <c r="F70" i="22"/>
  <c r="D71" i="22"/>
  <c r="E71" i="22" l="1"/>
  <c r="G70" i="22"/>
  <c r="F71" i="22"/>
  <c r="D72" i="22"/>
  <c r="E72" i="22" l="1"/>
  <c r="D73" i="22"/>
  <c r="G71" i="22"/>
  <c r="F72" i="22"/>
  <c r="G72" i="22"/>
  <c r="E73" i="22" l="1"/>
  <c r="F73" i="22"/>
  <c r="D74" i="22"/>
  <c r="G73" i="22"/>
  <c r="E74" i="22" l="1"/>
  <c r="F74" i="22"/>
  <c r="D75" i="22"/>
  <c r="G74" i="22"/>
  <c r="E75" i="22" l="1"/>
  <c r="D76" i="22"/>
  <c r="D77" i="22"/>
  <c r="F75" i="22"/>
  <c r="G75" i="22"/>
  <c r="E77" i="22" l="1"/>
  <c r="E76" i="22"/>
  <c r="F76" i="22"/>
  <c r="D78" i="22"/>
  <c r="F77" i="22"/>
  <c r="D79" i="22"/>
  <c r="G76" i="22"/>
  <c r="G77" i="22"/>
  <c r="E79" i="22" l="1"/>
  <c r="E78" i="22"/>
  <c r="F79" i="22"/>
  <c r="D80" i="22"/>
  <c r="F78" i="22"/>
  <c r="D81" i="22"/>
  <c r="D82" i="22" s="1"/>
  <c r="G78" i="22"/>
  <c r="G79" i="22"/>
  <c r="E81" i="22" l="1"/>
  <c r="E80" i="22"/>
  <c r="E82" i="22"/>
  <c r="F81" i="22"/>
  <c r="D83" i="22"/>
  <c r="F80" i="22"/>
  <c r="F82" i="22"/>
  <c r="G80" i="22"/>
  <c r="G81" i="22"/>
  <c r="G82" i="22"/>
  <c r="E83" i="22" l="1"/>
  <c r="D84" i="22"/>
  <c r="F83" i="22"/>
  <c r="G83" i="22"/>
  <c r="F4" i="24"/>
  <c r="F5" i="25"/>
  <c r="F4" i="23"/>
  <c r="F5" i="26"/>
  <c r="E84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14" i="15"/>
  <c r="E10" i="16"/>
  <c r="D22" i="15"/>
  <c r="E5" i="16"/>
  <c r="E28" i="16"/>
  <c r="D20" i="15"/>
  <c r="E22" i="16"/>
  <c r="D6" i="17" a="1"/>
  <c r="D12" i="15"/>
  <c r="D19" i="15"/>
  <c r="E7" i="16"/>
  <c r="E6" i="16"/>
  <c r="C5" i="20"/>
  <c r="F84" i="22"/>
  <c r="E26" i="16"/>
  <c r="D13" i="15"/>
  <c r="E3" i="16"/>
  <c r="E31" i="16"/>
  <c r="D7" i="15"/>
  <c r="E27" i="16"/>
  <c r="D15" i="15"/>
  <c r="E16" i="16"/>
  <c r="E18" i="16"/>
  <c r="D11" i="15"/>
  <c r="E4" i="16"/>
  <c r="E14" i="16"/>
  <c r="D21" i="15"/>
  <c r="E25" i="16"/>
  <c r="E17" i="16"/>
  <c r="E24" i="16"/>
  <c r="E32" i="16"/>
  <c r="D9" i="15"/>
  <c r="D5" i="15"/>
  <c r="E30" i="16"/>
  <c r="D6" i="18" a="1"/>
  <c r="E19" i="16"/>
  <c r="D6" i="15"/>
  <c r="E21" i="16"/>
  <c r="E20" i="16"/>
  <c r="D8" i="15"/>
  <c r="E15" i="16"/>
  <c r="D18" i="15"/>
  <c r="E11" i="16"/>
  <c r="D3" i="19" a="1"/>
  <c r="E34" i="16"/>
  <c r="D16" i="15"/>
  <c r="E8" i="16"/>
  <c r="F8" i="16" s="1"/>
  <c r="D17" i="15"/>
  <c r="E35" i="16"/>
  <c r="E33" i="16"/>
  <c r="E13" i="16"/>
  <c r="E12" i="16"/>
  <c r="C6" i="20"/>
  <c r="D85" i="22"/>
  <c r="D10" i="15"/>
  <c r="E29" i="16"/>
  <c r="E9" i="16"/>
  <c r="E23" i="16"/>
  <c r="G5" i="26"/>
  <c r="G4" i="24"/>
  <c r="G4" i="23"/>
  <c r="G84" i="22"/>
  <c r="G5" i="25"/>
  <c r="E85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52" i="17"/>
  <c r="F25" i="16"/>
  <c r="F61" i="19"/>
  <c r="F85" i="18"/>
  <c r="F104" i="17"/>
  <c r="F104" i="18"/>
  <c r="F66" i="17"/>
  <c r="F96" i="18"/>
  <c r="F15" i="16"/>
  <c r="F42" i="17"/>
  <c r="F19" i="19"/>
  <c r="F22" i="17"/>
  <c r="F49" i="19"/>
  <c r="F98" i="18"/>
  <c r="F90" i="18"/>
  <c r="F119" i="19"/>
  <c r="F90" i="19"/>
  <c r="F33" i="16"/>
  <c r="F61" i="17"/>
  <c r="F67" i="18"/>
  <c r="F18" i="16"/>
  <c r="F44" i="19"/>
  <c r="F80" i="19"/>
  <c r="F18" i="18"/>
  <c r="F54" i="18"/>
  <c r="F58" i="17"/>
  <c r="E5" i="15"/>
  <c r="F48" i="17"/>
  <c r="F109" i="17"/>
  <c r="F26" i="17"/>
  <c r="F20" i="18"/>
  <c r="F108" i="18"/>
  <c r="F34" i="16"/>
  <c r="F24" i="17"/>
  <c r="F107" i="18"/>
  <c r="F51" i="19"/>
  <c r="E8" i="15"/>
  <c r="F77" i="19"/>
  <c r="F37" i="19"/>
  <c r="F9" i="19"/>
  <c r="F83" i="17"/>
  <c r="F17" i="16"/>
  <c r="E13" i="15"/>
  <c r="F23" i="18"/>
  <c r="F13" i="16"/>
  <c r="F108" i="17"/>
  <c r="F84" i="17"/>
  <c r="F59" i="18"/>
  <c r="F86" i="18"/>
  <c r="F12" i="19"/>
  <c r="F10" i="17"/>
  <c r="F40" i="19"/>
  <c r="F10" i="19"/>
  <c r="F4" i="19"/>
  <c r="F124" i="17"/>
  <c r="F27" i="18"/>
  <c r="F42" i="18"/>
  <c r="F6" i="17"/>
  <c r="F77" i="17"/>
  <c r="F108" i="19"/>
  <c r="F91" i="19"/>
  <c r="F106" i="19"/>
  <c r="F114" i="17"/>
  <c r="E14" i="15"/>
  <c r="F12" i="16"/>
  <c r="F23" i="19"/>
  <c r="F52" i="19"/>
  <c r="F46" i="17"/>
  <c r="F81" i="18"/>
  <c r="F57" i="19"/>
  <c r="F33" i="19"/>
  <c r="F72" i="18"/>
  <c r="F60" i="17"/>
  <c r="E11" i="15"/>
  <c r="F41" i="17"/>
  <c r="F72" i="19"/>
  <c r="D6" i="20"/>
  <c r="F64" i="17"/>
  <c r="F54" i="19"/>
  <c r="F47" i="17"/>
  <c r="F9" i="18"/>
  <c r="F41" i="19"/>
  <c r="F44" i="17"/>
  <c r="F88" i="18"/>
  <c r="F16" i="18"/>
  <c r="F93" i="19"/>
  <c r="F84" i="18"/>
  <c r="F111" i="18"/>
  <c r="F98" i="17"/>
  <c r="F113" i="17"/>
  <c r="F14" i="16"/>
  <c r="F14" i="18"/>
  <c r="F81" i="17"/>
  <c r="F59" i="19"/>
  <c r="F93" i="17"/>
  <c r="F101" i="19"/>
  <c r="E17" i="15"/>
  <c r="F79" i="19"/>
  <c r="F96" i="17"/>
  <c r="F105" i="18"/>
  <c r="E10" i="15"/>
  <c r="F119" i="18"/>
  <c r="F60" i="19"/>
  <c r="F19" i="18"/>
  <c r="F35" i="17"/>
  <c r="F120" i="18"/>
  <c r="F123" i="18"/>
  <c r="E19" i="15"/>
  <c r="F21" i="16"/>
  <c r="F118" i="17"/>
  <c r="F97" i="19"/>
  <c r="F57" i="18"/>
  <c r="F118" i="18"/>
  <c r="F22" i="18"/>
  <c r="F102" i="18"/>
  <c r="F29" i="18"/>
  <c r="F46" i="18"/>
  <c r="F73" i="19"/>
  <c r="F38" i="18"/>
  <c r="F68" i="18"/>
  <c r="F110" i="17"/>
  <c r="F94" i="17"/>
  <c r="F74" i="19"/>
  <c r="F43" i="19"/>
  <c r="F45" i="18"/>
  <c r="F21" i="18"/>
  <c r="F26" i="19"/>
  <c r="E20" i="15"/>
  <c r="F123" i="17"/>
  <c r="F15" i="18"/>
  <c r="F71" i="17"/>
  <c r="F56" i="17"/>
  <c r="F40" i="17"/>
  <c r="F28" i="17"/>
  <c r="F49" i="18"/>
  <c r="F100" i="17"/>
  <c r="F69" i="17"/>
  <c r="F28" i="16"/>
  <c r="F111" i="17"/>
  <c r="F87" i="18"/>
  <c r="F75" i="17"/>
  <c r="D86" i="22"/>
  <c r="F12" i="18"/>
  <c r="F121" i="17"/>
  <c r="F103" i="18"/>
  <c r="F7" i="17"/>
  <c r="F116" i="17"/>
  <c r="F77" i="18"/>
  <c r="F103" i="17"/>
  <c r="F82" i="19"/>
  <c r="F89" i="17"/>
  <c r="F62" i="17"/>
  <c r="F48" i="19"/>
  <c r="F122" i="17"/>
  <c r="F8" i="19"/>
  <c r="F94" i="18"/>
  <c r="F27" i="16"/>
  <c r="F53" i="19"/>
  <c r="F89" i="18"/>
  <c r="F64" i="18"/>
  <c r="E18" i="15"/>
  <c r="F120" i="19"/>
  <c r="F85" i="19"/>
  <c r="F66" i="18"/>
  <c r="E12" i="15"/>
  <c r="E15" i="15"/>
  <c r="F27" i="17"/>
  <c r="F20" i="19"/>
  <c r="F30" i="17"/>
  <c r="E16" i="15"/>
  <c r="F107" i="17"/>
  <c r="F63" i="19"/>
  <c r="F20" i="17"/>
  <c r="F15" i="19"/>
  <c r="F53" i="18"/>
  <c r="F87" i="17"/>
  <c r="F109" i="19"/>
  <c r="F49" i="17"/>
  <c r="F63" i="17"/>
  <c r="F37" i="17"/>
  <c r="F97" i="18"/>
  <c r="F80" i="17"/>
  <c r="F116" i="19"/>
  <c r="F9" i="16"/>
  <c r="F56" i="19"/>
  <c r="F5" i="19"/>
  <c r="F31" i="16"/>
  <c r="F78" i="18"/>
  <c r="F95" i="18"/>
  <c r="F122" i="18"/>
  <c r="F23" i="16"/>
  <c r="F76" i="19"/>
  <c r="F92" i="19"/>
  <c r="F20" i="16"/>
  <c r="F25" i="18"/>
  <c r="F36" i="19"/>
  <c r="F62" i="19"/>
  <c r="F101" i="17"/>
  <c r="F94" i="19"/>
  <c r="F57" i="17"/>
  <c r="F88" i="19"/>
  <c r="F16" i="19"/>
  <c r="F90" i="17"/>
  <c r="E22" i="15"/>
  <c r="F65" i="18"/>
  <c r="F35" i="18"/>
  <c r="F6" i="19"/>
  <c r="F9" i="17"/>
  <c r="F53" i="17"/>
  <c r="F41" i="18"/>
  <c r="F112" i="17"/>
  <c r="F67" i="17"/>
  <c r="F80" i="18"/>
  <c r="F29" i="17"/>
  <c r="F26" i="18"/>
  <c r="F101" i="18"/>
  <c r="F17" i="17"/>
  <c r="F82" i="17"/>
  <c r="F51" i="17"/>
  <c r="F6" i="16"/>
  <c r="F79" i="18"/>
  <c r="F58" i="18"/>
  <c r="F70" i="19"/>
  <c r="F68" i="19"/>
  <c r="F17" i="19"/>
  <c r="F15" i="17"/>
  <c r="F69" i="18"/>
  <c r="F71" i="19"/>
  <c r="F68" i="17"/>
  <c r="F40" i="18"/>
  <c r="F73" i="17"/>
  <c r="F35" i="16"/>
  <c r="F45" i="17"/>
  <c r="F117" i="19"/>
  <c r="F39" i="18"/>
  <c r="F55" i="19"/>
  <c r="F87" i="19"/>
  <c r="F113" i="19"/>
  <c r="F93" i="18"/>
  <c r="F72" i="17"/>
  <c r="F4" i="16"/>
  <c r="F38" i="17"/>
  <c r="F51" i="18"/>
  <c r="F6" i="18"/>
  <c r="F91" i="18"/>
  <c r="F48" i="18"/>
  <c r="F100" i="18"/>
  <c r="F121" i="18"/>
  <c r="F24" i="19"/>
  <c r="F112" i="18"/>
  <c r="F32" i="17"/>
  <c r="F125" i="18"/>
  <c r="F115" i="17"/>
  <c r="F42" i="19"/>
  <c r="F69" i="19"/>
  <c r="F18" i="17"/>
  <c r="F27" i="19"/>
  <c r="F36" i="17"/>
  <c r="F102" i="19"/>
  <c r="F86" i="19"/>
  <c r="F99" i="19"/>
  <c r="F97" i="17"/>
  <c r="E9" i="15"/>
  <c r="F7" i="16"/>
  <c r="F76" i="18"/>
  <c r="F70" i="17"/>
  <c r="F38" i="19"/>
  <c r="F25" i="17"/>
  <c r="F56" i="18"/>
  <c r="F18" i="19"/>
  <c r="F28" i="18"/>
  <c r="F19" i="17"/>
  <c r="F21" i="19"/>
  <c r="F11" i="18"/>
  <c r="F83" i="18"/>
  <c r="F105" i="19"/>
  <c r="F79" i="17"/>
  <c r="F12" i="17"/>
  <c r="F43" i="17"/>
  <c r="F50" i="17"/>
  <c r="F32" i="19"/>
  <c r="F106" i="17"/>
  <c r="F55" i="18"/>
  <c r="F39" i="17"/>
  <c r="F28" i="19"/>
  <c r="F13" i="19"/>
  <c r="F122" i="19"/>
  <c r="F81" i="19"/>
  <c r="F37" i="18"/>
  <c r="F83" i="19"/>
  <c r="F124" i="18"/>
  <c r="F44" i="18"/>
  <c r="F99" i="18"/>
  <c r="F113" i="18"/>
  <c r="F110" i="19"/>
  <c r="F16" i="16"/>
  <c r="F3" i="16"/>
  <c r="F114" i="18"/>
  <c r="F120" i="17"/>
  <c r="F105" i="17"/>
  <c r="F85" i="17"/>
  <c r="F32" i="18"/>
  <c r="F86" i="17"/>
  <c r="F39" i="19"/>
  <c r="F119" i="17"/>
  <c r="F34" i="19"/>
  <c r="F67" i="19"/>
  <c r="F7" i="19"/>
  <c r="F91" i="17"/>
  <c r="F11" i="19"/>
  <c r="F30" i="16"/>
  <c r="F55" i="17"/>
  <c r="F74" i="17"/>
  <c r="F117" i="17"/>
  <c r="F3" i="19"/>
  <c r="F30" i="18"/>
  <c r="F14" i="17"/>
  <c r="F29" i="16"/>
  <c r="F84" i="19"/>
  <c r="F99" i="17"/>
  <c r="F25" i="19"/>
  <c r="F62" i="18"/>
  <c r="F112" i="19"/>
  <c r="F10" i="16"/>
  <c r="F8" i="17"/>
  <c r="F73" i="18"/>
  <c r="F46" i="19"/>
  <c r="F92" i="18"/>
  <c r="F117" i="18"/>
  <c r="F103" i="19"/>
  <c r="F104" i="19"/>
  <c r="F61" i="18"/>
  <c r="F45" i="19"/>
  <c r="F88" i="17"/>
  <c r="F116" i="18"/>
  <c r="F74" i="18"/>
  <c r="F60" i="18"/>
  <c r="F29" i="19"/>
  <c r="F34" i="18"/>
  <c r="F66" i="19"/>
  <c r="F75" i="19"/>
  <c r="F19" i="16"/>
  <c r="F95" i="17"/>
  <c r="F47" i="18"/>
  <c r="F22" i="19"/>
  <c r="F17" i="18"/>
  <c r="F31" i="18"/>
  <c r="F125" i="17"/>
  <c r="F50" i="18"/>
  <c r="F43" i="18"/>
  <c r="F78" i="19"/>
  <c r="F65" i="19"/>
  <c r="F35" i="19"/>
  <c r="F89" i="19"/>
  <c r="F36" i="18"/>
  <c r="F30" i="19"/>
  <c r="F11" i="17"/>
  <c r="F64" i="19"/>
  <c r="F70" i="18"/>
  <c r="F98" i="19"/>
  <c r="F115" i="18"/>
  <c r="F24" i="18"/>
  <c r="F58" i="19"/>
  <c r="F107" i="19"/>
  <c r="F13" i="18"/>
  <c r="F110" i="18"/>
  <c r="F63" i="18"/>
  <c r="F23" i="17"/>
  <c r="F78" i="17"/>
  <c r="F100" i="19"/>
  <c r="F95" i="19"/>
  <c r="E21" i="15"/>
  <c r="F26" i="16"/>
  <c r="F47" i="19"/>
  <c r="F96" i="19"/>
  <c r="F16" i="17"/>
  <c r="E6" i="15"/>
  <c r="F14" i="19"/>
  <c r="F92" i="17"/>
  <c r="F71" i="18"/>
  <c r="F121" i="19"/>
  <c r="F111" i="19"/>
  <c r="F118" i="19"/>
  <c r="F75" i="18"/>
  <c r="F59" i="17"/>
  <c r="F76" i="17"/>
  <c r="F85" i="22"/>
  <c r="F11" i="16"/>
  <c r="F8" i="18"/>
  <c r="F114" i="19"/>
  <c r="F5" i="16"/>
  <c r="F109" i="18"/>
  <c r="F102" i="17"/>
  <c r="F65" i="17"/>
  <c r="F34" i="17"/>
  <c r="F54" i="17"/>
  <c r="F106" i="18"/>
  <c r="F33" i="17"/>
  <c r="F33" i="18"/>
  <c r="E7" i="15"/>
  <c r="F7" i="18"/>
  <c r="F32" i="16"/>
  <c r="F52" i="18"/>
  <c r="F24" i="16"/>
  <c r="F21" i="17"/>
  <c r="F31" i="17"/>
  <c r="F13" i="17"/>
  <c r="F50" i="19"/>
  <c r="F115" i="19"/>
  <c r="F22" i="16"/>
  <c r="D5" i="20"/>
  <c r="F82" i="18"/>
  <c r="F31" i="19"/>
  <c r="F10" i="18"/>
  <c r="G85" i="22"/>
  <c r="C4" i="20"/>
  <c r="F5" i="17"/>
  <c r="F5" i="18"/>
  <c r="D4" i="15"/>
  <c r="F2" i="19"/>
  <c r="E2" i="16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10" i="19"/>
  <c r="G72" i="19"/>
  <c r="G11" i="18"/>
  <c r="G109" i="19"/>
  <c r="G85" i="19"/>
  <c r="G84" i="18"/>
  <c r="G39" i="17"/>
  <c r="G99" i="18"/>
  <c r="G109" i="18"/>
  <c r="G125" i="17"/>
  <c r="G107" i="18"/>
  <c r="G44" i="19"/>
  <c r="G95" i="19"/>
  <c r="G51" i="17"/>
  <c r="G110" i="18"/>
  <c r="G56" i="17"/>
  <c r="G78" i="17"/>
  <c r="G49" i="19"/>
  <c r="G37" i="19"/>
  <c r="G79" i="19"/>
  <c r="G73" i="18"/>
  <c r="G87" i="17"/>
  <c r="G45" i="17"/>
  <c r="G9" i="18"/>
  <c r="G26" i="19"/>
  <c r="G92" i="17"/>
  <c r="G115" i="19"/>
  <c r="G30" i="19"/>
  <c r="G4" i="19"/>
  <c r="G49" i="17"/>
  <c r="G12" i="18"/>
  <c r="G119" i="18"/>
  <c r="G78" i="19"/>
  <c r="G51" i="18"/>
  <c r="G81" i="17"/>
  <c r="G71" i="19"/>
  <c r="G73" i="17"/>
  <c r="G18" i="17"/>
  <c r="G40" i="19"/>
  <c r="G53" i="17"/>
  <c r="G91" i="18"/>
  <c r="G57" i="19"/>
  <c r="G82" i="17"/>
  <c r="G39" i="19"/>
  <c r="G34" i="18"/>
  <c r="G121" i="19"/>
  <c r="G108" i="17"/>
  <c r="G16" i="19"/>
  <c r="G84" i="17"/>
  <c r="G94" i="17"/>
  <c r="G20" i="19"/>
  <c r="G10" i="17"/>
  <c r="G74" i="19"/>
  <c r="G64" i="18"/>
  <c r="G41" i="17"/>
  <c r="G89" i="18"/>
  <c r="G6" i="18"/>
  <c r="G105" i="18"/>
  <c r="G112" i="19"/>
  <c r="G79" i="17"/>
  <c r="G117" i="18"/>
  <c r="G5" i="19"/>
  <c r="G20" i="17"/>
  <c r="G81" i="19"/>
  <c r="G117" i="19"/>
  <c r="G62" i="19"/>
  <c r="G124" i="17"/>
  <c r="G116" i="17"/>
  <c r="G35" i="19"/>
  <c r="G93" i="18"/>
  <c r="G106" i="18"/>
  <c r="G121" i="18"/>
  <c r="G60" i="18"/>
  <c r="G67" i="18"/>
  <c r="G59" i="19"/>
  <c r="G57" i="18"/>
  <c r="G117" i="17"/>
  <c r="G112" i="17"/>
  <c r="G10" i="19"/>
  <c r="G67" i="17"/>
  <c r="G60" i="19"/>
  <c r="G13" i="17"/>
  <c r="G9" i="17"/>
  <c r="G29" i="18"/>
  <c r="G90" i="17"/>
  <c r="G19" i="17"/>
  <c r="G50" i="19"/>
  <c r="G48" i="17"/>
  <c r="G79" i="18"/>
  <c r="G94" i="18"/>
  <c r="G88" i="17"/>
  <c r="G54" i="17"/>
  <c r="G26" i="18"/>
  <c r="G74" i="17"/>
  <c r="G34" i="17"/>
  <c r="G65" i="19"/>
  <c r="G106" i="19"/>
  <c r="G37" i="17"/>
  <c r="G82" i="19"/>
  <c r="G121" i="17"/>
  <c r="G78" i="18"/>
  <c r="G66" i="19"/>
  <c r="G114" i="19"/>
  <c r="G12" i="17"/>
  <c r="G104" i="18"/>
  <c r="G7" i="17"/>
  <c r="G38" i="18"/>
  <c r="G81" i="18"/>
  <c r="G107" i="19"/>
  <c r="G62" i="17"/>
  <c r="G87" i="18"/>
  <c r="G125" i="18"/>
  <c r="G113" i="18"/>
  <c r="G21" i="18"/>
  <c r="G116" i="18"/>
  <c r="G17" i="18"/>
  <c r="G47" i="19"/>
  <c r="G30" i="18"/>
  <c r="G23" i="18"/>
  <c r="G105" i="17"/>
  <c r="G120" i="17"/>
  <c r="G73" i="19"/>
  <c r="G111" i="17"/>
  <c r="G63" i="18"/>
  <c r="G19" i="18"/>
  <c r="G25" i="17"/>
  <c r="G30" i="17"/>
  <c r="G99" i="19"/>
  <c r="G38" i="19"/>
  <c r="G63" i="17"/>
  <c r="G111" i="19"/>
  <c r="G43" i="17"/>
  <c r="G77" i="18"/>
  <c r="G33" i="18"/>
  <c r="G14" i="19"/>
  <c r="G101" i="18"/>
  <c r="G112" i="18"/>
  <c r="G106" i="17"/>
  <c r="G15" i="18"/>
  <c r="G66" i="18"/>
  <c r="G97" i="17"/>
  <c r="G119" i="19"/>
  <c r="G64" i="17"/>
  <c r="G51" i="19"/>
  <c r="G102" i="17"/>
  <c r="G61" i="19"/>
  <c r="G41" i="18"/>
  <c r="G54" i="19"/>
  <c r="G104" i="19"/>
  <c r="G58" i="18"/>
  <c r="G8" i="18"/>
  <c r="G94" i="19"/>
  <c r="G86" i="19"/>
  <c r="G70" i="17"/>
  <c r="G80" i="18"/>
  <c r="G11" i="19"/>
  <c r="G27" i="19"/>
  <c r="G108" i="19"/>
  <c r="G18" i="19"/>
  <c r="G9" i="19"/>
  <c r="G13" i="19"/>
  <c r="G27" i="17"/>
  <c r="G7" i="18"/>
  <c r="G15" i="17"/>
  <c r="G122" i="17"/>
  <c r="G95" i="18"/>
  <c r="G12" i="19"/>
  <c r="G70" i="19"/>
  <c r="G60" i="17"/>
  <c r="G59" i="18"/>
  <c r="G82" i="18"/>
  <c r="G6" i="17"/>
  <c r="G52" i="17"/>
  <c r="G38" i="17"/>
  <c r="G8" i="19"/>
  <c r="G75" i="19"/>
  <c r="G88" i="19"/>
  <c r="G105" i="19"/>
  <c r="G14" i="18"/>
  <c r="G62" i="18"/>
  <c r="G52" i="18"/>
  <c r="G11" i="17"/>
  <c r="G67" i="19"/>
  <c r="G46" i="18"/>
  <c r="G93" i="17"/>
  <c r="G93" i="19"/>
  <c r="G33" i="19"/>
  <c r="G61" i="17"/>
  <c r="G70" i="18"/>
  <c r="G31" i="18"/>
  <c r="G13" i="18"/>
  <c r="G24" i="17"/>
  <c r="G86" i="17"/>
  <c r="G36" i="17"/>
  <c r="G118" i="19"/>
  <c r="G68" i="17"/>
  <c r="G68" i="19"/>
  <c r="G49" i="18"/>
  <c r="G72" i="18"/>
  <c r="G100" i="18"/>
  <c r="G124" i="18"/>
  <c r="G3" i="19"/>
  <c r="G43" i="19"/>
  <c r="G83" i="19"/>
  <c r="G59" i="17"/>
  <c r="G85" i="18"/>
  <c r="G53" i="18"/>
  <c r="G120" i="18"/>
  <c r="G26" i="17"/>
  <c r="G102" i="19"/>
  <c r="G113" i="19"/>
  <c r="G46" i="17"/>
  <c r="G90" i="19"/>
  <c r="G80" i="19"/>
  <c r="G36" i="18"/>
  <c r="G48" i="18"/>
  <c r="G91" i="17"/>
  <c r="G54" i="18"/>
  <c r="G55" i="19"/>
  <c r="G24" i="19"/>
  <c r="G85" i="17"/>
  <c r="G20" i="18"/>
  <c r="G61" i="18"/>
  <c r="G118" i="18"/>
  <c r="G68" i="18"/>
  <c r="G8" i="17"/>
  <c r="G34" i="19"/>
  <c r="G98" i="19"/>
  <c r="G44" i="18"/>
  <c r="G45" i="18"/>
  <c r="G17" i="19"/>
  <c r="G10" i="18"/>
  <c r="G75" i="17"/>
  <c r="G104" i="17"/>
  <c r="G35" i="17"/>
  <c r="G32" i="17"/>
  <c r="G89" i="19"/>
  <c r="G36" i="19"/>
  <c r="G50" i="18"/>
  <c r="G24" i="18"/>
  <c r="G45" i="19"/>
  <c r="G76" i="19"/>
  <c r="G88" i="18"/>
  <c r="G65" i="18"/>
  <c r="G74" i="18"/>
  <c r="G103" i="17"/>
  <c r="G25" i="18"/>
  <c r="G115" i="17"/>
  <c r="G103" i="18"/>
  <c r="G53" i="19"/>
  <c r="G116" i="19"/>
  <c r="G114" i="17"/>
  <c r="G35" i="18"/>
  <c r="G17" i="17"/>
  <c r="G91" i="19"/>
  <c r="G71" i="17"/>
  <c r="G56" i="19"/>
  <c r="G83" i="17"/>
  <c r="G29" i="17"/>
  <c r="G99" i="17"/>
  <c r="G123" i="17"/>
  <c r="G66" i="17"/>
  <c r="G103" i="19"/>
  <c r="G92" i="19"/>
  <c r="G33" i="17"/>
  <c r="G87" i="19"/>
  <c r="G118" i="17"/>
  <c r="G101" i="17"/>
  <c r="G96" i="19"/>
  <c r="G111" i="18"/>
  <c r="G122" i="19"/>
  <c r="G22" i="17"/>
  <c r="G65" i="17"/>
  <c r="G100" i="19"/>
  <c r="G113" i="17"/>
  <c r="G97" i="18"/>
  <c r="G52" i="19"/>
  <c r="G21" i="19"/>
  <c r="G114" i="18"/>
  <c r="G83" i="18"/>
  <c r="G28" i="17"/>
  <c r="G96" i="18"/>
  <c r="G25" i="19"/>
  <c r="G77" i="17"/>
  <c r="G42" i="18"/>
  <c r="G32" i="18"/>
  <c r="G97" i="19"/>
  <c r="G42" i="17"/>
  <c r="G15" i="19"/>
  <c r="G100" i="17"/>
  <c r="G43" i="18"/>
  <c r="G63" i="19"/>
  <c r="G96" i="17"/>
  <c r="G76" i="18"/>
  <c r="G98" i="17"/>
  <c r="G19" i="19"/>
  <c r="G31" i="19"/>
  <c r="G110" i="17"/>
  <c r="G23" i="17"/>
  <c r="G50" i="17"/>
  <c r="G14" i="17"/>
  <c r="G84" i="19"/>
  <c r="G102" i="18"/>
  <c r="G16" i="18"/>
  <c r="G107" i="17"/>
  <c r="G32" i="19"/>
  <c r="G101" i="19"/>
  <c r="G44" i="17"/>
  <c r="G28" i="19"/>
  <c r="G40" i="17"/>
  <c r="G31" i="17"/>
  <c r="G86" i="18"/>
  <c r="G46" i="19"/>
  <c r="G75" i="18"/>
  <c r="G92" i="18"/>
  <c r="G6" i="19"/>
  <c r="G58" i="17"/>
  <c r="G7" i="19"/>
  <c r="G22" i="18"/>
  <c r="G95" i="17"/>
  <c r="G80" i="17"/>
  <c r="G72" i="17"/>
  <c r="G115" i="18"/>
  <c r="G37" i="18"/>
  <c r="G47" i="18"/>
  <c r="G21" i="17"/>
  <c r="G40" i="18"/>
  <c r="G41" i="19"/>
  <c r="F86" i="22"/>
  <c r="G77" i="19"/>
  <c r="G22" i="19"/>
  <c r="G55" i="17"/>
  <c r="G69" i="19"/>
  <c r="G76" i="17"/>
  <c r="G109" i="17"/>
  <c r="G47" i="17"/>
  <c r="G29" i="19"/>
  <c r="G16" i="17"/>
  <c r="G122" i="18"/>
  <c r="G23" i="19"/>
  <c r="G71" i="18"/>
  <c r="G57" i="17"/>
  <c r="G58" i="19"/>
  <c r="G108" i="18"/>
  <c r="G28" i="18"/>
  <c r="G69" i="18"/>
  <c r="G27" i="18"/>
  <c r="G39" i="18"/>
  <c r="G42" i="19"/>
  <c r="G56" i="18"/>
  <c r="G69" i="17"/>
  <c r="G119" i="17"/>
  <c r="G48" i="19"/>
  <c r="G90" i="18"/>
  <c r="G55" i="18"/>
  <c r="G123" i="18"/>
  <c r="D87" i="22"/>
  <c r="G18" i="18"/>
  <c r="G89" i="17"/>
  <c r="G120" i="19"/>
  <c r="G98" i="18"/>
  <c r="G64" i="19"/>
  <c r="D4" i="20"/>
  <c r="G2" i="19"/>
  <c r="G5" i="18"/>
  <c r="G5" i="17"/>
  <c r="G86" i="22"/>
  <c r="F2" i="16"/>
  <c r="E4" i="15"/>
  <c r="E87" i="22" l="1"/>
  <c r="E5" i="13"/>
  <c r="E5" i="11"/>
  <c r="E5" i="12"/>
  <c r="C6" i="13"/>
  <c r="C6" i="12"/>
  <c r="C6" i="11"/>
  <c r="F5" i="13"/>
  <c r="F5" i="12"/>
  <c r="F87" i="22"/>
  <c r="D88" i="22"/>
  <c r="D89" i="22" s="1"/>
  <c r="F5" i="11"/>
  <c r="G87" i="22"/>
  <c r="E89" i="22" l="1"/>
  <c r="E88" i="22"/>
  <c r="C7" i="13"/>
  <c r="E6" i="13"/>
  <c r="E4" i="12"/>
  <c r="C7" i="12"/>
  <c r="E6" i="12"/>
  <c r="E4" i="11"/>
  <c r="C7" i="11"/>
  <c r="E6" i="11"/>
  <c r="G5" i="12"/>
  <c r="G5" i="13"/>
  <c r="F89" i="22"/>
  <c r="F6" i="11"/>
  <c r="D90" i="22"/>
  <c r="F6" i="13"/>
  <c r="F6" i="12"/>
  <c r="G5" i="11"/>
  <c r="F88" i="22"/>
  <c r="G89" i="22"/>
  <c r="G88" i="22"/>
  <c r="E90" i="22" l="1"/>
  <c r="C8" i="13"/>
  <c r="E7" i="13"/>
  <c r="E7" i="12"/>
  <c r="C8" i="12"/>
  <c r="E7" i="11"/>
  <c r="C8" i="11"/>
  <c r="G6" i="13"/>
  <c r="G6" i="12"/>
  <c r="D91" i="22"/>
  <c r="F7" i="13"/>
  <c r="F90" i="22"/>
  <c r="G6" i="11"/>
  <c r="F7" i="12"/>
  <c r="F7" i="11"/>
  <c r="G90" i="22"/>
  <c r="E91" i="22" l="1"/>
  <c r="E8" i="13"/>
  <c r="C9" i="13"/>
  <c r="C9" i="12"/>
  <c r="E8" i="12"/>
  <c r="E8" i="11"/>
  <c r="C9" i="11"/>
  <c r="F91" i="22"/>
  <c r="G7" i="12"/>
  <c r="F8" i="13"/>
  <c r="D92" i="22"/>
  <c r="F8" i="12"/>
  <c r="G7" i="13"/>
  <c r="F8" i="11"/>
  <c r="G7" i="11"/>
  <c r="G91" i="22"/>
  <c r="E92" i="22" l="1"/>
  <c r="E4" i="13"/>
  <c r="C10" i="13"/>
  <c r="E9" i="13"/>
  <c r="E9" i="12"/>
  <c r="C10" i="12"/>
  <c r="C10" i="11"/>
  <c r="E9" i="11"/>
  <c r="G8" i="11"/>
  <c r="F9" i="11"/>
  <c r="F9" i="12"/>
  <c r="F92" i="22"/>
  <c r="G8" i="13"/>
  <c r="F9" i="13"/>
  <c r="D93" i="22"/>
  <c r="G8" i="12"/>
  <c r="G92" i="22"/>
  <c r="E93" i="22" l="1"/>
  <c r="E10" i="13"/>
  <c r="C11" i="13"/>
  <c r="E10" i="12"/>
  <c r="C11" i="12"/>
  <c r="E10" i="11"/>
  <c r="C11" i="11"/>
  <c r="G9" i="12"/>
  <c r="D94" i="22"/>
  <c r="F93" i="22"/>
  <c r="F10" i="12"/>
  <c r="G9" i="11"/>
  <c r="F10" i="13"/>
  <c r="G9" i="13"/>
  <c r="F10" i="11"/>
  <c r="G93" i="22"/>
  <c r="E94" i="22" l="1"/>
  <c r="E11" i="13"/>
  <c r="C12" i="13"/>
  <c r="E11" i="12"/>
  <c r="C12" i="12"/>
  <c r="C12" i="11"/>
  <c r="E11" i="11"/>
  <c r="G10" i="12"/>
  <c r="G10" i="11"/>
  <c r="F94" i="22"/>
  <c r="F11" i="11"/>
  <c r="D95" i="22"/>
  <c r="F11" i="12"/>
  <c r="G10" i="13"/>
  <c r="F11" i="13"/>
  <c r="G94" i="22"/>
  <c r="E95" i="22" l="1"/>
  <c r="E12" i="13"/>
  <c r="C13" i="13"/>
  <c r="E12" i="12"/>
  <c r="C13" i="12"/>
  <c r="E12" i="11"/>
  <c r="C13" i="11"/>
  <c r="F95" i="22"/>
  <c r="G11" i="11"/>
  <c r="F12" i="11"/>
  <c r="F12" i="13"/>
  <c r="G11" i="12"/>
  <c r="F12" i="12"/>
  <c r="G11" i="13"/>
  <c r="F4" i="22"/>
  <c r="G95" i="22"/>
  <c r="E13" i="13" l="1"/>
  <c r="C14" i="13"/>
  <c r="E13" i="12"/>
  <c r="C14" i="12"/>
  <c r="E13" i="11"/>
  <c r="C14" i="11"/>
  <c r="F13" i="13"/>
  <c r="F13" i="12"/>
  <c r="G12" i="13"/>
  <c r="G12" i="12"/>
  <c r="F13" i="11"/>
  <c r="G12" i="11"/>
  <c r="G4" i="22"/>
  <c r="C15" i="13" l="1"/>
  <c r="E14" i="13"/>
  <c r="C15" i="12"/>
  <c r="E14" i="12"/>
  <c r="C15" i="11"/>
  <c r="E14" i="11"/>
  <c r="F14" i="12"/>
  <c r="G13" i="12"/>
  <c r="G13" i="13"/>
  <c r="G13" i="11"/>
  <c r="F14" i="11"/>
  <c r="F14" i="13"/>
  <c r="C16" i="13" l="1"/>
  <c r="E15" i="13"/>
  <c r="E15" i="12"/>
  <c r="C16" i="12"/>
  <c r="E15" i="11"/>
  <c r="C16" i="11"/>
  <c r="F15" i="13"/>
  <c r="F15" i="12"/>
  <c r="G14" i="12"/>
  <c r="G14" i="11"/>
  <c r="G14" i="13"/>
  <c r="F15" i="11"/>
  <c r="E16" i="13" l="1"/>
  <c r="C17" i="13"/>
  <c r="C17" i="12"/>
  <c r="E16" i="12"/>
  <c r="E16" i="11"/>
  <c r="C17" i="11"/>
  <c r="F16" i="13"/>
  <c r="F16" i="12"/>
  <c r="G15" i="13"/>
  <c r="G15" i="12"/>
  <c r="F16" i="11"/>
  <c r="G15" i="11"/>
  <c r="E17" i="13" l="1"/>
  <c r="C18" i="13"/>
  <c r="C18" i="12"/>
  <c r="E17" i="12"/>
  <c r="C18" i="11"/>
  <c r="E17" i="11"/>
  <c r="F17" i="13"/>
  <c r="G16" i="13"/>
  <c r="G16" i="12"/>
  <c r="G16" i="11"/>
  <c r="F17" i="11"/>
  <c r="F17" i="12"/>
  <c r="C19" i="13" l="1"/>
  <c r="E18" i="13"/>
  <c r="E18" i="12"/>
  <c r="C19" i="12"/>
  <c r="E18" i="11"/>
  <c r="C19" i="11"/>
  <c r="G17" i="13"/>
  <c r="F18" i="12"/>
  <c r="G17" i="12"/>
  <c r="G17" i="11"/>
  <c r="F18" i="13"/>
  <c r="F18" i="11"/>
  <c r="E19" i="13" l="1"/>
  <c r="C20" i="13"/>
  <c r="C20" i="12"/>
  <c r="E19" i="12"/>
  <c r="C20" i="11"/>
  <c r="E19" i="11"/>
  <c r="G18" i="13"/>
  <c r="F19" i="12"/>
  <c r="F19" i="11"/>
  <c r="G18" i="12"/>
  <c r="F19" i="13"/>
  <c r="G18" i="11"/>
  <c r="E20" i="13" l="1"/>
  <c r="C21" i="13"/>
  <c r="C21" i="12"/>
  <c r="E20" i="12"/>
  <c r="E20" i="11"/>
  <c r="C21" i="11"/>
  <c r="F20" i="11"/>
  <c r="G19" i="11"/>
  <c r="F20" i="12"/>
  <c r="G19" i="12"/>
  <c r="G19" i="13"/>
  <c r="F20" i="13"/>
  <c r="E21" i="13" l="1"/>
  <c r="C22" i="13"/>
  <c r="E21" i="12"/>
  <c r="C22" i="12"/>
  <c r="E21" i="11"/>
  <c r="C22" i="11"/>
  <c r="F21" i="11"/>
  <c r="G20" i="12"/>
  <c r="F21" i="13"/>
  <c r="F21" i="12"/>
  <c r="G20" i="13"/>
  <c r="G20" i="11"/>
  <c r="C23" i="13" l="1"/>
  <c r="E22" i="13"/>
  <c r="C23" i="12"/>
  <c r="E22" i="12"/>
  <c r="C23" i="11"/>
  <c r="E22" i="11"/>
  <c r="G21" i="13"/>
  <c r="G21" i="12"/>
  <c r="G21" i="11"/>
  <c r="F22" i="11"/>
  <c r="F22" i="13"/>
  <c r="F22" i="12"/>
  <c r="C24" i="13" l="1"/>
  <c r="E23" i="13"/>
  <c r="E23" i="12"/>
  <c r="C24" i="12"/>
  <c r="E23" i="11"/>
  <c r="C24" i="11"/>
  <c r="G22" i="13"/>
  <c r="F23" i="12"/>
  <c r="F23" i="11"/>
  <c r="G22" i="11"/>
  <c r="F23" i="13"/>
  <c r="G22" i="12"/>
  <c r="E24" i="13" l="1"/>
  <c r="C25" i="13"/>
  <c r="E24" i="12"/>
  <c r="C25" i="12"/>
  <c r="E24" i="11"/>
  <c r="C25" i="11"/>
  <c r="G23" i="11"/>
  <c r="G23" i="13"/>
  <c r="F24" i="13"/>
  <c r="G23" i="12"/>
  <c r="F24" i="12"/>
  <c r="F24" i="11"/>
  <c r="E25" i="13" l="1"/>
  <c r="C26" i="13"/>
  <c r="C26" i="12"/>
  <c r="E25" i="12"/>
  <c r="C26" i="11"/>
  <c r="E25" i="11"/>
  <c r="G24" i="11"/>
  <c r="F25" i="11"/>
  <c r="G24" i="13"/>
  <c r="F25" i="13"/>
  <c r="G24" i="12"/>
  <c r="F25" i="12"/>
  <c r="C27" i="13" l="1"/>
  <c r="E26" i="13"/>
  <c r="E26" i="12"/>
  <c r="C27" i="12"/>
  <c r="E26" i="11"/>
  <c r="C27" i="11"/>
  <c r="F26" i="11"/>
  <c r="G25" i="11"/>
  <c r="G25" i="13"/>
  <c r="F26" i="13"/>
  <c r="G25" i="12"/>
  <c r="F26" i="12"/>
  <c r="E27" i="13" l="1"/>
  <c r="C28" i="13"/>
  <c r="C28" i="12"/>
  <c r="E27" i="12"/>
  <c r="C28" i="11"/>
  <c r="E27" i="11"/>
  <c r="G26" i="11"/>
  <c r="F27" i="12"/>
  <c r="G26" i="12"/>
  <c r="G26" i="13"/>
  <c r="F27" i="13"/>
  <c r="F27" i="11"/>
  <c r="C29" i="13" l="1"/>
  <c r="E28" i="13"/>
  <c r="E28" i="12"/>
  <c r="C29" i="12"/>
  <c r="C29" i="11"/>
  <c r="E28" i="11"/>
  <c r="F28" i="11"/>
  <c r="G27" i="11"/>
  <c r="F28" i="13"/>
  <c r="G27" i="13"/>
  <c r="G27" i="12"/>
  <c r="F28" i="12"/>
  <c r="E29" i="13" l="1"/>
  <c r="C30" i="13"/>
  <c r="E29" i="12"/>
  <c r="C30" i="12"/>
  <c r="E29" i="11"/>
  <c r="C30" i="11"/>
  <c r="F29" i="13"/>
  <c r="F29" i="12"/>
  <c r="G28" i="11"/>
  <c r="G28" i="13"/>
  <c r="G28" i="12"/>
  <c r="F29" i="11"/>
  <c r="C31" i="13" l="1"/>
  <c r="E30" i="13"/>
  <c r="C31" i="12"/>
  <c r="E30" i="12"/>
  <c r="C31" i="11"/>
  <c r="E30" i="11"/>
  <c r="F30" i="12"/>
  <c r="G29" i="12"/>
  <c r="G29" i="11"/>
  <c r="G29" i="13"/>
  <c r="F30" i="13"/>
  <c r="F30" i="11"/>
  <c r="C32" i="13" l="1"/>
  <c r="E31" i="13"/>
  <c r="E31" i="12"/>
  <c r="C32" i="12"/>
  <c r="E31" i="11"/>
  <c r="C32" i="11"/>
  <c r="F31" i="13"/>
  <c r="G30" i="11"/>
  <c r="G30" i="12"/>
  <c r="F31" i="12"/>
  <c r="G30" i="13"/>
  <c r="F31" i="11"/>
  <c r="E32" i="13" l="1"/>
  <c r="C33" i="13"/>
  <c r="E32" i="12"/>
  <c r="C33" i="12"/>
  <c r="E32" i="11"/>
  <c r="C33" i="11"/>
  <c r="F32" i="13"/>
  <c r="F32" i="12"/>
  <c r="F32" i="11"/>
  <c r="G31" i="12"/>
  <c r="G31" i="11"/>
  <c r="G31" i="13"/>
  <c r="E33" i="13" l="1"/>
  <c r="C34" i="13"/>
  <c r="C34" i="12"/>
  <c r="E33" i="12"/>
  <c r="C34" i="11"/>
  <c r="E33" i="11"/>
  <c r="F33" i="12"/>
  <c r="G32" i="11"/>
  <c r="G32" i="13"/>
  <c r="F33" i="11"/>
  <c r="G32" i="12"/>
  <c r="F33" i="13"/>
  <c r="C35" i="13" l="1"/>
  <c r="E34" i="13"/>
  <c r="E34" i="12"/>
  <c r="C35" i="12"/>
  <c r="E34" i="11"/>
  <c r="C35" i="11"/>
  <c r="G33" i="13"/>
  <c r="F34" i="13"/>
  <c r="F34" i="11"/>
  <c r="G33" i="11"/>
  <c r="G33" i="12"/>
  <c r="F34" i="12"/>
  <c r="E35" i="13" l="1"/>
  <c r="C36" i="13"/>
  <c r="C36" i="12"/>
  <c r="E35" i="12"/>
  <c r="C36" i="11"/>
  <c r="E35" i="11"/>
  <c r="F35" i="12"/>
  <c r="F35" i="11"/>
  <c r="F35" i="13"/>
  <c r="G34" i="13"/>
  <c r="G34" i="12"/>
  <c r="G34" i="11"/>
  <c r="E36" i="13" l="1"/>
  <c r="C37" i="13"/>
  <c r="E36" i="12"/>
  <c r="C37" i="12"/>
  <c r="E36" i="11"/>
  <c r="C37" i="11"/>
  <c r="F36" i="11"/>
  <c r="G35" i="13"/>
  <c r="G35" i="11"/>
  <c r="F36" i="13"/>
  <c r="G35" i="12"/>
  <c r="F36" i="12"/>
  <c r="E37" i="13" l="1"/>
  <c r="C38" i="13"/>
  <c r="E37" i="12"/>
  <c r="C38" i="12"/>
  <c r="E37" i="11"/>
  <c r="C38" i="11"/>
  <c r="G36" i="13"/>
  <c r="F37" i="12"/>
  <c r="G36" i="12"/>
  <c r="G36" i="11"/>
  <c r="F37" i="11"/>
  <c r="F37" i="13"/>
  <c r="C39" i="13" l="1"/>
  <c r="E38" i="13"/>
  <c r="C39" i="12"/>
  <c r="E38" i="12"/>
  <c r="C39" i="11"/>
  <c r="E38" i="11"/>
  <c r="F38" i="12"/>
  <c r="F38" i="13"/>
  <c r="G37" i="11"/>
  <c r="G37" i="13"/>
  <c r="G37" i="12"/>
  <c r="F38" i="11"/>
  <c r="C40" i="13" l="1"/>
  <c r="E39" i="13"/>
  <c r="C40" i="12"/>
  <c r="E39" i="12"/>
  <c r="E39" i="11"/>
  <c r="C40" i="11"/>
  <c r="G38" i="13"/>
  <c r="G38" i="12"/>
  <c r="F39" i="11"/>
  <c r="F39" i="12"/>
  <c r="F39" i="13"/>
  <c r="G38" i="11"/>
  <c r="E40" i="13" l="1"/>
  <c r="C41" i="13"/>
  <c r="E40" i="12"/>
  <c r="C41" i="12"/>
  <c r="E40" i="11"/>
  <c r="C41" i="11"/>
  <c r="G39" i="13"/>
  <c r="G39" i="12"/>
  <c r="G39" i="11"/>
  <c r="F40" i="13"/>
  <c r="F40" i="12"/>
  <c r="G40" i="12" s="1"/>
  <c r="F40" i="11"/>
  <c r="E41" i="13" l="1"/>
  <c r="C42" i="13"/>
  <c r="E42" i="13" s="1"/>
  <c r="C42" i="12"/>
  <c r="E42" i="12" s="1"/>
  <c r="E41" i="12"/>
  <c r="C42" i="11"/>
  <c r="E42" i="11" s="1"/>
  <c r="E41" i="11"/>
  <c r="F42" i="12"/>
  <c r="G40" i="13"/>
  <c r="F42" i="13"/>
  <c r="F41" i="13"/>
  <c r="F41" i="12"/>
  <c r="G40" i="11"/>
  <c r="F41" i="11"/>
  <c r="F42" i="11"/>
  <c r="F4" i="12"/>
  <c r="F4" i="13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29" i="7"/>
  <c r="F60" i="8"/>
  <c r="F16" i="8"/>
  <c r="F30" i="7"/>
  <c r="F14" i="8"/>
  <c r="F8" i="7"/>
  <c r="F56" i="7"/>
  <c r="F53" i="8"/>
  <c r="F28" i="8"/>
  <c r="F38" i="7"/>
  <c r="F59" i="7"/>
  <c r="F49" i="7"/>
  <c r="F12" i="8"/>
  <c r="F10" i="6"/>
  <c r="F53" i="7"/>
  <c r="F20" i="8"/>
  <c r="F44" i="8"/>
  <c r="F9" i="6"/>
  <c r="F54" i="8"/>
  <c r="F13" i="8"/>
  <c r="F52" i="8"/>
  <c r="F63" i="8"/>
  <c r="F41" i="7"/>
  <c r="F47" i="7"/>
  <c r="F55" i="7"/>
  <c r="F19" i="7"/>
  <c r="G19" i="7"/>
  <c r="F57" i="7"/>
  <c r="F48" i="8"/>
  <c r="F45" i="7"/>
  <c r="F10" i="8"/>
  <c r="F18" i="7"/>
  <c r="F22" i="8"/>
  <c r="F22" i="7"/>
  <c r="F41" i="8"/>
  <c r="F49" i="8"/>
  <c r="F34" i="7"/>
  <c r="F17" i="7"/>
  <c r="F38" i="8"/>
  <c r="F54" i="7"/>
  <c r="F64" i="8"/>
  <c r="F40" i="8"/>
  <c r="F19" i="8"/>
  <c r="F20" i="6"/>
  <c r="F32" i="8"/>
  <c r="F11" i="6"/>
  <c r="F23" i="8"/>
  <c r="G42" i="13"/>
  <c r="F7" i="6"/>
  <c r="G42" i="11"/>
  <c r="F31" i="8"/>
  <c r="F51" i="8"/>
  <c r="F7" i="7"/>
  <c r="F43" i="7"/>
  <c r="F60" i="7"/>
  <c r="G60" i="7" s="1"/>
  <c r="F14" i="6"/>
  <c r="F8" i="6"/>
  <c r="F9" i="7"/>
  <c r="F16" i="7"/>
  <c r="F21" i="6"/>
  <c r="F62" i="8"/>
  <c r="F25" i="8"/>
  <c r="F17" i="8"/>
  <c r="F9" i="8"/>
  <c r="F45" i="8"/>
  <c r="F39" i="8"/>
  <c r="F57" i="8"/>
  <c r="F44" i="7"/>
  <c r="F36" i="8"/>
  <c r="F64" i="7"/>
  <c r="F35" i="8"/>
  <c r="F23" i="7"/>
  <c r="F65" i="7"/>
  <c r="F29" i="8"/>
  <c r="F66" i="8"/>
  <c r="F15" i="6"/>
  <c r="F7" i="8"/>
  <c r="F11" i="7"/>
  <c r="F48" i="7"/>
  <c r="F66" i="7"/>
  <c r="F33" i="8"/>
  <c r="F15" i="7"/>
  <c r="F27" i="8"/>
  <c r="F62" i="7"/>
  <c r="F46" i="7"/>
  <c r="F25" i="7"/>
  <c r="F33" i="7"/>
  <c r="F13" i="6"/>
  <c r="G13" i="6" s="1"/>
  <c r="F52" i="7"/>
  <c r="F24" i="7"/>
  <c r="F24" i="8"/>
  <c r="F21" i="8"/>
  <c r="F63" i="7"/>
  <c r="G42" i="12"/>
  <c r="F17" i="6"/>
  <c r="F31" i="7"/>
  <c r="F18" i="8"/>
  <c r="F65" i="8"/>
  <c r="F26" i="7"/>
  <c r="F22" i="6"/>
  <c r="F58" i="8"/>
  <c r="F58" i="7"/>
  <c r="F61" i="7"/>
  <c r="F46" i="8"/>
  <c r="F26" i="8"/>
  <c r="F11" i="8"/>
  <c r="F18" i="6"/>
  <c r="F15" i="8"/>
  <c r="G41" i="13"/>
  <c r="F36" i="7"/>
  <c r="F42" i="8"/>
  <c r="F28" i="7"/>
  <c r="F20" i="7"/>
  <c r="F21" i="7"/>
  <c r="F13" i="7"/>
  <c r="F16" i="6"/>
  <c r="F37" i="8"/>
  <c r="F12" i="6"/>
  <c r="F47" i="8"/>
  <c r="F8" i="8"/>
  <c r="F56" i="8"/>
  <c r="F51" i="7"/>
  <c r="F50" i="8"/>
  <c r="F61" i="8"/>
  <c r="F37" i="7"/>
  <c r="F30" i="8"/>
  <c r="F43" i="8"/>
  <c r="F10" i="7"/>
  <c r="F32" i="7"/>
  <c r="F34" i="8"/>
  <c r="G41" i="11"/>
  <c r="F40" i="7"/>
  <c r="F42" i="7"/>
  <c r="F59" i="8"/>
  <c r="F35" i="7"/>
  <c r="G41" i="12"/>
  <c r="F50" i="7"/>
  <c r="F12" i="7"/>
  <c r="F14" i="7"/>
  <c r="F6" i="6"/>
  <c r="F39" i="7"/>
  <c r="F19" i="6"/>
  <c r="F27" i="7"/>
  <c r="F55" i="8"/>
  <c r="G4" i="13"/>
  <c r="G4" i="11"/>
  <c r="G4" i="12"/>
  <c r="F7" i="9" l="1"/>
  <c r="G45" i="8"/>
  <c r="G33" i="7"/>
  <c r="G14" i="7"/>
  <c r="G17" i="6"/>
  <c r="F63" i="9"/>
  <c r="F32" i="9"/>
  <c r="G48" i="7"/>
  <c r="G10" i="8"/>
  <c r="G21" i="7"/>
  <c r="F12" i="9"/>
  <c r="G11" i="7"/>
  <c r="F50" i="9"/>
  <c r="G37" i="8"/>
  <c r="F16" i="9"/>
  <c r="G21" i="6"/>
  <c r="G57" i="7"/>
  <c r="G40" i="7"/>
  <c r="F25" i="9"/>
  <c r="G34" i="7"/>
  <c r="G15" i="6"/>
  <c r="G10" i="6"/>
  <c r="G17" i="8"/>
  <c r="G52" i="7"/>
  <c r="G20" i="7"/>
  <c r="G36" i="8"/>
  <c r="G31" i="7"/>
  <c r="G11" i="8"/>
  <c r="F69" i="9"/>
  <c r="F19" i="9"/>
  <c r="F23" i="9"/>
  <c r="G18" i="6"/>
  <c r="F62" i="9"/>
  <c r="F30" i="9"/>
  <c r="G17" i="7"/>
  <c r="G58" i="7"/>
  <c r="G37" i="7"/>
  <c r="G14" i="8"/>
  <c r="G65" i="7"/>
  <c r="H8" i="6"/>
  <c r="F34" i="9"/>
  <c r="G54" i="7"/>
  <c r="G48" i="8"/>
  <c r="G9" i="6"/>
  <c r="I9" i="6" s="1"/>
  <c r="F24" i="9"/>
  <c r="F67" i="9"/>
  <c r="G15" i="7"/>
  <c r="F35" i="9"/>
  <c r="G44" i="8"/>
  <c r="G55" i="7"/>
  <c r="H22" i="6"/>
  <c r="F13" i="9"/>
  <c r="F56" i="9"/>
  <c r="G61" i="7"/>
  <c r="G11" i="6"/>
  <c r="G39" i="7"/>
  <c r="F61" i="9"/>
  <c r="G31" i="8"/>
  <c r="G38" i="7"/>
  <c r="G56" i="8"/>
  <c r="F29" i="9"/>
  <c r="F38" i="9"/>
  <c r="F57" i="9"/>
  <c r="G62" i="7"/>
  <c r="F49" i="9"/>
  <c r="G9" i="7"/>
  <c r="F45" i="9"/>
  <c r="G28" i="7"/>
  <c r="G12" i="6"/>
  <c r="G53" i="8"/>
  <c r="F65" i="9"/>
  <c r="G12" i="8"/>
  <c r="G22" i="8"/>
  <c r="G26" i="7"/>
  <c r="G20" i="8"/>
  <c r="H20" i="6"/>
  <c r="G25" i="8"/>
  <c r="G7" i="7"/>
  <c r="G50" i="8"/>
  <c r="G24" i="8"/>
  <c r="G66" i="8"/>
  <c r="G43" i="8"/>
  <c r="G35" i="7"/>
  <c r="G38" i="8"/>
  <c r="G16" i="8"/>
  <c r="H7" i="6"/>
  <c r="G59" i="7"/>
  <c r="H17" i="6"/>
  <c r="H12" i="6"/>
  <c r="G65" i="8"/>
  <c r="G56" i="7"/>
  <c r="G19" i="8"/>
  <c r="G64" i="8"/>
  <c r="F66" i="9"/>
  <c r="G35" i="8"/>
  <c r="G63" i="8"/>
  <c r="F17" i="9"/>
  <c r="G17" i="9" s="1"/>
  <c r="F18" i="9"/>
  <c r="G46" i="7"/>
  <c r="F53" i="9"/>
  <c r="G59" i="8"/>
  <c r="F59" i="9"/>
  <c r="G29" i="8"/>
  <c r="G49" i="7"/>
  <c r="G55" i="8"/>
  <c r="G8" i="6"/>
  <c r="G61" i="8"/>
  <c r="F33" i="9"/>
  <c r="G32" i="7"/>
  <c r="F41" i="9"/>
  <c r="G22" i="6"/>
  <c r="H9" i="6"/>
  <c r="G42" i="7"/>
  <c r="G40" i="8"/>
  <c r="G27" i="7"/>
  <c r="H13" i="6"/>
  <c r="G44" i="7"/>
  <c r="G42" i="8"/>
  <c r="H14" i="6"/>
  <c r="G27" i="8"/>
  <c r="F21" i="9"/>
  <c r="F55" i="9"/>
  <c r="G32" i="8"/>
  <c r="G45" i="7"/>
  <c r="F36" i="9"/>
  <c r="G63" i="7"/>
  <c r="G51" i="8"/>
  <c r="G21" i="8"/>
  <c r="I13" i="6"/>
  <c r="G47" i="8"/>
  <c r="G51" i="7"/>
  <c r="H11" i="6"/>
  <c r="F22" i="9"/>
  <c r="G10" i="7"/>
  <c r="G8" i="7"/>
  <c r="G26" i="8"/>
  <c r="F58" i="9"/>
  <c r="F28" i="9"/>
  <c r="G33" i="8"/>
  <c r="G46" i="8"/>
  <c r="G12" i="7"/>
  <c r="H6" i="6"/>
  <c r="F10" i="9"/>
  <c r="G54" i="8"/>
  <c r="H18" i="6"/>
  <c r="G9" i="8"/>
  <c r="F60" i="9"/>
  <c r="G58" i="8"/>
  <c r="H21" i="6"/>
  <c r="G15" i="8"/>
  <c r="F46" i="9"/>
  <c r="F44" i="9"/>
  <c r="H10" i="6"/>
  <c r="G29" i="7"/>
  <c r="G20" i="6"/>
  <c r="G53" i="7"/>
  <c r="G13" i="7"/>
  <c r="F39" i="9"/>
  <c r="G47" i="7"/>
  <c r="G18" i="8"/>
  <c r="F64" i="9"/>
  <c r="F52" i="9"/>
  <c r="F20" i="9"/>
  <c r="G18" i="9"/>
  <c r="G28" i="8"/>
  <c r="G36" i="7"/>
  <c r="G43" i="7"/>
  <c r="H19" i="6"/>
  <c r="F48" i="9"/>
  <c r="H15" i="6"/>
  <c r="F31" i="9"/>
  <c r="G23" i="7"/>
  <c r="G30" i="8"/>
  <c r="G41" i="8"/>
  <c r="F51" i="9"/>
  <c r="F54" i="9"/>
  <c r="G7" i="6"/>
  <c r="G62" i="8"/>
  <c r="G49" i="8"/>
  <c r="G41" i="7"/>
  <c r="G16" i="6"/>
  <c r="G19" i="6"/>
  <c r="F68" i="9"/>
  <c r="F14" i="9"/>
  <c r="G14" i="9" s="1"/>
  <c r="F15" i="9"/>
  <c r="G23" i="8"/>
  <c r="G34" i="8"/>
  <c r="F37" i="9"/>
  <c r="G66" i="7"/>
  <c r="F27" i="9"/>
  <c r="G50" i="7"/>
  <c r="G64" i="7"/>
  <c r="H16" i="6"/>
  <c r="G18" i="7"/>
  <c r="G39" i="8"/>
  <c r="G60" i="8"/>
  <c r="G25" i="7"/>
  <c r="G24" i="7"/>
  <c r="F11" i="9"/>
  <c r="G16" i="7"/>
  <c r="G19" i="9"/>
  <c r="G14" i="6"/>
  <c r="F47" i="9"/>
  <c r="G47" i="9" s="1"/>
  <c r="G57" i="8"/>
  <c r="G13" i="8"/>
  <c r="F43" i="9"/>
  <c r="G8" i="8"/>
  <c r="G20" i="9"/>
  <c r="G52" i="8"/>
  <c r="F42" i="9"/>
  <c r="G30" i="7"/>
  <c r="F26" i="9"/>
  <c r="G22" i="7"/>
  <c r="F40" i="9"/>
  <c r="G38" i="9"/>
  <c r="G7" i="8"/>
  <c r="F5" i="6"/>
  <c r="G6" i="40"/>
  <c r="F6" i="8"/>
  <c r="G6" i="8" s="1"/>
  <c r="F6" i="7"/>
  <c r="G6" i="39"/>
  <c r="H6" i="40"/>
  <c r="F9" i="9"/>
  <c r="I16" i="6"/>
  <c r="G46" i="9"/>
  <c r="G32" i="9"/>
  <c r="I18" i="6"/>
  <c r="I20" i="6"/>
  <c r="G21" i="9"/>
  <c r="G39" i="9"/>
  <c r="G62" i="9"/>
  <c r="G44" i="9"/>
  <c r="G68" i="9"/>
  <c r="G45" i="9"/>
  <c r="G26" i="9"/>
  <c r="I11" i="6"/>
  <c r="G36" i="9"/>
  <c r="G28" i="9"/>
  <c r="G67" i="9"/>
  <c r="G54" i="9"/>
  <c r="I7" i="6"/>
  <c r="G24" i="9"/>
  <c r="G11" i="9"/>
  <c r="G48" i="9"/>
  <c r="G23" i="9"/>
  <c r="I17" i="6"/>
  <c r="I14" i="6"/>
  <c r="G55" i="9"/>
  <c r="I22" i="6"/>
  <c r="I21" i="6"/>
  <c r="G42" i="9"/>
  <c r="I19" i="6"/>
  <c r="G16" i="9"/>
  <c r="G52" i="9"/>
  <c r="G64" i="9"/>
  <c r="G51" i="9"/>
  <c r="G69" i="9"/>
  <c r="G60" i="9"/>
  <c r="G49" i="9"/>
  <c r="G27" i="9"/>
  <c r="I8" i="6"/>
  <c r="G30" i="9"/>
  <c r="G56" i="9"/>
  <c r="G12" i="9"/>
  <c r="G66" i="9"/>
  <c r="G33" i="9"/>
  <c r="G34" i="9"/>
  <c r="G22" i="9"/>
  <c r="G58" i="9"/>
  <c r="G53" i="9"/>
  <c r="G61" i="9"/>
  <c r="G15" i="9"/>
  <c r="I12" i="6"/>
  <c r="I10" i="6"/>
  <c r="G35" i="9"/>
  <c r="G10" i="9"/>
  <c r="G43" i="9"/>
  <c r="I15" i="6"/>
  <c r="G13" i="9"/>
  <c r="G57" i="9"/>
  <c r="G59" i="9"/>
  <c r="G37" i="9"/>
  <c r="G29" i="9"/>
  <c r="G25" i="9"/>
  <c r="G50" i="9"/>
  <c r="G31" i="9"/>
  <c r="G63" i="9"/>
  <c r="G41" i="9"/>
  <c r="G40" i="9"/>
  <c r="G65" i="9"/>
  <c r="H5" i="6"/>
  <c r="H6" i="39"/>
  <c r="G9" i="9"/>
  <c r="G6" i="7"/>
  <c r="S3" i="13"/>
  <c r="X5" i="13" a="1"/>
  <c r="Z3" i="22"/>
  <c r="X6" i="13" l="1"/>
  <c r="X5" i="13"/>
  <c r="X7" i="13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AC5" i="13"/>
  <c r="AC12" i="13"/>
  <c r="AC13" i="13"/>
  <c r="AC20" i="13"/>
  <c r="AC21" i="13"/>
  <c r="AC28" i="13"/>
  <c r="AC29" i="13"/>
  <c r="AC36" i="13"/>
  <c r="AC37" i="13"/>
  <c r="AD42" i="13"/>
  <c r="S3" i="12"/>
  <c r="X5" i="12" a="1"/>
  <c r="AD29" i="13"/>
  <c r="AD36" i="13"/>
  <c r="AD13" i="13"/>
  <c r="AD20" i="13"/>
  <c r="AD5" i="13"/>
  <c r="AD28" i="13"/>
  <c r="AD37" i="13"/>
  <c r="AD12" i="13"/>
  <c r="AD21" i="13"/>
  <c r="AC35" i="13" l="1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19" i="13"/>
  <c r="AD25" i="13"/>
  <c r="AD39" i="13"/>
  <c r="AD14" i="13"/>
  <c r="AD11" i="13"/>
  <c r="AD17" i="13"/>
  <c r="AD31" i="13"/>
  <c r="AD6" i="13"/>
  <c r="AD34" i="13"/>
  <c r="AD9" i="13"/>
  <c r="AD23" i="13"/>
  <c r="AD26" i="13"/>
  <c r="AD40" i="13"/>
  <c r="AD15" i="13"/>
  <c r="AD18" i="13"/>
  <c r="AD32" i="13"/>
  <c r="AD7" i="13"/>
  <c r="AD10" i="13"/>
  <c r="AD24" i="13"/>
  <c r="AD38" i="13"/>
  <c r="AD35" i="13"/>
  <c r="AD41" i="13"/>
  <c r="AD16" i="13"/>
  <c r="AD30" i="13"/>
  <c r="AD27" i="13"/>
  <c r="AD33" i="13"/>
  <c r="AD8" i="13"/>
  <c r="AD22" i="13"/>
  <c r="AD3" i="13"/>
  <c r="X9" i="12" l="1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s="1" a="1"/>
  <c r="AC42" i="12" s="1"/>
  <c r="AD42" i="12"/>
  <c r="AC5" i="12" l="1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K42" i="12"/>
  <c r="AD21" i="12"/>
  <c r="AD15" i="12"/>
  <c r="AD26" i="12"/>
  <c r="AD12" i="12"/>
  <c r="AD19" i="12"/>
  <c r="AD37" i="12"/>
  <c r="AD35" i="12"/>
  <c r="AD6" i="12"/>
  <c r="AD17" i="12"/>
  <c r="AD32" i="12"/>
  <c r="AD24" i="12"/>
  <c r="AD40" i="12"/>
  <c r="AD25" i="12"/>
  <c r="AD38" i="12"/>
  <c r="AD11" i="12"/>
  <c r="AD13" i="12"/>
  <c r="AD33" i="12"/>
  <c r="AD29" i="12"/>
  <c r="AD23" i="12"/>
  <c r="AD14" i="12"/>
  <c r="AD28" i="12"/>
  <c r="AD20" i="12"/>
  <c r="AD31" i="12"/>
  <c r="AD16" i="12"/>
  <c r="AD36" i="12"/>
  <c r="AD39" i="12"/>
  <c r="AD8" i="12"/>
  <c r="AD22" i="12"/>
  <c r="AD18" i="12"/>
  <c r="AD30" i="12"/>
  <c r="AD34" i="12"/>
  <c r="AD5" i="12"/>
  <c r="AD9" i="12"/>
  <c r="AD41" i="12"/>
  <c r="AD7" i="12"/>
  <c r="AD27" i="12"/>
  <c r="AD10" i="12"/>
  <c r="AD3" i="12" s="1"/>
  <c r="AK36" i="12" l="1"/>
  <c r="AK20" i="12"/>
  <c r="AK19" i="12"/>
  <c r="AK10" i="12"/>
  <c r="AK41" i="12"/>
  <c r="AK25" i="12"/>
  <c r="AK24" i="12"/>
  <c r="AK8" i="12"/>
  <c r="AK35" i="12"/>
  <c r="AK28" i="12"/>
  <c r="AK12" i="12"/>
  <c r="AK27" i="12"/>
  <c r="AK11" i="12"/>
  <c r="AK34" i="12"/>
  <c r="AK18" i="12"/>
  <c r="AK17" i="12"/>
  <c r="AK16" i="12"/>
  <c r="AK14" i="12"/>
  <c r="AK26" i="12"/>
  <c r="AK33" i="12"/>
  <c r="AK9" i="12"/>
  <c r="AK40" i="12"/>
  <c r="AK32" i="12"/>
  <c r="AK39" i="12"/>
  <c r="AK31" i="12"/>
  <c r="AK23" i="12"/>
  <c r="AK15" i="12"/>
  <c r="AK7" i="12"/>
  <c r="AK38" i="12"/>
  <c r="AK30" i="12"/>
  <c r="AK22" i="12"/>
  <c r="AK6" i="12"/>
  <c r="AK37" i="12"/>
  <c r="AK29" i="12"/>
  <c r="AK21" i="12"/>
  <c r="AK13" i="12"/>
  <c r="AK5" i="12"/>
  <c r="S3" i="11"/>
  <c r="X5" i="11" a="1"/>
  <c r="X6" i="11" l="1"/>
  <c r="X5" i="11"/>
  <c r="X7" i="11"/>
  <c r="X8" i="11"/>
  <c r="X9" i="11" l="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AD42" i="11"/>
  <c r="Z3" i="24"/>
  <c r="Z3" i="23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21" i="11"/>
  <c r="AD35" i="11"/>
  <c r="AD33" i="11"/>
  <c r="AD8" i="11"/>
  <c r="AD22" i="11"/>
  <c r="AD13" i="11"/>
  <c r="AD27" i="11"/>
  <c r="AD25" i="11"/>
  <c r="AD39" i="11"/>
  <c r="AD14" i="11"/>
  <c r="AD5" i="11"/>
  <c r="AD11" i="11"/>
  <c r="AD17" i="11"/>
  <c r="AD31" i="11"/>
  <c r="AD6" i="11"/>
  <c r="AD36" i="11"/>
  <c r="AD34" i="11"/>
  <c r="AD9" i="11"/>
  <c r="AD23" i="11"/>
  <c r="AD28" i="11"/>
  <c r="AD26" i="11"/>
  <c r="AD40" i="11"/>
  <c r="AD15" i="11"/>
  <c r="AD20" i="11"/>
  <c r="AD18" i="11"/>
  <c r="AD32" i="11"/>
  <c r="AD7" i="11"/>
  <c r="AD37" i="11"/>
  <c r="AD12" i="11"/>
  <c r="AD10" i="11"/>
  <c r="AD38" i="11"/>
  <c r="AD29" i="11"/>
  <c r="AD19" i="11"/>
  <c r="AD41" i="11"/>
  <c r="AD16" i="11"/>
  <c r="AD24" i="11"/>
  <c r="AD30" i="11"/>
  <c r="AD3" i="11" s="1"/>
  <c r="Q3" i="15"/>
  <c r="Y5" i="16"/>
  <c r="M6" i="17" a="1"/>
  <c r="M6" i="17"/>
  <c r="M7" i="17"/>
  <c r="M8" i="17" l="1"/>
  <c r="M9" i="17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0" i="17"/>
  <c r="AA11" i="17"/>
  <c r="AA14" i="17"/>
  <c r="AA16" i="17"/>
  <c r="AA13" i="17"/>
  <c r="AA15" i="17"/>
  <c r="AA9" i="17"/>
  <c r="AA12" i="17"/>
  <c r="AA6" i="17"/>
  <c r="AA7" i="17"/>
  <c r="AA8" i="17"/>
  <c r="AA17" i="17"/>
  <c r="AA4" i="17"/>
  <c r="M6" i="18" a="1"/>
  <c r="M6" i="18"/>
  <c r="M7" i="18"/>
  <c r="M8" i="18" l="1"/>
  <c r="M9" i="18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6" i="18"/>
  <c r="AA14" i="18"/>
  <c r="AA22" i="18"/>
  <c r="AA30" i="18"/>
  <c r="AA38" i="18"/>
  <c r="AA46" i="18"/>
  <c r="AA15" i="18"/>
  <c r="AA47" i="18"/>
  <c r="AA32" i="18"/>
  <c r="AA17" i="18"/>
  <c r="AA41" i="18"/>
  <c r="AA26" i="18"/>
  <c r="AA19" i="18"/>
  <c r="AA43" i="18"/>
  <c r="AA28" i="18"/>
  <c r="AA44" i="18"/>
  <c r="AA37" i="18"/>
  <c r="AA7" i="18"/>
  <c r="AA23" i="18"/>
  <c r="AA31" i="18"/>
  <c r="AA39" i="18"/>
  <c r="AA40" i="18"/>
  <c r="AA9" i="18"/>
  <c r="AA33" i="18"/>
  <c r="AA18" i="18"/>
  <c r="AA42" i="18"/>
  <c r="AA11" i="18"/>
  <c r="AA35" i="18"/>
  <c r="AA12" i="18"/>
  <c r="AA29" i="18"/>
  <c r="AA8" i="18"/>
  <c r="AA16" i="18"/>
  <c r="AA24" i="18"/>
  <c r="AA25" i="18"/>
  <c r="AA10" i="18"/>
  <c r="AA27" i="18"/>
  <c r="AA20" i="18"/>
  <c r="AA21" i="18"/>
  <c r="AA45" i="18"/>
  <c r="AA34" i="18"/>
  <c r="AA36" i="18"/>
  <c r="AA13" i="18"/>
  <c r="AA4" i="18"/>
  <c r="AD3" i="25"/>
  <c r="AD3" i="26"/>
  <c r="D7" i="56"/>
</calcChain>
</file>

<file path=xl/comments1.xml><?xml version="1.0" encoding="utf-8"?>
<comments xmlns="http://schemas.openxmlformats.org/spreadsheetml/2006/main">
  <authors>
    <author>erik</author>
  </authors>
  <commentList>
    <comment ref="H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<sst xmlns="http://schemas.openxmlformats.org/spreadsheetml/2006/main" count="3624" uniqueCount="356">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</sst>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7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21" customWidth="1"/>
    <col min="3" max="3" width="14.85546875" style="521" bestFit="1" customWidth="1"/>
    <col min="4" max="4" width="21.42578125" style="521" bestFit="1" customWidth="1"/>
    <col min="5" max="5" width="20.7109375" style="521" bestFit="1" customWidth="1"/>
    <col min="6" max="8" width="2.7109375" style="521" customWidth="1"/>
    <col min="9" max="9" width="12.140625" style="521" bestFit="1" customWidth="1"/>
    <col min="10" max="10" width="53.7109375" style="521" bestFit="1" customWidth="1"/>
    <col min="11" max="11" width="2.7109375" style="521" customWidth="1"/>
    <col min="12" max="16384" width="9.140625" style="521"/>
  </cols>
  <sheetData>
    <row r="1" spans="1:11" ht="13.5" thickBot="1" x14ac:dyDescent="0.25">
      <c r="A1" s="521" t="s">
        <v>313</v>
      </c>
      <c r="B1" s="521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29" t="s">
        <v>312</v>
      </c>
      <c r="C2" s="530"/>
      <c r="D2" s="530"/>
      <c r="E2" s="530"/>
      <c r="F2" s="531"/>
      <c r="H2" s="529" t="s">
        <v>27</v>
      </c>
      <c r="I2" s="530"/>
      <c r="J2" s="530"/>
      <c r="K2" s="531"/>
    </row>
    <row r="3" spans="1:11" x14ac:dyDescent="0.2">
      <c r="B3" s="415"/>
      <c r="C3" s="437"/>
      <c r="D3" s="437"/>
      <c r="E3" s="437"/>
      <c r="F3" s="436"/>
      <c r="H3" s="9"/>
      <c r="I3" s="13"/>
      <c r="J3" s="13"/>
      <c r="K3" s="5"/>
    </row>
    <row r="4" spans="1:11" x14ac:dyDescent="0.2">
      <c r="B4" s="415"/>
      <c r="C4" s="435" t="s">
        <v>20</v>
      </c>
      <c r="D4" s="434" t="s">
        <v>122</v>
      </c>
      <c r="E4" s="425"/>
      <c r="F4" s="417"/>
      <c r="H4" s="9"/>
      <c r="I4" s="16" t="s">
        <v>26</v>
      </c>
      <c r="J4" s="524">
        <v>41624.402986111112</v>
      </c>
      <c r="K4" s="14"/>
    </row>
    <row r="5" spans="1:11" x14ac:dyDescent="0.2">
      <c r="B5" s="415"/>
      <c r="C5" s="431" t="s">
        <v>26</v>
      </c>
      <c r="D5" s="433">
        <v>41621.603217592594</v>
      </c>
      <c r="E5" s="425"/>
      <c r="F5" s="417"/>
      <c r="H5" s="9"/>
      <c r="I5" s="16" t="s">
        <v>25</v>
      </c>
      <c r="J5" s="524" t="b">
        <v>1</v>
      </c>
      <c r="K5" s="14"/>
    </row>
    <row r="6" spans="1:11" x14ac:dyDescent="0.2">
      <c r="B6" s="415"/>
      <c r="C6" s="431" t="s">
        <v>311</v>
      </c>
      <c r="D6" s="432" t="s">
        <v>310</v>
      </c>
      <c r="E6" s="425"/>
      <c r="F6" s="417"/>
      <c r="H6" s="9"/>
      <c r="I6" s="16" t="s">
        <v>24</v>
      </c>
      <c r="J6" s="524" t="b">
        <v>0</v>
      </c>
      <c r="K6" s="14"/>
    </row>
    <row r="7" spans="1:11" x14ac:dyDescent="0.2">
      <c r="B7" s="415"/>
      <c r="C7" s="431" t="s">
        <v>309</v>
      </c>
      <c r="D7" s="430">
        <f>_xll.ohTrigger(Deposits!Q3,FRA!Y5,Futures3M!AA4,FuturesHWConvAdj!R3,Swaps1M!Z3,Swap3M!AD3,SwapsIMMDated!Z3,Swap6M!AD3,BasisSwap1MxM!AD3,BasisSwap3M6M!AD3,BasisSwapxM12M!AD3,OIS!Z3)</f>
        <v>20</v>
      </c>
      <c r="E7" s="425"/>
      <c r="F7" s="417"/>
      <c r="H7" s="9"/>
      <c r="I7" s="16" t="s">
        <v>23</v>
      </c>
      <c r="J7" s="524" t="b">
        <v>1</v>
      </c>
      <c r="K7" s="14"/>
    </row>
    <row r="8" spans="1:11" x14ac:dyDescent="0.2">
      <c r="B8" s="415"/>
      <c r="C8" s="429" t="s">
        <v>308</v>
      </c>
      <c r="D8" s="428" t="s">
        <v>307</v>
      </c>
      <c r="E8" s="425"/>
      <c r="F8" s="417"/>
      <c r="H8" s="9"/>
      <c r="I8" s="16" t="s">
        <v>22</v>
      </c>
      <c r="J8" s="525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5"/>
      <c r="C9" s="425"/>
      <c r="D9" s="374"/>
      <c r="E9" s="425"/>
      <c r="F9" s="417"/>
      <c r="H9" s="9"/>
      <c r="I9" s="16" t="s">
        <v>21</v>
      </c>
      <c r="J9" s="526" t="b">
        <v>1</v>
      </c>
      <c r="K9" s="14"/>
    </row>
    <row r="10" spans="1:11" x14ac:dyDescent="0.2">
      <c r="B10" s="415"/>
      <c r="C10" s="427" t="s">
        <v>259</v>
      </c>
      <c r="D10" s="426" t="s">
        <v>306</v>
      </c>
      <c r="E10" s="425"/>
      <c r="F10" s="417"/>
      <c r="H10" s="9"/>
      <c r="I10" s="16" t="s">
        <v>20</v>
      </c>
      <c r="J10" s="10" t="s">
        <v>122</v>
      </c>
      <c r="K10" s="14"/>
    </row>
    <row r="11" spans="1:11" x14ac:dyDescent="0.2">
      <c r="B11" s="415"/>
      <c r="C11" s="424" t="s">
        <v>248</v>
      </c>
      <c r="D11" s="423" t="str">
        <f>""</f>
        <v/>
      </c>
      <c r="E11" s="425"/>
      <c r="F11" s="417"/>
      <c r="H11" s="9"/>
      <c r="I11" s="16" t="s">
        <v>20</v>
      </c>
      <c r="J11" s="10" t="s">
        <v>131</v>
      </c>
      <c r="K11" s="14"/>
    </row>
    <row r="12" spans="1:11" x14ac:dyDescent="0.2">
      <c r="B12" s="415"/>
      <c r="C12" s="424" t="s">
        <v>235</v>
      </c>
      <c r="D12" s="423" t="s">
        <v>247</v>
      </c>
      <c r="E12" s="420"/>
      <c r="F12" s="417"/>
      <c r="H12" s="9"/>
      <c r="I12" s="16" t="s">
        <v>121</v>
      </c>
      <c r="J12" s="524" t="str">
        <f>Currency&amp;"YC"</f>
        <v>USDYC</v>
      </c>
      <c r="K12" s="14"/>
    </row>
    <row r="13" spans="1:11" x14ac:dyDescent="0.2">
      <c r="B13" s="415"/>
      <c r="C13" s="424" t="s">
        <v>246</v>
      </c>
      <c r="D13" s="423" t="s">
        <v>246</v>
      </c>
      <c r="E13" s="420"/>
      <c r="F13" s="417"/>
      <c r="H13" s="9"/>
      <c r="I13" s="16" t="s">
        <v>120</v>
      </c>
      <c r="J13" s="524" t="str">
        <f>Currency&amp;"YCSTD"</f>
        <v>USDYCSTD</v>
      </c>
      <c r="K13" s="14"/>
    </row>
    <row r="14" spans="1:11" x14ac:dyDescent="0.2">
      <c r="B14" s="415"/>
      <c r="C14" s="424" t="s">
        <v>244</v>
      </c>
      <c r="D14" s="423" t="s">
        <v>243</v>
      </c>
      <c r="E14" s="420"/>
      <c r="F14" s="417"/>
      <c r="H14" s="512"/>
      <c r="I14" s="527" t="s">
        <v>339</v>
      </c>
      <c r="J14" s="528">
        <f>_xll.qlSettingsEvaluationDate(Trigger)</f>
        <v>41624</v>
      </c>
      <c r="K14" s="511"/>
    </row>
    <row r="15" spans="1:11" ht="13.5" thickBot="1" x14ac:dyDescent="0.25">
      <c r="B15" s="415"/>
      <c r="C15" s="424" t="s">
        <v>242</v>
      </c>
      <c r="D15" s="423" t="s">
        <v>241</v>
      </c>
      <c r="E15" s="420"/>
      <c r="F15" s="417"/>
      <c r="H15" s="4"/>
      <c r="I15" s="3"/>
      <c r="J15" s="3"/>
      <c r="K15" s="2"/>
    </row>
    <row r="16" spans="1:11" ht="13.5" thickBot="1" x14ac:dyDescent="0.25">
      <c r="B16" s="415"/>
      <c r="C16" s="424" t="s">
        <v>240</v>
      </c>
      <c r="D16" s="423" t="s">
        <v>305</v>
      </c>
      <c r="E16" s="420"/>
      <c r="F16" s="417"/>
      <c r="H16" s="523"/>
      <c r="I16" s="523"/>
      <c r="J16" s="523"/>
      <c r="K16" s="523"/>
    </row>
    <row r="17" spans="2:11" ht="15.75" x14ac:dyDescent="0.25">
      <c r="B17" s="415"/>
      <c r="C17" s="422" t="s">
        <v>304</v>
      </c>
      <c r="D17" s="421" t="s">
        <v>303</v>
      </c>
      <c r="E17" s="420"/>
      <c r="F17" s="417"/>
      <c r="H17" s="529" t="s">
        <v>144</v>
      </c>
      <c r="I17" s="530"/>
      <c r="J17" s="530"/>
      <c r="K17" s="531"/>
    </row>
    <row r="18" spans="2:11" x14ac:dyDescent="0.2">
      <c r="B18" s="415"/>
      <c r="C18" s="414"/>
      <c r="D18" s="414"/>
      <c r="E18" s="414"/>
      <c r="F18" s="417"/>
      <c r="H18" s="9"/>
      <c r="I18" s="13"/>
      <c r="J18" s="13"/>
      <c r="K18" s="5"/>
    </row>
    <row r="19" spans="2:11" x14ac:dyDescent="0.2">
      <c r="B19" s="415"/>
      <c r="C19" s="414"/>
      <c r="D19" s="414"/>
      <c r="E19" s="414"/>
      <c r="F19" s="417"/>
      <c r="H19" s="9"/>
      <c r="I19" s="16" t="s">
        <v>143</v>
      </c>
      <c r="J19" s="23" t="s">
        <v>142</v>
      </c>
      <c r="K19" s="14"/>
    </row>
    <row r="20" spans="2:11" x14ac:dyDescent="0.2">
      <c r="B20" s="415"/>
      <c r="C20" s="414"/>
      <c r="D20" s="413" t="s">
        <v>302</v>
      </c>
      <c r="E20" s="419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5"/>
      <c r="C21" s="414"/>
      <c r="D21" s="418"/>
      <c r="E21" s="416"/>
      <c r="F21" s="417"/>
      <c r="H21" s="9"/>
      <c r="I21" s="16" t="s">
        <v>140</v>
      </c>
      <c r="J21" s="99">
        <v>-0.01</v>
      </c>
      <c r="K21" s="14"/>
    </row>
    <row r="22" spans="2:11" x14ac:dyDescent="0.2">
      <c r="B22" s="415"/>
      <c r="C22" s="414"/>
      <c r="D22" s="413"/>
      <c r="E22" s="41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5"/>
      <c r="C23" s="414"/>
      <c r="D23" s="413" t="s">
        <v>301</v>
      </c>
      <c r="E23" s="412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1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22"/>
      <c r="D25" s="522"/>
      <c r="E25" s="522"/>
      <c r="F25" s="522"/>
    </row>
    <row r="26" spans="2:11" x14ac:dyDescent="0.2">
      <c r="C26" s="522"/>
      <c r="D26" s="522"/>
      <c r="E26" s="522"/>
      <c r="F26" s="522"/>
    </row>
    <row r="27" spans="2:11" x14ac:dyDescent="0.2">
      <c r="C27" s="522"/>
      <c r="D27" s="522"/>
      <c r="E27" s="522"/>
      <c r="F27" s="522"/>
    </row>
    <row r="28" spans="2:11" x14ac:dyDescent="0.2">
      <c r="C28" s="522"/>
      <c r="D28" s="522"/>
      <c r="E28" s="522"/>
      <c r="F28" s="522"/>
    </row>
    <row r="29" spans="2:11" x14ac:dyDescent="0.2">
      <c r="C29" s="522"/>
      <c r="D29" s="522"/>
      <c r="E29" s="522"/>
      <c r="F29" s="522"/>
    </row>
    <row r="30" spans="2:11" x14ac:dyDescent="0.2">
      <c r="C30" s="522"/>
      <c r="D30" s="522"/>
      <c r="E30" s="522"/>
      <c r="F30" s="52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355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5"/>
    </row>
    <row r="8" spans="1:7" x14ac:dyDescent="0.2">
      <c r="B8" s="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5"/>
    </row>
    <row r="9" spans="1:7" x14ac:dyDescent="0.2">
      <c r="B9" s="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EurSwaptionATMVol#0002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EurSwaptionVol#0002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 t="shared" ref="D29:D38" si="1">Currency&amp;C29</f>
        <v>Eur3MFutOptionVol</v>
      </c>
      <c r="E29" s="7" t="str">
        <f>_xll.qlRelinkableHandleOptionletVolatilityStructure(D29,,Permanent,Trigger,ObjectOverwrite)</f>
        <v>Eur3MFutOptionVol#0002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 t="shared" si="1"/>
        <v>Eur1MCapletVol</v>
      </c>
      <c r="E30" s="7" t="str">
        <f>_xll.qlRelinkableHandleOptionletVolatilityStructure(D30,,Permanent,Trigger,ObjectOverwrite)</f>
        <v>Eur1MCapletVol#0002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 t="shared" si="1"/>
        <v>Eur3MCapletVol</v>
      </c>
      <c r="E31" s="7" t="str">
        <f>_xll.qlRelinkableHandleOptionletVolatilityStructure(D31,,Permanent,Trigger,ObjectOverwrite)</f>
        <v>Eur3MCapletVol#0002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 t="shared" si="1"/>
        <v>Eur6MCapletVol</v>
      </c>
      <c r="E32" s="7" t="str">
        <f>_xll.qlRelinkableHandleOptionletVolatilityStructure(D32,,Permanent,Trigger,ObjectOverwrite)</f>
        <v>Eur6MCapletVol#0002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 t="shared" si="1"/>
        <v>Eur1YCapletVol</v>
      </c>
      <c r="E33" s="7" t="str">
        <f>_xll.qlRelinkableHandleOptionletVolatilityStructure(D33,,Permanent,Trigger,ObjectOverwrite)</f>
        <v>Eur1YCapletVol#0002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 t="shared" si="1"/>
        <v>Eur3MFutOptionVolEx</v>
      </c>
      <c r="E34" s="7" t="str">
        <f>_xll.qlRelinkableHandleOptionletVolatilityStructure(D34,,Permanent,Trigger,ObjectOverwrite)</f>
        <v>Eur3MFutOptionVolEx#0002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 t="shared" si="1"/>
        <v>Eur1MCapletVolEx</v>
      </c>
      <c r="E35" s="7" t="str">
        <f>_xll.qlRelinkableHandleOptionletVolatilityStructure(D35,,Permanent,Trigger,ObjectOverwrite)</f>
        <v>Eur1MCapletVolEx#0002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 t="shared" si="1"/>
        <v>Eur3MCapletVolEx</v>
      </c>
      <c r="E36" s="7" t="str">
        <f>_xll.qlRelinkableHandleOptionletVolatilityStructure(D36,,Permanent,Trigger,ObjectOverwrite)</f>
        <v>Eur3MCapletVolEx#0002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 t="shared" si="1"/>
        <v>Eur6MCapletVolEx</v>
      </c>
      <c r="E37" s="7" t="str">
        <f>_xll.qlRelinkableHandleOptionletVolatilityStructure(D37,,Permanent,Trigger,ObjectOverwrite)</f>
        <v>Eur6MCapletVolEx#0002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 t="shared" si="1"/>
        <v>Eur1YCapletVolEx</v>
      </c>
      <c r="E38" s="7" t="str">
        <f>_xll.qlRelinkableHandleOptionletVolatilityStructure(D38,,Permanent,Trigger,ObjectOverwrite)</f>
        <v>Eur1YCapletVolEx#0002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4" customFormat="1" ht="12" thickBot="1" x14ac:dyDescent="0.25">
      <c r="A1" s="24" t="s">
        <v>354</v>
      </c>
    </row>
    <row r="2" spans="1:10" s="24" customFormat="1" x14ac:dyDescent="0.2">
      <c r="B2" s="42"/>
      <c r="C2" s="41"/>
      <c r="D2" s="41"/>
      <c r="E2" s="40"/>
      <c r="F2" s="39"/>
      <c r="G2" s="39"/>
      <c r="H2" s="39"/>
      <c r="I2" s="39"/>
      <c r="J2" s="38"/>
    </row>
    <row r="3" spans="1:10" s="24" customFormat="1" x14ac:dyDescent="0.2">
      <c r="B3" s="29"/>
      <c r="C3" s="37"/>
      <c r="D3" s="37"/>
      <c r="E3" s="16" t="s">
        <v>49</v>
      </c>
      <c r="F3" s="32" t="s">
        <v>254</v>
      </c>
      <c r="G3" s="36"/>
      <c r="H3" s="36"/>
      <c r="I3" s="36"/>
      <c r="J3" s="31"/>
    </row>
    <row r="4" spans="1:10" s="24" customFormat="1" x14ac:dyDescent="0.2">
      <c r="B4" s="29"/>
      <c r="C4" s="37"/>
      <c r="D4" s="37"/>
      <c r="E4" s="36"/>
      <c r="F4" s="36"/>
      <c r="G4" s="36"/>
      <c r="H4" s="36"/>
      <c r="I4" s="36"/>
      <c r="J4" s="31"/>
    </row>
    <row r="5" spans="1:10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Euribor.xml</v>
      </c>
      <c r="F5" s="10">
        <f ca="1">IF(Serialize,_xll.ohObjectSave(F6:G22,SerializationPath&amp;FileName,FileOverwrite,,Serialize),"---")</f>
        <v>33</v>
      </c>
      <c r="G5" s="191"/>
      <c r="H5" s="7" t="str">
        <f ca="1">_xll.ohRangeRetrieveError(F5)</f>
        <v/>
      </c>
      <c r="I5" s="514"/>
      <c r="J5" s="31"/>
    </row>
    <row r="6" spans="1:10" s="24" customFormat="1" x14ac:dyDescent="0.2">
      <c r="B6" s="29"/>
      <c r="C6" s="28" t="s">
        <v>347</v>
      </c>
      <c r="D6" s="27" t="s">
        <v>18</v>
      </c>
      <c r="E6" s="30"/>
      <c r="F6" s="25" t="str">
        <f>_xll.qlEonia(C6,Currency&amp;$D6,Permanent,Trigger,ObjectOverwrite)</f>
        <v>Eonia2#0002</v>
      </c>
      <c r="G6" s="25"/>
      <c r="H6" s="7" t="str">
        <f>_xll.ohRangeRetrieveError(F6)</f>
        <v/>
      </c>
      <c r="I6" s="7" t="str">
        <f>_xll.ohRangeRetrieveError(G6)</f>
        <v/>
      </c>
      <c r="J6" s="31"/>
    </row>
    <row r="7" spans="1:10" s="24" customFormat="1" x14ac:dyDescent="0.2">
      <c r="B7" s="29"/>
      <c r="C7" s="28" t="s">
        <v>346</v>
      </c>
      <c r="D7" s="27" t="s">
        <v>345</v>
      </c>
      <c r="E7" s="30" t="s">
        <v>346</v>
      </c>
      <c r="F7" s="25" t="str">
        <f>_xll.qlEonia(C7,Currency&amp;$D7,Permanent,Trigger,ObjectOverwrite)</f>
        <v>Eonia#0001</v>
      </c>
      <c r="G7" s="25" t="str">
        <f>_xll.qlLastFixingQuote(E7&amp;"LastFixing_Quote",F7,Permanent,Trigger,ObjectOverwrite)</f>
        <v>EoniaLastFixing_Quote#0001</v>
      </c>
      <c r="H7" s="7" t="str">
        <f>_xll.ohRangeRetrieveError(F7)</f>
        <v/>
      </c>
      <c r="I7" s="7" t="str">
        <f>_xll.ohRangeRetrieveError(G7)</f>
        <v/>
      </c>
      <c r="J7" s="31"/>
    </row>
    <row r="8" spans="1:10" s="24" customFormat="1" x14ac:dyDescent="0.2">
      <c r="B8" s="29"/>
      <c r="C8" s="28" t="s">
        <v>43</v>
      </c>
      <c r="D8" s="27" t="s">
        <v>345</v>
      </c>
      <c r="E8" s="26" t="str">
        <f t="shared" ref="E8:E22" si="0">PROPER(Currency)&amp;FamilyName&amp;$C8</f>
        <v>EuriborSW</v>
      </c>
      <c r="F8" s="25" t="str">
        <f>_xll.qlEuribor($E8,$C8,Currency&amp;$D8,Permanent,Trigger,ObjectOverwrite)</f>
        <v>EuriborSW#0002</v>
      </c>
      <c r="G8" s="25" t="str">
        <f>_xll.qlLastFixingQuote(E8&amp;"LastFixing_Quote",F8,Permanent,Trigger,ObjectOverwrite)</f>
        <v>EuriborSWLastFixing_Quote#0002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4" customFormat="1" x14ac:dyDescent="0.2">
      <c r="B9" s="29"/>
      <c r="C9" s="28" t="s">
        <v>42</v>
      </c>
      <c r="D9" s="27" t="s">
        <v>345</v>
      </c>
      <c r="E9" s="26" t="str">
        <f t="shared" si="0"/>
        <v>Euribor2W</v>
      </c>
      <c r="F9" s="25" t="str">
        <f>_xll.qlEuribor($E9,$C9,Currency&amp;$D9,Permanent,Trigger,ObjectOverwrite)</f>
        <v>Euribor2W#0002</v>
      </c>
      <c r="G9" s="25" t="str">
        <f>_xll.qlLastFixingQuote(E9&amp;"LastFixing_Quote",F9,Permanent,Trigger,ObjectOverwrite)</f>
        <v>Euribor2WLastFixing_Quote#0002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4" customFormat="1" x14ac:dyDescent="0.2">
      <c r="B10" s="29"/>
      <c r="C10" s="28" t="s">
        <v>41</v>
      </c>
      <c r="D10" s="27" t="s">
        <v>344</v>
      </c>
      <c r="E10" s="26" t="str">
        <f t="shared" si="0"/>
        <v>Euribor3W</v>
      </c>
      <c r="F10" s="25" t="str">
        <f>_xll.qlEuribor($E10,$C10,Currency&amp;$D10,Permanent,Trigger,ObjectOverwrite)</f>
        <v>Euribor3W#0002</v>
      </c>
      <c r="G10" s="25" t="str">
        <f>_xll.qlLastFixingQuote(E10&amp;"LastFixing_Quote",F10,Permanent,Trigger,ObjectOverwrite)</f>
        <v>Euribor3WLastFixing_Quote#0002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4" customFormat="1" x14ac:dyDescent="0.2">
      <c r="B11" s="29"/>
      <c r="C11" s="28" t="s">
        <v>40</v>
      </c>
      <c r="D11" s="27" t="s">
        <v>344</v>
      </c>
      <c r="E11" s="26" t="str">
        <f t="shared" si="0"/>
        <v>Euribor1M</v>
      </c>
      <c r="F11" s="25" t="str">
        <f>_xll.qlEuribor($E11,$C11,Currency&amp;$D11,Permanent,Trigger,ObjectOverwrite)</f>
        <v>Euribor1M#0002</v>
      </c>
      <c r="G11" s="25" t="str">
        <f>_xll.qlLastFixingQuote(E11&amp;"LastFixing_Quote",F11,Permanent,Trigger,ObjectOverwrite)</f>
        <v>Euribor1MLastFixing_Quote#0002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4" customFormat="1" x14ac:dyDescent="0.2">
      <c r="B12" s="29"/>
      <c r="C12" s="28" t="s">
        <v>39</v>
      </c>
      <c r="D12" s="27" t="s">
        <v>343</v>
      </c>
      <c r="E12" s="26" t="str">
        <f t="shared" si="0"/>
        <v>Euribor2M</v>
      </c>
      <c r="F12" s="25" t="str">
        <f>_xll.qlEuribor($E12,$C12,Currency&amp;$D12,Permanent,Trigger,ObjectOverwrite)</f>
        <v>Euribor2M#0002</v>
      </c>
      <c r="G12" s="25" t="str">
        <f>_xll.qlLastFixingQuote(E12&amp;"LastFixing_Quote",F12,Permanent,Trigger,ObjectOverwrite)</f>
        <v>Euribor2MLastFixing_Quote#0002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4" customFormat="1" x14ac:dyDescent="0.2">
      <c r="B13" s="29"/>
      <c r="C13" s="28" t="s">
        <v>38</v>
      </c>
      <c r="D13" s="27" t="s">
        <v>343</v>
      </c>
      <c r="E13" s="26" t="str">
        <f t="shared" si="0"/>
        <v>Euribor3M</v>
      </c>
      <c r="F13" s="25" t="str">
        <f>_xll.qlEuribor($E13,$C13,Currency&amp;$D13,Permanent,Trigger,ObjectOverwrite)</f>
        <v>Euribor3M#0002</v>
      </c>
      <c r="G13" s="25" t="str">
        <f>_xll.qlLastFixingQuote(E13&amp;"LastFixing_Quote",F13,Permanent,Trigger,ObjectOverwrite)</f>
        <v>Euribor3MLastFixing_Quote#0002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4" customFormat="1" x14ac:dyDescent="0.2">
      <c r="B14" s="29"/>
      <c r="C14" s="28" t="s">
        <v>37</v>
      </c>
      <c r="D14" s="27" t="s">
        <v>343</v>
      </c>
      <c r="E14" s="26" t="str">
        <f t="shared" si="0"/>
        <v>Euribor4M</v>
      </c>
      <c r="F14" s="25" t="str">
        <f>_xll.qlEuribor($E14,$C14,Currency&amp;$D14,Permanent,Trigger,ObjectOverwrite)</f>
        <v>Euribor4M#0002</v>
      </c>
      <c r="G14" s="25" t="str">
        <f>_xll.qlLastFixingQuote(E14&amp;"LastFixing_Quote",F14,Permanent,Trigger,ObjectOverwrite)</f>
        <v>Euribor4MLastFixing_Quote#0002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4" customFormat="1" x14ac:dyDescent="0.2">
      <c r="B15" s="29"/>
      <c r="C15" s="28" t="s">
        <v>36</v>
      </c>
      <c r="D15" s="27" t="s">
        <v>342</v>
      </c>
      <c r="E15" s="26" t="str">
        <f t="shared" si="0"/>
        <v>Euribor5M</v>
      </c>
      <c r="F15" s="25" t="str">
        <f>_xll.qlEuribor($E15,$C15,Currency&amp;$D15,Permanent,Trigger,ObjectOverwrite)</f>
        <v>Euribor5M#0002</v>
      </c>
      <c r="G15" s="25" t="str">
        <f>_xll.qlLastFixingQuote(E15&amp;"LastFixing_Quote",F15,Permanent,Trigger,ObjectOverwrite)</f>
        <v>Euribor5MLastFixing_Quote#0002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4" customFormat="1" x14ac:dyDescent="0.2">
      <c r="B16" s="29"/>
      <c r="C16" s="28" t="s">
        <v>35</v>
      </c>
      <c r="D16" s="27" t="s">
        <v>342</v>
      </c>
      <c r="E16" s="26" t="str">
        <f t="shared" si="0"/>
        <v>Euribor6M</v>
      </c>
      <c r="F16" s="25" t="str">
        <f>_xll.qlEuribor($E16,$C16,Currency&amp;$D16,Permanent,Trigger,ObjectOverwrite)</f>
        <v>Euribor6M#0002</v>
      </c>
      <c r="G16" s="25" t="str">
        <f>_xll.qlLastFixingQuote(E16&amp;"LastFixing_Quote",F16,Permanent,Trigger,ObjectOverwrite)</f>
        <v>Euribor6MLastFixing_Quote#0002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4" customFormat="1" x14ac:dyDescent="0.2">
      <c r="B17" s="29"/>
      <c r="C17" s="28" t="s">
        <v>34</v>
      </c>
      <c r="D17" s="27" t="s">
        <v>342</v>
      </c>
      <c r="E17" s="26" t="str">
        <f t="shared" si="0"/>
        <v>Euribor7M</v>
      </c>
      <c r="F17" s="25" t="str">
        <f>_xll.qlEuribor($E17,$C17,Currency&amp;$D17,Permanent,Trigger,ObjectOverwrite)</f>
        <v>Euribor7M#0002</v>
      </c>
      <c r="G17" s="25" t="str">
        <f>_xll.qlLastFixingQuote(E17&amp;"LastFixing_Quote",F17,Permanent,Trigger,ObjectOverwrite)</f>
        <v>Euribor7MLastFixing_Quote#0002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4" customFormat="1" x14ac:dyDescent="0.2">
      <c r="B18" s="29"/>
      <c r="C18" s="28" t="s">
        <v>33</v>
      </c>
      <c r="D18" s="27" t="s">
        <v>342</v>
      </c>
      <c r="E18" s="26" t="str">
        <f t="shared" si="0"/>
        <v>Euribor8M</v>
      </c>
      <c r="F18" s="25" t="str">
        <f>_xll.qlEuribor($E18,$C18,Currency&amp;$D18,Permanent,Trigger,ObjectOverwrite)</f>
        <v>Euribor8M#0002</v>
      </c>
      <c r="G18" s="25" t="str">
        <f>_xll.qlLastFixingQuote(E18&amp;"LastFixing_Quote",F18,Permanent,Trigger,ObjectOverwrite)</f>
        <v>Euribor8MLastFixing_Quote#0002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4" customFormat="1" x14ac:dyDescent="0.2">
      <c r="B19" s="29"/>
      <c r="C19" s="28" t="s">
        <v>32</v>
      </c>
      <c r="D19" s="27" t="s">
        <v>341</v>
      </c>
      <c r="E19" s="26" t="str">
        <f t="shared" si="0"/>
        <v>Euribor9M</v>
      </c>
      <c r="F19" s="25" t="str">
        <f>_xll.qlEuribor($E19,$C19,Currency&amp;$D19,Permanent,Trigger,ObjectOverwrite)</f>
        <v>Euribor9M#0002</v>
      </c>
      <c r="G19" s="25" t="str">
        <f>_xll.qlLastFixingQuote(E19&amp;"LastFixing_Quote",F19,Permanent,Trigger,ObjectOverwrite)</f>
        <v>Euribor9MLastFixing_Quote#0002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4" customFormat="1" x14ac:dyDescent="0.2">
      <c r="B20" s="29"/>
      <c r="C20" s="28" t="s">
        <v>31</v>
      </c>
      <c r="D20" s="27" t="s">
        <v>341</v>
      </c>
      <c r="E20" s="26" t="str">
        <f t="shared" si="0"/>
        <v>Euribor10M</v>
      </c>
      <c r="F20" s="25" t="str">
        <f>_xll.qlEuribor($E20,$C20,Currency&amp;$D20,Permanent,Trigger,ObjectOverwrite)</f>
        <v>Euribor10M#0002</v>
      </c>
      <c r="G20" s="25" t="str">
        <f>_xll.qlLastFixingQuote(E20&amp;"LastFixing_Quote",F20,Permanent,Trigger,ObjectOverwrite)</f>
        <v>Euribor10MLastFixing_Quote#0002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4" customFormat="1" x14ac:dyDescent="0.2">
      <c r="B21" s="29"/>
      <c r="C21" s="28" t="s">
        <v>30</v>
      </c>
      <c r="D21" s="27" t="s">
        <v>341</v>
      </c>
      <c r="E21" s="26" t="str">
        <f t="shared" si="0"/>
        <v>Euribor11M</v>
      </c>
      <c r="F21" s="25" t="str">
        <f>_xll.qlEuribor($E21,$C21,Currency&amp;$D21,Permanent,Trigger,ObjectOverwrite)</f>
        <v>Euribor11M#0002</v>
      </c>
      <c r="G21" s="25" t="str">
        <f>_xll.qlLastFixingQuote(E21&amp;"LastFixing_Quote",F21,Permanent,Trigger,ObjectOverwrite)</f>
        <v>Euribor11MLastFixing_Quote#0002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4" customFormat="1" x14ac:dyDescent="0.2">
      <c r="B22" s="29"/>
      <c r="C22" s="28" t="s">
        <v>29</v>
      </c>
      <c r="D22" s="27" t="s">
        <v>341</v>
      </c>
      <c r="E22" s="26" t="str">
        <f t="shared" si="0"/>
        <v>Euribor1Y</v>
      </c>
      <c r="F22" s="25" t="str">
        <f>_xll.qlEuribor($E22,$C22,Currency&amp;$D22,Permanent,Trigger,ObjectOverwrite)</f>
        <v>Euribor1Y#0002</v>
      </c>
      <c r="G22" s="25" t="str">
        <f>_xll.qlLastFixingQuote(E22&amp;"LastFixing_Quote",F22,Permanent,Trigger,ObjectOverwrite)</f>
        <v>Euribor1YLastFixing_Quote#0002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6" t="s">
        <v>43</v>
      </c>
      <c r="D6" s="51" t="s">
        <v>345</v>
      </c>
      <c r="E6" s="51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16" t="s">
        <v>42</v>
      </c>
      <c r="D7" s="51" t="s">
        <v>345</v>
      </c>
      <c r="E7" s="515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16" t="s">
        <v>41</v>
      </c>
      <c r="D8" s="51" t="s">
        <v>344</v>
      </c>
      <c r="E8" s="515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16" t="s">
        <v>40</v>
      </c>
      <c r="D9" s="51" t="s">
        <v>344</v>
      </c>
      <c r="E9" s="515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16" t="s">
        <v>39</v>
      </c>
      <c r="D10" s="51" t="s">
        <v>343</v>
      </c>
      <c r="E10" s="515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16" t="s">
        <v>38</v>
      </c>
      <c r="D11" s="51" t="s">
        <v>343</v>
      </c>
      <c r="E11" s="515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16" t="s">
        <v>37</v>
      </c>
      <c r="D12" s="51" t="s">
        <v>343</v>
      </c>
      <c r="E12" s="515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16" t="s">
        <v>36</v>
      </c>
      <c r="D13" s="51" t="s">
        <v>342</v>
      </c>
      <c r="E13" s="515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16" t="s">
        <v>35</v>
      </c>
      <c r="D14" s="51" t="s">
        <v>342</v>
      </c>
      <c r="E14" s="515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16" t="s">
        <v>34</v>
      </c>
      <c r="D15" s="51" t="s">
        <v>342</v>
      </c>
      <c r="E15" s="515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16" t="s">
        <v>33</v>
      </c>
      <c r="D16" s="51" t="s">
        <v>342</v>
      </c>
      <c r="E16" s="515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16" t="s">
        <v>32</v>
      </c>
      <c r="D17" s="51" t="s">
        <v>341</v>
      </c>
      <c r="E17" s="515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16" t="s">
        <v>31</v>
      </c>
      <c r="D18" s="51" t="s">
        <v>341</v>
      </c>
      <c r="E18" s="515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16" t="s">
        <v>30</v>
      </c>
      <c r="D19" s="51" t="s">
        <v>341</v>
      </c>
      <c r="E19" s="515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16" t="s">
        <v>29</v>
      </c>
      <c r="D20" s="51" t="s">
        <v>341</v>
      </c>
      <c r="E20" s="515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2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13" t="s">
        <v>340</v>
      </c>
      <c r="M2" s="439"/>
      <c r="N2" s="439"/>
      <c r="O2" s="444"/>
      <c r="P2" s="452"/>
      <c r="Q2" s="498"/>
      <c r="R2" s="498"/>
      <c r="S2" s="439"/>
      <c r="T2" s="444"/>
      <c r="U2" s="439"/>
      <c r="V2" s="439"/>
      <c r="W2" s="439"/>
      <c r="X2" s="439"/>
      <c r="Y2" s="439"/>
      <c r="Z2" s="439"/>
      <c r="AA2" s="439"/>
      <c r="AB2" s="43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9"/>
      <c r="M3" s="497"/>
      <c r="N3" s="491"/>
      <c r="O3" s="496" t="str">
        <f>VLOOKUP(Currency,Traits,2,FALSE)</f>
        <v>FSR</v>
      </c>
      <c r="P3" s="495"/>
      <c r="Q3" s="494"/>
      <c r="R3" s="494"/>
      <c r="S3" s="491"/>
      <c r="T3" s="491"/>
      <c r="U3" s="493" t="str">
        <f>VLOOKUP(Currency,Traits,3,FALSE)</f>
        <v>Libor</v>
      </c>
      <c r="V3" s="491"/>
      <c r="W3" s="491"/>
      <c r="X3" s="492">
        <f>MAX(Z5:Z22)</f>
        <v>0</v>
      </c>
      <c r="Y3" s="491"/>
      <c r="Z3" s="491"/>
      <c r="AA3" s="490"/>
      <c r="AB3" s="43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9"/>
      <c r="M4" s="468"/>
      <c r="N4" s="488" t="s">
        <v>47</v>
      </c>
      <c r="O4" s="487" t="e">
        <f ca="1">_xll.RData(O5:O22,P4:Q4,"RTFEED:IDN",,,P5)</f>
        <v>#NAME?</v>
      </c>
      <c r="P4" s="487" t="s">
        <v>322</v>
      </c>
      <c r="Q4" s="487" t="s">
        <v>250</v>
      </c>
      <c r="R4" s="487" t="s">
        <v>321</v>
      </c>
      <c r="S4" s="486" t="s">
        <v>320</v>
      </c>
      <c r="T4" s="489"/>
      <c r="U4" s="488" t="s">
        <v>262</v>
      </c>
      <c r="V4" s="487" t="s">
        <v>319</v>
      </c>
      <c r="W4" s="487" t="s">
        <v>318</v>
      </c>
      <c r="X4" s="487" t="s">
        <v>317</v>
      </c>
      <c r="Y4" s="486" t="s">
        <v>316</v>
      </c>
      <c r="Z4" s="485"/>
      <c r="AA4" s="458"/>
      <c r="AB4" s="43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9"/>
      <c r="M5" s="468"/>
      <c r="N5" s="484" t="s">
        <v>220</v>
      </c>
      <c r="O5" s="479" t="str">
        <f t="shared" ref="O5:O22" si="0">Currency&amp;$N5&amp;$O$3&amp;"="</f>
        <v>USDONFSR=</v>
      </c>
      <c r="P5" s="483">
        <v>41570</v>
      </c>
      <c r="Q5" s="482">
        <v>0.1051</v>
      </c>
      <c r="R5" s="482" t="b">
        <f t="shared" ref="R5:R22" si="1">IF(AND(ISNUMBER($Q5),$Q5&lt;&gt;0%),TRUE,FALSE)</f>
        <v>1</v>
      </c>
      <c r="S5" s="481" t="e">
        <f>IF($R5,_xll.qlIndexAddFixings($U5,$P5,$Q5/100,TRUE,ISERROR($V5)),NA())</f>
        <v>#NUM!</v>
      </c>
      <c r="T5" s="463"/>
      <c r="U5" s="480" t="str">
        <f t="shared" ref="U5:U22" si="2">PROPER(Currency)&amp;$U$3&amp;$N5</f>
        <v>UsdLiborON</v>
      </c>
      <c r="V5" s="479" t="e">
        <f>_xll.qlIndexFixing($U5,$P5,TRUE,$R5)</f>
        <v>#NUM!</v>
      </c>
      <c r="W5" s="479" t="e">
        <f>IF($S5,_xll.qlIndexFixing($U5,$P5,FALSE,$R5),"-")</f>
        <v>#NUM!</v>
      </c>
      <c r="X5" s="479" t="e">
        <f t="shared" ref="X5:X22" si="3">V5-W5</f>
        <v>#NUM!</v>
      </c>
      <c r="Y5" s="478" t="e">
        <f>_xll.qlIndexFixing($U5,$P5,TRUE,$W5)</f>
        <v>#NUM!</v>
      </c>
      <c r="Z5" s="477">
        <f>IF(ISERROR(X5),0,ABS(X5))</f>
        <v>0</v>
      </c>
      <c r="AA5" s="458"/>
      <c r="AB5" s="43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9"/>
      <c r="M6" s="468"/>
      <c r="N6" s="476" t="s">
        <v>252</v>
      </c>
      <c r="O6" s="471" t="str">
        <f t="shared" si="0"/>
        <v>USDTNFSR=</v>
      </c>
      <c r="P6" s="475" t="s">
        <v>245</v>
      </c>
      <c r="Q6" s="474" t="s">
        <v>245</v>
      </c>
      <c r="R6" s="474" t="b">
        <f t="shared" si="1"/>
        <v>0</v>
      </c>
      <c r="S6" s="473" t="e">
        <f>IF($R6,_xll.qlIndexAddFixings($U6,$P6,$Q6/100,TRUE,ISERROR($V6)),NA())</f>
        <v>#N/A</v>
      </c>
      <c r="T6" s="463"/>
      <c r="U6" s="472" t="str">
        <f t="shared" si="2"/>
        <v>UsdLiborTN</v>
      </c>
      <c r="V6" s="471" t="e">
        <f>_xll.qlIndexFixing($U6,$P6,TRUE,$R6)</f>
        <v>#NUM!</v>
      </c>
      <c r="W6" s="471" t="e">
        <f>IF($S6,_xll.qlIndexFixing($U6,$P6,FALSE,$R6),"-")</f>
        <v>#N/A</v>
      </c>
      <c r="X6" s="471" t="e">
        <f t="shared" si="3"/>
        <v>#NUM!</v>
      </c>
      <c r="Y6" s="470" t="e">
        <f>_xll.qlIndexFixing($U6,$P6,TRUE,$W6)</f>
        <v>#NUM!</v>
      </c>
      <c r="Z6" s="469"/>
      <c r="AA6" s="458"/>
      <c r="AB6" s="43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39"/>
      <c r="M7" s="468"/>
      <c r="N7" s="476" t="s">
        <v>249</v>
      </c>
      <c r="O7" s="471" t="str">
        <f t="shared" si="0"/>
        <v>USDSNFSR=</v>
      </c>
      <c r="P7" s="475" t="s">
        <v>245</v>
      </c>
      <c r="Q7" s="474" t="s">
        <v>245</v>
      </c>
      <c r="R7" s="474" t="b">
        <f t="shared" si="1"/>
        <v>0</v>
      </c>
      <c r="S7" s="473" t="e">
        <f>IF($R7,_xll.qlIndexAddFixings($U7,$P7,$Q7/100,TRUE,ISERROR($V7)),NA())</f>
        <v>#N/A</v>
      </c>
      <c r="T7" s="463"/>
      <c r="U7" s="472" t="str">
        <f t="shared" si="2"/>
        <v>UsdLiborSN</v>
      </c>
      <c r="V7" s="471" t="e">
        <f>_xll.qlIndexFixing($U7,$P7,TRUE,$R7)</f>
        <v>#NUM!</v>
      </c>
      <c r="W7" s="471" t="e">
        <f>IF($S7,_xll.qlIndexFixing($U7,$P7,FALSE,$R7),"-")</f>
        <v>#N/A</v>
      </c>
      <c r="X7" s="471" t="e">
        <f t="shared" si="3"/>
        <v>#NUM!</v>
      </c>
      <c r="Y7" s="470" t="e">
        <f>_xll.qlIndexFixing($U7,$P7,TRUE,$W7)</f>
        <v>#NUM!</v>
      </c>
      <c r="Z7" s="469"/>
      <c r="AA7" s="458"/>
      <c r="AB7" s="43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39"/>
      <c r="M8" s="468"/>
      <c r="N8" s="476" t="s">
        <v>43</v>
      </c>
      <c r="O8" s="471" t="str">
        <f t="shared" si="0"/>
        <v>USDSWFSR=</v>
      </c>
      <c r="P8" s="475">
        <v>41570</v>
      </c>
      <c r="Q8" s="474">
        <v>0.1389</v>
      </c>
      <c r="R8" s="474" t="b">
        <f t="shared" si="1"/>
        <v>1</v>
      </c>
      <c r="S8" s="473" t="b">
        <f>IF($R8,_xll.qlIndexAddFixings($U8,$P8,$Q8/100,TRUE,ISERROR($V8)),NA())</f>
        <v>1</v>
      </c>
      <c r="T8" s="463"/>
      <c r="U8" s="472" t="str">
        <f t="shared" si="2"/>
        <v>UsdLiborSW</v>
      </c>
      <c r="V8" s="471">
        <f>_xll.qlIndexFixing($U8,$P8,TRUE,$R8)</f>
        <v>1.389E-3</v>
      </c>
      <c r="W8" s="471">
        <f>IF($S8,_xll.qlIndexFixing($U8,$P8,FALSE,$R8),"-")</f>
        <v>1.389E-3</v>
      </c>
      <c r="X8" s="471">
        <f t="shared" si="3"/>
        <v>0</v>
      </c>
      <c r="Y8" s="470">
        <f>_xll.qlIndexFixing($U8,$P8,TRUE,$W8)</f>
        <v>1.389E-3</v>
      </c>
      <c r="Z8" s="469">
        <f t="shared" ref="Z8:Z22" si="5">IF(ISERROR(X8),0,ABS(X8))</f>
        <v>0</v>
      </c>
      <c r="AA8" s="458"/>
      <c r="AB8" s="43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39"/>
      <c r="M9" s="468"/>
      <c r="N9" s="476" t="s">
        <v>42</v>
      </c>
      <c r="O9" s="471" t="str">
        <f t="shared" si="0"/>
        <v>USD2WFSR=</v>
      </c>
      <c r="P9" s="475">
        <v>41428</v>
      </c>
      <c r="Q9" s="474">
        <v>0</v>
      </c>
      <c r="R9" s="474" t="b">
        <f t="shared" si="1"/>
        <v>0</v>
      </c>
      <c r="S9" s="473" t="e">
        <f>IF($R9,_xll.qlIndexAddFixings($U9,$P9,$Q9/100,TRUE,ISERROR($V9)),NA())</f>
        <v>#N/A</v>
      </c>
      <c r="T9" s="463"/>
      <c r="U9" s="472" t="str">
        <f t="shared" si="2"/>
        <v>UsdLibor2W</v>
      </c>
      <c r="V9" s="471" t="e">
        <f>_xll.qlIndexFixing($U9,$P9,TRUE,$R9)</f>
        <v>#NUM!</v>
      </c>
      <c r="W9" s="471" t="e">
        <f>IF($S9,_xll.qlIndexFixing($U9,$P9,FALSE,$R9),"-")</f>
        <v>#N/A</v>
      </c>
      <c r="X9" s="471" t="e">
        <f t="shared" si="3"/>
        <v>#NUM!</v>
      </c>
      <c r="Y9" s="470" t="e">
        <f>_xll.qlIndexFixing($U9,$P9,TRUE,$W9)</f>
        <v>#NUM!</v>
      </c>
      <c r="Z9" s="469">
        <f t="shared" si="5"/>
        <v>0</v>
      </c>
      <c r="AA9" s="458"/>
      <c r="AB9" s="43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39"/>
      <c r="M10" s="468"/>
      <c r="N10" s="476" t="s">
        <v>41</v>
      </c>
      <c r="O10" s="471" t="str">
        <f t="shared" si="0"/>
        <v>USD3WFSR=</v>
      </c>
      <c r="P10" s="475" t="s">
        <v>245</v>
      </c>
      <c r="Q10" s="474" t="s">
        <v>245</v>
      </c>
      <c r="R10" s="474" t="b">
        <f t="shared" si="1"/>
        <v>0</v>
      </c>
      <c r="S10" s="473" t="e">
        <f>IF($R10,_xll.qlIndexAddFixings($U10,$P10,$Q10/100,TRUE,ISERROR($V10)),NA())</f>
        <v>#N/A</v>
      </c>
      <c r="T10" s="463"/>
      <c r="U10" s="472" t="str">
        <f t="shared" si="2"/>
        <v>UsdLibor3W</v>
      </c>
      <c r="V10" s="471" t="e">
        <f>_xll.qlIndexFixing($U10,$P10,TRUE,$R10)</f>
        <v>#NUM!</v>
      </c>
      <c r="W10" s="471" t="e">
        <f>IF($S10,_xll.qlIndexFixing($U10,$P10,FALSE,$R10),"-")</f>
        <v>#N/A</v>
      </c>
      <c r="X10" s="471" t="e">
        <f t="shared" si="3"/>
        <v>#NUM!</v>
      </c>
      <c r="Y10" s="470" t="e">
        <f>_xll.qlIndexFixing($U10,$P10,TRUE,$W10)</f>
        <v>#NUM!</v>
      </c>
      <c r="Z10" s="469">
        <f t="shared" si="5"/>
        <v>0</v>
      </c>
      <c r="AA10" s="458"/>
      <c r="AB10" s="43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39"/>
      <c r="M11" s="468"/>
      <c r="N11" s="476" t="s">
        <v>40</v>
      </c>
      <c r="O11" s="471" t="str">
        <f t="shared" si="0"/>
        <v>USD1MFSR=</v>
      </c>
      <c r="P11" s="475">
        <v>41570</v>
      </c>
      <c r="Q11" s="474">
        <v>0.17019999999999999</v>
      </c>
      <c r="R11" s="474" t="b">
        <f t="shared" si="1"/>
        <v>1</v>
      </c>
      <c r="S11" s="473" t="b">
        <f>IF($R11,_xll.qlIndexAddFixings($U11,$P11,$Q11/100,TRUE,ISERROR($V11)),NA())</f>
        <v>1</v>
      </c>
      <c r="T11" s="463"/>
      <c r="U11" s="472" t="str">
        <f t="shared" si="2"/>
        <v>UsdLibor1M</v>
      </c>
      <c r="V11" s="471">
        <f>_xll.qlIndexFixing($U11,$P11,TRUE,$R11)</f>
        <v>1.702E-3</v>
      </c>
      <c r="W11" s="471">
        <f>IF($S11,_xll.qlIndexFixing($U11,$P11,FALSE,$R11),"-")</f>
        <v>1.702E-3</v>
      </c>
      <c r="X11" s="471">
        <f t="shared" si="3"/>
        <v>0</v>
      </c>
      <c r="Y11" s="470">
        <f>_xll.qlIndexFixing($U11,$P11,TRUE,$W11)</f>
        <v>1.702E-3</v>
      </c>
      <c r="Z11" s="469">
        <f t="shared" si="5"/>
        <v>0</v>
      </c>
      <c r="AA11" s="458"/>
      <c r="AB11" s="43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39"/>
      <c r="M12" s="468"/>
      <c r="N12" s="476" t="s">
        <v>39</v>
      </c>
      <c r="O12" s="471" t="str">
        <f t="shared" si="0"/>
        <v>USD2MFSR=</v>
      </c>
      <c r="P12" s="475">
        <v>41570</v>
      </c>
      <c r="Q12" s="474">
        <v>0.20974999999999999</v>
      </c>
      <c r="R12" s="474" t="b">
        <f t="shared" si="1"/>
        <v>1</v>
      </c>
      <c r="S12" s="473" t="b">
        <f>IF($R12,_xll.qlIndexAddFixings($U12,$P12,$Q12/100,TRUE,ISERROR($V12)),NA())</f>
        <v>1</v>
      </c>
      <c r="T12" s="463"/>
      <c r="U12" s="472" t="str">
        <f t="shared" si="2"/>
        <v>UsdLibor2M</v>
      </c>
      <c r="V12" s="471">
        <f>_xll.qlIndexFixing($U12,$P12,TRUE,$R12)</f>
        <v>2.0975E-3</v>
      </c>
      <c r="W12" s="471">
        <f>IF($S12,_xll.qlIndexFixing($U12,$P12,FALSE,$R12),"-")</f>
        <v>2.0975E-3</v>
      </c>
      <c r="X12" s="471">
        <f t="shared" si="3"/>
        <v>0</v>
      </c>
      <c r="Y12" s="470">
        <f>_xll.qlIndexFixing($U12,$P12,TRUE,$W12)</f>
        <v>2.0975E-3</v>
      </c>
      <c r="Z12" s="469">
        <f t="shared" si="5"/>
        <v>0</v>
      </c>
      <c r="AA12" s="458"/>
      <c r="AB12" s="43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39"/>
      <c r="M13" s="468"/>
      <c r="N13" s="476" t="s">
        <v>38</v>
      </c>
      <c r="O13" s="471" t="str">
        <f t="shared" si="0"/>
        <v>USD3MFSR=</v>
      </c>
      <c r="P13" s="475">
        <v>41570</v>
      </c>
      <c r="Q13" s="474">
        <v>0.23835000000000001</v>
      </c>
      <c r="R13" s="474" t="b">
        <f t="shared" si="1"/>
        <v>1</v>
      </c>
      <c r="S13" s="473" t="b">
        <f>IF($R13,_xll.qlIndexAddFixings($U13,$P13,$Q13/100,TRUE,ISERROR($V13)),NA())</f>
        <v>1</v>
      </c>
      <c r="T13" s="463"/>
      <c r="U13" s="472" t="str">
        <f t="shared" si="2"/>
        <v>UsdLibor3M</v>
      </c>
      <c r="V13" s="471">
        <f>_xll.qlIndexFixing($U13,$P13,TRUE,$R13)</f>
        <v>2.3835000000000002E-3</v>
      </c>
      <c r="W13" s="471">
        <f>IF($S13,_xll.qlIndexFixing($U13,$P13,FALSE,$R13),"-")</f>
        <v>2.3835000000000002E-3</v>
      </c>
      <c r="X13" s="471">
        <f t="shared" si="3"/>
        <v>0</v>
      </c>
      <c r="Y13" s="470">
        <f>_xll.qlIndexFixing($U13,$P13,TRUE,$W13)</f>
        <v>2.3835000000000002E-3</v>
      </c>
      <c r="Z13" s="469">
        <f t="shared" si="5"/>
        <v>0</v>
      </c>
      <c r="AA13" s="458"/>
      <c r="AB13" s="43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39"/>
      <c r="M14" s="468"/>
      <c r="N14" s="476" t="s">
        <v>37</v>
      </c>
      <c r="O14" s="471" t="str">
        <f t="shared" si="0"/>
        <v>USD4MFSR=</v>
      </c>
      <c r="P14" s="475">
        <v>41428</v>
      </c>
      <c r="Q14" s="474">
        <v>0</v>
      </c>
      <c r="R14" s="474" t="b">
        <f t="shared" si="1"/>
        <v>0</v>
      </c>
      <c r="S14" s="473" t="e">
        <f>IF($R14,_xll.qlIndexAddFixings($U14,$P14,$Q14/100,TRUE,ISERROR($V14)),NA())</f>
        <v>#N/A</v>
      </c>
      <c r="T14" s="463"/>
      <c r="U14" s="472" t="str">
        <f t="shared" si="2"/>
        <v>UsdLibor4M</v>
      </c>
      <c r="V14" s="471" t="e">
        <f>_xll.qlIndexFixing($U14,$P14,TRUE,$R14)</f>
        <v>#NUM!</v>
      </c>
      <c r="W14" s="471" t="e">
        <f>IF($S14,_xll.qlIndexFixing($U14,$P14,FALSE,$R14),"-")</f>
        <v>#N/A</v>
      </c>
      <c r="X14" s="471" t="e">
        <f t="shared" si="3"/>
        <v>#NUM!</v>
      </c>
      <c r="Y14" s="470" t="e">
        <f>_xll.qlIndexFixing($U14,$P14,TRUE,$W14)</f>
        <v>#NUM!</v>
      </c>
      <c r="Z14" s="469">
        <f t="shared" si="5"/>
        <v>0</v>
      </c>
      <c r="AA14" s="458"/>
      <c r="AB14" s="43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39"/>
      <c r="M15" s="468"/>
      <c r="N15" s="476" t="s">
        <v>36</v>
      </c>
      <c r="O15" s="471" t="str">
        <f t="shared" si="0"/>
        <v>USD5MFSR=</v>
      </c>
      <c r="P15" s="475">
        <v>41428</v>
      </c>
      <c r="Q15" s="474">
        <v>0</v>
      </c>
      <c r="R15" s="474" t="b">
        <f t="shared" si="1"/>
        <v>0</v>
      </c>
      <c r="S15" s="473" t="e">
        <f>IF($R15,_xll.qlIndexAddFixings($U15,$P15,$Q15/100,TRUE,ISERROR($V15)),NA())</f>
        <v>#N/A</v>
      </c>
      <c r="T15" s="463"/>
      <c r="U15" s="472" t="str">
        <f t="shared" si="2"/>
        <v>UsdLibor5M</v>
      </c>
      <c r="V15" s="471" t="e">
        <f>_xll.qlIndexFixing($U15,$P15,TRUE,$R15)</f>
        <v>#NUM!</v>
      </c>
      <c r="W15" s="471" t="e">
        <f>IF($S15,_xll.qlIndexFixing($U15,$P15,FALSE,$R15),"-")</f>
        <v>#N/A</v>
      </c>
      <c r="X15" s="471" t="e">
        <f t="shared" si="3"/>
        <v>#NUM!</v>
      </c>
      <c r="Y15" s="470" t="e">
        <f>_xll.qlIndexFixing($U15,$P15,TRUE,$W15)</f>
        <v>#NUM!</v>
      </c>
      <c r="Z15" s="469">
        <f t="shared" si="5"/>
        <v>0</v>
      </c>
      <c r="AA15" s="458"/>
      <c r="AB15" s="43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39"/>
      <c r="M16" s="468"/>
      <c r="N16" s="476" t="s">
        <v>35</v>
      </c>
      <c r="O16" s="471" t="str">
        <f t="shared" si="0"/>
        <v>USD6MFSR=</v>
      </c>
      <c r="P16" s="475">
        <v>41570</v>
      </c>
      <c r="Q16" s="474">
        <v>0.35570000000000002</v>
      </c>
      <c r="R16" s="474" t="b">
        <f t="shared" si="1"/>
        <v>1</v>
      </c>
      <c r="S16" s="473" t="b">
        <f>IF($R16,_xll.qlIndexAddFixings($U16,$P16,$Q16/100,TRUE,ISERROR($V16)),NA())</f>
        <v>1</v>
      </c>
      <c r="T16" s="463"/>
      <c r="U16" s="472" t="str">
        <f t="shared" si="2"/>
        <v>UsdLibor6M</v>
      </c>
      <c r="V16" s="471">
        <f>_xll.qlIndexFixing($U16,$P16,TRUE,$R16)</f>
        <v>3.5570000000000003E-3</v>
      </c>
      <c r="W16" s="471">
        <f>IF($S16,_xll.qlIndexFixing($U16,$P16,FALSE,$R16),"-")</f>
        <v>3.5570000000000003E-3</v>
      </c>
      <c r="X16" s="471">
        <f t="shared" si="3"/>
        <v>0</v>
      </c>
      <c r="Y16" s="470">
        <f>_xll.qlIndexFixing($U16,$P16,TRUE,$W16)</f>
        <v>3.5570000000000003E-3</v>
      </c>
      <c r="Z16" s="469">
        <f t="shared" si="5"/>
        <v>0</v>
      </c>
      <c r="AA16" s="458"/>
      <c r="AB16" s="43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39"/>
      <c r="M17" s="468"/>
      <c r="N17" s="476" t="s">
        <v>34</v>
      </c>
      <c r="O17" s="471" t="str">
        <f t="shared" si="0"/>
        <v>USD7MFSR=</v>
      </c>
      <c r="P17" s="475">
        <v>41428</v>
      </c>
      <c r="Q17" s="474">
        <v>0</v>
      </c>
      <c r="R17" s="474" t="b">
        <f t="shared" si="1"/>
        <v>0</v>
      </c>
      <c r="S17" s="473" t="e">
        <f>IF($R17,_xll.qlIndexAddFixings($U17,$P17,$Q17/100,TRUE,ISERROR($V17)),NA())</f>
        <v>#N/A</v>
      </c>
      <c r="T17" s="463"/>
      <c r="U17" s="472" t="str">
        <f t="shared" si="2"/>
        <v>UsdLibor7M</v>
      </c>
      <c r="V17" s="471" t="e">
        <f>_xll.qlIndexFixing($U17,$P17,TRUE,$R17)</f>
        <v>#NUM!</v>
      </c>
      <c r="W17" s="471" t="e">
        <f>IF($S17,_xll.qlIndexFixing($U17,$P17,FALSE,$R17),"-")</f>
        <v>#N/A</v>
      </c>
      <c r="X17" s="471" t="e">
        <f t="shared" si="3"/>
        <v>#NUM!</v>
      </c>
      <c r="Y17" s="470" t="e">
        <f>_xll.qlIndexFixing($U17,$P17,TRUE,$W17)</f>
        <v>#NUM!</v>
      </c>
      <c r="Z17" s="469">
        <f t="shared" si="5"/>
        <v>0</v>
      </c>
      <c r="AA17" s="458"/>
      <c r="AB17" s="43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39"/>
      <c r="M18" s="468"/>
      <c r="N18" s="476" t="s">
        <v>33</v>
      </c>
      <c r="O18" s="471" t="str">
        <f t="shared" si="0"/>
        <v>USD8MFSR=</v>
      </c>
      <c r="P18" s="475">
        <v>41428</v>
      </c>
      <c r="Q18" s="474">
        <v>0</v>
      </c>
      <c r="R18" s="474" t="b">
        <f t="shared" si="1"/>
        <v>0</v>
      </c>
      <c r="S18" s="473" t="e">
        <f>IF($R18,_xll.qlIndexAddFixings($U18,$P18,$Q18/100,TRUE,ISERROR($V18)),NA())</f>
        <v>#N/A</v>
      </c>
      <c r="T18" s="463"/>
      <c r="U18" s="472" t="str">
        <f t="shared" si="2"/>
        <v>UsdLibor8M</v>
      </c>
      <c r="V18" s="471" t="e">
        <f>_xll.qlIndexFixing($U18,$P18,TRUE,$R18)</f>
        <v>#NUM!</v>
      </c>
      <c r="W18" s="471" t="e">
        <f>IF($S18,_xll.qlIndexFixing($U18,$P18,FALSE,$R18),"-")</f>
        <v>#N/A</v>
      </c>
      <c r="X18" s="471" t="e">
        <f t="shared" si="3"/>
        <v>#NUM!</v>
      </c>
      <c r="Y18" s="470" t="e">
        <f>_xll.qlIndexFixing($U18,$P18,TRUE,$W18)</f>
        <v>#NUM!</v>
      </c>
      <c r="Z18" s="469">
        <f t="shared" si="5"/>
        <v>0</v>
      </c>
      <c r="AA18" s="458"/>
      <c r="AB18" s="43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39"/>
      <c r="M19" s="468"/>
      <c r="N19" s="476" t="s">
        <v>32</v>
      </c>
      <c r="O19" s="471" t="str">
        <f t="shared" si="0"/>
        <v>USD9MFSR=</v>
      </c>
      <c r="P19" s="475">
        <v>41428</v>
      </c>
      <c r="Q19" s="474">
        <v>0</v>
      </c>
      <c r="R19" s="474" t="b">
        <f t="shared" si="1"/>
        <v>0</v>
      </c>
      <c r="S19" s="473" t="e">
        <f>IF($R19,_xll.qlIndexAddFixings($U19,$P19,$Q19/100,TRUE,ISERROR($V19)),NA())</f>
        <v>#N/A</v>
      </c>
      <c r="T19" s="463"/>
      <c r="U19" s="472" t="str">
        <f t="shared" si="2"/>
        <v>UsdLibor9M</v>
      </c>
      <c r="V19" s="471" t="e">
        <f>_xll.qlIndexFixing($U19,$P19,TRUE,$R19)</f>
        <v>#NUM!</v>
      </c>
      <c r="W19" s="471" t="e">
        <f>IF($S19,_xll.qlIndexFixing($U19,$P19,FALSE,$R19),"-")</f>
        <v>#N/A</v>
      </c>
      <c r="X19" s="471" t="e">
        <f t="shared" si="3"/>
        <v>#NUM!</v>
      </c>
      <c r="Y19" s="470" t="e">
        <f>_xll.qlIndexFixing($U19,$P19,TRUE,$W19)</f>
        <v>#NUM!</v>
      </c>
      <c r="Z19" s="469">
        <f t="shared" si="5"/>
        <v>0</v>
      </c>
      <c r="AA19" s="458"/>
      <c r="AB19" s="43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39"/>
      <c r="M20" s="468"/>
      <c r="N20" s="476" t="s">
        <v>31</v>
      </c>
      <c r="O20" s="471" t="str">
        <f t="shared" si="0"/>
        <v>USD10MFSR=</v>
      </c>
      <c r="P20" s="475">
        <v>41428</v>
      </c>
      <c r="Q20" s="474">
        <v>0</v>
      </c>
      <c r="R20" s="474" t="b">
        <f t="shared" si="1"/>
        <v>0</v>
      </c>
      <c r="S20" s="473" t="e">
        <f>IF($R20,_xll.qlIndexAddFixings($U20,$P20,$Q20/100,TRUE,ISERROR($V20)),NA())</f>
        <v>#N/A</v>
      </c>
      <c r="T20" s="463"/>
      <c r="U20" s="472" t="str">
        <f t="shared" si="2"/>
        <v>UsdLibor10M</v>
      </c>
      <c r="V20" s="471" t="e">
        <f>_xll.qlIndexFixing($U20,$P20,TRUE,$R20)</f>
        <v>#NUM!</v>
      </c>
      <c r="W20" s="471" t="e">
        <f>IF($S20,_xll.qlIndexFixing($U20,$P20,FALSE,$R20),"-")</f>
        <v>#N/A</v>
      </c>
      <c r="X20" s="471" t="e">
        <f t="shared" si="3"/>
        <v>#NUM!</v>
      </c>
      <c r="Y20" s="470" t="e">
        <f>_xll.qlIndexFixing($U20,$P20,TRUE,$W20)</f>
        <v>#NUM!</v>
      </c>
      <c r="Z20" s="469">
        <f t="shared" si="5"/>
        <v>0</v>
      </c>
      <c r="AA20" s="458"/>
      <c r="AB20" s="43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39"/>
      <c r="M21" s="468"/>
      <c r="N21" s="476" t="s">
        <v>30</v>
      </c>
      <c r="O21" s="471" t="str">
        <f t="shared" si="0"/>
        <v>USD11MFSR=</v>
      </c>
      <c r="P21" s="475">
        <v>41428</v>
      </c>
      <c r="Q21" s="474">
        <v>0</v>
      </c>
      <c r="R21" s="474" t="b">
        <f t="shared" si="1"/>
        <v>0</v>
      </c>
      <c r="S21" s="473" t="e">
        <f>IF($R21,_xll.qlIndexAddFixings($U21,$P21,$Q21/100,TRUE,ISERROR($V21)),NA())</f>
        <v>#N/A</v>
      </c>
      <c r="T21" s="463"/>
      <c r="U21" s="472" t="str">
        <f t="shared" si="2"/>
        <v>UsdLibor11M</v>
      </c>
      <c r="V21" s="471" t="e">
        <f>_xll.qlIndexFixing($U21,$P21,TRUE,$R21)</f>
        <v>#NUM!</v>
      </c>
      <c r="W21" s="471" t="e">
        <f>IF($S21,_xll.qlIndexFixing($U21,$P21,FALSE,$R21),"-")</f>
        <v>#N/A</v>
      </c>
      <c r="X21" s="471" t="e">
        <f t="shared" si="3"/>
        <v>#NUM!</v>
      </c>
      <c r="Y21" s="470" t="e">
        <f>_xll.qlIndexFixing($U21,$P21,TRUE,$W21)</f>
        <v>#NUM!</v>
      </c>
      <c r="Z21" s="469">
        <f t="shared" si="5"/>
        <v>0</v>
      </c>
      <c r="AA21" s="458"/>
      <c r="AB21" s="43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39"/>
      <c r="M22" s="468"/>
      <c r="N22" s="467" t="s">
        <v>29</v>
      </c>
      <c r="O22" s="461" t="str">
        <f t="shared" si="0"/>
        <v>USD1YFSR=</v>
      </c>
      <c r="P22" s="466">
        <v>41570</v>
      </c>
      <c r="Q22" s="465">
        <v>0.60860000000000003</v>
      </c>
      <c r="R22" s="465" t="b">
        <f t="shared" si="1"/>
        <v>1</v>
      </c>
      <c r="S22" s="464" t="b">
        <f>IF($R22,_xll.qlIndexAddFixings($U22,$P22,$Q22/100,TRUE,ISERROR($V22)),NA())</f>
        <v>1</v>
      </c>
      <c r="T22" s="463"/>
      <c r="U22" s="462" t="str">
        <f t="shared" si="2"/>
        <v>UsdLibor1Y</v>
      </c>
      <c r="V22" s="461">
        <f>_xll.qlIndexFixing($U22,$P22,TRUE,$R22)</f>
        <v>6.0860000000000003E-3</v>
      </c>
      <c r="W22" s="461">
        <f>IF($S22,_xll.qlIndexFixing($U22,$P22,FALSE,$R22),"-")</f>
        <v>6.0860000000000003E-3</v>
      </c>
      <c r="X22" s="461">
        <f t="shared" si="3"/>
        <v>0</v>
      </c>
      <c r="Y22" s="460">
        <f>_xll.qlIndexFixing($U22,$P22,TRUE,$W22)</f>
        <v>6.0860000000000003E-3</v>
      </c>
      <c r="Z22" s="459">
        <f t="shared" si="5"/>
        <v>0</v>
      </c>
      <c r="AA22" s="458"/>
      <c r="AB22" s="43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9"/>
      <c r="M23" s="457"/>
      <c r="N23" s="454"/>
      <c r="O23" s="454"/>
      <c r="P23" s="456"/>
      <c r="Q23" s="455"/>
      <c r="R23" s="455"/>
      <c r="S23" s="454"/>
      <c r="T23" s="454"/>
      <c r="U23" s="454"/>
      <c r="V23" s="454"/>
      <c r="W23" s="454"/>
      <c r="X23" s="454"/>
      <c r="Y23" s="454"/>
      <c r="Z23" s="454"/>
      <c r="AA23" s="453"/>
      <c r="AB23" s="439"/>
    </row>
    <row r="24" spans="2:28" s="24" customFormat="1" ht="12" thickBot="1" x14ac:dyDescent="0.25">
      <c r="L24" s="439"/>
      <c r="M24" s="439"/>
      <c r="N24" s="439"/>
      <c r="O24" s="439"/>
      <c r="P24" s="452"/>
      <c r="Q24" s="451"/>
      <c r="R24" s="451"/>
      <c r="S24" s="439"/>
      <c r="T24" s="439"/>
      <c r="U24" s="439"/>
      <c r="V24" s="439"/>
      <c r="W24" s="439"/>
      <c r="X24" s="439"/>
      <c r="Y24" s="439"/>
      <c r="Z24" s="439"/>
      <c r="AA24" s="439"/>
      <c r="AB24" s="439"/>
    </row>
    <row r="25" spans="2:28" x14ac:dyDescent="0.2">
      <c r="L25" s="439"/>
      <c r="M25" s="439"/>
      <c r="N25" s="450" t="s">
        <v>132</v>
      </c>
      <c r="O25" s="449" t="s">
        <v>251</v>
      </c>
      <c r="P25" s="448" t="s">
        <v>48</v>
      </c>
      <c r="Q25" s="447"/>
      <c r="R25" s="439"/>
      <c r="S25" s="439"/>
      <c r="T25" s="439"/>
      <c r="U25" s="439"/>
      <c r="V25" s="439"/>
      <c r="W25" s="439"/>
      <c r="X25" s="439"/>
      <c r="Y25" s="439"/>
      <c r="Z25" s="439"/>
      <c r="AA25" s="439"/>
      <c r="AB25" s="439"/>
    </row>
    <row r="26" spans="2:28" x14ac:dyDescent="0.2">
      <c r="L26" s="439"/>
      <c r="M26" s="439"/>
      <c r="N26" s="445" t="s">
        <v>131</v>
      </c>
      <c r="O26" s="444" t="s">
        <v>251</v>
      </c>
      <c r="P26" s="443" t="s">
        <v>48</v>
      </c>
      <c r="Q26" s="439"/>
      <c r="R26" s="439"/>
      <c r="S26" s="439"/>
      <c r="T26" s="439"/>
      <c r="U26" s="446"/>
      <c r="V26" s="439"/>
      <c r="W26" s="439"/>
      <c r="X26" s="439"/>
      <c r="Y26" s="439"/>
      <c r="Z26" s="439"/>
      <c r="AA26" s="439"/>
      <c r="AB26" s="439"/>
    </row>
    <row r="27" spans="2:28" x14ac:dyDescent="0.2">
      <c r="L27" s="439"/>
      <c r="M27" s="439"/>
      <c r="N27" s="445" t="s">
        <v>315</v>
      </c>
      <c r="O27" s="444" t="s">
        <v>251</v>
      </c>
      <c r="P27" s="443" t="s">
        <v>48</v>
      </c>
      <c r="Q27" s="439"/>
      <c r="R27" s="439"/>
      <c r="S27" s="439"/>
      <c r="T27" s="439"/>
      <c r="U27" s="446"/>
      <c r="V27" s="439"/>
      <c r="W27" s="439"/>
      <c r="X27" s="439"/>
      <c r="Y27" s="439"/>
      <c r="Z27" s="439"/>
      <c r="AA27" s="439"/>
      <c r="AB27" s="439"/>
    </row>
    <row r="28" spans="2:28" x14ac:dyDescent="0.2">
      <c r="L28" s="439"/>
      <c r="M28" s="439"/>
      <c r="N28" s="445" t="s">
        <v>314</v>
      </c>
      <c r="O28" s="444" t="s">
        <v>251</v>
      </c>
      <c r="P28" s="443" t="s">
        <v>48</v>
      </c>
      <c r="Q28" s="439"/>
      <c r="R28" s="439"/>
      <c r="S28" s="439"/>
      <c r="T28" s="439"/>
      <c r="U28" s="446"/>
      <c r="V28" s="439"/>
      <c r="W28" s="439"/>
      <c r="X28" s="439"/>
      <c r="Y28" s="439"/>
      <c r="Z28" s="439"/>
      <c r="AA28" s="439"/>
      <c r="AB28" s="439"/>
    </row>
    <row r="29" spans="2:28" x14ac:dyDescent="0.2">
      <c r="L29" s="439"/>
      <c r="M29" s="439"/>
      <c r="N29" s="445" t="s">
        <v>128</v>
      </c>
      <c r="O29" s="444" t="s">
        <v>251</v>
      </c>
      <c r="P29" s="443" t="s">
        <v>48</v>
      </c>
      <c r="Q29" s="439"/>
      <c r="R29" s="439"/>
      <c r="S29" s="439"/>
      <c r="T29" s="439"/>
      <c r="U29" s="439"/>
      <c r="V29" s="439"/>
      <c r="W29" s="439"/>
      <c r="X29" s="439"/>
      <c r="Y29" s="439"/>
      <c r="Z29" s="439"/>
      <c r="AA29" s="439"/>
      <c r="AB29" s="439"/>
    </row>
    <row r="30" spans="2:28" x14ac:dyDescent="0.2">
      <c r="L30" s="439"/>
      <c r="M30" s="439"/>
      <c r="N30" s="445" t="s">
        <v>127</v>
      </c>
      <c r="O30" s="444" t="s">
        <v>251</v>
      </c>
      <c r="P30" s="443" t="s">
        <v>48</v>
      </c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</row>
    <row r="31" spans="2:28" ht="13.5" thickBot="1" x14ac:dyDescent="0.25">
      <c r="L31" s="439"/>
      <c r="M31" s="439"/>
      <c r="N31" s="442" t="s">
        <v>122</v>
      </c>
      <c r="O31" s="441" t="s">
        <v>251</v>
      </c>
      <c r="P31" s="440" t="s">
        <v>48</v>
      </c>
      <c r="Q31" s="439"/>
      <c r="R31" s="439"/>
      <c r="S31" s="439"/>
      <c r="T31" s="439"/>
      <c r="U31" s="439"/>
      <c r="V31" s="439"/>
      <c r="W31" s="439"/>
      <c r="X31" s="439"/>
      <c r="Y31" s="439"/>
      <c r="Z31" s="439"/>
      <c r="AA31" s="439"/>
      <c r="AB31" s="439"/>
    </row>
    <row r="32" spans="2:28" x14ac:dyDescent="0.2">
      <c r="L32" s="439"/>
      <c r="M32" s="439"/>
      <c r="N32" s="439"/>
      <c r="O32" s="439"/>
      <c r="P32" s="439"/>
      <c r="Q32" s="439"/>
      <c r="R32" s="439"/>
      <c r="S32" s="439"/>
      <c r="T32" s="439"/>
      <c r="U32" s="439"/>
      <c r="V32" s="439"/>
      <c r="W32" s="439"/>
      <c r="X32" s="439"/>
      <c r="Y32" s="439"/>
      <c r="Z32" s="439"/>
      <c r="AA32" s="439"/>
      <c r="AB32" s="43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13" t="s">
        <v>340</v>
      </c>
      <c r="K4" s="439"/>
      <c r="L4" s="439"/>
      <c r="M4" s="444"/>
      <c r="N4" s="452"/>
      <c r="O4" s="498"/>
      <c r="P4" s="498"/>
      <c r="Q4" s="439"/>
      <c r="R4" s="444"/>
      <c r="S4" s="439"/>
      <c r="T4" s="439"/>
      <c r="U4" s="439"/>
      <c r="V4" s="439"/>
      <c r="W4" s="439"/>
      <c r="X4" s="439"/>
      <c r="Y4" s="43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9"/>
      <c r="K5" s="497"/>
      <c r="L5" s="491"/>
      <c r="M5" s="496" t="str">
        <f>VLOOKUP(Currency,Traits,2,FALSE)</f>
        <v>SFIX</v>
      </c>
      <c r="N5" s="495"/>
      <c r="O5" s="494"/>
      <c r="P5" s="494"/>
      <c r="Q5" s="491"/>
      <c r="R5" s="491"/>
      <c r="S5" s="493" t="str">
        <f>VLOOKUP(Currency,Traits,3,FALSE)</f>
        <v>LiborSwapIsdaFixAm</v>
      </c>
      <c r="T5" s="491"/>
      <c r="U5" s="491"/>
      <c r="V5" s="492">
        <f>MAX(X7:X22)</f>
        <v>0</v>
      </c>
      <c r="W5" s="491"/>
      <c r="X5" s="491"/>
      <c r="Y5" s="49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9"/>
      <c r="K6" s="468"/>
      <c r="L6" s="488" t="s">
        <v>47</v>
      </c>
      <c r="M6" s="487" t="e">
        <f ca="1">_xll.RData(M7:M21,N6:O6,"RTFEED:IDN",,,N7)</f>
        <v>#NAME?</v>
      </c>
      <c r="N6" s="487" t="s">
        <v>322</v>
      </c>
      <c r="O6" s="487" t="s">
        <v>328</v>
      </c>
      <c r="P6" s="487" t="s">
        <v>321</v>
      </c>
      <c r="Q6" s="486" t="s">
        <v>320</v>
      </c>
      <c r="R6" s="489"/>
      <c r="S6" s="488" t="s">
        <v>262</v>
      </c>
      <c r="T6" s="487" t="s">
        <v>319</v>
      </c>
      <c r="U6" s="487" t="s">
        <v>318</v>
      </c>
      <c r="V6" s="487" t="s">
        <v>317</v>
      </c>
      <c r="W6" s="486" t="s">
        <v>316</v>
      </c>
      <c r="X6" s="485"/>
      <c r="Y6" s="458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UsdLiborSwapIsdaFixAm1Y#0005</v>
      </c>
      <c r="G7" s="48" t="str">
        <f>_xll.ohRangeRetrieveError(F7)</f>
        <v/>
      </c>
      <c r="H7" s="47"/>
      <c r="J7" s="439"/>
      <c r="K7" s="468"/>
      <c r="L7" s="484" t="s">
        <v>29</v>
      </c>
      <c r="M7" s="479" t="str">
        <f>Currency&amp;$M$5&amp;$L7&amp;"="</f>
        <v>USDSFIX1Y=</v>
      </c>
      <c r="N7" s="483">
        <v>41570</v>
      </c>
      <c r="O7" s="482">
        <v>0.29699999999999999</v>
      </c>
      <c r="P7" s="482" t="b">
        <f>IF(AND(ISNUMBER($O7),$O7&lt;&gt;0%),TRUE,FALSE)</f>
        <v>1</v>
      </c>
      <c r="Q7" s="481" t="b">
        <f>IF($P7,_xll.qlIndexAddFixings($S7,$N7,$O7/100,TRUE,ISERROR($T7)),NA())</f>
        <v>1</v>
      </c>
      <c r="R7" s="463"/>
      <c r="S7" s="480" t="str">
        <f>PROPER(Currency)&amp;$S$5&amp;$L7</f>
        <v>UsdLiborSwapIsdaFixAm1Y</v>
      </c>
      <c r="T7" s="479">
        <f>_xll.qlIndexFixing($S7,$N7,TRUE,$P7)</f>
        <v>2.97E-3</v>
      </c>
      <c r="U7" s="479">
        <f>IF($Q7,_xll.qlIndexFixing($S7,$N7,FALSE,$P7),"-")</f>
        <v>2.97E-3</v>
      </c>
      <c r="V7" s="479">
        <f>T7-U7</f>
        <v>0</v>
      </c>
      <c r="W7" s="478">
        <f>_xll.qlIndexFixing($S7,$N7,TRUE,$U7)</f>
        <v>2.97E-3</v>
      </c>
      <c r="X7" s="502">
        <f>IF(ISERROR(V7),0,ABS(V7))</f>
        <v>0</v>
      </c>
      <c r="Y7" s="458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UsdLiborSwapIsdaFixAm2Y#0005</v>
      </c>
      <c r="G8" s="48" t="str">
        <f>_xll.ohRangeRetrieveError(F8)</f>
        <v/>
      </c>
      <c r="H8" s="47"/>
      <c r="J8" s="439"/>
      <c r="K8" s="468"/>
      <c r="L8" s="476" t="s">
        <v>108</v>
      </c>
      <c r="M8" s="471" t="str">
        <f>Currency&amp;$M$5&amp;$L8&amp;"="</f>
        <v>USDSFIX2Y=</v>
      </c>
      <c r="N8" s="475">
        <v>41570</v>
      </c>
      <c r="O8" s="474">
        <v>0.42899999999999999</v>
      </c>
      <c r="P8" s="474" t="b">
        <f>IF(AND(ISNUMBER($O8),$O8&lt;&gt;0%),TRUE,FALSE)</f>
        <v>1</v>
      </c>
      <c r="Q8" s="473" t="b">
        <f>IF($P8,_xll.qlIndexAddFixings($S8,$N8,$O8/100,TRUE,ISERROR($T8)),NA())</f>
        <v>1</v>
      </c>
      <c r="R8" s="463"/>
      <c r="S8" s="472" t="str">
        <f>PROPER(Currency)&amp;$S$5&amp;$L8</f>
        <v>UsdLiborSwapIsdaFixAm2Y</v>
      </c>
      <c r="T8" s="471">
        <f>_xll.qlIndexFixing($S8,$N8,TRUE,$P8)</f>
        <v>4.2899999999999995E-3</v>
      </c>
      <c r="U8" s="471">
        <f>IF($Q8,_xll.qlIndexFixing($S8,$N8,FALSE,$P8),"-")</f>
        <v>4.2899999999999995E-3</v>
      </c>
      <c r="V8" s="471">
        <f>T8-U8</f>
        <v>0</v>
      </c>
      <c r="W8" s="470">
        <f>_xll.qlIndexFixing($S8,$N8,TRUE,$U8)</f>
        <v>4.2899999999999995E-3</v>
      </c>
      <c r="X8" s="502">
        <f>IF(ISERROR(V8),0,ABS(V8))</f>
        <v>0</v>
      </c>
      <c r="Y8" s="458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UsdLiborSwapIsdaFixAm3Y#0005</v>
      </c>
      <c r="G9" s="48" t="str">
        <f>_xll.ohRangeRetrieveError(F9)</f>
        <v/>
      </c>
      <c r="H9" s="47"/>
      <c r="J9" s="439"/>
      <c r="K9" s="468"/>
      <c r="L9" s="476" t="s">
        <v>107</v>
      </c>
      <c r="M9" s="471" t="str">
        <f>Currency&amp;$M$5&amp;$L9&amp;"="</f>
        <v>USDSFIX3Y=</v>
      </c>
      <c r="N9" s="475">
        <v>41570</v>
      </c>
      <c r="O9" s="474">
        <v>0.68799999999999994</v>
      </c>
      <c r="P9" s="474" t="b">
        <f>IF(AND(ISNUMBER($O9),$O9&lt;&gt;0%),TRUE,FALSE)</f>
        <v>1</v>
      </c>
      <c r="Q9" s="473" t="b">
        <f>IF($P9,_xll.qlIndexAddFixings($S9,$N9,$O9/100,TRUE,ISERROR($T9)),NA())</f>
        <v>1</v>
      </c>
      <c r="R9" s="463"/>
      <c r="S9" s="472" t="str">
        <f>PROPER(Currency)&amp;$S$5&amp;$L9</f>
        <v>UsdLiborSwapIsdaFixAm3Y</v>
      </c>
      <c r="T9" s="471">
        <f>_xll.qlIndexFixing($S9,$N9,TRUE,$P9)</f>
        <v>6.8799999999999998E-3</v>
      </c>
      <c r="U9" s="471">
        <f>IF($Q9,_xll.qlIndexFixing($S9,$N9,FALSE,$P9),"-")</f>
        <v>6.8799999999999998E-3</v>
      </c>
      <c r="V9" s="471">
        <f>T9-U9</f>
        <v>0</v>
      </c>
      <c r="W9" s="470">
        <f>_xll.qlIndexFixing($S9,$N9,TRUE,$U9)</f>
        <v>6.8799999999999998E-3</v>
      </c>
      <c r="X9" s="502">
        <f>IF(ISERROR(V9),0,ABS(V9))</f>
        <v>0</v>
      </c>
      <c r="Y9" s="458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UsdLiborSwapIsdaFixAm4Y#0005</v>
      </c>
      <c r="G10" s="48" t="str">
        <f>_xll.ohRangeRetrieveError(F10)</f>
        <v/>
      </c>
      <c r="H10" s="47"/>
      <c r="J10" s="439"/>
      <c r="K10" s="468"/>
      <c r="L10" s="476" t="s">
        <v>106</v>
      </c>
      <c r="M10" s="471" t="str">
        <f>Currency&amp;$M$5&amp;$L10&amp;"="</f>
        <v>USDSFIX4Y=</v>
      </c>
      <c r="N10" s="475">
        <v>41570</v>
      </c>
      <c r="O10" s="474">
        <v>1.0469999999999999</v>
      </c>
      <c r="P10" s="474" t="b">
        <f>IF(AND(ISNUMBER($O10),$O10&lt;&gt;0%),TRUE,FALSE)</f>
        <v>1</v>
      </c>
      <c r="Q10" s="473" t="b">
        <f>IF($P10,_xll.qlIndexAddFixings($S10,$N10,$O10/100,TRUE,ISERROR($T10)),NA())</f>
        <v>1</v>
      </c>
      <c r="R10" s="463"/>
      <c r="S10" s="472" t="str">
        <f>PROPER(Currency)&amp;$S$5&amp;$L10</f>
        <v>UsdLiborSwapIsdaFixAm4Y</v>
      </c>
      <c r="T10" s="471">
        <f>_xll.qlIndexFixing($S10,$N10,TRUE,$P10)</f>
        <v>1.047E-2</v>
      </c>
      <c r="U10" s="471">
        <f>IF($Q10,_xll.qlIndexFixing($S10,$N10,FALSE,$P10),"-")</f>
        <v>1.047E-2</v>
      </c>
      <c r="V10" s="471">
        <f>T10-U10</f>
        <v>0</v>
      </c>
      <c r="W10" s="470">
        <f>_xll.qlIndexFixing($S10,$N10,TRUE,$U10)</f>
        <v>1.047E-2</v>
      </c>
      <c r="X10" s="502">
        <f>IF(ISERROR(V10),0,ABS(V10))</f>
        <v>0</v>
      </c>
      <c r="Y10" s="458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UsdLiborSwapIsdaFixAm5Y#0005</v>
      </c>
      <c r="G11" s="48" t="str">
        <f>_xll.ohRangeRetrieveError(F11)</f>
        <v/>
      </c>
      <c r="H11" s="47"/>
      <c r="J11" s="439"/>
      <c r="K11" s="468"/>
      <c r="L11" s="476" t="s">
        <v>105</v>
      </c>
      <c r="M11" s="471" t="str">
        <f>Currency&amp;$M$5&amp;$L11&amp;"="</f>
        <v>USDSFIX5Y=</v>
      </c>
      <c r="N11" s="475">
        <v>41570</v>
      </c>
      <c r="O11" s="474">
        <v>1.4159999999999999</v>
      </c>
      <c r="P11" s="474" t="b">
        <f>IF(AND(ISNUMBER($O11),$O11&lt;&gt;0%),TRUE,FALSE)</f>
        <v>1</v>
      </c>
      <c r="Q11" s="473" t="b">
        <f>IF($P11,_xll.qlIndexAddFixings($S11,$N11,$O11/100,TRUE,ISERROR($T11)),NA())</f>
        <v>1</v>
      </c>
      <c r="R11" s="463"/>
      <c r="S11" s="472" t="str">
        <f>PROPER(Currency)&amp;$S$5&amp;$L11</f>
        <v>UsdLiborSwapIsdaFixAm5Y</v>
      </c>
      <c r="T11" s="471">
        <f>_xll.qlIndexFixing($S11,$N11,TRUE,$P11)</f>
        <v>1.4159999999999999E-2</v>
      </c>
      <c r="U11" s="471">
        <f>IF($Q11,_xll.qlIndexFixing($S11,$N11,FALSE,$P11),"-")</f>
        <v>1.4159999999999999E-2</v>
      </c>
      <c r="V11" s="471">
        <f>T11-U11</f>
        <v>0</v>
      </c>
      <c r="W11" s="470">
        <f>_xll.qlIndexFixing($S11,$N11,TRUE,$U11)</f>
        <v>1.4159999999999999E-2</v>
      </c>
      <c r="X11" s="502">
        <f>IF(ISERROR(V11),0,ABS(V11))</f>
        <v>0</v>
      </c>
      <c r="Y11" s="458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UsdLiborSwapIsdaFixAm6Y#0005</v>
      </c>
      <c r="G12" s="48" t="str">
        <f>_xll.ohRangeRetrieveError(F12)</f>
        <v/>
      </c>
      <c r="H12" s="47"/>
      <c r="J12" s="439"/>
      <c r="K12" s="468"/>
      <c r="L12" s="476" t="s">
        <v>104</v>
      </c>
      <c r="M12" s="471" t="str">
        <f>Currency&amp;$M$5&amp;$L12&amp;"="</f>
        <v>USDSFIX6Y=</v>
      </c>
      <c r="N12" s="475">
        <v>41570</v>
      </c>
      <c r="O12" s="474">
        <v>1.748</v>
      </c>
      <c r="P12" s="474" t="b">
        <f>IF(AND(ISNUMBER($O12),$O12&lt;&gt;0%),TRUE,FALSE)</f>
        <v>1</v>
      </c>
      <c r="Q12" s="473" t="b">
        <f>IF($P12,_xll.qlIndexAddFixings($S12,$N12,$O12/100,TRUE,ISERROR($T12)),NA())</f>
        <v>1</v>
      </c>
      <c r="R12" s="463"/>
      <c r="S12" s="472" t="str">
        <f>PROPER(Currency)&amp;$S$5&amp;$L12</f>
        <v>UsdLiborSwapIsdaFixAm6Y</v>
      </c>
      <c r="T12" s="471">
        <f>_xll.qlIndexFixing($S12,$N12,TRUE,$P12)</f>
        <v>1.7479999999999999E-2</v>
      </c>
      <c r="U12" s="471">
        <f>IF($Q12,_xll.qlIndexFixing($S12,$N12,FALSE,$P12),"-")</f>
        <v>1.7479999999999999E-2</v>
      </c>
      <c r="V12" s="471">
        <f>T12-U12</f>
        <v>0</v>
      </c>
      <c r="W12" s="470">
        <f>_xll.qlIndexFixing($S12,$N12,TRUE,$U12)</f>
        <v>1.7479999999999999E-2</v>
      </c>
      <c r="X12" s="502">
        <f>IF(ISERROR(V12),0,ABS(V12))</f>
        <v>0</v>
      </c>
      <c r="Y12" s="458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UsdLiborSwapIsdaFixAm7Y#0005</v>
      </c>
      <c r="G13" s="48" t="str">
        <f>_xll.ohRangeRetrieveError(F13)</f>
        <v/>
      </c>
      <c r="H13" s="47"/>
      <c r="J13" s="439"/>
      <c r="K13" s="468"/>
      <c r="L13" s="476" t="s">
        <v>103</v>
      </c>
      <c r="M13" s="471" t="str">
        <f>Currency&amp;$M$5&amp;$L13&amp;"="</f>
        <v>USDSFIX7Y=</v>
      </c>
      <c r="N13" s="475">
        <v>41570</v>
      </c>
      <c r="O13" s="474">
        <v>2.0310000000000001</v>
      </c>
      <c r="P13" s="474" t="b">
        <f>IF(AND(ISNUMBER($O13),$O13&lt;&gt;0%),TRUE,FALSE)</f>
        <v>1</v>
      </c>
      <c r="Q13" s="473" t="b">
        <f>IF($P13,_xll.qlIndexAddFixings($S13,$N13,$O13/100,TRUE,ISERROR($T13)),NA())</f>
        <v>1</v>
      </c>
      <c r="R13" s="463"/>
      <c r="S13" s="472" t="str">
        <f>PROPER(Currency)&amp;$S$5&amp;$L13</f>
        <v>UsdLiborSwapIsdaFixAm7Y</v>
      </c>
      <c r="T13" s="471">
        <f>_xll.qlIndexFixing($S13,$N13,TRUE,$P13)</f>
        <v>2.0310000000000002E-2</v>
      </c>
      <c r="U13" s="471">
        <f>IF($Q13,_xll.qlIndexFixing($S13,$N13,FALSE,$P13),"-")</f>
        <v>2.0310000000000002E-2</v>
      </c>
      <c r="V13" s="471">
        <f>T13-U13</f>
        <v>0</v>
      </c>
      <c r="W13" s="470">
        <f>_xll.qlIndexFixing($S13,$N13,TRUE,$U13)</f>
        <v>2.0310000000000002E-2</v>
      </c>
      <c r="X13" s="502">
        <f>IF(ISERROR(V13),0,ABS(V13))</f>
        <v>0</v>
      </c>
      <c r="Y13" s="458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UsdLiborSwapIsdaFixAm8Y#0005</v>
      </c>
      <c r="G14" s="48" t="str">
        <f>_xll.ohRangeRetrieveError(F14)</f>
        <v/>
      </c>
      <c r="H14" s="47"/>
      <c r="J14" s="439"/>
      <c r="K14" s="468"/>
      <c r="L14" s="476" t="s">
        <v>102</v>
      </c>
      <c r="M14" s="471" t="str">
        <f>Currency&amp;$M$5&amp;$L14&amp;"="</f>
        <v>USDSFIX8Y=</v>
      </c>
      <c r="N14" s="475">
        <v>41570</v>
      </c>
      <c r="O14" s="474">
        <v>2.2650000000000001</v>
      </c>
      <c r="P14" s="474" t="b">
        <f>IF(AND(ISNUMBER($O14),$O14&lt;&gt;0%),TRUE,FALSE)</f>
        <v>1</v>
      </c>
      <c r="Q14" s="473" t="b">
        <f>IF($P14,_xll.qlIndexAddFixings($S14,$N14,$O14/100,TRUE,ISERROR($T14)),NA())</f>
        <v>1</v>
      </c>
      <c r="R14" s="463"/>
      <c r="S14" s="472" t="str">
        <f>PROPER(Currency)&amp;$S$5&amp;$L14</f>
        <v>UsdLiborSwapIsdaFixAm8Y</v>
      </c>
      <c r="T14" s="471">
        <f>_xll.qlIndexFixing($S14,$N14,TRUE,$P14)</f>
        <v>2.265E-2</v>
      </c>
      <c r="U14" s="471">
        <f>IF($Q14,_xll.qlIndexFixing($S14,$N14,FALSE,$P14),"-")</f>
        <v>2.265E-2</v>
      </c>
      <c r="V14" s="471">
        <f>T14-U14</f>
        <v>0</v>
      </c>
      <c r="W14" s="470">
        <f>_xll.qlIndexFixing($S14,$N14,TRUE,$U14)</f>
        <v>2.265E-2</v>
      </c>
      <c r="X14" s="502">
        <f>IF(ISERROR(V14),0,ABS(V14))</f>
        <v>0</v>
      </c>
      <c r="Y14" s="458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UsdLiborSwapIsdaFixAm9Y#0005</v>
      </c>
      <c r="G15" s="48" t="str">
        <f>_xll.ohRangeRetrieveError(F15)</f>
        <v/>
      </c>
      <c r="H15" s="47"/>
      <c r="J15" s="439"/>
      <c r="K15" s="468"/>
      <c r="L15" s="476" t="s">
        <v>101</v>
      </c>
      <c r="M15" s="471" t="str">
        <f>Currency&amp;$M$5&amp;$L15&amp;"="</f>
        <v>USDSFIX9Y=</v>
      </c>
      <c r="N15" s="475">
        <v>41570</v>
      </c>
      <c r="O15" s="474">
        <v>2.4620000000000002</v>
      </c>
      <c r="P15" s="474" t="b">
        <f>IF(AND(ISNUMBER($O15),$O15&lt;&gt;0%),TRUE,FALSE)</f>
        <v>1</v>
      </c>
      <c r="Q15" s="473" t="b">
        <f>IF($P15,_xll.qlIndexAddFixings($S15,$N15,$O15/100,TRUE,ISERROR($T15)),NA())</f>
        <v>1</v>
      </c>
      <c r="R15" s="463"/>
      <c r="S15" s="472" t="str">
        <f>PROPER(Currency)&amp;$S$5&amp;$L15</f>
        <v>UsdLiborSwapIsdaFixAm9Y</v>
      </c>
      <c r="T15" s="471">
        <f>_xll.qlIndexFixing($S15,$N15,TRUE,$P15)</f>
        <v>2.4620000000000003E-2</v>
      </c>
      <c r="U15" s="471">
        <f>IF($Q15,_xll.qlIndexFixing($S15,$N15,FALSE,$P15),"-")</f>
        <v>2.4620000000000003E-2</v>
      </c>
      <c r="V15" s="471">
        <f>T15-U15</f>
        <v>0</v>
      </c>
      <c r="W15" s="470">
        <f>_xll.qlIndexFixing($S15,$N15,TRUE,$U15)</f>
        <v>2.4620000000000003E-2</v>
      </c>
      <c r="X15" s="502">
        <f>IF(ISERROR(V15),0,ABS(V15))</f>
        <v>0</v>
      </c>
      <c r="Y15" s="458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UsdLiborSwapIsdaFixAm10Y#0005</v>
      </c>
      <c r="G16" s="48" t="str">
        <f>_xll.ohRangeRetrieveError(F16)</f>
        <v/>
      </c>
      <c r="H16" s="47"/>
      <c r="J16" s="439"/>
      <c r="K16" s="468"/>
      <c r="L16" s="476" t="s">
        <v>100</v>
      </c>
      <c r="M16" s="471" t="str">
        <f>Currency&amp;$M$5&amp;$L16&amp;"="</f>
        <v>USDSFIX10Y=</v>
      </c>
      <c r="N16" s="475">
        <v>41570</v>
      </c>
      <c r="O16" s="474">
        <v>2.63</v>
      </c>
      <c r="P16" s="474" t="b">
        <f>IF(AND(ISNUMBER($O16),$O16&lt;&gt;0%),TRUE,FALSE)</f>
        <v>1</v>
      </c>
      <c r="Q16" s="473" t="b">
        <f>IF($P16,_xll.qlIndexAddFixings($S16,$N16,$O16/100,TRUE,ISERROR($T16)),NA())</f>
        <v>1</v>
      </c>
      <c r="R16" s="463"/>
      <c r="S16" s="472" t="str">
        <f>PROPER(Currency)&amp;$S$5&amp;$L16</f>
        <v>UsdLiborSwapIsdaFixAm10Y</v>
      </c>
      <c r="T16" s="471">
        <f>_xll.qlIndexFixing($S16,$N16,TRUE,$P16)</f>
        <v>2.63E-2</v>
      </c>
      <c r="U16" s="471">
        <f>IF($Q16,_xll.qlIndexFixing($S16,$N16,FALSE,$P16),"-")</f>
        <v>2.63E-2</v>
      </c>
      <c r="V16" s="471">
        <f>T16-U16</f>
        <v>0</v>
      </c>
      <c r="W16" s="470">
        <f>_xll.qlIndexFixing($S16,$N16,TRUE,$U16)</f>
        <v>2.63E-2</v>
      </c>
      <c r="X16" s="502">
        <f>IF(ISERROR(V16),0,ABS(V16))</f>
        <v>0</v>
      </c>
      <c r="Y16" s="458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UsdLiborSwapIsdaFixAm11Y#0005</v>
      </c>
      <c r="G17" s="48" t="str">
        <f>_xll.ohRangeRetrieveError(F17)</f>
        <v/>
      </c>
      <c r="H17" s="47"/>
      <c r="J17" s="439"/>
      <c r="K17" s="468"/>
      <c r="L17" s="476" t="s">
        <v>98</v>
      </c>
      <c r="M17" s="471" t="str">
        <f>Currency&amp;$M$5&amp;$L17&amp;"="</f>
        <v>USDSFIX12Y=</v>
      </c>
      <c r="N17" s="475" t="s">
        <v>245</v>
      </c>
      <c r="O17" s="474" t="s">
        <v>245</v>
      </c>
      <c r="P17" s="474" t="b">
        <f>IF(AND(ISNUMBER($O17),$O17&lt;&gt;0%),TRUE,FALSE)</f>
        <v>0</v>
      </c>
      <c r="Q17" s="473" t="e">
        <f>IF($P17,_xll.qlIndexAddFixings($S17,$N17,$O17/100,TRUE,ISERROR($T17)),NA())</f>
        <v>#N/A</v>
      </c>
      <c r="R17" s="463"/>
      <c r="S17" s="472" t="str">
        <f>PROPER(Currency)&amp;$S$5&amp;$L17</f>
        <v>UsdLiborSwapIsdaFixAm12Y</v>
      </c>
      <c r="T17" s="471" t="e">
        <f>_xll.qlIndexFixing($S17,$N17,TRUE,$P17)</f>
        <v>#NUM!</v>
      </c>
      <c r="U17" s="471" t="e">
        <f>IF($Q17,_xll.qlIndexFixing($S17,$N17,FALSE,$P17),"-")</f>
        <v>#N/A</v>
      </c>
      <c r="V17" s="471" t="e">
        <f>T17-U17</f>
        <v>#NUM!</v>
      </c>
      <c r="W17" s="470" t="e">
        <f>_xll.qlIndexFixing($S17,$N17,TRUE,$U17)</f>
        <v>#NUM!</v>
      </c>
      <c r="X17" s="502">
        <f>IF(ISERROR(V17),0,ABS(V17))</f>
        <v>0</v>
      </c>
      <c r="Y17" s="458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UsdLiborSwapIsdaFixAm12Y#0005</v>
      </c>
      <c r="G18" s="48" t="str">
        <f>_xll.ohRangeRetrieveError(F18)</f>
        <v/>
      </c>
      <c r="H18" s="47"/>
      <c r="J18" s="439"/>
      <c r="K18" s="468"/>
      <c r="L18" s="476" t="s">
        <v>95</v>
      </c>
      <c r="M18" s="471" t="str">
        <f>Currency&amp;$M$5&amp;$L18&amp;"="</f>
        <v>USDSFIX15Y=</v>
      </c>
      <c r="N18" s="475">
        <v>41570</v>
      </c>
      <c r="O18" s="474">
        <v>3.1549999999999998</v>
      </c>
      <c r="P18" s="474" t="b">
        <f>IF(AND(ISNUMBER($O18),$O18&lt;&gt;0%),TRUE,FALSE)</f>
        <v>1</v>
      </c>
      <c r="Q18" s="473" t="b">
        <f>IF($P18,_xll.qlIndexAddFixings($S18,$N18,$O18/100,TRUE,ISERROR($T18)),NA())</f>
        <v>1</v>
      </c>
      <c r="R18" s="463"/>
      <c r="S18" s="472" t="str">
        <f>PROPER(Currency)&amp;$S$5&amp;$L18</f>
        <v>UsdLiborSwapIsdaFixAm15Y</v>
      </c>
      <c r="T18" s="471">
        <f>_xll.qlIndexFixing($S18,$N18,TRUE,$P18)</f>
        <v>3.1549999999999995E-2</v>
      </c>
      <c r="U18" s="471">
        <f>IF($Q18,_xll.qlIndexFixing($S18,$N18,FALSE,$P18),"-")</f>
        <v>3.1549999999999995E-2</v>
      </c>
      <c r="V18" s="471">
        <f>T18-U18</f>
        <v>0</v>
      </c>
      <c r="W18" s="470">
        <f>_xll.qlIndexFixing($S18,$N18,TRUE,$U18)</f>
        <v>3.1549999999999995E-2</v>
      </c>
      <c r="X18" s="502">
        <f>IF(ISERROR(V18),0,ABS(V18))</f>
        <v>0</v>
      </c>
      <c r="Y18" s="458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UsdLiborSwapIsdaFixAm13Y#0005</v>
      </c>
      <c r="G19" s="48" t="str">
        <f>_xll.ohRangeRetrieveError(F19)</f>
        <v/>
      </c>
      <c r="H19" s="47"/>
      <c r="J19" s="439"/>
      <c r="K19" s="468"/>
      <c r="L19" s="476" t="s">
        <v>90</v>
      </c>
      <c r="M19" s="471" t="str">
        <f>Currency&amp;$M$5&amp;$L19&amp;"="</f>
        <v>USDSFIX20Y=</v>
      </c>
      <c r="N19" s="475">
        <v>41570</v>
      </c>
      <c r="O19" s="474">
        <v>3.3809999999999998</v>
      </c>
      <c r="P19" s="474" t="b">
        <f>IF(AND(ISNUMBER($O19),$O19&lt;&gt;0%),TRUE,FALSE)</f>
        <v>1</v>
      </c>
      <c r="Q19" s="473" t="b">
        <f>IF($P19,_xll.qlIndexAddFixings($S19,$N19,$O19/100,TRUE,ISERROR($T19)),NA())</f>
        <v>1</v>
      </c>
      <c r="R19" s="463"/>
      <c r="S19" s="472" t="str">
        <f>PROPER(Currency)&amp;$S$5&amp;$L19</f>
        <v>UsdLiborSwapIsdaFixAm20Y</v>
      </c>
      <c r="T19" s="471">
        <f>_xll.qlIndexFixing($S19,$N19,TRUE,$P19)</f>
        <v>3.381E-2</v>
      </c>
      <c r="U19" s="471">
        <f>IF($Q19,_xll.qlIndexFixing($S19,$N19,FALSE,$P19),"-")</f>
        <v>3.381E-2</v>
      </c>
      <c r="V19" s="471">
        <f>T19-U19</f>
        <v>0</v>
      </c>
      <c r="W19" s="470">
        <f>_xll.qlIndexFixing($S19,$N19,TRUE,$U19)</f>
        <v>3.381E-2</v>
      </c>
      <c r="X19" s="502">
        <f>IF(ISERROR(V19),0,ABS(V19))</f>
        <v>0</v>
      </c>
      <c r="Y19" s="458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UsdLiborSwapIsdaFixAm14Y#0005</v>
      </c>
      <c r="G20" s="48" t="str">
        <f>_xll.ohRangeRetrieveError(F20)</f>
        <v/>
      </c>
      <c r="H20" s="47"/>
      <c r="J20" s="439"/>
      <c r="K20" s="468"/>
      <c r="L20" s="476" t="s">
        <v>85</v>
      </c>
      <c r="M20" s="471" t="str">
        <f>Currency&amp;$M$5&amp;$L20&amp;"="</f>
        <v>USDSFIX25Y=</v>
      </c>
      <c r="N20" s="475">
        <v>40340</v>
      </c>
      <c r="O20" s="474">
        <v>0</v>
      </c>
      <c r="P20" s="474" t="b">
        <f>IF(AND(ISNUMBER($O20),$O20&lt;&gt;0%),TRUE,FALSE)</f>
        <v>0</v>
      </c>
      <c r="Q20" s="473" t="e">
        <f>IF($P20,_xll.qlIndexAddFixings($S20,$N20,$O20/100,TRUE,ISERROR($T20)),NA())</f>
        <v>#N/A</v>
      </c>
      <c r="R20" s="463"/>
      <c r="S20" s="472" t="str">
        <f>PROPER(Currency)&amp;$S$5&amp;$L20</f>
        <v>UsdLiborSwapIsdaFixAm25Y</v>
      </c>
      <c r="T20" s="471" t="e">
        <f>_xll.qlIndexFixing($S20,$N20,TRUE,$P20)</f>
        <v>#NUM!</v>
      </c>
      <c r="U20" s="471" t="e">
        <f>IF($Q20,_xll.qlIndexFixing($S20,$N20,FALSE,$P20),"-")</f>
        <v>#N/A</v>
      </c>
      <c r="V20" s="471" t="e">
        <f>T20-U20</f>
        <v>#NUM!</v>
      </c>
      <c r="W20" s="470" t="e">
        <f>_xll.qlIndexFixing($S20,$N20,TRUE,$U20)</f>
        <v>#NUM!</v>
      </c>
      <c r="X20" s="502">
        <f>IF(ISERROR(V20),0,ABS(V20))</f>
        <v>0</v>
      </c>
      <c r="Y20" s="458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UsdLiborSwapIsdaFixAm15Y#0005</v>
      </c>
      <c r="G21" s="48" t="str">
        <f>_xll.ohRangeRetrieveError(F21)</f>
        <v/>
      </c>
      <c r="H21" s="47"/>
      <c r="J21" s="439"/>
      <c r="K21" s="468"/>
      <c r="L21" s="467" t="s">
        <v>80</v>
      </c>
      <c r="M21" s="461" t="str">
        <f>Currency&amp;$M$5&amp;$L21&amp;"="</f>
        <v>USDSFIX30Y=</v>
      </c>
      <c r="N21" s="466">
        <v>41570</v>
      </c>
      <c r="O21" s="465">
        <v>3.5529999999999999</v>
      </c>
      <c r="P21" s="465" t="b">
        <f>IF(AND(ISNUMBER($O21),$O21&lt;&gt;0%),TRUE,FALSE)</f>
        <v>1</v>
      </c>
      <c r="Q21" s="464" t="b">
        <f>IF($P21,_xll.qlIndexAddFixings($S21,$N21,$O21/100,TRUE,ISERROR($T21)),NA())</f>
        <v>1</v>
      </c>
      <c r="R21" s="463"/>
      <c r="S21" s="462" t="str">
        <f>PROPER(Currency)&amp;$S$5&amp;$L21</f>
        <v>UsdLiborSwapIsdaFixAm30Y</v>
      </c>
      <c r="T21" s="461">
        <f>_xll.qlIndexFixing($S21,$N21,TRUE,$P21)</f>
        <v>3.5529999999999999E-2</v>
      </c>
      <c r="U21" s="461">
        <f>IF($Q21,_xll.qlIndexFixing($S21,$N21,FALSE,$P21),"-")</f>
        <v>3.5529999999999999E-2</v>
      </c>
      <c r="V21" s="461">
        <f>T21-U21</f>
        <v>0</v>
      </c>
      <c r="W21" s="460">
        <f>_xll.qlIndexFixing($S21,$N21,TRUE,$U21)</f>
        <v>3.5529999999999999E-2</v>
      </c>
      <c r="X21" s="501">
        <f>IF(ISERROR(V21),0,ABS(V21))</f>
        <v>0</v>
      </c>
      <c r="Y21" s="458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UsdLiborSwapIsdaFixAm16Y#0005</v>
      </c>
      <c r="G22" s="48" t="str">
        <f>_xll.ohRangeRetrieveError(F22)</f>
        <v/>
      </c>
      <c r="H22" s="47"/>
      <c r="J22" s="439"/>
      <c r="K22" s="457"/>
      <c r="L22" s="455"/>
      <c r="M22" s="455"/>
      <c r="N22" s="455"/>
      <c r="O22" s="455"/>
      <c r="P22" s="455"/>
      <c r="Q22" s="455"/>
      <c r="R22" s="454"/>
      <c r="S22" s="454"/>
      <c r="T22" s="454"/>
      <c r="U22" s="454"/>
      <c r="V22" s="454"/>
      <c r="W22" s="454"/>
      <c r="X22" s="454"/>
      <c r="Y22" s="453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UsdLiborSwapIsdaFixAm17Y#0005</v>
      </c>
      <c r="G23" s="48" t="str">
        <f>_xll.ohRangeRetrieveError(F23)</f>
        <v/>
      </c>
      <c r="H23" s="47"/>
      <c r="J23" s="439"/>
      <c r="K23" s="439"/>
      <c r="L23" s="439"/>
      <c r="M23" s="439"/>
      <c r="N23" s="452"/>
      <c r="O23" s="451"/>
      <c r="P23" s="451"/>
      <c r="Q23" s="439"/>
      <c r="R23" s="439"/>
      <c r="S23" s="439"/>
      <c r="T23" s="439"/>
      <c r="U23" s="439"/>
      <c r="V23" s="439"/>
      <c r="W23" s="439"/>
      <c r="X23" s="439"/>
      <c r="Y23" s="439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UsdLiborSwapIsdaFixAm18Y#0005</v>
      </c>
      <c r="G24" s="48" t="str">
        <f>_xll.ohRangeRetrieveError(F24)</f>
        <v/>
      </c>
      <c r="H24" s="47"/>
      <c r="J24" s="439"/>
      <c r="K24" s="439"/>
      <c r="L24" s="450" t="s">
        <v>132</v>
      </c>
      <c r="M24" s="449" t="s">
        <v>324</v>
      </c>
      <c r="N24" s="448" t="s">
        <v>325</v>
      </c>
      <c r="O24" s="439"/>
      <c r="P24" s="439"/>
      <c r="Q24" s="439"/>
      <c r="R24" s="439"/>
      <c r="S24" s="439"/>
      <c r="T24" s="439"/>
      <c r="U24" s="439"/>
      <c r="V24" s="439"/>
      <c r="W24" s="439"/>
      <c r="X24" s="439"/>
      <c r="Y24" s="439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UsdLiborSwapIsdaFixAm19Y#0005</v>
      </c>
      <c r="G25" s="48" t="str">
        <f>_xll.ohRangeRetrieveError(F25)</f>
        <v/>
      </c>
      <c r="H25" s="47"/>
      <c r="J25" s="439"/>
      <c r="K25" s="439"/>
      <c r="L25" s="445" t="s">
        <v>131</v>
      </c>
      <c r="M25" s="444" t="s">
        <v>327</v>
      </c>
      <c r="N25" s="443" t="s">
        <v>326</v>
      </c>
      <c r="O25" s="439"/>
      <c r="P25" s="439"/>
      <c r="Q25" s="439"/>
      <c r="R25" s="439"/>
      <c r="S25" s="439"/>
      <c r="T25" s="439"/>
      <c r="U25" s="439"/>
      <c r="V25" s="439"/>
      <c r="W25" s="439"/>
      <c r="X25" s="439"/>
      <c r="Y25" s="439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UsdLiborSwapIsdaFixAm20Y#0005</v>
      </c>
      <c r="G26" s="48" t="str">
        <f>_xll.ohRangeRetrieveError(F26)</f>
        <v/>
      </c>
      <c r="H26" s="47"/>
      <c r="J26" s="439"/>
      <c r="K26" s="439"/>
      <c r="L26" s="445" t="s">
        <v>315</v>
      </c>
      <c r="M26" s="444" t="s">
        <v>324</v>
      </c>
      <c r="N26" s="443" t="s">
        <v>323</v>
      </c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UsdLiborSwapIsdaFixAm21Y#0005</v>
      </c>
      <c r="G27" s="48" t="str">
        <f>_xll.ohRangeRetrieveError(F27)</f>
        <v/>
      </c>
      <c r="H27" s="47"/>
      <c r="J27" s="439"/>
      <c r="K27" s="439"/>
      <c r="L27" s="445" t="s">
        <v>314</v>
      </c>
      <c r="M27" s="444" t="s">
        <v>324</v>
      </c>
      <c r="N27" s="443" t="s">
        <v>325</v>
      </c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UsdLiborSwapIsdaFixAm22Y#0005</v>
      </c>
      <c r="G28" s="48" t="str">
        <f>_xll.ohRangeRetrieveError(F28)</f>
        <v/>
      </c>
      <c r="H28" s="47"/>
      <c r="J28" s="439"/>
      <c r="K28" s="439"/>
      <c r="L28" s="445" t="s">
        <v>128</v>
      </c>
      <c r="M28" s="444" t="s">
        <v>324</v>
      </c>
      <c r="N28" s="443" t="s">
        <v>325</v>
      </c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UsdLiborSwapIsdaFixAm23Y#0005</v>
      </c>
      <c r="G29" s="48" t="str">
        <f>_xll.ohRangeRetrieveError(F29)</f>
        <v/>
      </c>
      <c r="H29" s="47"/>
      <c r="J29" s="439"/>
      <c r="K29" s="439"/>
      <c r="L29" s="445" t="s">
        <v>127</v>
      </c>
      <c r="M29" s="444" t="s">
        <v>324</v>
      </c>
      <c r="N29" s="443" t="s">
        <v>323</v>
      </c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UsdLiborSwapIsdaFixAm24Y#0005</v>
      </c>
      <c r="G30" s="48" t="str">
        <f>_xll.ohRangeRetrieveError(F30)</f>
        <v/>
      </c>
      <c r="H30" s="47"/>
      <c r="J30" s="439"/>
      <c r="K30" s="439"/>
      <c r="L30" s="442" t="s">
        <v>122</v>
      </c>
      <c r="M30" s="500" t="s">
        <v>324</v>
      </c>
      <c r="N30" s="499" t="s">
        <v>323</v>
      </c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UsdLiborSwapIsdaFixAm25Y#0005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1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1"/>
        <v>UsdLiborSwapIsdaFixAm34Y</v>
      </c>
      <c r="F40" s="49" t="str">
        <f>_xll.qlLiborSwap($E40,Currency,FixingType,$C40,Currency&amp;$D40,Discounting,Permanent,Trigger,ObjectOverwrite)</f>
        <v>UsdLiborSwapIsdaFixAm34Y#0005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1"/>
        <v>UsdLiborSwapIsdaFixAm35Y</v>
      </c>
      <c r="F41" s="49" t="str">
        <f>_xll.qlLiborSwap($E41,Currency,FixingType,$C41,Currency&amp;$D41,Discounting,Permanent,Trigger,ObjectOverwrite)</f>
        <v>UsdLiborSwapIsdaFixAm35Y#0005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1"/>
        <v>UsdLiborSwapIsdaFixAm36Y</v>
      </c>
      <c r="F42" s="49" t="str">
        <f>_xll.qlLiborSwap($E42,Currency,FixingType,$C42,Currency&amp;$D42,Discounting,Permanent,Trigger,ObjectOverwrite)</f>
        <v>UsdLiborSwapIsdaFixAm36Y#0005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1"/>
        <v>UsdLiborSwapIsdaFixAm37Y</v>
      </c>
      <c r="F43" s="49" t="str">
        <f>_xll.qlLiborSwap($E43,Currency,FixingType,$C43,Currency&amp;$D43,Discounting,Permanent,Trigger,ObjectOverwrite)</f>
        <v>UsdLiborSwapIsdaFixAm37Y#0005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1"/>
        <v>UsdLiborSwapIsdaFixAm38Y</v>
      </c>
      <c r="F44" s="49" t="str">
        <f>_xll.qlLiborSwap($E44,Currency,FixingType,$C44,Currency&amp;$D44,Discounting,Permanent,Trigger,ObjectOverwrite)</f>
        <v>UsdLiborSwapIsdaFixAm38Y#0005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1"/>
        <v>UsdLiborSwapIsdaFixAm39Y</v>
      </c>
      <c r="F45" s="49" t="str">
        <f>_xll.qlLiborSwap($E45,Currency,FixingType,$C45,Currency&amp;$D45,Discounting,Permanent,Trigger,ObjectOverwrite)</f>
        <v>UsdLiborSwapIsdaFixAm39Y#0005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1"/>
        <v>UsdLiborSwapIsdaFixAm40Y</v>
      </c>
      <c r="F46" s="49" t="str">
        <f>_xll.qlLiborSwap($E46,Currency,FixingType,$C46,Currency&amp;$D46,Discounting,Permanent,Trigger,ObjectOverwrite)</f>
        <v>UsdLiborSwapIsdaFixAm40Y#0005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1"/>
        <v>UsdLiborSwapIsdaFixAm41Y</v>
      </c>
      <c r="F47" s="49" t="str">
        <f>_xll.qlLiborSwap($E47,Currency,FixingType,$C47,Currency&amp;$D47,Discounting,Permanent,Trigger,ObjectOverwrite)</f>
        <v>UsdLiborSwapIsdaFixAm41Y#0005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1"/>
        <v>UsdLiborSwapIsdaFixAm42Y</v>
      </c>
      <c r="F48" s="49" t="str">
        <f>_xll.qlLiborSwap($E48,Currency,FixingType,$C48,Currency&amp;$D48,Discounting,Permanent,Trigger,ObjectOverwrite)</f>
        <v>UsdLiborSwapIsdaFixAm42Y#0005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1"/>
        <v>UsdLiborSwapIsdaFixAm43Y</v>
      </c>
      <c r="F49" s="49" t="str">
        <f>_xll.qlLiborSwap($E49,Currency,FixingType,$C49,Currency&amp;$D49,Discounting,Permanent,Trigger,ObjectOverwrite)</f>
        <v>UsdLiborSwapIsdaFixAm43Y#0005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1"/>
        <v>UsdLiborSwapIsdaFixAm44Y</v>
      </c>
      <c r="F50" s="49" t="str">
        <f>_xll.qlLiborSwap($E50,Currency,FixingType,$C50,Currency&amp;$D50,Discounting,Permanent,Trigger,ObjectOverwrite)</f>
        <v>UsdLiborSwapIsdaFixAm44Y#0005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1"/>
        <v>UsdLiborSwapIsdaFixAm45Y</v>
      </c>
      <c r="F51" s="49" t="str">
        <f>_xll.qlLiborSwap($E51,Currency,FixingType,$C51,Currency&amp;$D51,Discounting,Permanent,Trigger,ObjectOverwrite)</f>
        <v>UsdLiborSwapIsdaFixAm45Y#0005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1"/>
        <v>UsdLiborSwapIsdaFixAm46Y</v>
      </c>
      <c r="F52" s="49" t="str">
        <f>_xll.qlLiborSwap($E52,Currency,FixingType,$C52,Currency&amp;$D52,Discounting,Permanent,Trigger,ObjectOverwrite)</f>
        <v>UsdLiborSwapIsdaFixAm46Y#0005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1"/>
        <v>UsdLiborSwapIsdaFixAm47Y</v>
      </c>
      <c r="F53" s="49" t="str">
        <f>_xll.qlLiborSwap($E53,Currency,FixingType,$C53,Currency&amp;$D53,Discounting,Permanent,Trigger,ObjectOverwrite)</f>
        <v>UsdLiborSwapIsdaFixAm47Y#0005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1"/>
        <v>UsdLiborSwapIsdaFixAm48Y</v>
      </c>
      <c r="F54" s="49" t="str">
        <f>_xll.qlLiborSwap($E54,Currency,FixingType,$C54,Currency&amp;$D54,Discounting,Permanent,Trigger,ObjectOverwrite)</f>
        <v>UsdLiborSwapIsdaFixAm48Y#0005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1"/>
        <v>UsdLiborSwapIsdaFixAm49Y</v>
      </c>
      <c r="F55" s="49" t="str">
        <f>_xll.qlLiborSwap($E55,Currency,FixingType,$C55,Currency&amp;$D55,Discounting,Permanent,Trigger,ObjectOverwrite)</f>
        <v>UsdLiborSwapIsdaFixAm49Y#0005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1"/>
        <v>UsdLiborSwapIsdaFixAm50Y</v>
      </c>
      <c r="F56" s="49" t="str">
        <f>_xll.qlLiborSwap($E56,Currency,FixingType,$C56,Currency&amp;$D56,Discounting,Permanent,Trigger,ObjectOverwrite)</f>
        <v>UsdLiborSwapIsdaFixAm50Y#0005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1"/>
        <v>UsdLiborSwapIsdaFixAm51Y</v>
      </c>
      <c r="F57" s="49" t="str">
        <f>_xll.qlLiborSwap($E57,Currency,FixingType,$C57,Currency&amp;$D57,Discounting,Permanent,Trigger,ObjectOverwrite)</f>
        <v>UsdLiborSwapIsdaFixAm51Y#0005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1"/>
        <v>UsdLiborSwapIsdaFixAm52Y</v>
      </c>
      <c r="F58" s="49" t="str">
        <f>_xll.qlLiborSwap($E58,Currency,FixingType,$C58,Currency&amp;$D58,Discounting,Permanent,Trigger,ObjectOverwrite)</f>
        <v>UsdLiborSwapIsdaFixAm52Y#0005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1"/>
        <v>UsdLiborSwapIsdaFixAm53Y</v>
      </c>
      <c r="F59" s="49" t="str">
        <f>_xll.qlLiborSwap($E59,Currency,FixingType,$C59,Currency&amp;$D59,Discounting,Permanent,Trigger,ObjectOverwrite)</f>
        <v>UsdLiborSwapIsdaFixAm53Y#0005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1"/>
        <v>UsdLiborSwapIsdaFixAm54Y</v>
      </c>
      <c r="F60" s="49" t="str">
        <f>_xll.qlLiborSwap($E60,Currency,FixingType,$C60,Currency&amp;$D60,Discounting,Permanent,Trigger,ObjectOverwrite)</f>
        <v>UsdLiborSwapIsdaFixAm54Y#0005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1"/>
        <v>UsdLiborSwapIsdaFixAm55Y</v>
      </c>
      <c r="F61" s="49" t="str">
        <f>_xll.qlLiborSwap($E61,Currency,FixingType,$C61,Currency&amp;$D61,Discounting,Permanent,Trigger,ObjectOverwrite)</f>
        <v>UsdLiborSwapIsdaFixAm55Y#0005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1"/>
        <v>UsdLiborSwapIsdaFixAm56Y</v>
      </c>
      <c r="F62" s="49" t="str">
        <f>_xll.qlLiborSwap($E62,Currency,FixingType,$C62,Currency&amp;$D62,Discounting,Permanent,Trigger,ObjectOverwrite)</f>
        <v>UsdLiborSwapIsdaFixAm56Y#0005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1"/>
        <v>UsdLiborSwapIsdaFixAm57Y</v>
      </c>
      <c r="F63" s="49" t="str">
        <f>_xll.qlLiborSwap($E63,Currency,FixingType,$C63,Currency&amp;$D63,Discounting,Permanent,Trigger,ObjectOverwrite)</f>
        <v>UsdLiborSwapIsdaFixAm57Y#0005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1"/>
        <v>UsdLiborSwapIsdaFixAm58Y</v>
      </c>
      <c r="F64" s="49" t="str">
        <f>_xll.qlLiborSwap($E64,Currency,FixingType,$C64,Currency&amp;$D64,Discounting,Permanent,Trigger,ObjectOverwrite)</f>
        <v>UsdLiborSwapIsdaFixAm58Y#0005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1"/>
        <v>UsdLiborSwapIsdaFixAm59Y</v>
      </c>
      <c r="F65" s="49" t="str">
        <f>_xll.qlLiborSwap($E65,Currency,FixingType,$C65,Currency&amp;$D65,Discounting,Permanent,Trigger,ObjectOverwrite)</f>
        <v>UsdLiborSwapIsdaFixAm59Y#0005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1"/>
        <v>UsdLiborSwapIsdaFixAm60Y</v>
      </c>
      <c r="F66" s="49" t="str">
        <f>_xll.qlLiborSwap($E66,Currency,FixingType,$C66,Currency&amp;$D66,Discounting,Permanent,Trigger,ObjectOverwrite)</f>
        <v>UsdLiborSwapIsdaFixAm60Y#0005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13" t="s">
        <v>340</v>
      </c>
      <c r="K4" s="439"/>
      <c r="L4" s="439"/>
      <c r="M4" s="444"/>
      <c r="N4" s="452"/>
      <c r="O4" s="498"/>
      <c r="P4" s="498"/>
      <c r="Q4" s="439"/>
      <c r="R4" s="444"/>
      <c r="S4" s="439"/>
      <c r="T4" s="439"/>
      <c r="U4" s="439"/>
      <c r="V4" s="439"/>
      <c r="W4" s="439"/>
      <c r="X4" s="439"/>
      <c r="Y4" s="43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9"/>
      <c r="K5" s="497"/>
      <c r="L5" s="491"/>
      <c r="M5" s="496" t="str">
        <f>VLOOKUP(Currency,Traits,2,FALSE)</f>
        <v>SFIXP</v>
      </c>
      <c r="N5" s="495"/>
      <c r="O5" s="494"/>
      <c r="P5" s="494"/>
      <c r="Q5" s="491"/>
      <c r="R5" s="491"/>
      <c r="S5" s="493" t="str">
        <f>VLOOKUP(Currency,Traits,3,FALSE)</f>
        <v>LiborSwapIsdaFixPm</v>
      </c>
      <c r="T5" s="491"/>
      <c r="U5" s="491"/>
      <c r="V5" s="492">
        <f>MAX(X7:X22)</f>
        <v>0</v>
      </c>
      <c r="W5" s="491"/>
      <c r="X5" s="491"/>
      <c r="Y5" s="49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9"/>
      <c r="K6" s="468"/>
      <c r="L6" s="488" t="s">
        <v>47</v>
      </c>
      <c r="M6" s="487" t="e">
        <f ca="1">_xll.RData(M7:M21,N6:O6,"RTFEED:IDN",,,N7)</f>
        <v>#NAME?</v>
      </c>
      <c r="N6" s="487" t="s">
        <v>322</v>
      </c>
      <c r="O6" s="487" t="s">
        <v>328</v>
      </c>
      <c r="P6" s="487" t="s">
        <v>321</v>
      </c>
      <c r="Q6" s="486" t="s">
        <v>320</v>
      </c>
      <c r="R6" s="489"/>
      <c r="S6" s="488" t="s">
        <v>262</v>
      </c>
      <c r="T6" s="487" t="s">
        <v>319</v>
      </c>
      <c r="U6" s="487" t="s">
        <v>318</v>
      </c>
      <c r="V6" s="487" t="s">
        <v>317</v>
      </c>
      <c r="W6" s="486" t="s">
        <v>316</v>
      </c>
      <c r="X6" s="485"/>
      <c r="Y6" s="458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UsdLiborSwapIsdaFixPm1Y#0004</v>
      </c>
      <c r="G7" s="48" t="str">
        <f>_xll.ohRangeRetrieveError(F7)</f>
        <v/>
      </c>
      <c r="H7" s="47"/>
      <c r="J7" s="439"/>
      <c r="K7" s="468"/>
      <c r="L7" s="484" t="s">
        <v>29</v>
      </c>
      <c r="M7" s="479" t="str">
        <f>Currency&amp;$M$5&amp;$L7&amp;"="</f>
        <v>USDSFIXP1Y=</v>
      </c>
      <c r="N7" s="483">
        <v>41570</v>
      </c>
      <c r="O7" s="482">
        <v>0</v>
      </c>
      <c r="P7" s="482" t="b">
        <f>IF(AND(ISNUMBER($O7),$O7&lt;&gt;0%),TRUE,FALSE)</f>
        <v>0</v>
      </c>
      <c r="Q7" s="481" t="e">
        <f>IF($P7,_xll.qlIndexAddFixings($S7,$N7,$O7/100,TRUE,ISERROR($T7)),NA())</f>
        <v>#N/A</v>
      </c>
      <c r="R7" s="463"/>
      <c r="S7" s="480" t="str">
        <f>PROPER(Currency)&amp;$S$5&amp;$L7</f>
        <v>UsdLiborSwapIsdaFixPm1Y</v>
      </c>
      <c r="T7" s="479" t="e">
        <f>_xll.qlIndexFixing($S7,$N7,TRUE,$P7)</f>
        <v>#NUM!</v>
      </c>
      <c r="U7" s="479" t="e">
        <f>IF($Q7,_xll.qlIndexFixing($S7,$N7,FALSE,$P7),"-")</f>
        <v>#N/A</v>
      </c>
      <c r="V7" s="479" t="e">
        <f>T7-U7</f>
        <v>#NUM!</v>
      </c>
      <c r="W7" s="478" t="e">
        <f>_xll.qlIndexFixing($S7,$N7,TRUE,$U7)</f>
        <v>#NUM!</v>
      </c>
      <c r="X7" s="502">
        <f>IF(ISERROR(V7),0,ABS(V7))</f>
        <v>0</v>
      </c>
      <c r="Y7" s="458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UsdLiborSwapIsdaFixPm2Y#0004</v>
      </c>
      <c r="G8" s="48" t="str">
        <f>_xll.ohRangeRetrieveError(F8)</f>
        <v/>
      </c>
      <c r="H8" s="47"/>
      <c r="J8" s="439"/>
      <c r="K8" s="468"/>
      <c r="L8" s="476" t="s">
        <v>108</v>
      </c>
      <c r="M8" s="471" t="str">
        <f>Currency&amp;$M$5&amp;$L8&amp;"="</f>
        <v>USDSFIXP2Y=</v>
      </c>
      <c r="N8" s="475" t="s">
        <v>245</v>
      </c>
      <c r="O8" s="474" t="s">
        <v>245</v>
      </c>
      <c r="P8" s="474" t="b">
        <f>IF(AND(ISNUMBER($O8),$O8&lt;&gt;0%),TRUE,FALSE)</f>
        <v>0</v>
      </c>
      <c r="Q8" s="473" t="e">
        <f>IF($P8,_xll.qlIndexAddFixings($S8,$N8,$O8/100,TRUE,ISERROR($T8)),NA())</f>
        <v>#N/A</v>
      </c>
      <c r="R8" s="463"/>
      <c r="S8" s="472" t="str">
        <f>PROPER(Currency)&amp;$S$5&amp;$L8</f>
        <v>UsdLiborSwapIsdaFixPm2Y</v>
      </c>
      <c r="T8" s="471" t="e">
        <f>_xll.qlIndexFixing($S8,$N8,TRUE,$P8)</f>
        <v>#NUM!</v>
      </c>
      <c r="U8" s="471" t="e">
        <f>IF($Q8,_xll.qlIndexFixing($S8,$N8,FALSE,$P8),"-")</f>
        <v>#N/A</v>
      </c>
      <c r="V8" s="471" t="e">
        <f>T8-U8</f>
        <v>#NUM!</v>
      </c>
      <c r="W8" s="470" t="e">
        <f>_xll.qlIndexFixing($S8,$N8,TRUE,$U8)</f>
        <v>#NUM!</v>
      </c>
      <c r="X8" s="502">
        <f>IF(ISERROR(V8),0,ABS(V8))</f>
        <v>0</v>
      </c>
      <c r="Y8" s="458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UsdLiborSwapIsdaFixPm3Y#0004</v>
      </c>
      <c r="G9" s="48" t="str">
        <f>_xll.ohRangeRetrieveError(F9)</f>
        <v/>
      </c>
      <c r="H9" s="47"/>
      <c r="J9" s="439"/>
      <c r="K9" s="468"/>
      <c r="L9" s="476" t="s">
        <v>107</v>
      </c>
      <c r="M9" s="471" t="str">
        <f>Currency&amp;$M$5&amp;$L9&amp;"="</f>
        <v>USDSFIXP3Y=</v>
      </c>
      <c r="N9" s="475" t="s">
        <v>245</v>
      </c>
      <c r="O9" s="474" t="s">
        <v>245</v>
      </c>
      <c r="P9" s="474" t="b">
        <f>IF(AND(ISNUMBER($O9),$O9&lt;&gt;0%),TRUE,FALSE)</f>
        <v>0</v>
      </c>
      <c r="Q9" s="473" t="e">
        <f>IF($P9,_xll.qlIndexAddFixings($S9,$N9,$O9/100,TRUE,ISERROR($T9)),NA())</f>
        <v>#N/A</v>
      </c>
      <c r="R9" s="463"/>
      <c r="S9" s="472" t="str">
        <f>PROPER(Currency)&amp;$S$5&amp;$L9</f>
        <v>UsdLiborSwapIsdaFixPm3Y</v>
      </c>
      <c r="T9" s="471" t="e">
        <f>_xll.qlIndexFixing($S9,$N9,TRUE,$P9)</f>
        <v>#NUM!</v>
      </c>
      <c r="U9" s="471" t="e">
        <f>IF($Q9,_xll.qlIndexFixing($S9,$N9,FALSE,$P9),"-")</f>
        <v>#N/A</v>
      </c>
      <c r="V9" s="471" t="e">
        <f>T9-U9</f>
        <v>#NUM!</v>
      </c>
      <c r="W9" s="470" t="e">
        <f>_xll.qlIndexFixing($S9,$N9,TRUE,$U9)</f>
        <v>#NUM!</v>
      </c>
      <c r="X9" s="502">
        <f>IF(ISERROR(V9),0,ABS(V9))</f>
        <v>0</v>
      </c>
      <c r="Y9" s="458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UsdLiborSwapIsdaFixPm4Y#0004</v>
      </c>
      <c r="G10" s="48" t="str">
        <f>_xll.ohRangeRetrieveError(F10)</f>
        <v/>
      </c>
      <c r="H10" s="47"/>
      <c r="J10" s="439"/>
      <c r="K10" s="468"/>
      <c r="L10" s="476" t="s">
        <v>106</v>
      </c>
      <c r="M10" s="471" t="str">
        <f>Currency&amp;$M$5&amp;$L10&amp;"="</f>
        <v>USDSFIXP4Y=</v>
      </c>
      <c r="N10" s="475" t="s">
        <v>245</v>
      </c>
      <c r="O10" s="474" t="s">
        <v>245</v>
      </c>
      <c r="P10" s="474" t="b">
        <f>IF(AND(ISNUMBER($O10),$O10&lt;&gt;0%),TRUE,FALSE)</f>
        <v>0</v>
      </c>
      <c r="Q10" s="473" t="e">
        <f>IF($P10,_xll.qlIndexAddFixings($S10,$N10,$O10/100,TRUE,ISERROR($T10)),NA())</f>
        <v>#N/A</v>
      </c>
      <c r="R10" s="463"/>
      <c r="S10" s="472" t="str">
        <f>PROPER(Currency)&amp;$S$5&amp;$L10</f>
        <v>UsdLiborSwapIsdaFixPm4Y</v>
      </c>
      <c r="T10" s="471" t="e">
        <f>_xll.qlIndexFixing($S10,$N10,TRUE,$P10)</f>
        <v>#NUM!</v>
      </c>
      <c r="U10" s="471" t="e">
        <f>IF($Q10,_xll.qlIndexFixing($S10,$N10,FALSE,$P10),"-")</f>
        <v>#N/A</v>
      </c>
      <c r="V10" s="471" t="e">
        <f>T10-U10</f>
        <v>#NUM!</v>
      </c>
      <c r="W10" s="470" t="e">
        <f>_xll.qlIndexFixing($S10,$N10,TRUE,$U10)</f>
        <v>#NUM!</v>
      </c>
      <c r="X10" s="502">
        <f>IF(ISERROR(V10),0,ABS(V10))</f>
        <v>0</v>
      </c>
      <c r="Y10" s="458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UsdLiborSwapIsdaFixPm5Y#0004</v>
      </c>
      <c r="G11" s="48" t="str">
        <f>_xll.ohRangeRetrieveError(F11)</f>
        <v/>
      </c>
      <c r="H11" s="47"/>
      <c r="J11" s="439"/>
      <c r="K11" s="468"/>
      <c r="L11" s="476" t="s">
        <v>105</v>
      </c>
      <c r="M11" s="471" t="str">
        <f>Currency&amp;$M$5&amp;$L11&amp;"="</f>
        <v>USDSFIXP5Y=</v>
      </c>
      <c r="N11" s="475" t="s">
        <v>245</v>
      </c>
      <c r="O11" s="474" t="s">
        <v>245</v>
      </c>
      <c r="P11" s="474" t="b">
        <f>IF(AND(ISNUMBER($O11),$O11&lt;&gt;0%),TRUE,FALSE)</f>
        <v>0</v>
      </c>
      <c r="Q11" s="473" t="e">
        <f>IF($P11,_xll.qlIndexAddFixings($S11,$N11,$O11/100,TRUE,ISERROR($T11)),NA())</f>
        <v>#N/A</v>
      </c>
      <c r="R11" s="463"/>
      <c r="S11" s="472" t="str">
        <f>PROPER(Currency)&amp;$S$5&amp;$L11</f>
        <v>UsdLiborSwapIsdaFixPm5Y</v>
      </c>
      <c r="T11" s="471" t="e">
        <f>_xll.qlIndexFixing($S11,$N11,TRUE,$P11)</f>
        <v>#NUM!</v>
      </c>
      <c r="U11" s="471" t="e">
        <f>IF($Q11,_xll.qlIndexFixing($S11,$N11,FALSE,$P11),"-")</f>
        <v>#N/A</v>
      </c>
      <c r="V11" s="471" t="e">
        <f>T11-U11</f>
        <v>#NUM!</v>
      </c>
      <c r="W11" s="470" t="e">
        <f>_xll.qlIndexFixing($S11,$N11,TRUE,$U11)</f>
        <v>#NUM!</v>
      </c>
      <c r="X11" s="502">
        <f>IF(ISERROR(V11),0,ABS(V11))</f>
        <v>0</v>
      </c>
      <c r="Y11" s="458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UsdLiborSwapIsdaFixPm6Y#0004</v>
      </c>
      <c r="G12" s="48" t="str">
        <f>_xll.ohRangeRetrieveError(F12)</f>
        <v/>
      </c>
      <c r="H12" s="47"/>
      <c r="J12" s="439"/>
      <c r="K12" s="468"/>
      <c r="L12" s="476" t="s">
        <v>104</v>
      </c>
      <c r="M12" s="471" t="str">
        <f>Currency&amp;$M$5&amp;$L12&amp;"="</f>
        <v>USDSFIXP6Y=</v>
      </c>
      <c r="N12" s="475" t="s">
        <v>245</v>
      </c>
      <c r="O12" s="474" t="s">
        <v>245</v>
      </c>
      <c r="P12" s="474" t="b">
        <f>IF(AND(ISNUMBER($O12),$O12&lt;&gt;0%),TRUE,FALSE)</f>
        <v>0</v>
      </c>
      <c r="Q12" s="473" t="e">
        <f>IF($P12,_xll.qlIndexAddFixings($S12,$N12,$O12/100,TRUE,ISERROR($T12)),NA())</f>
        <v>#N/A</v>
      </c>
      <c r="R12" s="463"/>
      <c r="S12" s="472" t="str">
        <f>PROPER(Currency)&amp;$S$5&amp;$L12</f>
        <v>UsdLiborSwapIsdaFixPm6Y</v>
      </c>
      <c r="T12" s="471" t="e">
        <f>_xll.qlIndexFixing($S12,$N12,TRUE,$P12)</f>
        <v>#NUM!</v>
      </c>
      <c r="U12" s="471" t="e">
        <f>IF($Q12,_xll.qlIndexFixing($S12,$N12,FALSE,$P12),"-")</f>
        <v>#N/A</v>
      </c>
      <c r="V12" s="471" t="e">
        <f>T12-U12</f>
        <v>#NUM!</v>
      </c>
      <c r="W12" s="470" t="e">
        <f>_xll.qlIndexFixing($S12,$N12,TRUE,$U12)</f>
        <v>#NUM!</v>
      </c>
      <c r="X12" s="502">
        <f>IF(ISERROR(V12),0,ABS(V12))</f>
        <v>0</v>
      </c>
      <c r="Y12" s="458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UsdLiborSwapIsdaFixPm7Y#0004</v>
      </c>
      <c r="G13" s="48" t="str">
        <f>_xll.ohRangeRetrieveError(F13)</f>
        <v/>
      </c>
      <c r="H13" s="47"/>
      <c r="J13" s="439"/>
      <c r="K13" s="468"/>
      <c r="L13" s="476" t="s">
        <v>103</v>
      </c>
      <c r="M13" s="471" t="str">
        <f>Currency&amp;$M$5&amp;$L13&amp;"="</f>
        <v>USDSFIXP7Y=</v>
      </c>
      <c r="N13" s="475" t="s">
        <v>245</v>
      </c>
      <c r="O13" s="474" t="s">
        <v>245</v>
      </c>
      <c r="P13" s="474" t="b">
        <f>IF(AND(ISNUMBER($O13),$O13&lt;&gt;0%),TRUE,FALSE)</f>
        <v>0</v>
      </c>
      <c r="Q13" s="473" t="e">
        <f>IF($P13,_xll.qlIndexAddFixings($S13,$N13,$O13/100,TRUE,ISERROR($T13)),NA())</f>
        <v>#N/A</v>
      </c>
      <c r="R13" s="463"/>
      <c r="S13" s="472" t="str">
        <f>PROPER(Currency)&amp;$S$5&amp;$L13</f>
        <v>UsdLiborSwapIsdaFixPm7Y</v>
      </c>
      <c r="T13" s="471" t="e">
        <f>_xll.qlIndexFixing($S13,$N13,TRUE,$P13)</f>
        <v>#NUM!</v>
      </c>
      <c r="U13" s="471" t="e">
        <f>IF($Q13,_xll.qlIndexFixing($S13,$N13,FALSE,$P13),"-")</f>
        <v>#N/A</v>
      </c>
      <c r="V13" s="471" t="e">
        <f>T13-U13</f>
        <v>#NUM!</v>
      </c>
      <c r="W13" s="470" t="e">
        <f>_xll.qlIndexFixing($S13,$N13,TRUE,$U13)</f>
        <v>#NUM!</v>
      </c>
      <c r="X13" s="502">
        <f>IF(ISERROR(V13),0,ABS(V13))</f>
        <v>0</v>
      </c>
      <c r="Y13" s="458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UsdLiborSwapIsdaFixPm8Y#0004</v>
      </c>
      <c r="G14" s="48" t="str">
        <f>_xll.ohRangeRetrieveError(F14)</f>
        <v/>
      </c>
      <c r="H14" s="47"/>
      <c r="J14" s="439"/>
      <c r="K14" s="468"/>
      <c r="L14" s="476" t="s">
        <v>102</v>
      </c>
      <c r="M14" s="471" t="str">
        <f>Currency&amp;$M$5&amp;$L14&amp;"="</f>
        <v>USDSFIXP8Y=</v>
      </c>
      <c r="N14" s="475" t="s">
        <v>245</v>
      </c>
      <c r="O14" s="474" t="s">
        <v>245</v>
      </c>
      <c r="P14" s="474" t="b">
        <f>IF(AND(ISNUMBER($O14),$O14&lt;&gt;0%),TRUE,FALSE)</f>
        <v>0</v>
      </c>
      <c r="Q14" s="473" t="e">
        <f>IF($P14,_xll.qlIndexAddFixings($S14,$N14,$O14/100,TRUE,ISERROR($T14)),NA())</f>
        <v>#N/A</v>
      </c>
      <c r="R14" s="463"/>
      <c r="S14" s="472" t="str">
        <f>PROPER(Currency)&amp;$S$5&amp;$L14</f>
        <v>UsdLiborSwapIsdaFixPm8Y</v>
      </c>
      <c r="T14" s="471" t="e">
        <f>_xll.qlIndexFixing($S14,$N14,TRUE,$P14)</f>
        <v>#NUM!</v>
      </c>
      <c r="U14" s="471" t="e">
        <f>IF($Q14,_xll.qlIndexFixing($S14,$N14,FALSE,$P14),"-")</f>
        <v>#N/A</v>
      </c>
      <c r="V14" s="471" t="e">
        <f>T14-U14</f>
        <v>#NUM!</v>
      </c>
      <c r="W14" s="470" t="e">
        <f>_xll.qlIndexFixing($S14,$N14,TRUE,$U14)</f>
        <v>#NUM!</v>
      </c>
      <c r="X14" s="502">
        <f>IF(ISERROR(V14),0,ABS(V14))</f>
        <v>0</v>
      </c>
      <c r="Y14" s="458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UsdLiborSwapIsdaFixPm9Y#0004</v>
      </c>
      <c r="G15" s="48" t="str">
        <f>_xll.ohRangeRetrieveError(F15)</f>
        <v/>
      </c>
      <c r="H15" s="47"/>
      <c r="J15" s="439"/>
      <c r="K15" s="468"/>
      <c r="L15" s="476" t="s">
        <v>101</v>
      </c>
      <c r="M15" s="471" t="str">
        <f>Currency&amp;$M$5&amp;$L15&amp;"="</f>
        <v>USDSFIXP9Y=</v>
      </c>
      <c r="N15" s="475" t="s">
        <v>245</v>
      </c>
      <c r="O15" s="474" t="s">
        <v>245</v>
      </c>
      <c r="P15" s="474" t="b">
        <f>IF(AND(ISNUMBER($O15),$O15&lt;&gt;0%),TRUE,FALSE)</f>
        <v>0</v>
      </c>
      <c r="Q15" s="473" t="e">
        <f>IF($P15,_xll.qlIndexAddFixings($S15,$N15,$O15/100,TRUE,ISERROR($T15)),NA())</f>
        <v>#N/A</v>
      </c>
      <c r="R15" s="463"/>
      <c r="S15" s="472" t="str">
        <f>PROPER(Currency)&amp;$S$5&amp;$L15</f>
        <v>UsdLiborSwapIsdaFixPm9Y</v>
      </c>
      <c r="T15" s="471" t="e">
        <f>_xll.qlIndexFixing($S15,$N15,TRUE,$P15)</f>
        <v>#NUM!</v>
      </c>
      <c r="U15" s="471" t="e">
        <f>IF($Q15,_xll.qlIndexFixing($S15,$N15,FALSE,$P15),"-")</f>
        <v>#N/A</v>
      </c>
      <c r="V15" s="471" t="e">
        <f>T15-U15</f>
        <v>#NUM!</v>
      </c>
      <c r="W15" s="470" t="e">
        <f>_xll.qlIndexFixing($S15,$N15,TRUE,$U15)</f>
        <v>#NUM!</v>
      </c>
      <c r="X15" s="502">
        <f>IF(ISERROR(V15),0,ABS(V15))</f>
        <v>0</v>
      </c>
      <c r="Y15" s="458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UsdLiborSwapIsdaFixPm10Y#0004</v>
      </c>
      <c r="G16" s="48" t="str">
        <f>_xll.ohRangeRetrieveError(F16)</f>
        <v/>
      </c>
      <c r="H16" s="47"/>
      <c r="J16" s="439"/>
      <c r="K16" s="468"/>
      <c r="L16" s="476" t="s">
        <v>100</v>
      </c>
      <c r="M16" s="471" t="str">
        <f>Currency&amp;$M$5&amp;$L16&amp;"="</f>
        <v>USDSFIXP10Y=</v>
      </c>
      <c r="N16" s="475" t="s">
        <v>245</v>
      </c>
      <c r="O16" s="474" t="s">
        <v>245</v>
      </c>
      <c r="P16" s="474" t="b">
        <f>IF(AND(ISNUMBER($O16),$O16&lt;&gt;0%),TRUE,FALSE)</f>
        <v>0</v>
      </c>
      <c r="Q16" s="473" t="e">
        <f>IF($P16,_xll.qlIndexAddFixings($S16,$N16,$O16/100,TRUE,ISERROR($T16)),NA())</f>
        <v>#N/A</v>
      </c>
      <c r="R16" s="463"/>
      <c r="S16" s="472" t="str">
        <f>PROPER(Currency)&amp;$S$5&amp;$L16</f>
        <v>UsdLiborSwapIsdaFixPm10Y</v>
      </c>
      <c r="T16" s="471" t="e">
        <f>_xll.qlIndexFixing($S16,$N16,TRUE,$P16)</f>
        <v>#NUM!</v>
      </c>
      <c r="U16" s="471" t="e">
        <f>IF($Q16,_xll.qlIndexFixing($S16,$N16,FALSE,$P16),"-")</f>
        <v>#N/A</v>
      </c>
      <c r="V16" s="471" t="e">
        <f>T16-U16</f>
        <v>#NUM!</v>
      </c>
      <c r="W16" s="470" t="e">
        <f>_xll.qlIndexFixing($S16,$N16,TRUE,$U16)</f>
        <v>#NUM!</v>
      </c>
      <c r="X16" s="502">
        <f>IF(ISERROR(V16),0,ABS(V16))</f>
        <v>0</v>
      </c>
      <c r="Y16" s="458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UsdLiborSwapIsdaFixPm11Y#0004</v>
      </c>
      <c r="G17" s="48" t="str">
        <f>_xll.ohRangeRetrieveError(F17)</f>
        <v/>
      </c>
      <c r="H17" s="47"/>
      <c r="J17" s="439"/>
      <c r="K17" s="468"/>
      <c r="L17" s="476" t="s">
        <v>98</v>
      </c>
      <c r="M17" s="471" t="str">
        <f>Currency&amp;$M$5&amp;$L17&amp;"="</f>
        <v>USDSFIXP12Y=</v>
      </c>
      <c r="N17" s="475" t="s">
        <v>245</v>
      </c>
      <c r="O17" s="474" t="s">
        <v>245</v>
      </c>
      <c r="P17" s="474" t="b">
        <f>IF(AND(ISNUMBER($O17),$O17&lt;&gt;0%),TRUE,FALSE)</f>
        <v>0</v>
      </c>
      <c r="Q17" s="473" t="e">
        <f>IF($P17,_xll.qlIndexAddFixings($S17,$N17,$O17/100,TRUE,ISERROR($T17)),NA())</f>
        <v>#N/A</v>
      </c>
      <c r="R17" s="463"/>
      <c r="S17" s="472" t="str">
        <f>PROPER(Currency)&amp;$S$5&amp;$L17</f>
        <v>UsdLiborSwapIsdaFixPm12Y</v>
      </c>
      <c r="T17" s="471" t="e">
        <f>_xll.qlIndexFixing($S17,$N17,TRUE,$P17)</f>
        <v>#NUM!</v>
      </c>
      <c r="U17" s="471" t="e">
        <f>IF($Q17,_xll.qlIndexFixing($S17,$N17,FALSE,$P17),"-")</f>
        <v>#N/A</v>
      </c>
      <c r="V17" s="471" t="e">
        <f>T17-U17</f>
        <v>#NUM!</v>
      </c>
      <c r="W17" s="470" t="e">
        <f>_xll.qlIndexFixing($S17,$N17,TRUE,$U17)</f>
        <v>#NUM!</v>
      </c>
      <c r="X17" s="502">
        <f>IF(ISERROR(V17),0,ABS(V17))</f>
        <v>0</v>
      </c>
      <c r="Y17" s="458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UsdLiborSwapIsdaFixPm12Y#0004</v>
      </c>
      <c r="G18" s="48" t="str">
        <f>_xll.ohRangeRetrieveError(F18)</f>
        <v/>
      </c>
      <c r="H18" s="47"/>
      <c r="J18" s="439"/>
      <c r="K18" s="468"/>
      <c r="L18" s="476" t="s">
        <v>95</v>
      </c>
      <c r="M18" s="471" t="str">
        <f>Currency&amp;$M$5&amp;$L18&amp;"="</f>
        <v>USDSFIXP15Y=</v>
      </c>
      <c r="N18" s="475" t="s">
        <v>245</v>
      </c>
      <c r="O18" s="474" t="s">
        <v>245</v>
      </c>
      <c r="P18" s="474" t="b">
        <f>IF(AND(ISNUMBER($O18),$O18&lt;&gt;0%),TRUE,FALSE)</f>
        <v>0</v>
      </c>
      <c r="Q18" s="473" t="e">
        <f>IF($P18,_xll.qlIndexAddFixings($S18,$N18,$O18/100,TRUE,ISERROR($T18)),NA())</f>
        <v>#N/A</v>
      </c>
      <c r="R18" s="463"/>
      <c r="S18" s="472" t="str">
        <f>PROPER(Currency)&amp;$S$5&amp;$L18</f>
        <v>UsdLiborSwapIsdaFixPm15Y</v>
      </c>
      <c r="T18" s="471" t="e">
        <f>_xll.qlIndexFixing($S18,$N18,TRUE,$P18)</f>
        <v>#NUM!</v>
      </c>
      <c r="U18" s="471" t="e">
        <f>IF($Q18,_xll.qlIndexFixing($S18,$N18,FALSE,$P18),"-")</f>
        <v>#N/A</v>
      </c>
      <c r="V18" s="471" t="e">
        <f>T18-U18</f>
        <v>#NUM!</v>
      </c>
      <c r="W18" s="470" t="e">
        <f>_xll.qlIndexFixing($S18,$N18,TRUE,$U18)</f>
        <v>#NUM!</v>
      </c>
      <c r="X18" s="502">
        <f>IF(ISERROR(V18),0,ABS(V18))</f>
        <v>0</v>
      </c>
      <c r="Y18" s="458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UsdLiborSwapIsdaFixPm13Y#0004</v>
      </c>
      <c r="G19" s="48" t="str">
        <f>_xll.ohRangeRetrieveError(F19)</f>
        <v/>
      </c>
      <c r="H19" s="47"/>
      <c r="J19" s="439"/>
      <c r="K19" s="468"/>
      <c r="L19" s="476" t="s">
        <v>90</v>
      </c>
      <c r="M19" s="471" t="str">
        <f>Currency&amp;$M$5&amp;$L19&amp;"="</f>
        <v>USDSFIXP20Y=</v>
      </c>
      <c r="N19" s="475" t="s">
        <v>245</v>
      </c>
      <c r="O19" s="474" t="s">
        <v>245</v>
      </c>
      <c r="P19" s="474" t="b">
        <f>IF(AND(ISNUMBER($O19),$O19&lt;&gt;0%),TRUE,FALSE)</f>
        <v>0</v>
      </c>
      <c r="Q19" s="473" t="e">
        <f>IF($P19,_xll.qlIndexAddFixings($S19,$N19,$O19/100,TRUE,ISERROR($T19)),NA())</f>
        <v>#N/A</v>
      </c>
      <c r="R19" s="463"/>
      <c r="S19" s="472" t="str">
        <f>PROPER(Currency)&amp;$S$5&amp;$L19</f>
        <v>UsdLiborSwapIsdaFixPm20Y</v>
      </c>
      <c r="T19" s="471" t="e">
        <f>_xll.qlIndexFixing($S19,$N19,TRUE,$P19)</f>
        <v>#NUM!</v>
      </c>
      <c r="U19" s="471" t="e">
        <f>IF($Q19,_xll.qlIndexFixing($S19,$N19,FALSE,$P19),"-")</f>
        <v>#N/A</v>
      </c>
      <c r="V19" s="471" t="e">
        <f>T19-U19</f>
        <v>#NUM!</v>
      </c>
      <c r="W19" s="470" t="e">
        <f>_xll.qlIndexFixing($S19,$N19,TRUE,$U19)</f>
        <v>#NUM!</v>
      </c>
      <c r="X19" s="502">
        <f>IF(ISERROR(V19),0,ABS(V19))</f>
        <v>0</v>
      </c>
      <c r="Y19" s="458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UsdLiborSwapIsdaFixPm14Y#0004</v>
      </c>
      <c r="G20" s="48" t="str">
        <f>_xll.ohRangeRetrieveError(F20)</f>
        <v/>
      </c>
      <c r="H20" s="47"/>
      <c r="J20" s="439"/>
      <c r="K20" s="468"/>
      <c r="L20" s="476" t="s">
        <v>85</v>
      </c>
      <c r="M20" s="471" t="str">
        <f>Currency&amp;$M$5&amp;$L20&amp;"="</f>
        <v>USDSFIXP25Y=</v>
      </c>
      <c r="N20" s="475" t="s">
        <v>245</v>
      </c>
      <c r="O20" s="474" t="s">
        <v>245</v>
      </c>
      <c r="P20" s="474" t="b">
        <f>IF(AND(ISNUMBER($O20),$O20&lt;&gt;0%),TRUE,FALSE)</f>
        <v>0</v>
      </c>
      <c r="Q20" s="473" t="e">
        <f>IF($P20,_xll.qlIndexAddFixings($S20,$N20,$O20/100,TRUE,ISERROR($T20)),NA())</f>
        <v>#N/A</v>
      </c>
      <c r="R20" s="463"/>
      <c r="S20" s="472" t="str">
        <f>PROPER(Currency)&amp;$S$5&amp;$L20</f>
        <v>UsdLiborSwapIsdaFixPm25Y</v>
      </c>
      <c r="T20" s="471" t="e">
        <f>_xll.qlIndexFixing($S20,$N20,TRUE,$P20)</f>
        <v>#NUM!</v>
      </c>
      <c r="U20" s="471" t="e">
        <f>IF($Q20,_xll.qlIndexFixing($S20,$N20,FALSE,$P20),"-")</f>
        <v>#N/A</v>
      </c>
      <c r="V20" s="471" t="e">
        <f>T20-U20</f>
        <v>#NUM!</v>
      </c>
      <c r="W20" s="470" t="e">
        <f>_xll.qlIndexFixing($S20,$N20,TRUE,$U20)</f>
        <v>#NUM!</v>
      </c>
      <c r="X20" s="502">
        <f>IF(ISERROR(V20),0,ABS(V20))</f>
        <v>0</v>
      </c>
      <c r="Y20" s="458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UsdLiborSwapIsdaFixPm15Y#0004</v>
      </c>
      <c r="G21" s="48" t="str">
        <f>_xll.ohRangeRetrieveError(F21)</f>
        <v/>
      </c>
      <c r="H21" s="47"/>
      <c r="J21" s="439"/>
      <c r="K21" s="468"/>
      <c r="L21" s="467" t="s">
        <v>80</v>
      </c>
      <c r="M21" s="461" t="str">
        <f>Currency&amp;$M$5&amp;$L21&amp;"="</f>
        <v>USDSFIXP30Y=</v>
      </c>
      <c r="N21" s="466" t="s">
        <v>245</v>
      </c>
      <c r="O21" s="465" t="s">
        <v>245</v>
      </c>
      <c r="P21" s="465" t="b">
        <f>IF(AND(ISNUMBER($O21),$O21&lt;&gt;0%),TRUE,FALSE)</f>
        <v>0</v>
      </c>
      <c r="Q21" s="464" t="e">
        <f>IF($P21,_xll.qlIndexAddFixings($S21,$N21,$O21/100,TRUE,ISERROR($T21)),NA())</f>
        <v>#N/A</v>
      </c>
      <c r="R21" s="463"/>
      <c r="S21" s="462" t="str">
        <f>PROPER(Currency)&amp;$S$5&amp;$L21</f>
        <v>UsdLiborSwapIsdaFixPm30Y</v>
      </c>
      <c r="T21" s="461" t="e">
        <f>_xll.qlIndexFixing($S21,$N21,TRUE,$P21)</f>
        <v>#NUM!</v>
      </c>
      <c r="U21" s="461" t="e">
        <f>IF($Q21,_xll.qlIndexFixing($S21,$N21,FALSE,$P21),"-")</f>
        <v>#N/A</v>
      </c>
      <c r="V21" s="461" t="e">
        <f>T21-U21</f>
        <v>#NUM!</v>
      </c>
      <c r="W21" s="460" t="e">
        <f>_xll.qlIndexFixing($S21,$N21,TRUE,$U21)</f>
        <v>#NUM!</v>
      </c>
      <c r="X21" s="501">
        <f>IF(ISERROR(V21),0,ABS(V21))</f>
        <v>0</v>
      </c>
      <c r="Y21" s="458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UsdLiborSwapIsdaFixPm16Y#0004</v>
      </c>
      <c r="G22" s="48" t="str">
        <f>_xll.ohRangeRetrieveError(F22)</f>
        <v/>
      </c>
      <c r="H22" s="47"/>
      <c r="J22" s="439"/>
      <c r="K22" s="457"/>
      <c r="L22" s="455"/>
      <c r="M22" s="455"/>
      <c r="N22" s="455"/>
      <c r="O22" s="455"/>
      <c r="P22" s="455"/>
      <c r="Q22" s="455"/>
      <c r="R22" s="454"/>
      <c r="S22" s="454"/>
      <c r="T22" s="454"/>
      <c r="U22" s="454"/>
      <c r="V22" s="454"/>
      <c r="W22" s="454"/>
      <c r="X22" s="454"/>
      <c r="Y22" s="453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UsdLiborSwapIsdaFixPm17Y#0004</v>
      </c>
      <c r="G23" s="48" t="str">
        <f>_xll.ohRangeRetrieveError(F23)</f>
        <v/>
      </c>
      <c r="H23" s="47"/>
      <c r="J23" s="439"/>
      <c r="K23" s="439"/>
      <c r="L23" s="439"/>
      <c r="M23" s="439"/>
      <c r="N23" s="452"/>
      <c r="O23" s="451"/>
      <c r="P23" s="451"/>
      <c r="Q23" s="439"/>
      <c r="R23" s="439"/>
      <c r="S23" s="439"/>
      <c r="T23" s="439"/>
      <c r="U23" s="439"/>
      <c r="V23" s="439"/>
      <c r="W23" s="439"/>
      <c r="X23" s="439"/>
      <c r="Y23" s="439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UsdLiborSwapIsdaFixPm18Y#0004</v>
      </c>
      <c r="G24" s="48" t="str">
        <f>_xll.ohRangeRetrieveError(F24)</f>
        <v/>
      </c>
      <c r="H24" s="47"/>
      <c r="J24" s="439"/>
      <c r="K24" s="439"/>
      <c r="L24" s="450" t="s">
        <v>132</v>
      </c>
      <c r="M24" s="506" t="s">
        <v>331</v>
      </c>
      <c r="N24" s="505" t="s">
        <v>331</v>
      </c>
      <c r="O24" s="439"/>
      <c r="P24" s="439"/>
      <c r="Q24" s="439"/>
      <c r="R24" s="439"/>
      <c r="S24" s="439"/>
      <c r="T24" s="439"/>
      <c r="U24" s="439"/>
      <c r="V24" s="439"/>
      <c r="W24" s="439"/>
      <c r="X24" s="439"/>
      <c r="Y24" s="439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UsdLiborSwapIsdaFixPm19Y#0004</v>
      </c>
      <c r="G25" s="48" t="str">
        <f>_xll.ohRangeRetrieveError(F25)</f>
        <v/>
      </c>
      <c r="H25" s="47"/>
      <c r="J25" s="439"/>
      <c r="K25" s="439"/>
      <c r="L25" s="445" t="s">
        <v>131</v>
      </c>
      <c r="M25" s="444" t="s">
        <v>333</v>
      </c>
      <c r="N25" s="443" t="s">
        <v>332</v>
      </c>
      <c r="O25" s="439"/>
      <c r="P25" s="439"/>
      <c r="Q25" s="439"/>
      <c r="R25" s="439"/>
      <c r="S25" s="439"/>
      <c r="T25" s="439"/>
      <c r="U25" s="439"/>
      <c r="V25" s="439"/>
      <c r="W25" s="439"/>
      <c r="X25" s="439"/>
      <c r="Y25" s="439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UsdLiborSwapIsdaFixPm20Y#0004</v>
      </c>
      <c r="G26" s="48" t="str">
        <f>_xll.ohRangeRetrieveError(F26)</f>
        <v/>
      </c>
      <c r="H26" s="47"/>
      <c r="J26" s="439"/>
      <c r="K26" s="439"/>
      <c r="L26" s="445" t="s">
        <v>315</v>
      </c>
      <c r="M26" s="444" t="s">
        <v>330</v>
      </c>
      <c r="N26" s="443" t="s">
        <v>329</v>
      </c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UsdLiborSwapIsdaFixPm21Y#0004</v>
      </c>
      <c r="G27" s="48" t="str">
        <f>_xll.ohRangeRetrieveError(F27)</f>
        <v/>
      </c>
      <c r="H27" s="47"/>
      <c r="J27" s="439"/>
      <c r="K27" s="439"/>
      <c r="L27" s="445" t="s">
        <v>314</v>
      </c>
      <c r="M27" s="504" t="s">
        <v>331</v>
      </c>
      <c r="N27" s="503" t="s">
        <v>331</v>
      </c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UsdLiborSwapIsdaFixPm22Y#0004</v>
      </c>
      <c r="G28" s="48" t="str">
        <f>_xll.ohRangeRetrieveError(F28)</f>
        <v/>
      </c>
      <c r="H28" s="47"/>
      <c r="J28" s="439"/>
      <c r="K28" s="439"/>
      <c r="L28" s="445" t="s">
        <v>128</v>
      </c>
      <c r="M28" s="504" t="s">
        <v>331</v>
      </c>
      <c r="N28" s="503" t="s">
        <v>331</v>
      </c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UsdLiborSwapIsdaFixPm23Y#0004</v>
      </c>
      <c r="G29" s="48" t="str">
        <f>_xll.ohRangeRetrieveError(F29)</f>
        <v/>
      </c>
      <c r="H29" s="47"/>
      <c r="J29" s="439"/>
      <c r="K29" s="439"/>
      <c r="L29" s="445" t="s">
        <v>127</v>
      </c>
      <c r="M29" s="444" t="s">
        <v>330</v>
      </c>
      <c r="N29" s="443" t="s">
        <v>329</v>
      </c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UsdLiborSwapIsdaFixPm24Y#0004</v>
      </c>
      <c r="G30" s="48" t="str">
        <f>_xll.ohRangeRetrieveError(F30)</f>
        <v/>
      </c>
      <c r="H30" s="47"/>
      <c r="J30" s="439"/>
      <c r="K30" s="439"/>
      <c r="L30" s="442" t="s">
        <v>122</v>
      </c>
      <c r="M30" s="500" t="s">
        <v>330</v>
      </c>
      <c r="N30" s="499" t="s">
        <v>329</v>
      </c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UsdLiborSwapIsdaFixPm25Y#0004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1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1"/>
        <v>UsdLiborSwapIsdaFixPm34Y</v>
      </c>
      <c r="F40" s="49" t="str">
        <f>_xll.qlLiborSwap($E40,Currency,FixingType,$C40,Currency&amp;$D40,Discounting,Permanent,Trigger,ObjectOverwrite)</f>
        <v>UsdLiborSwapIsdaFixPm34Y#0004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1"/>
        <v>UsdLiborSwapIsdaFixPm35Y</v>
      </c>
      <c r="F41" s="49" t="str">
        <f>_xll.qlLiborSwap($E41,Currency,FixingType,$C41,Currency&amp;$D41,Discounting,Permanent,Trigger,ObjectOverwrite)</f>
        <v>UsdLiborSwapIsdaFixPm35Y#0004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1"/>
        <v>UsdLiborSwapIsdaFixPm36Y</v>
      </c>
      <c r="F42" s="49" t="str">
        <f>_xll.qlLiborSwap($E42,Currency,FixingType,$C42,Currency&amp;$D42,Discounting,Permanent,Trigger,ObjectOverwrite)</f>
        <v>UsdLiborSwapIsdaFixPm36Y#0004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1"/>
        <v>UsdLiborSwapIsdaFixPm37Y</v>
      </c>
      <c r="F43" s="49" t="str">
        <f>_xll.qlLiborSwap($E43,Currency,FixingType,$C43,Currency&amp;$D43,Discounting,Permanent,Trigger,ObjectOverwrite)</f>
        <v>UsdLiborSwapIsdaFixPm37Y#0004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1"/>
        <v>UsdLiborSwapIsdaFixPm38Y</v>
      </c>
      <c r="F44" s="49" t="str">
        <f>_xll.qlLiborSwap($E44,Currency,FixingType,$C44,Currency&amp;$D44,Discounting,Permanent,Trigger,ObjectOverwrite)</f>
        <v>UsdLiborSwapIsdaFixPm38Y#0004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1"/>
        <v>UsdLiborSwapIsdaFixPm39Y</v>
      </c>
      <c r="F45" s="49" t="str">
        <f>_xll.qlLiborSwap($E45,Currency,FixingType,$C45,Currency&amp;$D45,Discounting,Permanent,Trigger,ObjectOverwrite)</f>
        <v>UsdLiborSwapIsdaFixPm39Y#0004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1"/>
        <v>UsdLiborSwapIsdaFixPm40Y</v>
      </c>
      <c r="F46" s="49" t="str">
        <f>_xll.qlLiborSwap($E46,Currency,FixingType,$C46,Currency&amp;$D46,Discounting,Permanent,Trigger,ObjectOverwrite)</f>
        <v>UsdLiborSwapIsdaFixPm40Y#0004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1"/>
        <v>UsdLiborSwapIsdaFixPm41Y</v>
      </c>
      <c r="F47" s="49" t="str">
        <f>_xll.qlLiborSwap($E47,Currency,FixingType,$C47,Currency&amp;$D47,Discounting,Permanent,Trigger,ObjectOverwrite)</f>
        <v>UsdLiborSwapIsdaFixPm41Y#0004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1"/>
        <v>UsdLiborSwapIsdaFixPm42Y</v>
      </c>
      <c r="F48" s="49" t="str">
        <f>_xll.qlLiborSwap($E48,Currency,FixingType,$C48,Currency&amp;$D48,Discounting,Permanent,Trigger,ObjectOverwrite)</f>
        <v>UsdLiborSwapIsdaFixPm42Y#0004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1"/>
        <v>UsdLiborSwapIsdaFixPm43Y</v>
      </c>
      <c r="F49" s="49" t="str">
        <f>_xll.qlLiborSwap($E49,Currency,FixingType,$C49,Currency&amp;$D49,Discounting,Permanent,Trigger,ObjectOverwrite)</f>
        <v>UsdLiborSwapIsdaFixPm43Y#0004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1"/>
        <v>UsdLiborSwapIsdaFixPm44Y</v>
      </c>
      <c r="F50" s="49" t="str">
        <f>_xll.qlLiborSwap($E50,Currency,FixingType,$C50,Currency&amp;$D50,Discounting,Permanent,Trigger,ObjectOverwrite)</f>
        <v>UsdLiborSwapIsdaFixPm44Y#0004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1"/>
        <v>UsdLiborSwapIsdaFixPm45Y</v>
      </c>
      <c r="F51" s="49" t="str">
        <f>_xll.qlLiborSwap($E51,Currency,FixingType,$C51,Currency&amp;$D51,Discounting,Permanent,Trigger,ObjectOverwrite)</f>
        <v>UsdLiborSwapIsdaFixPm45Y#0004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1"/>
        <v>UsdLiborSwapIsdaFixPm46Y</v>
      </c>
      <c r="F52" s="49" t="str">
        <f>_xll.qlLiborSwap($E52,Currency,FixingType,$C52,Currency&amp;$D52,Discounting,Permanent,Trigger,ObjectOverwrite)</f>
        <v>UsdLiborSwapIsdaFixPm46Y#0004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1"/>
        <v>UsdLiborSwapIsdaFixPm47Y</v>
      </c>
      <c r="F53" s="49" t="str">
        <f>_xll.qlLiborSwap($E53,Currency,FixingType,$C53,Currency&amp;$D53,Discounting,Permanent,Trigger,ObjectOverwrite)</f>
        <v>UsdLiborSwapIsdaFixPm47Y#0004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1"/>
        <v>UsdLiborSwapIsdaFixPm48Y</v>
      </c>
      <c r="F54" s="49" t="str">
        <f>_xll.qlLiborSwap($E54,Currency,FixingType,$C54,Currency&amp;$D54,Discounting,Permanent,Trigger,ObjectOverwrite)</f>
        <v>UsdLiborSwapIsdaFixPm48Y#0004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1"/>
        <v>UsdLiborSwapIsdaFixPm49Y</v>
      </c>
      <c r="F55" s="49" t="str">
        <f>_xll.qlLiborSwap($E55,Currency,FixingType,$C55,Currency&amp;$D55,Discounting,Permanent,Trigger,ObjectOverwrite)</f>
        <v>UsdLiborSwapIsdaFixPm49Y#0004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1"/>
        <v>UsdLiborSwapIsdaFixPm50Y</v>
      </c>
      <c r="F56" s="49" t="str">
        <f>_xll.qlLiborSwap($E56,Currency,FixingType,$C56,Currency&amp;$D56,Discounting,Permanent,Trigger,ObjectOverwrite)</f>
        <v>UsdLiborSwapIsdaFixPm50Y#0004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1"/>
        <v>UsdLiborSwapIsdaFixPm51Y</v>
      </c>
      <c r="F57" s="49" t="str">
        <f>_xll.qlLiborSwap($E57,Currency,FixingType,$C57,Currency&amp;$D57,Discounting,Permanent,Trigger,ObjectOverwrite)</f>
        <v>UsdLiborSwapIsdaFixPm51Y#0004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1"/>
        <v>UsdLiborSwapIsdaFixPm52Y</v>
      </c>
      <c r="F58" s="49" t="str">
        <f>_xll.qlLiborSwap($E58,Currency,FixingType,$C58,Currency&amp;$D58,Discounting,Permanent,Trigger,ObjectOverwrite)</f>
        <v>UsdLiborSwapIsdaFixPm52Y#0004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1"/>
        <v>UsdLiborSwapIsdaFixPm53Y</v>
      </c>
      <c r="F59" s="49" t="str">
        <f>_xll.qlLiborSwap($E59,Currency,FixingType,$C59,Currency&amp;$D59,Discounting,Permanent,Trigger,ObjectOverwrite)</f>
        <v>UsdLiborSwapIsdaFixPm53Y#0004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1"/>
        <v>UsdLiborSwapIsdaFixPm54Y</v>
      </c>
      <c r="F60" s="49" t="str">
        <f>_xll.qlLiborSwap($E60,Currency,FixingType,$C60,Currency&amp;$D60,Discounting,Permanent,Trigger,ObjectOverwrite)</f>
        <v>UsdLiborSwapIsdaFixPm54Y#0004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1"/>
        <v>UsdLiborSwapIsdaFixPm55Y</v>
      </c>
      <c r="F61" s="49" t="str">
        <f>_xll.qlLiborSwap($E61,Currency,FixingType,$C61,Currency&amp;$D61,Discounting,Permanent,Trigger,ObjectOverwrite)</f>
        <v>UsdLiborSwapIsdaFixPm55Y#0004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1"/>
        <v>UsdLiborSwapIsdaFixPm56Y</v>
      </c>
      <c r="F62" s="49" t="str">
        <f>_xll.qlLiborSwap($E62,Currency,FixingType,$C62,Currency&amp;$D62,Discounting,Permanent,Trigger,ObjectOverwrite)</f>
        <v>UsdLiborSwapIsdaFixPm56Y#0004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1"/>
        <v>UsdLiborSwapIsdaFixPm57Y</v>
      </c>
      <c r="F63" s="49" t="str">
        <f>_xll.qlLiborSwap($E63,Currency,FixingType,$C63,Currency&amp;$D63,Discounting,Permanent,Trigger,ObjectOverwrite)</f>
        <v>UsdLiborSwapIsdaFixPm57Y#0004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1"/>
        <v>UsdLiborSwapIsdaFixPm58Y</v>
      </c>
      <c r="F64" s="49" t="str">
        <f>_xll.qlLiborSwap($E64,Currency,FixingType,$C64,Currency&amp;$D64,Discounting,Permanent,Trigger,ObjectOverwrite)</f>
        <v>UsdLiborSwapIsdaFixPm58Y#0004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1"/>
        <v>UsdLiborSwapIsdaFixPm59Y</v>
      </c>
      <c r="F65" s="49" t="str">
        <f>_xll.qlLiborSwap($E65,Currency,FixingType,$C65,Currency&amp;$D65,Discounting,Permanent,Trigger,ObjectOverwrite)</f>
        <v>UsdLiborSwapIsdaFixPm59Y#0004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1"/>
        <v>UsdLiborSwapIsdaFixPm60Y</v>
      </c>
      <c r="F66" s="49" t="str">
        <f>_xll.qlLiborSwap($E66,Currency,FixingType,$C66,Currency&amp;$D66,Discounting,Permanent,Trigger,ObjectOverwrite)</f>
        <v>UsdLiborSwapIsdaFixPm60Y#0004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8" width="4.42578125" style="21" customWidth="1"/>
    <col min="9" max="12" width="3.5703125" style="21" customWidth="1"/>
    <col min="13" max="13" width="2.7109375" style="21" customWidth="1"/>
    <col min="14" max="16384" width="9.140625" style="21"/>
  </cols>
  <sheetData>
    <row r="1" spans="1:35" x14ac:dyDescent="0.2">
      <c r="N1" s="337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3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obj_00730#0001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2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408">
        <v>0.5</v>
      </c>
      <c r="O5" s="270" t="s">
        <v>35</v>
      </c>
      <c r="P5" s="326" t="str">
        <f t="array" ref="P5:P42">VLOOKUP(Currency,Conventions,2)</f>
        <v>3L</v>
      </c>
      <c r="Q5" s="326" t="str">
        <f t="array" ref="Q5:Q42">VLOOKUP(Currency,Conventions,3)</f>
        <v>1L</v>
      </c>
      <c r="R5" s="324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6">
        <v>6.8</v>
      </c>
      <c r="U5" s="406">
        <v>0</v>
      </c>
      <c r="V5" s="406">
        <f>_xll.qlMidEquivalent(T5,U5)</f>
        <v>6.8</v>
      </c>
      <c r="W5" s="264" t="b">
        <f t="shared" ref="W5:W42" si="2">IF(ISNUMBER(V5),TRUE,FALSE)</f>
        <v>1</v>
      </c>
      <c r="X5" s="407">
        <f t="array" ref="X5:X38">_xll.qlInterpolationInterpolate(S3,N5:N42)</f>
        <v>6.8</v>
      </c>
      <c r="Y5" s="266"/>
      <c r="Z5" s="404">
        <v>6.7</v>
      </c>
      <c r="AA5" s="266"/>
      <c r="AB5" s="322" t="str">
        <f t="shared" ref="AB5:AB42" si="3">$R5&amp;$AC$2</f>
        <v>USD3L1L6M_Quote</v>
      </c>
      <c r="AC5" s="403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408">
        <v>1</v>
      </c>
      <c r="O6" s="270" t="s">
        <v>29</v>
      </c>
      <c r="P6" s="326" t="str">
        <v>3L</v>
      </c>
      <c r="Q6" s="326" t="str">
        <v>1L</v>
      </c>
      <c r="R6" s="324" t="str">
        <f t="shared" si="1"/>
        <v>USD3L1L1Y</v>
      </c>
      <c r="S6" s="269" t="str">
        <v>USD3L1L1Y=ICAP</v>
      </c>
      <c r="T6" s="406">
        <v>7.4</v>
      </c>
      <c r="U6" s="406">
        <v>0</v>
      </c>
      <c r="V6" s="406">
        <f>_xll.qlMidEquivalent(T6,U6)</f>
        <v>7.4</v>
      </c>
      <c r="W6" s="264" t="b">
        <f t="shared" si="2"/>
        <v>1</v>
      </c>
      <c r="X6" s="407">
        <v>7.4</v>
      </c>
      <c r="Y6" s="266"/>
      <c r="Z6" s="404">
        <v>7.4</v>
      </c>
      <c r="AA6" s="266"/>
      <c r="AB6" s="322" t="str">
        <f t="shared" si="3"/>
        <v>USD3L1L1Y_Quote</v>
      </c>
      <c r="AC6" s="403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3L</v>
      </c>
      <c r="Q7" s="326" t="str">
        <v>1L</v>
      </c>
      <c r="R7" s="324" t="str">
        <f t="shared" si="1"/>
        <v>USD3L1L15M</v>
      </c>
      <c r="S7" s="269" t="str">
        <v>USD3L1L15M=ICAP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 t="shared" si="2"/>
        <v>0</v>
      </c>
      <c r="X7" s="407">
        <v>7.5734375000000007</v>
      </c>
      <c r="Y7" s="266"/>
      <c r="Z7" s="404">
        <v>7.5734375000000007</v>
      </c>
      <c r="AA7" s="266"/>
      <c r="AB7" s="322" t="str">
        <f t="shared" si="3"/>
        <v>USD3L1L15M_Quote</v>
      </c>
      <c r="AC7" s="403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408">
        <v>1.5</v>
      </c>
      <c r="O8" s="270" t="s">
        <v>134</v>
      </c>
      <c r="P8" s="326" t="str">
        <v>3L</v>
      </c>
      <c r="Q8" s="326" t="str">
        <v>1L</v>
      </c>
      <c r="R8" s="324" t="str">
        <f t="shared" si="1"/>
        <v>USD3L1L18M</v>
      </c>
      <c r="S8" s="269" t="str">
        <v>USD3L1L18M=ICAP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 t="shared" si="2"/>
        <v>0</v>
      </c>
      <c r="X8" s="407">
        <v>7.6625000000000005</v>
      </c>
      <c r="Y8" s="266"/>
      <c r="Z8" s="404">
        <v>7.6625000000000005</v>
      </c>
      <c r="AA8" s="266"/>
      <c r="AB8" s="322" t="str">
        <f t="shared" si="3"/>
        <v>USD3L1L18M_Quote</v>
      </c>
      <c r="AC8" s="403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408">
        <v>1.75</v>
      </c>
      <c r="O9" s="270" t="s">
        <v>133</v>
      </c>
      <c r="P9" s="326" t="str">
        <v>3L</v>
      </c>
      <c r="Q9" s="326" t="str">
        <v>1L</v>
      </c>
      <c r="R9" s="324" t="str">
        <f t="shared" si="1"/>
        <v>USD3L1L21M</v>
      </c>
      <c r="S9" s="269" t="str">
        <v>USD3L1L21M=ICAP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 t="shared" si="2"/>
        <v>0</v>
      </c>
      <c r="X9" s="407">
        <v>7.6953125</v>
      </c>
      <c r="Y9" s="266"/>
      <c r="Z9" s="404">
        <v>7.6953125</v>
      </c>
      <c r="AA9" s="266"/>
      <c r="AB9" s="322" t="str">
        <f t="shared" si="3"/>
        <v>USD3L1L21M_Quote</v>
      </c>
      <c r="AC9" s="403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6" t="str">
        <v>3L</v>
      </c>
      <c r="Q10" s="326" t="str">
        <v>1L</v>
      </c>
      <c r="R10" s="324" t="str">
        <f t="shared" si="1"/>
        <v>USD3L1L2Y</v>
      </c>
      <c r="S10" s="269" t="str">
        <v>USD3L1L2Y=ICAP</v>
      </c>
      <c r="T10" s="406">
        <v>7.7</v>
      </c>
      <c r="U10" s="406">
        <v>0</v>
      </c>
      <c r="V10" s="406">
        <f>_xll.qlMidEquivalent(T10,U10)</f>
        <v>7.7</v>
      </c>
      <c r="W10" s="264" t="b">
        <f t="shared" si="2"/>
        <v>1</v>
      </c>
      <c r="X10" s="407">
        <v>7.7</v>
      </c>
      <c r="Y10" s="266"/>
      <c r="Z10" s="404">
        <v>7.7</v>
      </c>
      <c r="AA10" s="266"/>
      <c r="AB10" s="322" t="str">
        <f t="shared" si="3"/>
        <v>USD3L1L2Y_Quote</v>
      </c>
      <c r="AC10" s="403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6" t="str">
        <v>3L</v>
      </c>
      <c r="Q11" s="326" t="str">
        <v>1L</v>
      </c>
      <c r="R11" s="324" t="str">
        <f t="shared" si="1"/>
        <v>USD3L1L3Y</v>
      </c>
      <c r="S11" s="269" t="str">
        <v>USD3L1L3Y=ICAP</v>
      </c>
      <c r="T11" s="406">
        <v>7.6</v>
      </c>
      <c r="U11" s="406">
        <v>0</v>
      </c>
      <c r="V11" s="406">
        <f>_xll.qlMidEquivalent(T11,U11)</f>
        <v>7.6</v>
      </c>
      <c r="W11" s="264" t="b">
        <f t="shared" si="2"/>
        <v>1</v>
      </c>
      <c r="X11" s="407">
        <v>7.6</v>
      </c>
      <c r="Y11" s="266"/>
      <c r="Z11" s="404">
        <v>7.6</v>
      </c>
      <c r="AA11" s="266"/>
      <c r="AB11" s="322" t="str">
        <f t="shared" si="3"/>
        <v>USD3L1L3Y_Quote</v>
      </c>
      <c r="AC11" s="403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6" t="str">
        <v>3L</v>
      </c>
      <c r="Q12" s="326" t="str">
        <v>1L</v>
      </c>
      <c r="R12" s="324" t="str">
        <f t="shared" si="1"/>
        <v>USD3L1L4Y</v>
      </c>
      <c r="S12" s="269" t="str">
        <v>USD3L1L4Y=ICAP</v>
      </c>
      <c r="T12" s="406">
        <v>7.5</v>
      </c>
      <c r="U12" s="406">
        <v>0</v>
      </c>
      <c r="V12" s="406">
        <f>_xll.qlMidEquivalent(T12,U12)</f>
        <v>7.5</v>
      </c>
      <c r="W12" s="264" t="b">
        <f t="shared" si="2"/>
        <v>1</v>
      </c>
      <c r="X12" s="407">
        <v>7.5</v>
      </c>
      <c r="Y12" s="266"/>
      <c r="Z12" s="404">
        <v>7.5</v>
      </c>
      <c r="AA12" s="266"/>
      <c r="AB12" s="322" t="str">
        <f t="shared" si="3"/>
        <v>USD3L1L4Y_Quote</v>
      </c>
      <c r="AC12" s="403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6" t="str">
        <v>3L</v>
      </c>
      <c r="Q13" s="326" t="str">
        <v>1L</v>
      </c>
      <c r="R13" s="324" t="str">
        <f t="shared" si="1"/>
        <v>USD3L1L5Y</v>
      </c>
      <c r="S13" s="269" t="str">
        <v>USD3L1L5Y=ICAP</v>
      </c>
      <c r="T13" s="406">
        <v>7.4</v>
      </c>
      <c r="U13" s="406">
        <v>0</v>
      </c>
      <c r="V13" s="406">
        <f>_xll.qlMidEquivalent(T13,U13)</f>
        <v>7.4</v>
      </c>
      <c r="W13" s="264" t="b">
        <f t="shared" si="2"/>
        <v>1</v>
      </c>
      <c r="X13" s="407">
        <v>7.4</v>
      </c>
      <c r="Y13" s="266"/>
      <c r="Z13" s="404">
        <v>7.4</v>
      </c>
      <c r="AA13" s="266"/>
      <c r="AB13" s="322" t="str">
        <f t="shared" si="3"/>
        <v>USD3L1L5Y_Quote</v>
      </c>
      <c r="AC13" s="403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6" t="str">
        <v>3L</v>
      </c>
      <c r="Q14" s="326" t="str">
        <v>1L</v>
      </c>
      <c r="R14" s="324" t="str">
        <f t="shared" si="1"/>
        <v>USD3L1L6Y</v>
      </c>
      <c r="S14" s="269" t="str">
        <v>USD3L1L6Y=ICAP</v>
      </c>
      <c r="T14" s="406">
        <v>7.2</v>
      </c>
      <c r="U14" s="406">
        <v>0</v>
      </c>
      <c r="V14" s="406">
        <f>_xll.qlMidEquivalent(T14,U14)</f>
        <v>7.2</v>
      </c>
      <c r="W14" s="264" t="b">
        <f t="shared" si="2"/>
        <v>1</v>
      </c>
      <c r="X14" s="407">
        <v>7.2</v>
      </c>
      <c r="Y14" s="266"/>
      <c r="Z14" s="404">
        <v>7.1</v>
      </c>
      <c r="AA14" s="266"/>
      <c r="AB14" s="322" t="str">
        <f t="shared" si="3"/>
        <v>USD3L1L6Y_Quote</v>
      </c>
      <c r="AC14" s="403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3L</v>
      </c>
      <c r="Q15" s="326" t="str">
        <v>1L</v>
      </c>
      <c r="R15" s="324" t="str">
        <f t="shared" si="1"/>
        <v>USD3L1L7Y</v>
      </c>
      <c r="S15" s="269" t="str">
        <v>USD3L1L7Y=ICAP</v>
      </c>
      <c r="T15" s="406">
        <v>6.9</v>
      </c>
      <c r="U15" s="406">
        <v>0</v>
      </c>
      <c r="V15" s="406">
        <f>_xll.qlMidEquivalent(T15,U15)</f>
        <v>6.9</v>
      </c>
      <c r="W15" s="264" t="b">
        <f t="shared" si="2"/>
        <v>1</v>
      </c>
      <c r="X15" s="407">
        <v>6.9</v>
      </c>
      <c r="Y15" s="266"/>
      <c r="Z15" s="404">
        <v>6.9</v>
      </c>
      <c r="AA15" s="266"/>
      <c r="AB15" s="322" t="str">
        <f t="shared" si="3"/>
        <v>USD3L1L7Y_Quote</v>
      </c>
      <c r="AC15" s="403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3L</v>
      </c>
      <c r="Q16" s="326" t="str">
        <v>1L</v>
      </c>
      <c r="R16" s="324" t="str">
        <f t="shared" si="1"/>
        <v>USD3L1L8Y</v>
      </c>
      <c r="S16" s="269" t="str">
        <v>USD3L1L8Y=ICAP</v>
      </c>
      <c r="T16" s="406">
        <v>6.5</v>
      </c>
      <c r="U16" s="406">
        <v>0</v>
      </c>
      <c r="V16" s="406">
        <f>_xll.qlMidEquivalent(T16,U16)</f>
        <v>6.5</v>
      </c>
      <c r="W16" s="264" t="b">
        <f t="shared" si="2"/>
        <v>1</v>
      </c>
      <c r="X16" s="407">
        <v>6.5</v>
      </c>
      <c r="Y16" s="266"/>
      <c r="Z16" s="404">
        <v>6.5</v>
      </c>
      <c r="AA16" s="266"/>
      <c r="AB16" s="322" t="str">
        <f t="shared" si="3"/>
        <v>USD3L1L8Y_Quote</v>
      </c>
      <c r="AC16" s="403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3L</v>
      </c>
      <c r="Q17" s="326" t="str">
        <v>1L</v>
      </c>
      <c r="R17" s="324" t="str">
        <f t="shared" si="1"/>
        <v>USD3L1L9Y</v>
      </c>
      <c r="S17" s="269" t="str">
        <v>USD3L1L9Y=ICAP</v>
      </c>
      <c r="T17" s="406">
        <v>6.2</v>
      </c>
      <c r="U17" s="406">
        <v>0</v>
      </c>
      <c r="V17" s="406">
        <f>_xll.qlMidEquivalent(T17,U17)</f>
        <v>6.2</v>
      </c>
      <c r="W17" s="264" t="b">
        <f t="shared" si="2"/>
        <v>1</v>
      </c>
      <c r="X17" s="407">
        <v>6.2</v>
      </c>
      <c r="Y17" s="266"/>
      <c r="Z17" s="404">
        <v>6.2</v>
      </c>
      <c r="AA17" s="266"/>
      <c r="AB17" s="322" t="str">
        <f t="shared" si="3"/>
        <v>USD3L1L9Y_Quote</v>
      </c>
      <c r="AC17" s="403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3L</v>
      </c>
      <c r="Q18" s="326" t="str">
        <v>1L</v>
      </c>
      <c r="R18" s="324" t="str">
        <f t="shared" si="1"/>
        <v>USD3L1L10Y</v>
      </c>
      <c r="S18" s="269" t="str">
        <v>USD3L1L10Y=ICAP</v>
      </c>
      <c r="T18" s="406">
        <v>5.8</v>
      </c>
      <c r="U18" s="406">
        <v>0</v>
      </c>
      <c r="V18" s="406">
        <f>_xll.qlMidEquivalent(T18,U18)</f>
        <v>5.8</v>
      </c>
      <c r="W18" s="264" t="b">
        <f t="shared" si="2"/>
        <v>1</v>
      </c>
      <c r="X18" s="407">
        <v>5.8</v>
      </c>
      <c r="Y18" s="266"/>
      <c r="Z18" s="404">
        <v>5.8</v>
      </c>
      <c r="AA18" s="266"/>
      <c r="AB18" s="322" t="str">
        <f t="shared" si="3"/>
        <v>USD3L1L10Y_Quote</v>
      </c>
      <c r="AC18" s="403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3L</v>
      </c>
      <c r="Q19" s="326" t="str">
        <v>1L</v>
      </c>
      <c r="R19" s="324" t="str">
        <f t="shared" si="1"/>
        <v>USD3L1L11Y</v>
      </c>
      <c r="S19" s="269" t="str">
        <v>USD3L1L11Y=ICAP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 t="shared" si="2"/>
        <v>0</v>
      </c>
      <c r="X19" s="407">
        <v>5.4599600912493669</v>
      </c>
      <c r="Y19" s="266"/>
      <c r="Z19" s="404">
        <v>5.459271628909641</v>
      </c>
      <c r="AA19" s="266"/>
      <c r="AB19" s="322" t="str">
        <f t="shared" si="3"/>
        <v>USD3L1L11Y_Quote</v>
      </c>
      <c r="AC19" s="403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3L</v>
      </c>
      <c r="Q20" s="326" t="str">
        <v>1L</v>
      </c>
      <c r="R20" s="324" t="str">
        <f t="shared" si="1"/>
        <v>USD3L1L12Y</v>
      </c>
      <c r="S20" s="269" t="str">
        <v>USD3L1L12Y=ICAP</v>
      </c>
      <c r="T20" s="406">
        <v>5.2</v>
      </c>
      <c r="U20" s="406">
        <v>0</v>
      </c>
      <c r="V20" s="406">
        <f>_xll.qlMidEquivalent(T20,U20)</f>
        <v>5.2</v>
      </c>
      <c r="W20" s="264" t="b">
        <f t="shared" si="2"/>
        <v>1</v>
      </c>
      <c r="X20" s="407">
        <v>5.2</v>
      </c>
      <c r="Y20" s="266"/>
      <c r="Z20" s="404">
        <v>5.2</v>
      </c>
      <c r="AA20" s="266"/>
      <c r="AB20" s="322" t="str">
        <f t="shared" si="3"/>
        <v>USD3L1L12Y_Quote</v>
      </c>
      <c r="AC20" s="403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3L</v>
      </c>
      <c r="Q21" s="326" t="str">
        <v>1L</v>
      </c>
      <c r="R21" s="324" t="str">
        <f t="shared" si="1"/>
        <v>USD3L1L13Y</v>
      </c>
      <c r="S21" s="269" t="str">
        <v>USD3L1L13Y=ICAP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 t="shared" si="2"/>
        <v>0</v>
      </c>
      <c r="X21" s="407">
        <v>4.9762689728823704</v>
      </c>
      <c r="Y21" s="266"/>
      <c r="Z21" s="404">
        <v>4.9766154400837639</v>
      </c>
      <c r="AA21" s="266"/>
      <c r="AB21" s="322" t="str">
        <f t="shared" si="3"/>
        <v>USD3L1L13Y_Quote</v>
      </c>
      <c r="AC21" s="403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3L</v>
      </c>
      <c r="Q22" s="326" t="str">
        <v>1L</v>
      </c>
      <c r="R22" s="324" t="str">
        <f t="shared" si="1"/>
        <v>USD3L1L14Y</v>
      </c>
      <c r="S22" s="269" t="str">
        <v>USD3L1L14Y=ICAP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 t="shared" si="2"/>
        <v>0</v>
      </c>
      <c r="X22" s="407">
        <v>4.7773654100412521</v>
      </c>
      <c r="Y22" s="266"/>
      <c r="Z22" s="404">
        <v>4.7776120796248538</v>
      </c>
      <c r="AA22" s="266"/>
      <c r="AB22" s="322" t="str">
        <f t="shared" si="3"/>
        <v>USD3L1L14Y_Quote</v>
      </c>
      <c r="AC22" s="403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3L</v>
      </c>
      <c r="Q23" s="326" t="str">
        <v>1L</v>
      </c>
      <c r="R23" s="324" t="str">
        <f t="shared" si="1"/>
        <v>USD3L1L15Y</v>
      </c>
      <c r="S23" s="269" t="str">
        <v>USD3L1L15Y=ICAP</v>
      </c>
      <c r="T23" s="406">
        <v>4.5999999999999996</v>
      </c>
      <c r="U23" s="406">
        <v>0</v>
      </c>
      <c r="V23" s="406">
        <f>_xll.qlMidEquivalent(T23,U23)</f>
        <v>4.5999999999999996</v>
      </c>
      <c r="W23" s="264" t="b">
        <f t="shared" si="2"/>
        <v>1</v>
      </c>
      <c r="X23" s="407">
        <v>4.5999999999999996</v>
      </c>
      <c r="Y23" s="266"/>
      <c r="Z23" s="404">
        <v>4.5999999999999996</v>
      </c>
      <c r="AA23" s="266"/>
      <c r="AB23" s="322" t="str">
        <f t="shared" si="3"/>
        <v>USD3L1L15Y_Quote</v>
      </c>
      <c r="AC23" s="403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3L</v>
      </c>
      <c r="Q24" s="326" t="str">
        <v>1L</v>
      </c>
      <c r="R24" s="324" t="str">
        <f t="shared" si="1"/>
        <v>USD3L1L16Y</v>
      </c>
      <c r="S24" s="269" t="str">
        <v>USD3L1L16Y=ICAP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 t="shared" si="2"/>
        <v>0</v>
      </c>
      <c r="X24" s="407">
        <v>4.4415144765610917</v>
      </c>
      <c r="Y24" s="266"/>
      <c r="Z24" s="404">
        <v>4.4413639892853558</v>
      </c>
      <c r="AA24" s="266"/>
      <c r="AB24" s="322" t="str">
        <f t="shared" si="3"/>
        <v>USD3L1L16Y_Quote</v>
      </c>
      <c r="AC24" s="403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3L</v>
      </c>
      <c r="Q25" s="326" t="str">
        <v>1L</v>
      </c>
      <c r="R25" s="324" t="str">
        <f t="shared" si="1"/>
        <v>USD3L1L17Y</v>
      </c>
      <c r="S25" s="269" t="str">
        <v>USD3L1L17Y=ICAP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 t="shared" si="2"/>
        <v>0</v>
      </c>
      <c r="X25" s="407">
        <v>4.3017747546435201</v>
      </c>
      <c r="Y25" s="266"/>
      <c r="Z25" s="404">
        <v>4.3015876623547671</v>
      </c>
      <c r="AA25" s="266"/>
      <c r="AB25" s="322" t="str">
        <f t="shared" si="3"/>
        <v>USD3L1L17Y_Quote</v>
      </c>
      <c r="AC25" s="403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3L</v>
      </c>
      <c r="Q26" s="326" t="str">
        <v>1L</v>
      </c>
      <c r="R26" s="324" t="str">
        <f t="shared" si="1"/>
        <v>USD3L1L18Y</v>
      </c>
      <c r="S26" s="269" t="str">
        <v>USD3L1L18Y=ICAP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 t="shared" si="2"/>
        <v>0</v>
      </c>
      <c r="X26" s="407">
        <v>4.1812777944454016</v>
      </c>
      <c r="Y26" s="266"/>
      <c r="Z26" s="404">
        <v>4.1811293407815002</v>
      </c>
      <c r="AA26" s="266"/>
      <c r="AB26" s="322" t="str">
        <f t="shared" si="3"/>
        <v>USD3L1L18Y_Quote</v>
      </c>
      <c r="AC26" s="403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3L</v>
      </c>
      <c r="Q27" s="326" t="str">
        <v>1L</v>
      </c>
      <c r="R27" s="324" t="str">
        <f t="shared" si="1"/>
        <v>USD3L1L19Y</v>
      </c>
      <c r="S27" s="269" t="str">
        <v>USD3L1L19Y=ICAP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 t="shared" si="2"/>
        <v>0</v>
      </c>
      <c r="X27" s="407">
        <v>4.0805205561648554</v>
      </c>
      <c r="Y27" s="266"/>
      <c r="Z27" s="404">
        <v>4.080447346138822</v>
      </c>
      <c r="AA27" s="266"/>
      <c r="AB27" s="322" t="str">
        <f t="shared" si="3"/>
        <v>USD3L1L19Y_Quote</v>
      </c>
      <c r="AC27" s="403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3L</v>
      </c>
      <c r="Q28" s="326" t="str">
        <v>1L</v>
      </c>
      <c r="R28" s="324" t="str">
        <f t="shared" si="1"/>
        <v>USD3L1L20Y</v>
      </c>
      <c r="S28" s="269" t="str">
        <v>USD3L1L20Y=ICAP</v>
      </c>
      <c r="T28" s="406">
        <v>4</v>
      </c>
      <c r="U28" s="406">
        <v>0</v>
      </c>
      <c r="V28" s="406">
        <f>_xll.qlMidEquivalent(T28,U28)</f>
        <v>4</v>
      </c>
      <c r="W28" s="264" t="b">
        <f t="shared" si="2"/>
        <v>1</v>
      </c>
      <c r="X28" s="407">
        <v>4</v>
      </c>
      <c r="Y28" s="266"/>
      <c r="Z28" s="404">
        <v>4</v>
      </c>
      <c r="AA28" s="266"/>
      <c r="AB28" s="322" t="str">
        <f t="shared" si="3"/>
        <v>USD3L1L20Y_Quote</v>
      </c>
      <c r="AC28" s="403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3L</v>
      </c>
      <c r="Q29" s="326" t="str">
        <v>1L</v>
      </c>
      <c r="R29" s="324" t="str">
        <f t="shared" si="1"/>
        <v>USD3L1L21Y</v>
      </c>
      <c r="S29" s="269" t="str">
        <v>USD3L1L21Y=ICAP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 t="shared" si="2"/>
        <v>0</v>
      </c>
      <c r="X29" s="407">
        <v>3.9392663576861913</v>
      </c>
      <c r="Y29" s="266"/>
      <c r="Z29" s="404">
        <v>3.9393070299228765</v>
      </c>
      <c r="AA29" s="266"/>
      <c r="AB29" s="322" t="str">
        <f t="shared" si="3"/>
        <v>USD3L1L21Y_Quote</v>
      </c>
      <c r="AC29" s="403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3L</v>
      </c>
      <c r="Q30" s="326" t="str">
        <v>1L</v>
      </c>
      <c r="R30" s="324" t="str">
        <f t="shared" si="1"/>
        <v>USD3L1L22Y</v>
      </c>
      <c r="S30" s="269" t="str">
        <v>USD3L1L22Y=ICAP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 t="shared" si="2"/>
        <v>0</v>
      </c>
      <c r="X30" s="407">
        <v>3.8940829471077389</v>
      </c>
      <c r="Y30" s="266"/>
      <c r="Z30" s="404">
        <v>3.8941337874035957</v>
      </c>
      <c r="AA30" s="266"/>
      <c r="AB30" s="322" t="str">
        <f t="shared" si="3"/>
        <v>USD3L1L22Y_Quote</v>
      </c>
      <c r="AC30" s="403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3L</v>
      </c>
      <c r="Q31" s="326" t="str">
        <v>1L</v>
      </c>
      <c r="R31" s="324" t="str">
        <f t="shared" si="1"/>
        <v>USD3L1L23Y</v>
      </c>
      <c r="S31" s="269" t="str">
        <v>USD3L1L23Y=ICAP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 t="shared" si="2"/>
        <v>0</v>
      </c>
      <c r="X31" s="407">
        <v>3.8592663576861912</v>
      </c>
      <c r="Y31" s="266"/>
      <c r="Z31" s="404">
        <v>3.8593070299228764</v>
      </c>
      <c r="AA31" s="266"/>
      <c r="AB31" s="322" t="str">
        <f t="shared" si="3"/>
        <v>USD3L1L23Y_Quote</v>
      </c>
      <c r="AC31" s="403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3L</v>
      </c>
      <c r="Q32" s="326" t="str">
        <v>1L</v>
      </c>
      <c r="R32" s="324" t="str">
        <f t="shared" si="1"/>
        <v>USD3L1L24Y</v>
      </c>
      <c r="S32" s="269" t="str">
        <v>USD3L1L24Y=ICAP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 t="shared" si="2"/>
        <v>0</v>
      </c>
      <c r="X32" s="407">
        <v>3.8296331788430953</v>
      </c>
      <c r="Y32" s="266"/>
      <c r="Z32" s="404">
        <v>3.8296535149614384</v>
      </c>
      <c r="AA32" s="266"/>
      <c r="AB32" s="322" t="str">
        <f t="shared" si="3"/>
        <v>USD3L1L24Y_Quote</v>
      </c>
      <c r="AC32" s="403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3L</v>
      </c>
      <c r="Q33" s="326" t="str">
        <v>1L</v>
      </c>
      <c r="R33" s="324" t="str">
        <f t="shared" si="1"/>
        <v>USD3L1L25Y</v>
      </c>
      <c r="S33" s="269" t="str">
        <v>USD3L1L25Y=ICAP</v>
      </c>
      <c r="T33" s="406">
        <v>3.8</v>
      </c>
      <c r="U33" s="406">
        <v>0</v>
      </c>
      <c r="V33" s="406">
        <f>_xll.qlMidEquivalent(T33,U33)</f>
        <v>3.8</v>
      </c>
      <c r="W33" s="264" t="b">
        <f t="shared" si="2"/>
        <v>1</v>
      </c>
      <c r="X33" s="407">
        <v>3.8</v>
      </c>
      <c r="Y33" s="266"/>
      <c r="Z33" s="404">
        <v>3.8</v>
      </c>
      <c r="AA33" s="266"/>
      <c r="AB33" s="322" t="str">
        <f t="shared" si="3"/>
        <v>USD3L1L25Y_Quote</v>
      </c>
      <c r="AC33" s="403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3L</v>
      </c>
      <c r="Q34" s="326" t="str">
        <v>1L</v>
      </c>
      <c r="R34" s="324" t="str">
        <f t="shared" si="1"/>
        <v>USD3L1L26Y</v>
      </c>
      <c r="S34" s="269" t="str">
        <v>USD3L1L26Y=ICAP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 t="shared" si="2"/>
        <v>0</v>
      </c>
      <c r="X34" s="407">
        <v>3.7662200926941423</v>
      </c>
      <c r="Y34" s="266"/>
      <c r="Z34" s="404">
        <v>3.7662078910231367</v>
      </c>
      <c r="AA34" s="266"/>
      <c r="AB34" s="322" t="str">
        <f t="shared" si="3"/>
        <v>USD3L1L26Y_Quote</v>
      </c>
      <c r="AC34" s="403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3L</v>
      </c>
      <c r="Q35" s="326" t="str">
        <v>1L</v>
      </c>
      <c r="R35" s="324" t="str">
        <f t="shared" si="1"/>
        <v>USD3L1L27Y</v>
      </c>
      <c r="S35" s="269" t="str">
        <v>USD3L1L27Y=ICAP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 t="shared" si="2"/>
        <v>0</v>
      </c>
      <c r="X35" s="407">
        <v>3.7282934569255235</v>
      </c>
      <c r="Y35" s="266"/>
      <c r="Z35" s="404">
        <v>3.7282771880308494</v>
      </c>
      <c r="AA35" s="266"/>
      <c r="AB35" s="322" t="str">
        <f t="shared" si="3"/>
        <v>USD3L1L27Y_Quote</v>
      </c>
      <c r="AC35" s="403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3L</v>
      </c>
      <c r="Q36" s="326" t="str">
        <v>1L</v>
      </c>
      <c r="R36" s="324" t="str">
        <f t="shared" si="1"/>
        <v>USD3L1L28Y</v>
      </c>
      <c r="S36" s="269" t="str">
        <v>USD3L1L28Y=ICAP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 t="shared" si="2"/>
        <v>0</v>
      </c>
      <c r="X36" s="407">
        <v>3.6872567748098328</v>
      </c>
      <c r="Y36" s="266"/>
      <c r="Z36" s="404">
        <v>3.6872425395269932</v>
      </c>
      <c r="AA36" s="266"/>
      <c r="AB36" s="322" t="str">
        <f t="shared" si="3"/>
        <v>USD3L1L28Y_Quote</v>
      </c>
      <c r="AC36" s="403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3L</v>
      </c>
      <c r="Q37" s="326" t="str">
        <v>1L</v>
      </c>
      <c r="R37" s="324" t="str">
        <f t="shared" si="1"/>
        <v>USD3L1L29Y</v>
      </c>
      <c r="S37" s="269" t="str">
        <v>USD3L1L29Y=ICAP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 t="shared" si="2"/>
        <v>0</v>
      </c>
      <c r="X37" s="407">
        <v>3.6441467284627618</v>
      </c>
      <c r="Y37" s="266"/>
      <c r="Z37" s="404">
        <v>3.6441385940154247</v>
      </c>
      <c r="AA37" s="266"/>
      <c r="AB37" s="322" t="str">
        <f t="shared" si="3"/>
        <v>USD3L1L29Y_Quote</v>
      </c>
      <c r="AC37" s="403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3L</v>
      </c>
      <c r="Q38" s="326" t="str">
        <v>1L</v>
      </c>
      <c r="R38" s="324" t="str">
        <f t="shared" si="1"/>
        <v>USD3L1L30Y</v>
      </c>
      <c r="S38" s="269" t="str">
        <v>USD3L1L30Y=ICAP</v>
      </c>
      <c r="T38" s="406">
        <v>3.6</v>
      </c>
      <c r="U38" s="406">
        <v>0</v>
      </c>
      <c r="V38" s="406">
        <f>_xll.qlMidEquivalent(T38,U38)</f>
        <v>3.6</v>
      </c>
      <c r="W38" s="264" t="b">
        <f t="shared" si="2"/>
        <v>1</v>
      </c>
      <c r="X38" s="407">
        <v>3.6</v>
      </c>
      <c r="Y38" s="266"/>
      <c r="Z38" s="404">
        <v>3.6</v>
      </c>
      <c r="AA38" s="266"/>
      <c r="AB38" s="322" t="str">
        <f t="shared" si="3"/>
        <v>USD3L1L30Y_Quote</v>
      </c>
      <c r="AC38" s="403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3L</v>
      </c>
      <c r="Q39" s="326" t="str">
        <v>1L</v>
      </c>
      <c r="R39" s="324" t="str">
        <f t="shared" si="1"/>
        <v>USD3L1L35Y</v>
      </c>
      <c r="S39" s="269" t="str">
        <v>USD3L1L35Y=ICAP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 t="shared" si="2"/>
        <v>0</v>
      </c>
      <c r="X39" s="405">
        <f>X38</f>
        <v>3.6</v>
      </c>
      <c r="Y39" s="266"/>
      <c r="Z39" s="404">
        <v>3.6</v>
      </c>
      <c r="AA39" s="266"/>
      <c r="AB39" s="322" t="str">
        <f t="shared" si="3"/>
        <v>USD3L1L35Y_Quote</v>
      </c>
      <c r="AC39" s="403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3L</v>
      </c>
      <c r="Q40" s="326" t="str">
        <v>1L</v>
      </c>
      <c r="R40" s="324" t="str">
        <f t="shared" si="1"/>
        <v>USD3L1L40Y</v>
      </c>
      <c r="S40" s="269" t="str">
        <v>USD3L1L40Y=ICAP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 t="shared" si="2"/>
        <v>0</v>
      </c>
      <c r="X40" s="405">
        <f>X39</f>
        <v>3.6</v>
      </c>
      <c r="Y40" s="266"/>
      <c r="Z40" s="404">
        <v>3.6</v>
      </c>
      <c r="AA40" s="266"/>
      <c r="AB40" s="322" t="str">
        <f t="shared" si="3"/>
        <v>USD3L1L40Y_Quote</v>
      </c>
      <c r="AC40" s="403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3L</v>
      </c>
      <c r="Q41" s="326" t="str">
        <v>1L</v>
      </c>
      <c r="R41" s="324" t="str">
        <f t="shared" si="1"/>
        <v>USD3L1L50Y</v>
      </c>
      <c r="S41" s="269" t="str">
        <v>USD3L1L50Y=ICAP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 t="shared" si="2"/>
        <v>0</v>
      </c>
      <c r="X41" s="405">
        <f>X40</f>
        <v>3.6</v>
      </c>
      <c r="Y41" s="266"/>
      <c r="Z41" s="404">
        <v>3.6</v>
      </c>
      <c r="AA41" s="266"/>
      <c r="AB41" s="322" t="str">
        <f t="shared" si="3"/>
        <v>USD3L1L50Y_Quote</v>
      </c>
      <c r="AC41" s="403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3L</v>
      </c>
      <c r="Q42" s="321" t="str">
        <v>1L</v>
      </c>
      <c r="R42" s="319" t="str">
        <f t="shared" si="1"/>
        <v>USD3L1L60Y</v>
      </c>
      <c r="S42" s="281" t="str">
        <v>USD3L1L60Y=ICAP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 t="shared" si="2"/>
        <v>0</v>
      </c>
      <c r="X42" s="401">
        <f>X41</f>
        <v>3.6</v>
      </c>
      <c r="Y42" s="266"/>
      <c r="Z42" s="400">
        <v>3.6</v>
      </c>
      <c r="AA42" s="266"/>
      <c r="AB42" s="317" t="str">
        <f t="shared" si="3"/>
        <v>USD3L1L60Y_Quote</v>
      </c>
      <c r="AC42" s="399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37" x14ac:dyDescent="0.2">
      <c r="N1" s="337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3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obj_0072f#0001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  <c r="AJ4" s="21"/>
      <c r="AK4" s="332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408">
        <v>0.5</v>
      </c>
      <c r="O5" s="270" t="s">
        <v>35</v>
      </c>
      <c r="P5" s="326" t="str">
        <f t="array" ref="P5:P42">VLOOKUP(Currency,Conventions,2)</f>
        <v>6L</v>
      </c>
      <c r="Q5" s="326" t="str">
        <f t="array" ref="Q5:Q42">VLOOKUP(Currency,Conventions,3)</f>
        <v>3L</v>
      </c>
      <c r="R5" s="324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6">
        <v>10.3</v>
      </c>
      <c r="U5" s="406">
        <v>0</v>
      </c>
      <c r="V5" s="406">
        <f>_xll.qlMidEquivalent(T5,U5)</f>
        <v>10.3</v>
      </c>
      <c r="W5" s="264" t="b">
        <f t="shared" ref="W5:W42" si="2">IF(ISNUMBER(V5),TRUE,FALSE)</f>
        <v>1</v>
      </c>
      <c r="X5" s="407">
        <f t="array" ref="X5:X38">_xll.qlInterpolationInterpolate(S3,N5:N42)</f>
        <v>10.3</v>
      </c>
      <c r="Y5" s="266"/>
      <c r="Z5" s="404">
        <v>10.4</v>
      </c>
      <c r="AA5" s="266"/>
      <c r="AB5" s="322" t="str">
        <f t="shared" ref="AB5:AB42" si="3">$R5&amp;$AC$2</f>
        <v>USD6L3L6M_Quote</v>
      </c>
      <c r="AC5" s="40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8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408">
        <v>1</v>
      </c>
      <c r="O6" s="270" t="s">
        <v>29</v>
      </c>
      <c r="P6" s="326" t="str">
        <v>6L</v>
      </c>
      <c r="Q6" s="326" t="str">
        <v>3L</v>
      </c>
      <c r="R6" s="324" t="str">
        <f t="shared" si="1"/>
        <v>USD6L3L1Y</v>
      </c>
      <c r="S6" s="269" t="str">
        <v>USD6L3L1Y=ICAP</v>
      </c>
      <c r="T6" s="406">
        <v>10.199999999999999</v>
      </c>
      <c r="U6" s="406">
        <v>0</v>
      </c>
      <c r="V6" s="406">
        <f>_xll.qlMidEquivalent(T6,U6)</f>
        <v>10.199999999999999</v>
      </c>
      <c r="W6" s="264" t="b">
        <f t="shared" si="2"/>
        <v>1</v>
      </c>
      <c r="X6" s="407">
        <v>10.199999999999999</v>
      </c>
      <c r="Y6" s="266"/>
      <c r="Z6" s="404">
        <v>10.199999999999999</v>
      </c>
      <c r="AA6" s="266"/>
      <c r="AB6" s="322" t="str">
        <f t="shared" si="3"/>
        <v>USD6L3L1Y_Quote</v>
      </c>
      <c r="AC6" s="403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8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6L</v>
      </c>
      <c r="Q7" s="326" t="str">
        <v>3L</v>
      </c>
      <c r="R7" s="324" t="str">
        <f t="shared" si="1"/>
        <v>USD6L3L15M</v>
      </c>
      <c r="S7" s="269" t="str">
        <v>USD6L3L15M=ICAP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 t="shared" si="2"/>
        <v>0</v>
      </c>
      <c r="X7" s="407">
        <v>10.20593130314503</v>
      </c>
      <c r="Y7" s="266"/>
      <c r="Z7" s="404">
        <v>10.186508208428252</v>
      </c>
      <c r="AA7" s="266"/>
      <c r="AB7" s="322" t="str">
        <f t="shared" si="3"/>
        <v>USD6L3L15M_Quote</v>
      </c>
      <c r="AC7" s="403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8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408">
        <v>1.5</v>
      </c>
      <c r="O8" s="270" t="s">
        <v>134</v>
      </c>
      <c r="P8" s="326" t="str">
        <v>6L</v>
      </c>
      <c r="Q8" s="326" t="str">
        <v>3L</v>
      </c>
      <c r="R8" s="324" t="str">
        <f t="shared" si="1"/>
        <v>USD6L3L18M</v>
      </c>
      <c r="S8" s="269" t="str">
        <v>USD6L3L18M=ICAP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 t="shared" si="2"/>
        <v>0</v>
      </c>
      <c r="X8" s="407">
        <v>10.249362606290063</v>
      </c>
      <c r="Y8" s="266"/>
      <c r="Z8" s="404">
        <v>10.229266416856504</v>
      </c>
      <c r="AA8" s="266"/>
      <c r="AB8" s="322" t="str">
        <f t="shared" si="3"/>
        <v>USD6L3L18M_Quote</v>
      </c>
      <c r="AC8" s="403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8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408">
        <v>1.75</v>
      </c>
      <c r="O9" s="270" t="s">
        <v>133</v>
      </c>
      <c r="P9" s="326" t="str">
        <v>6L</v>
      </c>
      <c r="Q9" s="326" t="str">
        <v>3L</v>
      </c>
      <c r="R9" s="324" t="str">
        <f t="shared" si="1"/>
        <v>USD6L3L21M</v>
      </c>
      <c r="S9" s="269" t="str">
        <v>USD6L3L21M=ICAP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 t="shared" si="2"/>
        <v>0</v>
      </c>
      <c r="X9" s="407">
        <v>10.318112606290065</v>
      </c>
      <c r="Y9" s="266"/>
      <c r="Z9" s="404">
        <v>10.307391416856504</v>
      </c>
      <c r="AA9" s="266"/>
      <c r="AB9" s="322" t="str">
        <f t="shared" si="3"/>
        <v>USD6L3L21M_Quote</v>
      </c>
      <c r="AC9" s="403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8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6" t="str">
        <v>6L</v>
      </c>
      <c r="Q10" s="326" t="str">
        <v>3L</v>
      </c>
      <c r="R10" s="324" t="str">
        <f t="shared" si="1"/>
        <v>USD6L3L2Y</v>
      </c>
      <c r="S10" s="269" t="str">
        <v>USD6L3L2Y=ICAP</v>
      </c>
      <c r="T10" s="406">
        <v>10.4</v>
      </c>
      <c r="U10" s="406">
        <v>0</v>
      </c>
      <c r="V10" s="406">
        <f>_xll.qlMidEquivalent(T10,U10)</f>
        <v>10.4</v>
      </c>
      <c r="W10" s="264" t="b">
        <f t="shared" si="2"/>
        <v>1</v>
      </c>
      <c r="X10" s="407">
        <v>10.4</v>
      </c>
      <c r="Y10" s="266"/>
      <c r="Z10" s="404">
        <v>10.4</v>
      </c>
      <c r="AA10" s="266"/>
      <c r="AB10" s="322" t="str">
        <f t="shared" si="3"/>
        <v>USD6L3L2Y_Quote</v>
      </c>
      <c r="AC10" s="40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8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6" t="str">
        <v>6L</v>
      </c>
      <c r="Q11" s="326" t="str">
        <v>3L</v>
      </c>
      <c r="R11" s="324" t="str">
        <f t="shared" si="1"/>
        <v>USD6L3L3Y</v>
      </c>
      <c r="S11" s="269" t="str">
        <v>USD6L3L3Y=ICAP</v>
      </c>
      <c r="T11" s="406">
        <v>10.7</v>
      </c>
      <c r="U11" s="406">
        <v>0</v>
      </c>
      <c r="V11" s="406">
        <f>_xll.qlMidEquivalent(T11,U11)</f>
        <v>10.7</v>
      </c>
      <c r="W11" s="264" t="b">
        <f t="shared" si="2"/>
        <v>1</v>
      </c>
      <c r="X11" s="407">
        <v>10.7</v>
      </c>
      <c r="Y11" s="266"/>
      <c r="Z11" s="404">
        <v>10.7</v>
      </c>
      <c r="AA11" s="266"/>
      <c r="AB11" s="322" t="str">
        <f t="shared" si="3"/>
        <v>USD6L3L3Y_Quote</v>
      </c>
      <c r="AC11" s="40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8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6" t="str">
        <v>6L</v>
      </c>
      <c r="Q12" s="326" t="str">
        <v>3L</v>
      </c>
      <c r="R12" s="324" t="str">
        <f t="shared" si="1"/>
        <v>USD6L3L4Y</v>
      </c>
      <c r="S12" s="269" t="str">
        <v>USD6L3L4Y=ICAP</v>
      </c>
      <c r="T12" s="406">
        <v>10.8</v>
      </c>
      <c r="U12" s="406">
        <v>0</v>
      </c>
      <c r="V12" s="406">
        <f>_xll.qlMidEquivalent(T12,U12)</f>
        <v>10.8</v>
      </c>
      <c r="W12" s="264" t="b">
        <f t="shared" si="2"/>
        <v>1</v>
      </c>
      <c r="X12" s="407">
        <v>10.8</v>
      </c>
      <c r="Y12" s="266"/>
      <c r="Z12" s="404">
        <v>10.8</v>
      </c>
      <c r="AA12" s="266"/>
      <c r="AB12" s="322" t="str">
        <f t="shared" si="3"/>
        <v>USD6L3L4Y_Quote</v>
      </c>
      <c r="AC12" s="40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8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6" t="str">
        <v>6L</v>
      </c>
      <c r="Q13" s="326" t="str">
        <v>3L</v>
      </c>
      <c r="R13" s="324" t="str">
        <f t="shared" si="1"/>
        <v>USD6L3L5Y</v>
      </c>
      <c r="S13" s="269" t="str">
        <v>USD6L3L5Y=ICAP</v>
      </c>
      <c r="T13" s="406">
        <v>10.8</v>
      </c>
      <c r="U13" s="406">
        <v>0</v>
      </c>
      <c r="V13" s="406">
        <f>_xll.qlMidEquivalent(T13,U13)</f>
        <v>10.8</v>
      </c>
      <c r="W13" s="264" t="b">
        <f t="shared" si="2"/>
        <v>1</v>
      </c>
      <c r="X13" s="407">
        <v>10.8</v>
      </c>
      <c r="Y13" s="266"/>
      <c r="Z13" s="404">
        <v>10.8</v>
      </c>
      <c r="AA13" s="266"/>
      <c r="AB13" s="322" t="str">
        <f t="shared" si="3"/>
        <v>USD6L3L5Y_Quote</v>
      </c>
      <c r="AC13" s="40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8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6" t="str">
        <v>6L</v>
      </c>
      <c r="Q14" s="326" t="str">
        <v>3L</v>
      </c>
      <c r="R14" s="324" t="str">
        <f t="shared" si="1"/>
        <v>USD6L3L6Y</v>
      </c>
      <c r="S14" s="269" t="str">
        <v>USD6L3L6Y=ICAP</v>
      </c>
      <c r="T14" s="406">
        <v>11</v>
      </c>
      <c r="U14" s="406">
        <v>0</v>
      </c>
      <c r="V14" s="406">
        <f>_xll.qlMidEquivalent(T14,U14)</f>
        <v>11</v>
      </c>
      <c r="W14" s="264" t="b">
        <f t="shared" si="2"/>
        <v>1</v>
      </c>
      <c r="X14" s="407">
        <v>11</v>
      </c>
      <c r="Y14" s="266"/>
      <c r="Z14" s="404">
        <v>11</v>
      </c>
      <c r="AA14" s="266"/>
      <c r="AB14" s="322" t="str">
        <f t="shared" si="3"/>
        <v>USD6L3L6Y_Quote</v>
      </c>
      <c r="AC14" s="40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8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6L</v>
      </c>
      <c r="Q15" s="326" t="str">
        <v>3L</v>
      </c>
      <c r="R15" s="324" t="str">
        <f t="shared" si="1"/>
        <v>USD6L3L7Y</v>
      </c>
      <c r="S15" s="269" t="str">
        <v>USD6L3L7Y=ICAP</v>
      </c>
      <c r="T15" s="406">
        <v>11.1</v>
      </c>
      <c r="U15" s="406">
        <v>0</v>
      </c>
      <c r="V15" s="406">
        <f>_xll.qlMidEquivalent(T15,U15)</f>
        <v>11.1</v>
      </c>
      <c r="W15" s="264" t="b">
        <f t="shared" si="2"/>
        <v>1</v>
      </c>
      <c r="X15" s="407">
        <v>11.1</v>
      </c>
      <c r="Y15" s="266"/>
      <c r="Z15" s="404">
        <v>11.1</v>
      </c>
      <c r="AA15" s="266"/>
      <c r="AB15" s="322" t="str">
        <f t="shared" si="3"/>
        <v>USD6L3L7Y_Quote</v>
      </c>
      <c r="AC15" s="40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8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6L</v>
      </c>
      <c r="Q16" s="326" t="str">
        <v>3L</v>
      </c>
      <c r="R16" s="324" t="str">
        <f t="shared" si="1"/>
        <v>USD6L3L8Y</v>
      </c>
      <c r="S16" s="269" t="str">
        <v>USD6L3L8Y=ICAP</v>
      </c>
      <c r="T16" s="406">
        <v>11.2</v>
      </c>
      <c r="U16" s="406">
        <v>0</v>
      </c>
      <c r="V16" s="406">
        <f>_xll.qlMidEquivalent(T16,U16)</f>
        <v>11.2</v>
      </c>
      <c r="W16" s="264" t="b">
        <f t="shared" si="2"/>
        <v>1</v>
      </c>
      <c r="X16" s="407">
        <v>11.2</v>
      </c>
      <c r="Y16" s="266"/>
      <c r="Z16" s="404">
        <v>11.2</v>
      </c>
      <c r="AA16" s="266"/>
      <c r="AB16" s="322" t="str">
        <f t="shared" si="3"/>
        <v>USD6L3L8Y_Quote</v>
      </c>
      <c r="AC16" s="40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8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6L</v>
      </c>
      <c r="Q17" s="326" t="str">
        <v>3L</v>
      </c>
      <c r="R17" s="324" t="str">
        <f t="shared" si="1"/>
        <v>USD6L3L9Y</v>
      </c>
      <c r="S17" s="269" t="str">
        <v>USD6L3L9Y=ICAP</v>
      </c>
      <c r="T17" s="406">
        <v>11.2</v>
      </c>
      <c r="U17" s="406">
        <v>0</v>
      </c>
      <c r="V17" s="406">
        <f>_xll.qlMidEquivalent(T17,U17)</f>
        <v>11.2</v>
      </c>
      <c r="W17" s="264" t="b">
        <f t="shared" si="2"/>
        <v>1</v>
      </c>
      <c r="X17" s="407">
        <v>11.2</v>
      </c>
      <c r="Y17" s="266"/>
      <c r="Z17" s="404">
        <v>11.2</v>
      </c>
      <c r="AA17" s="266"/>
      <c r="AB17" s="322" t="str">
        <f t="shared" si="3"/>
        <v>USD6L3L9Y_Quote</v>
      </c>
      <c r="AC17" s="40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8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6L</v>
      </c>
      <c r="Q18" s="326" t="str">
        <v>3L</v>
      </c>
      <c r="R18" s="324" t="str">
        <f t="shared" si="1"/>
        <v>USD6L3L10Y</v>
      </c>
      <c r="S18" s="269" t="str">
        <v>USD6L3L10Y=ICAP</v>
      </c>
      <c r="T18" s="406">
        <v>11.3</v>
      </c>
      <c r="U18" s="406">
        <v>0</v>
      </c>
      <c r="V18" s="406">
        <f>_xll.qlMidEquivalent(T18,U18)</f>
        <v>11.3</v>
      </c>
      <c r="W18" s="264" t="b">
        <f t="shared" si="2"/>
        <v>1</v>
      </c>
      <c r="X18" s="407">
        <v>11.3</v>
      </c>
      <c r="Y18" s="266"/>
      <c r="Z18" s="404">
        <v>11.3</v>
      </c>
      <c r="AA18" s="266"/>
      <c r="AB18" s="322" t="str">
        <f t="shared" si="3"/>
        <v>USD6L3L10Y_Quote</v>
      </c>
      <c r="AC18" s="40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8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6L</v>
      </c>
      <c r="Q19" s="326" t="str">
        <v>3L</v>
      </c>
      <c r="R19" s="324" t="str">
        <f t="shared" si="1"/>
        <v>USD6L3L11Y</v>
      </c>
      <c r="S19" s="269" t="str">
        <v>USD6L3L11Y=ICAP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 t="shared" si="2"/>
        <v>0</v>
      </c>
      <c r="X19" s="407">
        <v>11.3</v>
      </c>
      <c r="Y19" s="266"/>
      <c r="Z19" s="404">
        <v>11.3</v>
      </c>
      <c r="AA19" s="266"/>
      <c r="AB19" s="322" t="str">
        <f t="shared" si="3"/>
        <v>USD6L3L11Y_Quote</v>
      </c>
      <c r="AC19" s="40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8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6L</v>
      </c>
      <c r="Q20" s="326" t="str">
        <v>3L</v>
      </c>
      <c r="R20" s="324" t="str">
        <f t="shared" si="1"/>
        <v>USD6L3L12Y</v>
      </c>
      <c r="S20" s="269" t="str">
        <v>USD6L3L12Y=ICAP</v>
      </c>
      <c r="T20" s="406">
        <v>11.3</v>
      </c>
      <c r="U20" s="406">
        <v>0</v>
      </c>
      <c r="V20" s="406">
        <f>_xll.qlMidEquivalent(T20,U20)</f>
        <v>11.3</v>
      </c>
      <c r="W20" s="264" t="b">
        <f t="shared" si="2"/>
        <v>1</v>
      </c>
      <c r="X20" s="407">
        <v>11.3</v>
      </c>
      <c r="Y20" s="266"/>
      <c r="Z20" s="404">
        <v>11.3</v>
      </c>
      <c r="AA20" s="266"/>
      <c r="AB20" s="322" t="str">
        <f t="shared" si="3"/>
        <v>USD6L3L12Y_Quote</v>
      </c>
      <c r="AC20" s="40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8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6L</v>
      </c>
      <c r="Q21" s="326" t="str">
        <v>3L</v>
      </c>
      <c r="R21" s="324" t="str">
        <f t="shared" si="1"/>
        <v>USD6L3L13Y</v>
      </c>
      <c r="S21" s="269" t="str">
        <v>USD6L3L13Y=ICAP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 t="shared" si="2"/>
        <v>0</v>
      </c>
      <c r="X21" s="407">
        <v>11.325925925925926</v>
      </c>
      <c r="Y21" s="266"/>
      <c r="Z21" s="404">
        <v>11.325925925925926</v>
      </c>
      <c r="AA21" s="266"/>
      <c r="AB21" s="322" t="str">
        <f t="shared" si="3"/>
        <v>USD6L3L13Y_Quote</v>
      </c>
      <c r="AC21" s="40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8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6L</v>
      </c>
      <c r="Q22" s="326" t="str">
        <v>3L</v>
      </c>
      <c r="R22" s="324" t="str">
        <f t="shared" si="1"/>
        <v>USD6L3L14Y</v>
      </c>
      <c r="S22" s="269" t="str">
        <v>USD6L3L14Y=ICAP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 t="shared" si="2"/>
        <v>0</v>
      </c>
      <c r="X22" s="407">
        <v>11.374074074074075</v>
      </c>
      <c r="Y22" s="266"/>
      <c r="Z22" s="404">
        <v>11.374074074074075</v>
      </c>
      <c r="AA22" s="266"/>
      <c r="AB22" s="322" t="str">
        <f t="shared" si="3"/>
        <v>USD6L3L14Y_Quote</v>
      </c>
      <c r="AC22" s="40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8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6L</v>
      </c>
      <c r="Q23" s="326" t="str">
        <v>3L</v>
      </c>
      <c r="R23" s="324" t="str">
        <f t="shared" si="1"/>
        <v>USD6L3L15Y</v>
      </c>
      <c r="S23" s="269" t="str">
        <v>USD6L3L15Y=ICAP</v>
      </c>
      <c r="T23" s="406">
        <v>11.4</v>
      </c>
      <c r="U23" s="406">
        <v>0</v>
      </c>
      <c r="V23" s="406">
        <f>_xll.qlMidEquivalent(T23,U23)</f>
        <v>11.4</v>
      </c>
      <c r="W23" s="264" t="b">
        <f t="shared" si="2"/>
        <v>1</v>
      </c>
      <c r="X23" s="407">
        <v>11.4</v>
      </c>
      <c r="Y23" s="266"/>
      <c r="Z23" s="404">
        <v>11.4</v>
      </c>
      <c r="AA23" s="266"/>
      <c r="AB23" s="322" t="str">
        <f t="shared" si="3"/>
        <v>USD6L3L15Y_Quote</v>
      </c>
      <c r="AC23" s="40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8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6L</v>
      </c>
      <c r="Q24" s="326" t="str">
        <v>3L</v>
      </c>
      <c r="R24" s="324" t="str">
        <f t="shared" si="1"/>
        <v>USD6L3L16Y</v>
      </c>
      <c r="S24" s="269" t="str">
        <v>USD6L3L16Y=ICAP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 t="shared" si="2"/>
        <v>0</v>
      </c>
      <c r="X24" s="407">
        <v>11.4</v>
      </c>
      <c r="Y24" s="266"/>
      <c r="Z24" s="404">
        <v>11.4</v>
      </c>
      <c r="AA24" s="266"/>
      <c r="AB24" s="322" t="str">
        <f t="shared" si="3"/>
        <v>USD6L3L16Y_Quote</v>
      </c>
      <c r="AC24" s="40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8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6L</v>
      </c>
      <c r="Q25" s="326" t="str">
        <v>3L</v>
      </c>
      <c r="R25" s="324" t="str">
        <f t="shared" si="1"/>
        <v>USD6L3L17Y</v>
      </c>
      <c r="S25" s="269" t="str">
        <v>USD6L3L17Y=ICAP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 t="shared" si="2"/>
        <v>0</v>
      </c>
      <c r="X25" s="407">
        <v>11.4</v>
      </c>
      <c r="Y25" s="266"/>
      <c r="Z25" s="404">
        <v>11.4</v>
      </c>
      <c r="AA25" s="266"/>
      <c r="AB25" s="322" t="str">
        <f t="shared" si="3"/>
        <v>USD6L3L17Y_Quote</v>
      </c>
      <c r="AC25" s="40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8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6L</v>
      </c>
      <c r="Q26" s="326" t="str">
        <v>3L</v>
      </c>
      <c r="R26" s="324" t="str">
        <f t="shared" si="1"/>
        <v>USD6L3L18Y</v>
      </c>
      <c r="S26" s="269" t="str">
        <v>USD6L3L18Y=ICAP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 t="shared" si="2"/>
        <v>0</v>
      </c>
      <c r="X26" s="407">
        <v>11.4</v>
      </c>
      <c r="Y26" s="266"/>
      <c r="Z26" s="404">
        <v>11.4</v>
      </c>
      <c r="AA26" s="266"/>
      <c r="AB26" s="322" t="str">
        <f t="shared" si="3"/>
        <v>USD6L3L18Y_Quote</v>
      </c>
      <c r="AC26" s="40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8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6L</v>
      </c>
      <c r="Q27" s="326" t="str">
        <v>3L</v>
      </c>
      <c r="R27" s="324" t="str">
        <f t="shared" si="1"/>
        <v>USD6L3L19Y</v>
      </c>
      <c r="S27" s="269" t="str">
        <v>USD6L3L19Y=ICAP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 t="shared" si="2"/>
        <v>0</v>
      </c>
      <c r="X27" s="407">
        <v>11.4</v>
      </c>
      <c r="Y27" s="266"/>
      <c r="Z27" s="404">
        <v>11.4</v>
      </c>
      <c r="AA27" s="266"/>
      <c r="AB27" s="322" t="str">
        <f t="shared" si="3"/>
        <v>USD6L3L19Y_Quote</v>
      </c>
      <c r="AC27" s="40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8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6L</v>
      </c>
      <c r="Q28" s="326" t="str">
        <v>3L</v>
      </c>
      <c r="R28" s="324" t="str">
        <f t="shared" si="1"/>
        <v>USD6L3L20Y</v>
      </c>
      <c r="S28" s="269" t="str">
        <v>USD6L3L20Y=ICAP</v>
      </c>
      <c r="T28" s="406">
        <v>11.4</v>
      </c>
      <c r="U28" s="406">
        <v>0</v>
      </c>
      <c r="V28" s="406">
        <f>_xll.qlMidEquivalent(T28,U28)</f>
        <v>11.4</v>
      </c>
      <c r="W28" s="264" t="b">
        <f t="shared" si="2"/>
        <v>1</v>
      </c>
      <c r="X28" s="407">
        <v>11.4</v>
      </c>
      <c r="Y28" s="266"/>
      <c r="Z28" s="404">
        <v>11.4</v>
      </c>
      <c r="AA28" s="266"/>
      <c r="AB28" s="322" t="str">
        <f t="shared" si="3"/>
        <v>USD6L3L20Y_Quote</v>
      </c>
      <c r="AC28" s="40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8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6L</v>
      </c>
      <c r="Q29" s="326" t="str">
        <v>3L</v>
      </c>
      <c r="R29" s="324" t="str">
        <f t="shared" si="1"/>
        <v>USD6L3L21Y</v>
      </c>
      <c r="S29" s="269" t="str">
        <v>USD6L3L21Y=ICAP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 t="shared" si="2"/>
        <v>0</v>
      </c>
      <c r="X29" s="407">
        <v>11.4</v>
      </c>
      <c r="Y29" s="266"/>
      <c r="Z29" s="404">
        <v>11.4</v>
      </c>
      <c r="AA29" s="266"/>
      <c r="AB29" s="322" t="str">
        <f t="shared" si="3"/>
        <v>USD6L3L21Y_Quote</v>
      </c>
      <c r="AC29" s="40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8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6L</v>
      </c>
      <c r="Q30" s="326" t="str">
        <v>3L</v>
      </c>
      <c r="R30" s="324" t="str">
        <f t="shared" si="1"/>
        <v>USD6L3L22Y</v>
      </c>
      <c r="S30" s="269" t="str">
        <v>USD6L3L22Y=ICAP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 t="shared" si="2"/>
        <v>0</v>
      </c>
      <c r="X30" s="407">
        <v>11.4</v>
      </c>
      <c r="Y30" s="266"/>
      <c r="Z30" s="404">
        <v>11.4</v>
      </c>
      <c r="AA30" s="266"/>
      <c r="AB30" s="322" t="str">
        <f t="shared" si="3"/>
        <v>USD6L3L22Y_Quote</v>
      </c>
      <c r="AC30" s="40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8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6L</v>
      </c>
      <c r="Q31" s="326" t="str">
        <v>3L</v>
      </c>
      <c r="R31" s="324" t="str">
        <f t="shared" si="1"/>
        <v>USD6L3L23Y</v>
      </c>
      <c r="S31" s="269" t="str">
        <v>USD6L3L23Y=ICAP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 t="shared" si="2"/>
        <v>0</v>
      </c>
      <c r="X31" s="407">
        <v>11.4</v>
      </c>
      <c r="Y31" s="266"/>
      <c r="Z31" s="404">
        <v>11.4</v>
      </c>
      <c r="AA31" s="266"/>
      <c r="AB31" s="322" t="str">
        <f t="shared" si="3"/>
        <v>USD6L3L23Y_Quote</v>
      </c>
      <c r="AC31" s="40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8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6L</v>
      </c>
      <c r="Q32" s="326" t="str">
        <v>3L</v>
      </c>
      <c r="R32" s="324" t="str">
        <f t="shared" si="1"/>
        <v>USD6L3L24Y</v>
      </c>
      <c r="S32" s="269" t="str">
        <v>USD6L3L24Y=ICAP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 t="shared" si="2"/>
        <v>0</v>
      </c>
      <c r="X32" s="407">
        <v>11.4</v>
      </c>
      <c r="Y32" s="266"/>
      <c r="Z32" s="404">
        <v>11.4</v>
      </c>
      <c r="AA32" s="266"/>
      <c r="AB32" s="322" t="str">
        <f t="shared" si="3"/>
        <v>USD6L3L24Y_Quote</v>
      </c>
      <c r="AC32" s="40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8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6L</v>
      </c>
      <c r="Q33" s="326" t="str">
        <v>3L</v>
      </c>
      <c r="R33" s="324" t="str">
        <f t="shared" si="1"/>
        <v>USD6L3L25Y</v>
      </c>
      <c r="S33" s="269" t="str">
        <v>USD6L3L25Y=ICAP</v>
      </c>
      <c r="T33" s="406">
        <v>11.4</v>
      </c>
      <c r="U33" s="406">
        <v>0</v>
      </c>
      <c r="V33" s="406">
        <f>_xll.qlMidEquivalent(T33,U33)</f>
        <v>11.4</v>
      </c>
      <c r="W33" s="264" t="b">
        <f t="shared" si="2"/>
        <v>1</v>
      </c>
      <c r="X33" s="407">
        <v>11.4</v>
      </c>
      <c r="Y33" s="266"/>
      <c r="Z33" s="404">
        <v>11.4</v>
      </c>
      <c r="AA33" s="266"/>
      <c r="AB33" s="322" t="str">
        <f t="shared" si="3"/>
        <v>USD6L3L25Y_Quote</v>
      </c>
      <c r="AC33" s="40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8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6L</v>
      </c>
      <c r="Q34" s="326" t="str">
        <v>3L</v>
      </c>
      <c r="R34" s="324" t="str">
        <f t="shared" si="1"/>
        <v>USD6L3L26Y</v>
      </c>
      <c r="S34" s="269" t="str">
        <v>USD6L3L26Y=ICAP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 t="shared" si="2"/>
        <v>0</v>
      </c>
      <c r="X34" s="407">
        <v>11.4</v>
      </c>
      <c r="Y34" s="266"/>
      <c r="Z34" s="404">
        <v>11.4</v>
      </c>
      <c r="AA34" s="266"/>
      <c r="AB34" s="322" t="str">
        <f t="shared" si="3"/>
        <v>USD6L3L26Y_Quote</v>
      </c>
      <c r="AC34" s="40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8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6L</v>
      </c>
      <c r="Q35" s="326" t="str">
        <v>3L</v>
      </c>
      <c r="R35" s="324" t="str">
        <f t="shared" si="1"/>
        <v>USD6L3L27Y</v>
      </c>
      <c r="S35" s="269" t="str">
        <v>USD6L3L27Y=ICAP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 t="shared" si="2"/>
        <v>0</v>
      </c>
      <c r="X35" s="407">
        <v>11.4</v>
      </c>
      <c r="Y35" s="266"/>
      <c r="Z35" s="404">
        <v>11.4</v>
      </c>
      <c r="AA35" s="266"/>
      <c r="AB35" s="322" t="str">
        <f t="shared" si="3"/>
        <v>USD6L3L27Y_Quote</v>
      </c>
      <c r="AC35" s="40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8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6L</v>
      </c>
      <c r="Q36" s="326" t="str">
        <v>3L</v>
      </c>
      <c r="R36" s="324" t="str">
        <f t="shared" si="1"/>
        <v>USD6L3L28Y</v>
      </c>
      <c r="S36" s="269" t="str">
        <v>USD6L3L28Y=ICAP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 t="shared" si="2"/>
        <v>0</v>
      </c>
      <c r="X36" s="407">
        <v>11.4</v>
      </c>
      <c r="Y36" s="266"/>
      <c r="Z36" s="404">
        <v>11.4</v>
      </c>
      <c r="AA36" s="266"/>
      <c r="AB36" s="322" t="str">
        <f t="shared" si="3"/>
        <v>USD6L3L28Y_Quote</v>
      </c>
      <c r="AC36" s="40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8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6L</v>
      </c>
      <c r="Q37" s="326" t="str">
        <v>3L</v>
      </c>
      <c r="R37" s="324" t="str">
        <f t="shared" si="1"/>
        <v>USD6L3L29Y</v>
      </c>
      <c r="S37" s="269" t="str">
        <v>USD6L3L29Y=ICAP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 t="shared" si="2"/>
        <v>0</v>
      </c>
      <c r="X37" s="407">
        <v>11.4</v>
      </c>
      <c r="Y37" s="266"/>
      <c r="Z37" s="404">
        <v>11.4</v>
      </c>
      <c r="AA37" s="266"/>
      <c r="AB37" s="322" t="str">
        <f t="shared" si="3"/>
        <v>USD6L3L29Y_Quote</v>
      </c>
      <c r="AC37" s="40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8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6L</v>
      </c>
      <c r="Q38" s="326" t="str">
        <v>3L</v>
      </c>
      <c r="R38" s="324" t="str">
        <f t="shared" si="1"/>
        <v>USD6L3L30Y</v>
      </c>
      <c r="S38" s="269" t="str">
        <v>USD6L3L30Y=ICAP</v>
      </c>
      <c r="T38" s="406">
        <v>11.4</v>
      </c>
      <c r="U38" s="406">
        <v>0</v>
      </c>
      <c r="V38" s="406">
        <f>_xll.qlMidEquivalent(T38,U38)</f>
        <v>11.4</v>
      </c>
      <c r="W38" s="264" t="b">
        <f t="shared" si="2"/>
        <v>1</v>
      </c>
      <c r="X38" s="407">
        <v>11.4</v>
      </c>
      <c r="Y38" s="266"/>
      <c r="Z38" s="404">
        <v>11.4</v>
      </c>
      <c r="AA38" s="266"/>
      <c r="AB38" s="322" t="str">
        <f t="shared" si="3"/>
        <v>USD6L3L30Y_Quote</v>
      </c>
      <c r="AC38" s="40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8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6L</v>
      </c>
      <c r="Q39" s="326" t="str">
        <v>3L</v>
      </c>
      <c r="R39" s="324" t="str">
        <f t="shared" si="1"/>
        <v>USD6L3L35Y</v>
      </c>
      <c r="S39" s="269" t="str">
        <v>USD6L3L35Y=ICAP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 t="shared" si="2"/>
        <v>0</v>
      </c>
      <c r="X39" s="405">
        <f>X38</f>
        <v>11.4</v>
      </c>
      <c r="Y39" s="266"/>
      <c r="Z39" s="404">
        <v>11.4</v>
      </c>
      <c r="AA39" s="266"/>
      <c r="AB39" s="322" t="str">
        <f t="shared" si="3"/>
        <v>USD6L3L35Y_Quote</v>
      </c>
      <c r="AC39" s="40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8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6L</v>
      </c>
      <c r="Q40" s="326" t="str">
        <v>3L</v>
      </c>
      <c r="R40" s="324" t="str">
        <f t="shared" si="1"/>
        <v>USD6L3L40Y</v>
      </c>
      <c r="S40" s="269" t="str">
        <v>USD6L3L40Y=ICAP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 t="shared" si="2"/>
        <v>0</v>
      </c>
      <c r="X40" s="405">
        <f>X39</f>
        <v>11.4</v>
      </c>
      <c r="Y40" s="266"/>
      <c r="Z40" s="404">
        <v>11.4</v>
      </c>
      <c r="AA40" s="266"/>
      <c r="AB40" s="322" t="str">
        <f t="shared" si="3"/>
        <v>USD6L3L40Y_Quote</v>
      </c>
      <c r="AC40" s="40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8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6L</v>
      </c>
      <c r="Q41" s="326" t="str">
        <v>3L</v>
      </c>
      <c r="R41" s="324" t="str">
        <f t="shared" si="1"/>
        <v>USD6L3L50Y</v>
      </c>
      <c r="S41" s="269" t="str">
        <v>USD6L3L50Y=ICAP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 t="shared" si="2"/>
        <v>0</v>
      </c>
      <c r="X41" s="405">
        <f>X40</f>
        <v>11.4</v>
      </c>
      <c r="Y41" s="266"/>
      <c r="Z41" s="404">
        <v>11.4</v>
      </c>
      <c r="AA41" s="266"/>
      <c r="AB41" s="322" t="str">
        <f t="shared" si="3"/>
        <v>USD6L3L50Y_Quote</v>
      </c>
      <c r="AC41" s="40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8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6L</v>
      </c>
      <c r="Q42" s="321" t="str">
        <v>3L</v>
      </c>
      <c r="R42" s="324" t="str">
        <f t="shared" si="1"/>
        <v>USD6L3L60Y</v>
      </c>
      <c r="S42" s="281" t="str">
        <v>USD6L3L60Y=ICAP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 t="shared" si="2"/>
        <v>0</v>
      </c>
      <c r="X42" s="401">
        <f>X41</f>
        <v>11.4</v>
      </c>
      <c r="Y42" s="266"/>
      <c r="Z42" s="400">
        <v>11.4</v>
      </c>
      <c r="AA42" s="266"/>
      <c r="AB42" s="317" t="str">
        <f t="shared" si="3"/>
        <v>USD6L3L60Y_Quote</v>
      </c>
      <c r="AC42" s="39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8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16384" width="9.140625" style="20"/>
  </cols>
  <sheetData>
    <row r="1" spans="1:35" x14ac:dyDescent="0.2">
      <c r="N1" s="337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3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obj_0072e#0001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408">
        <v>0.5</v>
      </c>
      <c r="O5" s="270" t="s">
        <v>35</v>
      </c>
      <c r="P5" s="326" t="str">
        <f t="array" ref="P5:P42">VLOOKUP(Currency,Conventions,2)</f>
        <v>12L</v>
      </c>
      <c r="Q5" s="326" t="str">
        <f t="array" ref="Q5:Q42">VLOOKUP(Currency,Conventions,3)</f>
        <v>3L</v>
      </c>
      <c r="R5" s="324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6" t="s">
        <v>245</v>
      </c>
      <c r="U5" s="406" t="s">
        <v>245</v>
      </c>
      <c r="V5" s="406" t="e">
        <f>_xll.qlMidEquivalent(T5,U5)</f>
        <v>#NUM!</v>
      </c>
      <c r="W5" s="264" t="b">
        <f t="shared" ref="W5:W42" si="2">IF(ISNUMBER(V5),TRUE,FALSE)</f>
        <v>0</v>
      </c>
      <c r="X5" s="407" t="e">
        <f t="array" ref="X5:X38">_xll.qlInterpolationInterpolate(S3,N5:N42)</f>
        <v>#NUM!</v>
      </c>
      <c r="Y5" s="266"/>
      <c r="Z5" s="404" t="e">
        <v>#NUM!</v>
      </c>
      <c r="AA5" s="266"/>
      <c r="AB5" s="322" t="str">
        <f t="shared" ref="AB5:AB42" si="3">$R5&amp;$AC$2</f>
        <v>USD12L3L6M_Quote</v>
      </c>
      <c r="AC5" s="40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408">
        <v>1</v>
      </c>
      <c r="O6" s="270" t="s">
        <v>29</v>
      </c>
      <c r="P6" s="326" t="str">
        <v>12L</v>
      </c>
      <c r="Q6" s="326" t="str">
        <v>3L</v>
      </c>
      <c r="R6" s="324" t="str">
        <f t="shared" si="1"/>
        <v>USD12L3L1Y</v>
      </c>
      <c r="S6" s="269" t="str">
        <v>USD12L3L1Y=ICAP</v>
      </c>
      <c r="T6" s="406">
        <v>31.4</v>
      </c>
      <c r="U6" s="406">
        <v>0</v>
      </c>
      <c r="V6" s="406">
        <f>_xll.qlMidEquivalent(T6,U6)</f>
        <v>31.4</v>
      </c>
      <c r="W6" s="264" t="b">
        <f t="shared" si="2"/>
        <v>1</v>
      </c>
      <c r="X6" s="407">
        <v>31.4</v>
      </c>
      <c r="Y6" s="266"/>
      <c r="Z6" s="404">
        <v>31.4</v>
      </c>
      <c r="AA6" s="266"/>
      <c r="AB6" s="322" t="str">
        <f t="shared" si="3"/>
        <v>USD12L3L1Y_Quote</v>
      </c>
      <c r="AC6" s="403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12L</v>
      </c>
      <c r="Q7" s="326" t="str">
        <v>3L</v>
      </c>
      <c r="R7" s="324" t="str">
        <f t="shared" si="1"/>
        <v>USD12L3L15M</v>
      </c>
      <c r="S7" s="269" t="str">
        <v>USD12L3L15M=ICAP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 t="shared" si="2"/>
        <v>0</v>
      </c>
      <c r="X7" s="407">
        <v>31.176530133774591</v>
      </c>
      <c r="Y7" s="266"/>
      <c r="Z7" s="404">
        <v>31.176530133774591</v>
      </c>
      <c r="AA7" s="266"/>
      <c r="AB7" s="322" t="str">
        <f t="shared" si="3"/>
        <v>USD12L3L15M_Quote</v>
      </c>
      <c r="AC7" s="403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408">
        <v>1.5</v>
      </c>
      <c r="O8" s="270" t="s">
        <v>134</v>
      </c>
      <c r="P8" s="326" t="str">
        <v>12L</v>
      </c>
      <c r="Q8" s="326" t="str">
        <v>3L</v>
      </c>
      <c r="R8" s="324" t="str">
        <f t="shared" si="1"/>
        <v>USD12L3L18M</v>
      </c>
      <c r="S8" s="269" t="str">
        <v>USD12L3L18M=ICAP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 t="shared" si="2"/>
        <v>0</v>
      </c>
      <c r="X8" s="407">
        <v>30.962448214039345</v>
      </c>
      <c r="Y8" s="266"/>
      <c r="Z8" s="404">
        <v>30.962448214039345</v>
      </c>
      <c r="AA8" s="266"/>
      <c r="AB8" s="322" t="str">
        <f t="shared" si="3"/>
        <v>USD12L3L18M_Quote</v>
      </c>
      <c r="AC8" s="403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408">
        <v>1.75</v>
      </c>
      <c r="O9" s="270" t="s">
        <v>133</v>
      </c>
      <c r="P9" s="326" t="str">
        <v>12L</v>
      </c>
      <c r="Q9" s="326" t="str">
        <v>3L</v>
      </c>
      <c r="R9" s="324" t="str">
        <f t="shared" si="1"/>
        <v>USD12L3L21M</v>
      </c>
      <c r="S9" s="269" t="str">
        <v>USD12L3L21M=ICAP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 t="shared" si="2"/>
        <v>0</v>
      </c>
      <c r="X9" s="407">
        <v>30.767142187284428</v>
      </c>
      <c r="Y9" s="266"/>
      <c r="Z9" s="404">
        <v>30.767142187284428</v>
      </c>
      <c r="AA9" s="266"/>
      <c r="AB9" s="322" t="str">
        <f t="shared" si="3"/>
        <v>USD12L3L21M_Quote</v>
      </c>
      <c r="AC9" s="403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6" t="str">
        <v>12L</v>
      </c>
      <c r="Q10" s="326" t="str">
        <v>3L</v>
      </c>
      <c r="R10" s="324" t="str">
        <f t="shared" si="1"/>
        <v>USD12L3L2Y</v>
      </c>
      <c r="S10" s="269" t="str">
        <v>USD12L3L2Y=ICAP</v>
      </c>
      <c r="T10" s="406">
        <v>30.6</v>
      </c>
      <c r="U10" s="406">
        <v>0</v>
      </c>
      <c r="V10" s="406">
        <f>_xll.qlMidEquivalent(T10,U10)</f>
        <v>30.6</v>
      </c>
      <c r="W10" s="264" t="b">
        <f t="shared" si="2"/>
        <v>1</v>
      </c>
      <c r="X10" s="407">
        <v>30.6</v>
      </c>
      <c r="Y10" s="266"/>
      <c r="Z10" s="404">
        <v>30.6</v>
      </c>
      <c r="AA10" s="266"/>
      <c r="AB10" s="322" t="str">
        <f t="shared" si="3"/>
        <v>USD12L3L2Y_Quote</v>
      </c>
      <c r="AC10" s="40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6" t="str">
        <v>12L</v>
      </c>
      <c r="Q11" s="326" t="str">
        <v>3L</v>
      </c>
      <c r="R11" s="324" t="str">
        <f t="shared" si="1"/>
        <v>USD12L3L3Y</v>
      </c>
      <c r="S11" s="269" t="str">
        <v>USD12L3L3Y=ICAP</v>
      </c>
      <c r="T11" s="406">
        <v>30.2</v>
      </c>
      <c r="U11" s="406">
        <v>0</v>
      </c>
      <c r="V11" s="406">
        <f>_xll.qlMidEquivalent(T11,U11)</f>
        <v>30.2</v>
      </c>
      <c r="W11" s="264" t="b">
        <f t="shared" si="2"/>
        <v>1</v>
      </c>
      <c r="X11" s="407">
        <v>30.2</v>
      </c>
      <c r="Y11" s="266"/>
      <c r="Z11" s="404">
        <v>30.2</v>
      </c>
      <c r="AA11" s="266"/>
      <c r="AB11" s="322" t="str">
        <f t="shared" si="3"/>
        <v>USD12L3L3Y_Quote</v>
      </c>
      <c r="AC11" s="40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6" t="str">
        <v>12L</v>
      </c>
      <c r="Q12" s="326" t="str">
        <v>3L</v>
      </c>
      <c r="R12" s="324" t="str">
        <f t="shared" si="1"/>
        <v>USD12L3L4Y</v>
      </c>
      <c r="S12" s="269" t="str">
        <v>USD12L3L4Y=ICAP</v>
      </c>
      <c r="T12" s="406">
        <v>29.9</v>
      </c>
      <c r="U12" s="406">
        <v>0</v>
      </c>
      <c r="V12" s="406">
        <f>_xll.qlMidEquivalent(T12,U12)</f>
        <v>29.9</v>
      </c>
      <c r="W12" s="264" t="b">
        <f t="shared" si="2"/>
        <v>1</v>
      </c>
      <c r="X12" s="407">
        <v>29.9</v>
      </c>
      <c r="Y12" s="266"/>
      <c r="Z12" s="404">
        <v>29.9</v>
      </c>
      <c r="AA12" s="266"/>
      <c r="AB12" s="322" t="str">
        <f t="shared" si="3"/>
        <v>USD12L3L4Y_Quote</v>
      </c>
      <c r="AC12" s="40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6" t="str">
        <v>12L</v>
      </c>
      <c r="Q13" s="326" t="str">
        <v>3L</v>
      </c>
      <c r="R13" s="324" t="str">
        <f t="shared" si="1"/>
        <v>USD12L3L5Y</v>
      </c>
      <c r="S13" s="269" t="str">
        <v>USD12L3L5Y=ICAP</v>
      </c>
      <c r="T13" s="406">
        <v>29.6</v>
      </c>
      <c r="U13" s="406">
        <v>0</v>
      </c>
      <c r="V13" s="406">
        <f>_xll.qlMidEquivalent(T13,U13)</f>
        <v>29.6</v>
      </c>
      <c r="W13" s="264" t="b">
        <f t="shared" si="2"/>
        <v>1</v>
      </c>
      <c r="X13" s="407">
        <v>29.6</v>
      </c>
      <c r="Y13" s="266"/>
      <c r="Z13" s="404">
        <v>29.6</v>
      </c>
      <c r="AA13" s="266"/>
      <c r="AB13" s="322" t="str">
        <f t="shared" si="3"/>
        <v>USD12L3L5Y_Quote</v>
      </c>
      <c r="AC13" s="40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6" t="str">
        <v>12L</v>
      </c>
      <c r="Q14" s="326" t="str">
        <v>3L</v>
      </c>
      <c r="R14" s="324" t="str">
        <f t="shared" si="1"/>
        <v>USD12L3L6Y</v>
      </c>
      <c r="S14" s="269" t="str">
        <v>USD12L3L6Y=ICAP</v>
      </c>
      <c r="T14" s="406">
        <v>29.3</v>
      </c>
      <c r="U14" s="406">
        <v>0</v>
      </c>
      <c r="V14" s="406">
        <f>_xll.qlMidEquivalent(T14,U14)</f>
        <v>29.3</v>
      </c>
      <c r="W14" s="264" t="b">
        <f t="shared" si="2"/>
        <v>1</v>
      </c>
      <c r="X14" s="407">
        <v>29.3</v>
      </c>
      <c r="Y14" s="266"/>
      <c r="Z14" s="404">
        <v>29.3</v>
      </c>
      <c r="AA14" s="266"/>
      <c r="AB14" s="322" t="str">
        <f t="shared" si="3"/>
        <v>USD12L3L6Y_Quote</v>
      </c>
      <c r="AC14" s="40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12L</v>
      </c>
      <c r="Q15" s="326" t="str">
        <v>3L</v>
      </c>
      <c r="R15" s="324" t="str">
        <f t="shared" si="1"/>
        <v>USD12L3L7Y</v>
      </c>
      <c r="S15" s="269" t="str">
        <v>USD12L3L7Y=ICAP</v>
      </c>
      <c r="T15" s="406">
        <v>29.1</v>
      </c>
      <c r="U15" s="406">
        <v>0</v>
      </c>
      <c r="V15" s="406">
        <f>_xll.qlMidEquivalent(T15,U15)</f>
        <v>29.1</v>
      </c>
      <c r="W15" s="264" t="b">
        <f t="shared" si="2"/>
        <v>1</v>
      </c>
      <c r="X15" s="407">
        <v>29.1</v>
      </c>
      <c r="Y15" s="266"/>
      <c r="Z15" s="404">
        <v>29.1</v>
      </c>
      <c r="AA15" s="266"/>
      <c r="AB15" s="322" t="str">
        <f t="shared" si="3"/>
        <v>USD12L3L7Y_Quote</v>
      </c>
      <c r="AC15" s="40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12L</v>
      </c>
      <c r="Q16" s="326" t="str">
        <v>3L</v>
      </c>
      <c r="R16" s="324" t="str">
        <f t="shared" si="1"/>
        <v>USD12L3L8Y</v>
      </c>
      <c r="S16" s="269" t="str">
        <v>USD12L3L8Y=ICAP</v>
      </c>
      <c r="T16" s="406">
        <v>28.9</v>
      </c>
      <c r="U16" s="406">
        <v>0</v>
      </c>
      <c r="V16" s="406">
        <f>_xll.qlMidEquivalent(T16,U16)</f>
        <v>28.9</v>
      </c>
      <c r="W16" s="264" t="b">
        <f t="shared" si="2"/>
        <v>1</v>
      </c>
      <c r="X16" s="407">
        <v>28.9</v>
      </c>
      <c r="Y16" s="266"/>
      <c r="Z16" s="404">
        <v>28.9</v>
      </c>
      <c r="AA16" s="266"/>
      <c r="AB16" s="322" t="str">
        <f t="shared" si="3"/>
        <v>USD12L3L8Y_Quote</v>
      </c>
      <c r="AC16" s="40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12L</v>
      </c>
      <c r="Q17" s="326" t="str">
        <v>3L</v>
      </c>
      <c r="R17" s="324" t="str">
        <f t="shared" si="1"/>
        <v>USD12L3L9Y</v>
      </c>
      <c r="S17" s="269" t="str">
        <v>USD12L3L9Y=ICAP</v>
      </c>
      <c r="T17" s="406">
        <v>28.7</v>
      </c>
      <c r="U17" s="406">
        <v>0</v>
      </c>
      <c r="V17" s="406">
        <f>_xll.qlMidEquivalent(T17,U17)</f>
        <v>28.7</v>
      </c>
      <c r="W17" s="264" t="b">
        <f t="shared" si="2"/>
        <v>1</v>
      </c>
      <c r="X17" s="407">
        <v>28.7</v>
      </c>
      <c r="Y17" s="266"/>
      <c r="Z17" s="404">
        <v>28.7</v>
      </c>
      <c r="AA17" s="266"/>
      <c r="AB17" s="322" t="str">
        <f t="shared" si="3"/>
        <v>USD12L3L9Y_Quote</v>
      </c>
      <c r="AC17" s="40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12L</v>
      </c>
      <c r="Q18" s="326" t="str">
        <v>3L</v>
      </c>
      <c r="R18" s="324" t="str">
        <f t="shared" si="1"/>
        <v>USD12L3L10Y</v>
      </c>
      <c r="S18" s="269" t="str">
        <v>USD12L3L10Y=ICAP</v>
      </c>
      <c r="T18" s="406">
        <v>28.5</v>
      </c>
      <c r="U18" s="406">
        <v>0</v>
      </c>
      <c r="V18" s="406">
        <f>_xll.qlMidEquivalent(T18,U18)</f>
        <v>28.5</v>
      </c>
      <c r="W18" s="264" t="b">
        <f t="shared" si="2"/>
        <v>1</v>
      </c>
      <c r="X18" s="407">
        <v>28.5</v>
      </c>
      <c r="Y18" s="266"/>
      <c r="Z18" s="404">
        <v>28.5</v>
      </c>
      <c r="AA18" s="266"/>
      <c r="AB18" s="322" t="str">
        <f t="shared" si="3"/>
        <v>USD12L3L10Y_Quote</v>
      </c>
      <c r="AC18" s="40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12L</v>
      </c>
      <c r="Q19" s="326" t="str">
        <v>3L</v>
      </c>
      <c r="R19" s="324" t="str">
        <f t="shared" si="1"/>
        <v>USD12L3L11Y</v>
      </c>
      <c r="S19" s="269" t="str">
        <v>USD12L3L11Y=ICAP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 t="shared" si="2"/>
        <v>0</v>
      </c>
      <c r="X19" s="407">
        <v>28.297088844695441</v>
      </c>
      <c r="Y19" s="266"/>
      <c r="Z19" s="404">
        <v>28.297088844695441</v>
      </c>
      <c r="AA19" s="266"/>
      <c r="AB19" s="322" t="str">
        <f t="shared" si="3"/>
        <v>USD12L3L11Y_Quote</v>
      </c>
      <c r="AC19" s="40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12L</v>
      </c>
      <c r="Q20" s="326" t="str">
        <v>3L</v>
      </c>
      <c r="R20" s="324" t="str">
        <f t="shared" si="1"/>
        <v>USD12L3L12Y</v>
      </c>
      <c r="S20" s="269" t="str">
        <v>USD12L3L12Y=ICAP</v>
      </c>
      <c r="T20" s="406">
        <v>28.1</v>
      </c>
      <c r="U20" s="406">
        <v>0</v>
      </c>
      <c r="V20" s="406">
        <f>_xll.qlMidEquivalent(T20,U20)</f>
        <v>28.1</v>
      </c>
      <c r="W20" s="264" t="b">
        <f t="shared" si="2"/>
        <v>1</v>
      </c>
      <c r="X20" s="407">
        <v>28.1</v>
      </c>
      <c r="Y20" s="266"/>
      <c r="Z20" s="404">
        <v>28.1</v>
      </c>
      <c r="AA20" s="266"/>
      <c r="AB20" s="322" t="str">
        <f t="shared" si="3"/>
        <v>USD12L3L12Y_Quote</v>
      </c>
      <c r="AC20" s="40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12L</v>
      </c>
      <c r="Q21" s="326" t="str">
        <v>3L</v>
      </c>
      <c r="R21" s="324" t="str">
        <f t="shared" si="1"/>
        <v>USD12L3L13Y</v>
      </c>
      <c r="S21" s="269" t="str">
        <v>USD12L3L13Y=ICAP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 t="shared" si="2"/>
        <v>0</v>
      </c>
      <c r="X21" s="407">
        <v>27.91789306687464</v>
      </c>
      <c r="Y21" s="266"/>
      <c r="Z21" s="404">
        <v>27.91789306687464</v>
      </c>
      <c r="AA21" s="266"/>
      <c r="AB21" s="322" t="str">
        <f t="shared" si="3"/>
        <v>USD12L3L13Y_Quote</v>
      </c>
      <c r="AC21" s="40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12L</v>
      </c>
      <c r="Q22" s="326" t="str">
        <v>3L</v>
      </c>
      <c r="R22" s="324" t="str">
        <f t="shared" si="1"/>
        <v>USD12L3L14Y</v>
      </c>
      <c r="S22" s="269" t="str">
        <v>USD12L3L14Y=ICAP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 t="shared" si="2"/>
        <v>0</v>
      </c>
      <c r="X22" s="407">
        <v>27.75163039000314</v>
      </c>
      <c r="Y22" s="266"/>
      <c r="Z22" s="404">
        <v>27.75163039000314</v>
      </c>
      <c r="AA22" s="266"/>
      <c r="AB22" s="322" t="str">
        <f t="shared" si="3"/>
        <v>USD12L3L14Y_Quote</v>
      </c>
      <c r="AC22" s="40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12L</v>
      </c>
      <c r="Q23" s="326" t="str">
        <v>3L</v>
      </c>
      <c r="R23" s="324" t="str">
        <f t="shared" si="1"/>
        <v>USD12L3L15Y</v>
      </c>
      <c r="S23" s="269" t="str">
        <v>USD12L3L15Y=ICAP</v>
      </c>
      <c r="T23" s="406">
        <v>27.6</v>
      </c>
      <c r="U23" s="406">
        <v>0</v>
      </c>
      <c r="V23" s="406">
        <f>_xll.qlMidEquivalent(T23,U23)</f>
        <v>27.6</v>
      </c>
      <c r="W23" s="264" t="b">
        <f t="shared" si="2"/>
        <v>1</v>
      </c>
      <c r="X23" s="407">
        <v>27.6</v>
      </c>
      <c r="Y23" s="266"/>
      <c r="Z23" s="404">
        <v>27.6</v>
      </c>
      <c r="AA23" s="266"/>
      <c r="AB23" s="322" t="str">
        <f t="shared" si="3"/>
        <v>USD12L3L15Y_Quote</v>
      </c>
      <c r="AC23" s="40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12L</v>
      </c>
      <c r="Q24" s="326" t="str">
        <v>3L</v>
      </c>
      <c r="R24" s="324" t="str">
        <f t="shared" si="1"/>
        <v>USD12L3L16Y</v>
      </c>
      <c r="S24" s="269" t="str">
        <v>USD12L3L16Y=ICAP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 t="shared" si="2"/>
        <v>0</v>
      </c>
      <c r="X24" s="407">
        <v>27.461638620083583</v>
      </c>
      <c r="Y24" s="266"/>
      <c r="Z24" s="404">
        <v>27.461638620083583</v>
      </c>
      <c r="AA24" s="266"/>
      <c r="AB24" s="322" t="str">
        <f t="shared" si="3"/>
        <v>USD12L3L16Y_Quote</v>
      </c>
      <c r="AC24" s="40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12L</v>
      </c>
      <c r="Q25" s="326" t="str">
        <v>3L</v>
      </c>
      <c r="R25" s="324" t="str">
        <f t="shared" si="1"/>
        <v>USD12L3L17Y</v>
      </c>
      <c r="S25" s="269" t="str">
        <v>USD12L3L17Y=ICAP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 t="shared" si="2"/>
        <v>0</v>
      </c>
      <c r="X25" s="407">
        <v>27.334577743887696</v>
      </c>
      <c r="Y25" s="266"/>
      <c r="Z25" s="404">
        <v>27.334577743887696</v>
      </c>
      <c r="AA25" s="266"/>
      <c r="AB25" s="322" t="str">
        <f t="shared" si="3"/>
        <v>USD12L3L17Y_Quote</v>
      </c>
      <c r="AC25" s="40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12L</v>
      </c>
      <c r="Q26" s="326" t="str">
        <v>3L</v>
      </c>
      <c r="R26" s="324" t="str">
        <f t="shared" si="1"/>
        <v>USD12L3L18Y</v>
      </c>
      <c r="S26" s="269" t="str">
        <v>USD12L3L18Y=ICAP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 t="shared" si="2"/>
        <v>0</v>
      </c>
      <c r="X26" s="407">
        <v>27.216697557650019</v>
      </c>
      <c r="Y26" s="266"/>
      <c r="Z26" s="404">
        <v>27.216697557650019</v>
      </c>
      <c r="AA26" s="266"/>
      <c r="AB26" s="322" t="str">
        <f t="shared" si="3"/>
        <v>USD12L3L18Y_Quote</v>
      </c>
      <c r="AC26" s="40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12L</v>
      </c>
      <c r="Q27" s="326" t="str">
        <v>3L</v>
      </c>
      <c r="R27" s="324" t="str">
        <f t="shared" si="1"/>
        <v>USD12L3L19Y</v>
      </c>
      <c r="S27" s="269" t="str">
        <v>USD12L3L19Y=ICAP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 t="shared" si="2"/>
        <v>0</v>
      </c>
      <c r="X27" s="407">
        <v>27.105878247608228</v>
      </c>
      <c r="Y27" s="266"/>
      <c r="Z27" s="404">
        <v>27.105878247608228</v>
      </c>
      <c r="AA27" s="266"/>
      <c r="AB27" s="322" t="str">
        <f t="shared" si="3"/>
        <v>USD12L3L19Y_Quote</v>
      </c>
      <c r="AC27" s="40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12L</v>
      </c>
      <c r="Q28" s="326" t="str">
        <v>3L</v>
      </c>
      <c r="R28" s="324" t="str">
        <f t="shared" si="1"/>
        <v>USD12L3L20Y</v>
      </c>
      <c r="S28" s="269" t="str">
        <v>USD12L3L20Y=ICAP</v>
      </c>
      <c r="T28" s="406">
        <v>27</v>
      </c>
      <c r="U28" s="406">
        <v>0</v>
      </c>
      <c r="V28" s="406">
        <f>_xll.qlMidEquivalent(T28,U28)</f>
        <v>27</v>
      </c>
      <c r="W28" s="264" t="b">
        <f t="shared" si="2"/>
        <v>1</v>
      </c>
      <c r="X28" s="407">
        <v>27</v>
      </c>
      <c r="Y28" s="266"/>
      <c r="Z28" s="404">
        <v>27</v>
      </c>
      <c r="AA28" s="266"/>
      <c r="AB28" s="322" t="str">
        <f t="shared" si="3"/>
        <v>USD12L3L20Y_Quote</v>
      </c>
      <c r="AC28" s="40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12L</v>
      </c>
      <c r="Q29" s="326" t="str">
        <v>3L</v>
      </c>
      <c r="R29" s="324" t="str">
        <f t="shared" si="1"/>
        <v>USD12L3L21Y</v>
      </c>
      <c r="S29" s="269" t="str">
        <v>USD12L3L21Y=ICAP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 t="shared" si="2"/>
        <v>0</v>
      </c>
      <c r="X29" s="407">
        <v>26.897178751328763</v>
      </c>
      <c r="Y29" s="266"/>
      <c r="Z29" s="404">
        <v>26.897178751328763</v>
      </c>
      <c r="AA29" s="266"/>
      <c r="AB29" s="322" t="str">
        <f t="shared" si="3"/>
        <v>USD12L3L21Y_Quote</v>
      </c>
      <c r="AC29" s="40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12L</v>
      </c>
      <c r="Q30" s="326" t="str">
        <v>3L</v>
      </c>
      <c r="R30" s="324" t="str">
        <f t="shared" si="1"/>
        <v>USD12L3L22Y</v>
      </c>
      <c r="S30" s="269" t="str">
        <v>USD12L3L22Y=ICAP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 t="shared" si="2"/>
        <v>0</v>
      </c>
      <c r="X30" s="407">
        <v>26.796473439160952</v>
      </c>
      <c r="Y30" s="266"/>
      <c r="Z30" s="404">
        <v>26.796473439160952</v>
      </c>
      <c r="AA30" s="266"/>
      <c r="AB30" s="322" t="str">
        <f t="shared" si="3"/>
        <v>USD12L3L22Y_Quote</v>
      </c>
      <c r="AC30" s="40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12L</v>
      </c>
      <c r="Q31" s="326" t="str">
        <v>3L</v>
      </c>
      <c r="R31" s="324" t="str">
        <f t="shared" si="1"/>
        <v>USD12L3L23Y</v>
      </c>
      <c r="S31" s="269" t="str">
        <v>USD12L3L23Y=ICAP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 t="shared" si="2"/>
        <v>0</v>
      </c>
      <c r="X31" s="407">
        <v>26.69717875132876</v>
      </c>
      <c r="Y31" s="266"/>
      <c r="Z31" s="404">
        <v>26.69717875132876</v>
      </c>
      <c r="AA31" s="266"/>
      <c r="AB31" s="322" t="str">
        <f t="shared" si="3"/>
        <v>USD12L3L23Y_Quote</v>
      </c>
      <c r="AC31" s="40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12L</v>
      </c>
      <c r="Q32" s="326" t="str">
        <v>3L</v>
      </c>
      <c r="R32" s="324" t="str">
        <f t="shared" si="1"/>
        <v>USD12L3L24Y</v>
      </c>
      <c r="S32" s="269" t="str">
        <v>USD12L3L24Y=ICAP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 t="shared" si="2"/>
        <v>0</v>
      </c>
      <c r="X32" s="407">
        <v>26.598589375664382</v>
      </c>
      <c r="Y32" s="266"/>
      <c r="Z32" s="404">
        <v>26.598589375664382</v>
      </c>
      <c r="AA32" s="266"/>
      <c r="AB32" s="322" t="str">
        <f t="shared" si="3"/>
        <v>USD12L3L24Y_Quote</v>
      </c>
      <c r="AC32" s="40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12L</v>
      </c>
      <c r="Q33" s="326" t="str">
        <v>3L</v>
      </c>
      <c r="R33" s="324" t="str">
        <f t="shared" si="1"/>
        <v>USD12L3L25Y</v>
      </c>
      <c r="S33" s="269" t="str">
        <v>USD12L3L25Y=ICAP</v>
      </c>
      <c r="T33" s="406">
        <v>26.5</v>
      </c>
      <c r="U33" s="406">
        <v>0</v>
      </c>
      <c r="V33" s="406">
        <f>_xll.qlMidEquivalent(T33,U33)</f>
        <v>26.5</v>
      </c>
      <c r="W33" s="264" t="b">
        <f t="shared" si="2"/>
        <v>1</v>
      </c>
      <c r="X33" s="407">
        <v>26.5</v>
      </c>
      <c r="Y33" s="266"/>
      <c r="Z33" s="404">
        <v>26.5</v>
      </c>
      <c r="AA33" s="266"/>
      <c r="AB33" s="322" t="str">
        <f t="shared" si="3"/>
        <v>USD12L3L25Y_Quote</v>
      </c>
      <c r="AC33" s="40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12L</v>
      </c>
      <c r="Q34" s="326" t="str">
        <v>3L</v>
      </c>
      <c r="R34" s="324" t="str">
        <f t="shared" si="1"/>
        <v>USD12L3L26Y</v>
      </c>
      <c r="S34" s="269" t="str">
        <v>USD12L3L26Y=ICAP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 t="shared" si="2"/>
        <v>0</v>
      </c>
      <c r="X34" s="407">
        <v>26.400846374601372</v>
      </c>
      <c r="Y34" s="266"/>
      <c r="Z34" s="404">
        <v>26.400846374601372</v>
      </c>
      <c r="AA34" s="266"/>
      <c r="AB34" s="322" t="str">
        <f t="shared" si="3"/>
        <v>USD12L3L26Y_Quote</v>
      </c>
      <c r="AC34" s="40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12L</v>
      </c>
      <c r="Q35" s="326" t="str">
        <v>3L</v>
      </c>
      <c r="R35" s="324" t="str">
        <f t="shared" si="1"/>
        <v>USD12L3L27Y</v>
      </c>
      <c r="S35" s="269" t="str">
        <v>USD12L3L27Y=ICAP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 t="shared" si="2"/>
        <v>0</v>
      </c>
      <c r="X35" s="407">
        <v>26.301128499468497</v>
      </c>
      <c r="Y35" s="266"/>
      <c r="Z35" s="404">
        <v>26.301128499468497</v>
      </c>
      <c r="AA35" s="266"/>
      <c r="AB35" s="322" t="str">
        <f t="shared" si="3"/>
        <v>USD12L3L27Y_Quote</v>
      </c>
      <c r="AC35" s="40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12L</v>
      </c>
      <c r="Q36" s="326" t="str">
        <v>3L</v>
      </c>
      <c r="R36" s="324" t="str">
        <f t="shared" si="1"/>
        <v>USD12L3L28Y</v>
      </c>
      <c r="S36" s="269" t="str">
        <v>USD12L3L28Y=ICAP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 t="shared" si="2"/>
        <v>0</v>
      </c>
      <c r="X36" s="407">
        <v>26.200987437034932</v>
      </c>
      <c r="Y36" s="266"/>
      <c r="Z36" s="404">
        <v>26.200987437034932</v>
      </c>
      <c r="AA36" s="266"/>
      <c r="AB36" s="322" t="str">
        <f t="shared" si="3"/>
        <v>USD12L3L28Y_Quote</v>
      </c>
      <c r="AC36" s="40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12L</v>
      </c>
      <c r="Q37" s="326" t="str">
        <v>3L</v>
      </c>
      <c r="R37" s="324" t="str">
        <f t="shared" si="1"/>
        <v>USD12L3L29Y</v>
      </c>
      <c r="S37" s="269" t="str">
        <v>USD12L3L29Y=ICAP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 t="shared" si="2"/>
        <v>0</v>
      </c>
      <c r="X37" s="407">
        <v>26.100564249734248</v>
      </c>
      <c r="Y37" s="266"/>
      <c r="Z37" s="404">
        <v>26.100564249734248</v>
      </c>
      <c r="AA37" s="266"/>
      <c r="AB37" s="322" t="str">
        <f t="shared" si="3"/>
        <v>USD12L3L29Y_Quote</v>
      </c>
      <c r="AC37" s="40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12L</v>
      </c>
      <c r="Q38" s="326" t="str">
        <v>3L</v>
      </c>
      <c r="R38" s="324" t="str">
        <f t="shared" si="1"/>
        <v>USD12L3L30Y</v>
      </c>
      <c r="S38" s="269" t="str">
        <v>USD12L3L30Y=ICAP</v>
      </c>
      <c r="T38" s="406">
        <v>26</v>
      </c>
      <c r="U38" s="406">
        <v>0</v>
      </c>
      <c r="V38" s="406">
        <f>_xll.qlMidEquivalent(T38,U38)</f>
        <v>26</v>
      </c>
      <c r="W38" s="264" t="b">
        <f t="shared" si="2"/>
        <v>1</v>
      </c>
      <c r="X38" s="407">
        <v>26</v>
      </c>
      <c r="Y38" s="266"/>
      <c r="Z38" s="404">
        <v>26</v>
      </c>
      <c r="AA38" s="266"/>
      <c r="AB38" s="322" t="str">
        <f t="shared" si="3"/>
        <v>USD12L3L30Y_Quote</v>
      </c>
      <c r="AC38" s="40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12L</v>
      </c>
      <c r="Q39" s="326" t="str">
        <v>3L</v>
      </c>
      <c r="R39" s="324" t="str">
        <f t="shared" si="1"/>
        <v>USD12L3L35Y</v>
      </c>
      <c r="S39" s="269" t="str">
        <v>USD12L3L35Y=ICAP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 t="shared" si="2"/>
        <v>0</v>
      </c>
      <c r="X39" s="405">
        <f>X38</f>
        <v>26</v>
      </c>
      <c r="Y39" s="266"/>
      <c r="Z39" s="404">
        <v>26</v>
      </c>
      <c r="AA39" s="266"/>
      <c r="AB39" s="322" t="str">
        <f t="shared" si="3"/>
        <v>USD12L3L35Y_Quote</v>
      </c>
      <c r="AC39" s="40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12L</v>
      </c>
      <c r="Q40" s="326" t="str">
        <v>3L</v>
      </c>
      <c r="R40" s="324" t="str">
        <f t="shared" si="1"/>
        <v>USD12L3L40Y</v>
      </c>
      <c r="S40" s="269" t="str">
        <v>USD12L3L40Y=ICAP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 t="shared" si="2"/>
        <v>0</v>
      </c>
      <c r="X40" s="405">
        <f>X39</f>
        <v>26</v>
      </c>
      <c r="Y40" s="266"/>
      <c r="Z40" s="404">
        <v>26</v>
      </c>
      <c r="AA40" s="266"/>
      <c r="AB40" s="322" t="str">
        <f t="shared" si="3"/>
        <v>USD12L3L40Y_Quote</v>
      </c>
      <c r="AC40" s="40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12L</v>
      </c>
      <c r="Q41" s="326" t="str">
        <v>3L</v>
      </c>
      <c r="R41" s="324" t="str">
        <f t="shared" si="1"/>
        <v>USD12L3L50Y</v>
      </c>
      <c r="S41" s="269" t="str">
        <v>USD12L3L50Y=ICAP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 t="shared" si="2"/>
        <v>0</v>
      </c>
      <c r="X41" s="405">
        <f>X40</f>
        <v>26</v>
      </c>
      <c r="Y41" s="266"/>
      <c r="Z41" s="404">
        <v>26</v>
      </c>
      <c r="AA41" s="266"/>
      <c r="AB41" s="322" t="str">
        <f t="shared" si="3"/>
        <v>USD12L3L50Y_Quote</v>
      </c>
      <c r="AC41" s="40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12L</v>
      </c>
      <c r="Q42" s="321" t="str">
        <v>3L</v>
      </c>
      <c r="R42" s="319" t="str">
        <f t="shared" si="1"/>
        <v>USD12L3L60Y</v>
      </c>
      <c r="S42" s="281" t="str">
        <v>USD12L3L60Y=ICAP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 t="shared" si="2"/>
        <v>0</v>
      </c>
      <c r="X42" s="401">
        <f>X41</f>
        <v>26</v>
      </c>
      <c r="Y42" s="266"/>
      <c r="Z42" s="400">
        <v>26</v>
      </c>
      <c r="AA42" s="266"/>
      <c r="AB42" s="317" t="str">
        <f t="shared" si="3"/>
        <v>USD12L3L60Y_Quote</v>
      </c>
      <c r="AC42" s="39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4.4257812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6" width="5" style="102" customWidth="1"/>
    <col min="7" max="14" width="9.140625" style="102"/>
    <col min="15" max="15" width="12.85546875" style="102" bestFit="1" customWidth="1"/>
    <col min="16" max="16384" width="9.140625" style="102"/>
  </cols>
  <sheetData>
    <row r="1" spans="1:24" x14ac:dyDescent="0.2">
      <c r="H1" s="304" t="s">
        <v>313</v>
      </c>
      <c r="I1" s="201"/>
      <c r="J1" s="2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  <c r="W1" s="21"/>
      <c r="X1" s="21"/>
    </row>
    <row r="2" spans="1:24" ht="21" customHeight="1" x14ac:dyDescent="0.2">
      <c r="H2" s="303"/>
      <c r="I2" s="302"/>
      <c r="J2" s="143" t="s">
        <v>48</v>
      </c>
      <c r="K2" s="266"/>
      <c r="L2" s="266"/>
      <c r="M2" s="266"/>
      <c r="N2" s="266"/>
      <c r="O2" s="301" t="s">
        <v>265</v>
      </c>
      <c r="P2" s="300" t="s">
        <v>264</v>
      </c>
      <c r="Q2" s="299"/>
      <c r="R2" s="47"/>
      <c r="S2" s="21"/>
      <c r="T2" s="21"/>
      <c r="U2" s="21"/>
      <c r="V2" s="21"/>
      <c r="W2" s="21"/>
      <c r="X2" s="21"/>
    </row>
    <row r="3" spans="1:24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9"/>
      <c r="P3" s="299"/>
      <c r="Q3" s="298">
        <f>_xll.ohTrigger(Q5:Q18)</f>
        <v>1</v>
      </c>
      <c r="R3" s="220"/>
      <c r="S3" s="21"/>
      <c r="T3" s="21"/>
      <c r="U3" s="21"/>
      <c r="V3" s="21"/>
      <c r="W3" s="21"/>
      <c r="X3" s="21"/>
    </row>
    <row r="4" spans="1:24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5"/>
      <c r="J4" s="261" t="e">
        <f ca="1">_xll.RData(J8:J22,K4,,ReutersRtMode,,K8)</f>
        <v>#NAME?</v>
      </c>
      <c r="K4" s="297" t="e">
        <f>VLOOKUP(Contributor,ContributorTable,5,FALSE)</f>
        <v>#REF!</v>
      </c>
      <c r="L4" s="266"/>
      <c r="M4" s="296" t="s">
        <v>263</v>
      </c>
      <c r="N4" s="266"/>
      <c r="O4" s="295" t="s">
        <v>262</v>
      </c>
      <c r="P4" s="294" t="s">
        <v>261</v>
      </c>
      <c r="Q4" s="293" t="s">
        <v>260</v>
      </c>
      <c r="R4" s="220"/>
      <c r="S4" s="21"/>
      <c r="T4" s="292" t="s">
        <v>259</v>
      </c>
      <c r="U4" s="291" t="s">
        <v>258</v>
      </c>
      <c r="V4" s="291" t="s">
        <v>257</v>
      </c>
      <c r="W4" s="291" t="s">
        <v>256</v>
      </c>
      <c r="X4" s="290" t="s">
        <v>255</v>
      </c>
    </row>
    <row r="5" spans="1:24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USDOND_Quote#0004</v>
      </c>
      <c r="E5" s="104" t="str">
        <f>_xll.ohRangeRetrieveError(D5)</f>
        <v/>
      </c>
      <c r="F5" s="103"/>
      <c r="H5" s="121"/>
      <c r="I5" s="289" t="s">
        <v>220</v>
      </c>
      <c r="J5" s="288" t="e">
        <f t="array" ref="J5:J7">Currency&amp;VLOOKUP(J25,ContributorTable,2,FALSE)&amp;I5:I7&amp;VLOOKUP(J25,ContributorTable,3,FALSE)&amp;"="&amp;VLOOKUP(J25,ContributorTable,4,FALSE)</f>
        <v>#REF!</v>
      </c>
      <c r="K5" s="287">
        <f>M28</f>
        <v>0.16</v>
      </c>
      <c r="L5" s="266"/>
      <c r="M5" s="286">
        <v>0.16</v>
      </c>
      <c r="N5" s="266"/>
      <c r="O5" s="285" t="str">
        <f t="array" ref="O5:O22">Currency&amp;I5:I22&amp;$P$2</f>
        <v>USDOND_Quote</v>
      </c>
      <c r="P5" s="284">
        <f t="array" ref="P5:P22">QuoteLive</f>
        <v>0.16</v>
      </c>
      <c r="Q5" s="283" t="e">
        <f>_xll.qlSimpleQuoteSetValue($O5,$P5/100,Trigger)</f>
        <v>#N/A</v>
      </c>
      <c r="R5" s="220"/>
      <c r="S5" s="21"/>
      <c r="T5" s="275" t="s">
        <v>254</v>
      </c>
      <c r="U5" s="83" t="s">
        <v>253</v>
      </c>
      <c r="V5" s="83" t="s">
        <v>237</v>
      </c>
      <c r="W5" s="83" t="str">
        <f>""</f>
        <v/>
      </c>
      <c r="X5" s="274" t="s">
        <v>250</v>
      </c>
    </row>
    <row r="6" spans="1:24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USDTND_Quote#0004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M29</f>
        <v>0.16</v>
      </c>
      <c r="L6" s="266"/>
      <c r="M6" s="267">
        <v>0.16</v>
      </c>
      <c r="N6" s="266"/>
      <c r="O6" s="265" t="str">
        <v>USDTND_Quote</v>
      </c>
      <c r="P6" s="264">
        <v>0.16</v>
      </c>
      <c r="Q6" s="263" t="e">
        <f>_xll.qlSimpleQuoteSetValue($O6,$P6/100,Trigger)</f>
        <v>#N/A</v>
      </c>
      <c r="R6" s="220"/>
      <c r="S6" s="21"/>
      <c r="T6" s="275" t="s">
        <v>48</v>
      </c>
      <c r="U6" s="83"/>
      <c r="V6" s="83" t="s">
        <v>251</v>
      </c>
      <c r="W6" s="83"/>
      <c r="X6" s="274" t="s">
        <v>250</v>
      </c>
    </row>
    <row r="7" spans="1:24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USDSND_Quote#0004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M30</f>
        <v>0.16</v>
      </c>
      <c r="L7" s="266"/>
      <c r="M7" s="279">
        <v>0.16</v>
      </c>
      <c r="N7" s="266"/>
      <c r="O7" s="278" t="str">
        <v>USDSND_Quote</v>
      </c>
      <c r="P7" s="277">
        <v>0.16</v>
      </c>
      <c r="Q7" s="276" t="e">
        <f>_xll.qlSimpleQuoteSetValue($O7,$P7/100,Trigger)</f>
        <v>#N/A</v>
      </c>
      <c r="R7" s="220"/>
      <c r="S7" s="21"/>
      <c r="T7" s="275" t="s">
        <v>248</v>
      </c>
      <c r="U7" s="83"/>
      <c r="V7" s="83" t="s">
        <v>237</v>
      </c>
      <c r="W7" s="83"/>
      <c r="X7" s="274" t="s">
        <v>232</v>
      </c>
    </row>
    <row r="8" spans="1:24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USDSWD_Quote#0004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265" t="str">
        <v>USDSWD_Quote</v>
      </c>
      <c r="P8" s="264">
        <v>0.1389</v>
      </c>
      <c r="Q8" s="263" t="e">
        <f>_xll.qlSimpleQuoteSetValue($O8,$P8/100,Trigger)</f>
        <v>#N/A</v>
      </c>
      <c r="R8" s="220"/>
      <c r="S8" s="21"/>
      <c r="T8" s="275" t="s">
        <v>235</v>
      </c>
      <c r="U8" s="83"/>
      <c r="V8" s="83" t="s">
        <v>237</v>
      </c>
      <c r="W8" s="83" t="s">
        <v>247</v>
      </c>
      <c r="X8" s="274" t="s">
        <v>232</v>
      </c>
    </row>
    <row r="9" spans="1:24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USD2WD_Quote#0004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265" t="str">
        <v>USD2WD_Quote</v>
      </c>
      <c r="P9" s="264">
        <v>0</v>
      </c>
      <c r="Q9" s="263" t="e">
        <f>_xll.qlSimpleQuoteSetValue($O9,$P9/100,Trigger)</f>
        <v>#N/A</v>
      </c>
      <c r="R9" s="220"/>
      <c r="S9" s="21"/>
      <c r="T9" s="275" t="s">
        <v>246</v>
      </c>
      <c r="U9" s="83"/>
      <c r="V9" s="83" t="s">
        <v>237</v>
      </c>
      <c r="W9" s="83" t="s">
        <v>246</v>
      </c>
      <c r="X9" s="274" t="s">
        <v>232</v>
      </c>
    </row>
    <row r="10" spans="1:24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USD3WD_Quote#0004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265" t="str">
        <v>USD3WD_Quote</v>
      </c>
      <c r="P10" s="264" t="str">
        <v>The record could not be found</v>
      </c>
      <c r="Q10" s="263" t="e">
        <f>_xll.qlSimpleQuoteSetValue($O10,$P10/100,Trigger)</f>
        <v>#NUM!</v>
      </c>
      <c r="R10" s="220"/>
      <c r="S10" s="21"/>
      <c r="T10" s="275" t="s">
        <v>244</v>
      </c>
      <c r="U10" s="83"/>
      <c r="V10" s="83" t="s">
        <v>237</v>
      </c>
      <c r="W10" s="83" t="s">
        <v>243</v>
      </c>
      <c r="X10" s="274" t="s">
        <v>232</v>
      </c>
    </row>
    <row r="11" spans="1:24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USD1MD_Quote#0004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265" t="str">
        <v>USD1MD_Quote</v>
      </c>
      <c r="P11" s="264">
        <v>0.17019999999999999</v>
      </c>
      <c r="Q11" s="263" t="e">
        <f>_xll.qlSimpleQuoteSetValue($O11,$P11/100,Trigger)</f>
        <v>#N/A</v>
      </c>
      <c r="R11" s="220"/>
      <c r="S11" s="21"/>
      <c r="T11" s="275" t="s">
        <v>242</v>
      </c>
      <c r="U11" s="83"/>
      <c r="V11" s="83" t="s">
        <v>237</v>
      </c>
      <c r="W11" s="83" t="s">
        <v>241</v>
      </c>
      <c r="X11" s="274" t="s">
        <v>232</v>
      </c>
    </row>
    <row r="12" spans="1:24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USD2MD_Quote#0004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265" t="str">
        <v>USD2MD_Quote</v>
      </c>
      <c r="P12" s="264">
        <v>0.20974999999999999</v>
      </c>
      <c r="Q12" s="263" t="e">
        <f>_xll.qlSimpleQuoteSetValue($O12,$P12/100,Trigger)</f>
        <v>#N/A</v>
      </c>
      <c r="R12" s="220"/>
      <c r="S12" s="21"/>
      <c r="T12" s="275" t="s">
        <v>240</v>
      </c>
      <c r="U12" s="83"/>
      <c r="V12" s="83" t="s">
        <v>237</v>
      </c>
      <c r="W12" s="83" t="s">
        <v>239</v>
      </c>
      <c r="X12" s="274" t="s">
        <v>232</v>
      </c>
    </row>
    <row r="13" spans="1:24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USD3MD_Quote#0004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265" t="str">
        <v>USD3MD_Quote</v>
      </c>
      <c r="P13" s="264">
        <v>0.23835000000000001</v>
      </c>
      <c r="Q13" s="263" t="e">
        <f>_xll.qlSimpleQuoteSetValue($O13,$P13/100,Trigger)</f>
        <v>#N/A</v>
      </c>
      <c r="R13" s="220"/>
      <c r="S13" s="21"/>
      <c r="T13" s="273" t="s">
        <v>238</v>
      </c>
      <c r="U13" s="272"/>
      <c r="V13" s="272" t="s">
        <v>237</v>
      </c>
      <c r="W13" s="272" t="s">
        <v>236</v>
      </c>
      <c r="X13" s="271" t="s">
        <v>232</v>
      </c>
    </row>
    <row r="14" spans="1:24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USD4MD_Quote#0004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265" t="str">
        <v>USD4MD_Quote</v>
      </c>
      <c r="P14" s="264">
        <v>0</v>
      </c>
      <c r="Q14" s="263" t="e">
        <f>_xll.qlSimpleQuoteSetValue($O14,$P14/100,Trigger)</f>
        <v>#N/A</v>
      </c>
      <c r="R14" s="220"/>
      <c r="S14" s="21"/>
      <c r="T14" s="21"/>
      <c r="U14" s="21"/>
      <c r="V14" s="21"/>
      <c r="W14" s="21"/>
      <c r="X14" s="21"/>
    </row>
    <row r="15" spans="1:24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USD5MD_Quote#0004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265" t="str">
        <v>USD5MD_Quote</v>
      </c>
      <c r="P15" s="264">
        <v>0</v>
      </c>
      <c r="Q15" s="263" t="e">
        <f>_xll.qlSimpleQuoteSetValue($O15,$P15/100,Trigger)</f>
        <v>#N/A</v>
      </c>
      <c r="R15" s="220"/>
      <c r="S15" s="21"/>
      <c r="T15" s="21"/>
      <c r="U15" s="21"/>
      <c r="V15" s="21"/>
      <c r="W15" s="21"/>
      <c r="X15" s="21"/>
    </row>
    <row r="16" spans="1:24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USD6MD_Quote#0004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265" t="str">
        <v>USD6MD_Quote</v>
      </c>
      <c r="P16" s="264">
        <v>0.35570000000000002</v>
      </c>
      <c r="Q16" s="263" t="e">
        <f>_xll.qlSimpleQuoteSetValue($O16,$P16/100,Trigger)</f>
        <v>#N/A</v>
      </c>
      <c r="R16" s="220"/>
      <c r="S16" s="21"/>
      <c r="T16" s="21"/>
      <c r="U16" s="21"/>
      <c r="V16" s="21"/>
      <c r="W16" s="21"/>
      <c r="X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USD7MD_Quote#0004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265" t="str">
        <v>USD7MD_Quote</v>
      </c>
      <c r="P17" s="264">
        <v>0</v>
      </c>
      <c r="Q17" s="263" t="e">
        <f>_xll.qlSimpleQuoteSetValue($O17,$P17/100,Trigger)</f>
        <v>#N/A</v>
      </c>
      <c r="R17" s="220"/>
      <c r="S17" s="21"/>
      <c r="T17" s="21"/>
      <c r="U17" s="21"/>
      <c r="V17" s="21"/>
      <c r="W17" s="21"/>
      <c r="X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USD8MD_Quote#0004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265" t="str">
        <v>USD8MD_Quote</v>
      </c>
      <c r="P18" s="264">
        <v>0</v>
      </c>
      <c r="Q18" s="263" t="e">
        <f>_xll.qlSimpleQuoteSetValue($O18,$P18/100,Trigger)</f>
        <v>#N/A</v>
      </c>
      <c r="R18" s="220"/>
      <c r="S18" s="21"/>
      <c r="T18" s="21"/>
      <c r="U18" s="21"/>
      <c r="V18" s="21"/>
      <c r="W18" s="21"/>
      <c r="X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USD9MD_Quote#0004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265" t="str">
        <v>USD9MD_Quote</v>
      </c>
      <c r="P19" s="264">
        <v>0</v>
      </c>
      <c r="Q19" s="263" t="e">
        <f>_xll.qlSimpleQuoteSetValue($O19,$P19/100,Trigger)</f>
        <v>#N/A</v>
      </c>
      <c r="R19" s="220"/>
      <c r="S19" s="21"/>
      <c r="T19" s="21"/>
      <c r="U19" s="21"/>
      <c r="V19" s="21"/>
      <c r="W19" s="21"/>
      <c r="X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USD10MD_Quote#0004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265" t="str">
        <v>USD10MD_Quote</v>
      </c>
      <c r="P20" s="264">
        <v>0</v>
      </c>
      <c r="Q20" s="263" t="e">
        <f>_xll.qlSimpleQuoteSetValue($O20,$P20/100,Trigger)</f>
        <v>#N/A</v>
      </c>
      <c r="R20" s="220"/>
      <c r="S20" s="21"/>
      <c r="T20" s="21"/>
      <c r="U20" s="21"/>
      <c r="V20" s="21"/>
      <c r="W20" s="21"/>
      <c r="X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USD11MD_Quote#0004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265" t="str">
        <v>USD11MD_Quote</v>
      </c>
      <c r="P21" s="264">
        <v>0</v>
      </c>
      <c r="Q21" s="263" t="e">
        <f>_xll.qlSimpleQuoteSetValue($O21,$P21/100,Trigger)</f>
        <v>#N/A</v>
      </c>
      <c r="R21" s="220"/>
      <c r="S21" s="21"/>
      <c r="T21" s="21"/>
      <c r="U21" s="21"/>
      <c r="V21" s="21"/>
      <c r="W21" s="21"/>
      <c r="X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USD1YD_Quote#0004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265" t="str">
        <v>USD1YD_Quote</v>
      </c>
      <c r="P22" s="264">
        <v>0.60860000000000003</v>
      </c>
      <c r="Q22" s="263" t="e">
        <f>_xll.qlSimpleQuoteSetValue($O22,$P22/100,Trigger)</f>
        <v>#N/A</v>
      </c>
      <c r="R22" s="220"/>
      <c r="S22" s="21"/>
      <c r="T22" s="21"/>
      <c r="U22" s="21"/>
      <c r="V22" s="21"/>
      <c r="W22" s="21"/>
      <c r="X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262"/>
      <c r="R23" s="44"/>
      <c r="S23" s="21"/>
      <c r="T23" s="21"/>
      <c r="U23" s="21"/>
      <c r="V23" s="21"/>
      <c r="W23" s="21"/>
      <c r="X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</row>
    <row r="25" spans="1:24" x14ac:dyDescent="0.2">
      <c r="H25" s="21"/>
      <c r="I25" s="21"/>
      <c r="J25" s="143" t="s">
        <v>235</v>
      </c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</row>
    <row r="26" spans="1:24" x14ac:dyDescent="0.2">
      <c r="H26" s="21" t="s">
        <v>234</v>
      </c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</row>
    <row r="27" spans="1:24" x14ac:dyDescent="0.2">
      <c r="H27" s="21"/>
      <c r="I27" s="21"/>
      <c r="J27" s="261" t="e">
        <f ca="1">_xll.RData(J5:J7,K27:L27,"RTFEED:IDN",ReutersRtMode,,K28)</f>
        <v>#NAME?</v>
      </c>
      <c r="K27" s="260" t="s">
        <v>233</v>
      </c>
      <c r="L27" s="259" t="s">
        <v>232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</row>
    <row r="28" spans="1:24" x14ac:dyDescent="0.2">
      <c r="H28" s="21"/>
      <c r="I28" s="21"/>
      <c r="J28" s="21"/>
      <c r="K28" s="258">
        <v>0.11</v>
      </c>
      <c r="L28" s="258">
        <v>0.21</v>
      </c>
      <c r="M28" s="258">
        <f>(K28+L28)/2</f>
        <v>0.16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</row>
    <row r="29" spans="1:24" x14ac:dyDescent="0.2">
      <c r="H29" s="21"/>
      <c r="I29" s="21"/>
      <c r="J29" s="21"/>
      <c r="K29" s="258">
        <v>0.11</v>
      </c>
      <c r="L29" s="258">
        <v>0.21</v>
      </c>
      <c r="M29" s="258">
        <f>(K29+L29)/2</f>
        <v>0.16</v>
      </c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</row>
    <row r="30" spans="1:24" x14ac:dyDescent="0.2">
      <c r="H30" s="21"/>
      <c r="I30" s="21"/>
      <c r="J30" s="21"/>
      <c r="K30" s="258">
        <v>0.11</v>
      </c>
      <c r="L30" s="258">
        <v>0.21</v>
      </c>
      <c r="M30" s="258">
        <f>(K30+L30)/2</f>
        <v>0.16</v>
      </c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</row>
  </sheetData>
  <conditionalFormatting sqref="Q5:Q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J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7" width="4.28515625" style="20" customWidth="1"/>
    <col min="8" max="8" width="4.42578125" style="20" customWidth="1"/>
    <col min="9" max="16384" width="9.140625" style="20"/>
  </cols>
  <sheetData>
    <row r="1" spans="1:32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  <c r="AC1" s="21"/>
      <c r="AD1" s="21"/>
      <c r="AE1" s="21"/>
      <c r="AF1" s="21"/>
    </row>
    <row r="2" spans="1:32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  <c r="AC2" s="21"/>
      <c r="AD2" s="21"/>
      <c r="AE2" s="21"/>
      <c r="AF2" s="21"/>
    </row>
    <row r="3" spans="1:32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USDT1F1_Quote#0004</v>
      </c>
      <c r="F3" s="123" t="str">
        <f>_xll.ohRangeRetrieveError(E3)</f>
        <v/>
      </c>
      <c r="G3" s="47"/>
      <c r="I3" s="337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  <c r="AC3" s="21"/>
      <c r="AD3" s="21"/>
      <c r="AE3" s="21"/>
      <c r="AF3" s="21"/>
    </row>
    <row r="4" spans="1:32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USDTOM1F1_Quote#0004</v>
      </c>
      <c r="F4" s="116" t="str">
        <f>_xll.ohRangeRetrieveError(E4)</f>
        <v/>
      </c>
      <c r="G4" s="47"/>
      <c r="I4" s="303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6" t="s">
        <v>265</v>
      </c>
      <c r="X4" s="143" t="s">
        <v>142</v>
      </c>
      <c r="Y4" s="136"/>
      <c r="Z4" s="47"/>
      <c r="AA4" s="21"/>
      <c r="AB4" s="21"/>
      <c r="AC4" s="21"/>
      <c r="AD4" s="21"/>
      <c r="AE4" s="21"/>
      <c r="AF4" s="332" t="s">
        <v>267</v>
      </c>
    </row>
    <row r="5" spans="1:32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USDT3F1_Quote#0004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8">
        <f>_xll.ohTrigger(Y7:Y21)</f>
        <v>2</v>
      </c>
      <c r="Z5" s="220"/>
      <c r="AA5" s="21"/>
      <c r="AB5" s="306"/>
      <c r="AC5" s="21"/>
      <c r="AD5" s="21"/>
      <c r="AE5" s="21"/>
      <c r="AF5" s="305">
        <f>(P7-S7)/50</f>
        <v>5.0000000000000044E-4</v>
      </c>
    </row>
    <row r="6" spans="1:32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USDTOM3F1_Quote#0004</v>
      </c>
      <c r="F6" s="116" t="str">
        <f>_xll.ohRangeRetrieveError(E6)</f>
        <v/>
      </c>
      <c r="G6" s="47"/>
      <c r="I6" s="121"/>
      <c r="J6" s="335"/>
      <c r="K6" s="196"/>
      <c r="L6" s="196"/>
      <c r="M6" s="196"/>
      <c r="N6" s="261" t="e">
        <f ca="1">_xll.RData(N7:N21,O6:R6,"RTFEED:IDN",ReutersRtMode,,O7)</f>
        <v>#NAME?</v>
      </c>
      <c r="O6" s="334" t="s">
        <v>233</v>
      </c>
      <c r="P6" s="334" t="s">
        <v>232</v>
      </c>
      <c r="Q6" s="334" t="s">
        <v>250</v>
      </c>
      <c r="R6" s="334" t="s">
        <v>269</v>
      </c>
      <c r="S6" s="293" t="s">
        <v>268</v>
      </c>
      <c r="T6" s="266"/>
      <c r="U6" s="296" t="s">
        <v>263</v>
      </c>
      <c r="V6" s="266"/>
      <c r="W6" s="295" t="s">
        <v>262</v>
      </c>
      <c r="X6" s="333" t="s">
        <v>261</v>
      </c>
      <c r="Y6" s="92" t="s">
        <v>260</v>
      </c>
      <c r="Z6" s="220"/>
      <c r="AA6" s="21"/>
      <c r="AB6" s="306"/>
      <c r="AC6" s="21"/>
      <c r="AD6" s="21"/>
      <c r="AE6" s="21"/>
      <c r="AF6" s="305">
        <f>(P8-S8)/50</f>
        <v>5.0000000000000044E-4</v>
      </c>
    </row>
    <row r="7" spans="1:32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USD1x4F_Quote#0004</v>
      </c>
      <c r="F7" s="123" t="str">
        <f>_xll.ohRangeRetrieveError(E7)</f>
        <v/>
      </c>
      <c r="G7" s="47"/>
      <c r="I7" s="121"/>
      <c r="J7" s="270">
        <v>4</v>
      </c>
      <c r="K7" s="326">
        <v>1</v>
      </c>
      <c r="L7" s="326" t="s">
        <v>266</v>
      </c>
      <c r="M7" s="324" t="str">
        <f>Currency&amp;$K7&amp;$L7&amp;$J7&amp;"F"</f>
        <v>USD1X4F</v>
      </c>
      <c r="N7" s="324" t="str">
        <f t="array" ref="N7:N21">Instruments&amp;"="&amp;VLOOKUP(Contributor,ContributorTable,2,FALSE)</f>
        <v>USD1X4F=ICAP</v>
      </c>
      <c r="O7" s="325">
        <v>0.218</v>
      </c>
      <c r="P7" s="325">
        <v>0.26800000000000002</v>
      </c>
      <c r="Q7" s="324">
        <v>0</v>
      </c>
      <c r="R7" s="324">
        <v>0</v>
      </c>
      <c r="S7" s="268">
        <f>_xll.qlMidSafe($O7,$P7)</f>
        <v>0.24299999999999999</v>
      </c>
      <c r="T7" s="266"/>
      <c r="U7" s="328">
        <v>0.24299999999999999</v>
      </c>
      <c r="V7" s="266"/>
      <c r="W7" s="327" t="str">
        <f>$M7&amp;$X$4</f>
        <v>USD1X4F_Quote</v>
      </c>
      <c r="X7" s="284">
        <f t="array" ref="X7:X21">QuoteLive</f>
        <v>0.24299999999999999</v>
      </c>
      <c r="Y7" s="283">
        <f>_xll.qlSimpleQuoteSetValue($W7,$X7/100,Trigger)</f>
        <v>0</v>
      </c>
      <c r="Z7" s="220"/>
      <c r="AA7" s="21"/>
      <c r="AB7" s="306"/>
      <c r="AC7" s="21"/>
      <c r="AD7" s="21"/>
      <c r="AE7" s="21"/>
      <c r="AF7" s="305">
        <f>(P9-S9)/50</f>
        <v>4.9999999999999936E-4</v>
      </c>
    </row>
    <row r="8" spans="1:32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USD2x5F_Quote#0004</v>
      </c>
      <c r="F8" s="127" t="str">
        <f>_xll.ohRangeRetrieveError(E8)</f>
        <v/>
      </c>
      <c r="G8" s="47"/>
      <c r="I8" s="121"/>
      <c r="J8" s="270">
        <v>5</v>
      </c>
      <c r="K8" s="326">
        <v>2</v>
      </c>
      <c r="L8" s="326" t="s">
        <v>266</v>
      </c>
      <c r="M8" s="324" t="str">
        <f>Currency&amp;$K8&amp;$L8&amp;$J8&amp;"F"</f>
        <v>USD2X5F</v>
      </c>
      <c r="N8" s="324" t="str">
        <v>USD2X5F=ICAP</v>
      </c>
      <c r="O8" s="325">
        <v>0.23100000000000001</v>
      </c>
      <c r="P8" s="325">
        <v>0.28100000000000003</v>
      </c>
      <c r="Q8" s="324">
        <v>0</v>
      </c>
      <c r="R8" s="324">
        <v>0</v>
      </c>
      <c r="S8" s="268">
        <f>_xll.qlMidSafe($O8,$P8)</f>
        <v>0.25600000000000001</v>
      </c>
      <c r="T8" s="266"/>
      <c r="U8" s="323">
        <v>0.25600000000000001</v>
      </c>
      <c r="V8" s="266"/>
      <c r="W8" s="322" t="str">
        <f>$M8&amp;$X$4</f>
        <v>USD2X5F_Quote</v>
      </c>
      <c r="X8" s="264">
        <v>0.25600000000000001</v>
      </c>
      <c r="Y8" s="263">
        <f>_xll.qlSimpleQuoteSetValue($W8,$X8/100,Trigger)</f>
        <v>0</v>
      </c>
      <c r="Z8" s="220"/>
      <c r="AA8" s="21"/>
      <c r="AB8" s="306"/>
      <c r="AC8" s="21"/>
      <c r="AD8" s="21"/>
      <c r="AE8" s="21"/>
      <c r="AF8" s="305" t="e">
        <f>(P10-S10)/50</f>
        <v>#VALUE!</v>
      </c>
    </row>
    <row r="9" spans="1:32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USD3x6F_Quote#0004</v>
      </c>
      <c r="F9" s="127" t="str">
        <f>_xll.ohRangeRetrieveError(E9)</f>
        <v/>
      </c>
      <c r="G9" s="47"/>
      <c r="I9" s="121"/>
      <c r="J9" s="270">
        <v>6</v>
      </c>
      <c r="K9" s="326">
        <v>3</v>
      </c>
      <c r="L9" s="326" t="s">
        <v>266</v>
      </c>
      <c r="M9" s="324" t="str">
        <f>Currency&amp;$K9&amp;$L9&amp;$J9&amp;"F"</f>
        <v>USD3X6F</v>
      </c>
      <c r="N9" s="324" t="str">
        <v>USD3X6F=ICAP</v>
      </c>
      <c r="O9" s="325">
        <v>0.24299999999999999</v>
      </c>
      <c r="P9" s="325">
        <v>0.29299999999999998</v>
      </c>
      <c r="Q9" s="324">
        <v>0</v>
      </c>
      <c r="R9" s="324">
        <v>0</v>
      </c>
      <c r="S9" s="268">
        <f>_xll.qlMidSafe($O9,$P9)</f>
        <v>0.26800000000000002</v>
      </c>
      <c r="T9" s="266"/>
      <c r="U9" s="323">
        <v>0.26800000000000002</v>
      </c>
      <c r="V9" s="266"/>
      <c r="W9" s="322" t="str">
        <f>$M9&amp;$X$4</f>
        <v>USD3X6F_Quote</v>
      </c>
      <c r="X9" s="264">
        <v>0.26800000000000002</v>
      </c>
      <c r="Y9" s="263">
        <f>_xll.qlSimpleQuoteSetValue($W9,$X9/100,Trigger)</f>
        <v>0</v>
      </c>
      <c r="Z9" s="220"/>
      <c r="AA9" s="21"/>
      <c r="AB9" s="306"/>
      <c r="AC9" s="21"/>
      <c r="AD9" s="21"/>
      <c r="AE9" s="21"/>
      <c r="AF9" s="305" t="e">
        <f>(P11-S11)/50</f>
        <v>#VALUE!</v>
      </c>
    </row>
    <row r="10" spans="1:32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USD4x7F_Quote#0004</v>
      </c>
      <c r="F10" s="127" t="str">
        <f>_xll.ohRangeRetrieveError(E10)</f>
        <v/>
      </c>
      <c r="G10" s="47"/>
      <c r="I10" s="121"/>
      <c r="J10" s="270">
        <v>7</v>
      </c>
      <c r="K10" s="326">
        <v>4</v>
      </c>
      <c r="L10" s="326" t="s">
        <v>266</v>
      </c>
      <c r="M10" s="324" t="str">
        <f>Currency&amp;$K10&amp;$L10&amp;$J10&amp;"F"</f>
        <v>USD4X7F</v>
      </c>
      <c r="N10" s="324" t="str">
        <v>USD4X7F=ICAP</v>
      </c>
      <c r="O10" s="325" t="s">
        <v>245</v>
      </c>
      <c r="P10" s="325" t="s">
        <v>245</v>
      </c>
      <c r="Q10" s="324" t="s">
        <v>245</v>
      </c>
      <c r="R10" s="324" t="s">
        <v>245</v>
      </c>
      <c r="S10" s="268" t="e">
        <f>_xll.qlMidSafe($O10,$P10)</f>
        <v>#NUM!</v>
      </c>
      <c r="T10" s="266"/>
      <c r="U10" s="323" t="e">
        <v>#NUM!</v>
      </c>
      <c r="V10" s="266"/>
      <c r="W10" s="322" t="str">
        <f>$M10&amp;$X$4</f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6"/>
      <c r="AC10" s="21"/>
      <c r="AD10" s="21"/>
      <c r="AE10" s="21"/>
      <c r="AF10" s="305" t="e">
        <f>(P12-S12)/50</f>
        <v>#VALUE!</v>
      </c>
    </row>
    <row r="11" spans="1:32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USD5x8F_Quote#0004</v>
      </c>
      <c r="F11" s="127" t="str">
        <f>_xll.ohRangeRetrieveError(E11)</f>
        <v/>
      </c>
      <c r="G11" s="47"/>
      <c r="I11" s="121"/>
      <c r="J11" s="270">
        <v>8</v>
      </c>
      <c r="K11" s="326">
        <v>5</v>
      </c>
      <c r="L11" s="326" t="s">
        <v>266</v>
      </c>
      <c r="M11" s="324" t="str">
        <f>Currency&amp;$K11&amp;$L11&amp;$J11&amp;"F"</f>
        <v>USD5X8F</v>
      </c>
      <c r="N11" s="324" t="str">
        <v>USD5X8F=ICAP</v>
      </c>
      <c r="O11" s="325" t="s">
        <v>245</v>
      </c>
      <c r="P11" s="325" t="s">
        <v>245</v>
      </c>
      <c r="Q11" s="324" t="s">
        <v>245</v>
      </c>
      <c r="R11" s="324" t="s">
        <v>245</v>
      </c>
      <c r="S11" s="268" t="e">
        <f>_xll.qlMidSafe($O11,$P11)</f>
        <v>#NUM!</v>
      </c>
      <c r="T11" s="266"/>
      <c r="U11" s="323" t="e">
        <v>#NUM!</v>
      </c>
      <c r="V11" s="266"/>
      <c r="W11" s="322" t="str">
        <f>$M11&amp;$X$4</f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6"/>
      <c r="AC11" s="21"/>
      <c r="AD11" s="21"/>
      <c r="AE11" s="21"/>
      <c r="AF11" s="305">
        <f>(P13-S13)/50</f>
        <v>5.0000000000000044E-4</v>
      </c>
    </row>
    <row r="12" spans="1:32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USD6x9F_Quote#0004</v>
      </c>
      <c r="F12" s="116" t="str">
        <f>_xll.ohRangeRetrieveError(E12)</f>
        <v/>
      </c>
      <c r="G12" s="47"/>
      <c r="I12" s="121"/>
      <c r="J12" s="282">
        <v>9</v>
      </c>
      <c r="K12" s="321">
        <v>6</v>
      </c>
      <c r="L12" s="321" t="s">
        <v>266</v>
      </c>
      <c r="M12" s="319" t="str">
        <f>Currency&amp;$K12&amp;$L12&amp;$J12&amp;"F"</f>
        <v>USD6X9F</v>
      </c>
      <c r="N12" s="319" t="str">
        <v>USD6X9F=ICAP</v>
      </c>
      <c r="O12" s="320" t="s">
        <v>245</v>
      </c>
      <c r="P12" s="320" t="s">
        <v>245</v>
      </c>
      <c r="Q12" s="319" t="s">
        <v>245</v>
      </c>
      <c r="R12" s="319" t="s">
        <v>245</v>
      </c>
      <c r="S12" s="280" t="e">
        <f>_xll.qlMidSafe($O12,$P12)</f>
        <v>#NUM!</v>
      </c>
      <c r="T12" s="266"/>
      <c r="U12" s="318" t="e">
        <v>#NUM!</v>
      </c>
      <c r="V12" s="266"/>
      <c r="W12" s="317" t="str">
        <f>$M12&amp;$X$4</f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6"/>
      <c r="AC12" s="21"/>
      <c r="AD12" s="21"/>
      <c r="AE12" s="21"/>
      <c r="AF12" s="305">
        <f>(P14-S14)/50</f>
        <v>5.0000000000000044E-4</v>
      </c>
    </row>
    <row r="13" spans="1:32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USDT6F1_Quote#0004</v>
      </c>
      <c r="F13" s="123" t="str">
        <f>_xll.ohRangeRetrieveError(E13)</f>
        <v/>
      </c>
      <c r="G13" s="47"/>
      <c r="I13" s="121"/>
      <c r="J13" s="289">
        <v>7</v>
      </c>
      <c r="K13" s="331">
        <v>1</v>
      </c>
      <c r="L13" s="331" t="s">
        <v>266</v>
      </c>
      <c r="M13" s="329" t="str">
        <f>Currency&amp;$K13&amp;$L13&amp;$J13&amp;"F"</f>
        <v>USD1X7F</v>
      </c>
      <c r="N13" s="329" t="str">
        <v>USD1X7F=ICAP</v>
      </c>
      <c r="O13" s="330">
        <v>0.33500000000000002</v>
      </c>
      <c r="P13" s="330">
        <v>0.38500000000000001</v>
      </c>
      <c r="Q13" s="329">
        <v>0</v>
      </c>
      <c r="R13" s="329">
        <v>0</v>
      </c>
      <c r="S13" s="287">
        <f>_xll.qlMidSafe($O13,$P13)</f>
        <v>0.36</v>
      </c>
      <c r="T13" s="266"/>
      <c r="U13" s="328">
        <v>0.36</v>
      </c>
      <c r="V13" s="266"/>
      <c r="W13" s="327" t="str">
        <f>$M13&amp;$X$4</f>
        <v>USD1X7F_Quote</v>
      </c>
      <c r="X13" s="284">
        <v>0.36</v>
      </c>
      <c r="Y13" s="283">
        <f>_xll.qlSimpleQuoteSetValue($W13,$X13/100,Trigger)</f>
        <v>0</v>
      </c>
      <c r="Z13" s="220"/>
      <c r="AA13" s="21"/>
      <c r="AB13" s="306"/>
      <c r="AC13" s="21"/>
      <c r="AD13" s="21"/>
      <c r="AE13" s="21"/>
      <c r="AF13" s="305">
        <f>(P15-S15)/50</f>
        <v>4.9999999999999936E-4</v>
      </c>
    </row>
    <row r="14" spans="1:32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USDTOM6F1_Quote#0004</v>
      </c>
      <c r="F14" s="116" t="str">
        <f>_xll.ohRangeRetrieveError(E14)</f>
        <v/>
      </c>
      <c r="G14" s="47"/>
      <c r="I14" s="121"/>
      <c r="J14" s="270">
        <v>8</v>
      </c>
      <c r="K14" s="326">
        <v>2</v>
      </c>
      <c r="L14" s="326" t="s">
        <v>266</v>
      </c>
      <c r="M14" s="324" t="str">
        <f>Currency&amp;$K14&amp;$L14&amp;$J14&amp;"F"</f>
        <v>USD2X8F</v>
      </c>
      <c r="N14" s="324" t="str">
        <v>USD2X8F=ICAP</v>
      </c>
      <c r="O14" s="325">
        <v>0.35099999999999998</v>
      </c>
      <c r="P14" s="325">
        <v>0.40100000000000002</v>
      </c>
      <c r="Q14" s="324">
        <v>0</v>
      </c>
      <c r="R14" s="324">
        <v>0</v>
      </c>
      <c r="S14" s="268">
        <f>_xll.qlMidSafe($O14,$P14)</f>
        <v>0.376</v>
      </c>
      <c r="T14" s="266"/>
      <c r="U14" s="323">
        <v>0.376</v>
      </c>
      <c r="V14" s="266"/>
      <c r="W14" s="322" t="str">
        <f>$M14&amp;$X$4</f>
        <v>USD2X8F_Quote</v>
      </c>
      <c r="X14" s="264">
        <v>0.376</v>
      </c>
      <c r="Y14" s="263">
        <f>_xll.qlSimpleQuoteSetValue($W14,$X14/100,Trigger)</f>
        <v>0</v>
      </c>
      <c r="Z14" s="220"/>
      <c r="AA14" s="21"/>
      <c r="AB14" s="306"/>
      <c r="AC14" s="21"/>
      <c r="AD14" s="21"/>
      <c r="AE14" s="21"/>
      <c r="AF14" s="305">
        <f>(P16-S16)/50</f>
        <v>4.9999999999999936E-4</v>
      </c>
    </row>
    <row r="15" spans="1:32" x14ac:dyDescent="0.2">
      <c r="A15" s="121"/>
      <c r="B15" s="125">
        <v>1</v>
      </c>
      <c r="C15" s="126" t="str">
        <f t="shared" ref="C15:C32" si="1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USD1x7F_Quote#0004</v>
      </c>
      <c r="F15" s="123" t="str">
        <f>_xll.ohRangeRetrieveError(E15)</f>
        <v/>
      </c>
      <c r="G15" s="47"/>
      <c r="I15" s="121"/>
      <c r="J15" s="270">
        <v>9</v>
      </c>
      <c r="K15" s="326">
        <v>3</v>
      </c>
      <c r="L15" s="326" t="s">
        <v>266</v>
      </c>
      <c r="M15" s="324" t="str">
        <f>Currency&amp;$K15&amp;$L15&amp;$J15&amp;"F"</f>
        <v>USD3X9F</v>
      </c>
      <c r="N15" s="324" t="str">
        <v>USD3X9F=ICAP</v>
      </c>
      <c r="O15" s="325">
        <v>0.36499999999999999</v>
      </c>
      <c r="P15" s="325">
        <v>0.41499999999999998</v>
      </c>
      <c r="Q15" s="324">
        <v>0</v>
      </c>
      <c r="R15" s="324">
        <v>0</v>
      </c>
      <c r="S15" s="268">
        <f>_xll.qlMidSafe($O15,$P15)</f>
        <v>0.39</v>
      </c>
      <c r="T15" s="266"/>
      <c r="U15" s="323">
        <v>0.39</v>
      </c>
      <c r="V15" s="266"/>
      <c r="W15" s="322" t="str">
        <f>$M15&amp;$X$4</f>
        <v>USD3X9F_Quote</v>
      </c>
      <c r="X15" s="264">
        <v>0.39</v>
      </c>
      <c r="Y15" s="263">
        <f>_xll.qlSimpleQuoteSetValue($W15,$X15/100,Trigger)</f>
        <v>0</v>
      </c>
      <c r="Z15" s="220"/>
      <c r="AA15" s="21"/>
      <c r="AB15" s="306"/>
      <c r="AC15" s="21"/>
      <c r="AD15" s="21"/>
      <c r="AE15" s="21"/>
      <c r="AF15" s="305">
        <f>(P17-S17)/50</f>
        <v>4.9999999999999936E-4</v>
      </c>
    </row>
    <row r="16" spans="1:32" x14ac:dyDescent="0.2">
      <c r="A16" s="121"/>
      <c r="B16" s="129">
        <v>2</v>
      </c>
      <c r="C16" s="130" t="str">
        <f t="shared" si="1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USD2x8F_Quote#0004</v>
      </c>
      <c r="F16" s="127" t="str">
        <f>_xll.ohRangeRetrieveError(E16)</f>
        <v/>
      </c>
      <c r="G16" s="47"/>
      <c r="I16" s="121"/>
      <c r="J16" s="270">
        <v>10</v>
      </c>
      <c r="K16" s="326">
        <v>4</v>
      </c>
      <c r="L16" s="326" t="s">
        <v>266</v>
      </c>
      <c r="M16" s="324" t="str">
        <f>Currency&amp;$K16&amp;$L16&amp;$J16&amp;"F"</f>
        <v>USD4X10F</v>
      </c>
      <c r="N16" s="324" t="str">
        <v>USD4X10F=ICAP</v>
      </c>
      <c r="O16" s="325">
        <v>0.379</v>
      </c>
      <c r="P16" s="325">
        <v>0.42899999999999999</v>
      </c>
      <c r="Q16" s="324">
        <v>0</v>
      </c>
      <c r="R16" s="324">
        <v>0</v>
      </c>
      <c r="S16" s="268">
        <f>_xll.qlMidSafe($O16,$P16)</f>
        <v>0.40400000000000003</v>
      </c>
      <c r="T16" s="266"/>
      <c r="U16" s="323">
        <v>0.40400000000000003</v>
      </c>
      <c r="V16" s="266"/>
      <c r="W16" s="322" t="str">
        <f>$M16&amp;$X$4</f>
        <v>USD4X10F_Quote</v>
      </c>
      <c r="X16" s="264">
        <v>0.40400000000000003</v>
      </c>
      <c r="Y16" s="263">
        <f>_xll.qlSimpleQuoteSetValue($W16,$X16/100,Trigger)</f>
        <v>0</v>
      </c>
      <c r="Z16" s="220"/>
      <c r="AA16" s="21"/>
      <c r="AB16" s="306"/>
      <c r="AC16" s="21"/>
      <c r="AD16" s="21"/>
      <c r="AE16" s="21"/>
      <c r="AF16" s="305">
        <f>(P18-S18)/50</f>
        <v>5.0000000000000044E-4</v>
      </c>
    </row>
    <row r="17" spans="1:32" x14ac:dyDescent="0.2">
      <c r="A17" s="121"/>
      <c r="B17" s="129">
        <v>3</v>
      </c>
      <c r="C17" s="130" t="str">
        <f t="shared" si="1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USD3x9F_Quote#0004</v>
      </c>
      <c r="F17" s="127" t="str">
        <f>_xll.ohRangeRetrieveError(E17)</f>
        <v/>
      </c>
      <c r="G17" s="47"/>
      <c r="I17" s="121"/>
      <c r="J17" s="270">
        <v>11</v>
      </c>
      <c r="K17" s="326">
        <v>5</v>
      </c>
      <c r="L17" s="326" t="s">
        <v>266</v>
      </c>
      <c r="M17" s="324" t="str">
        <f>Currency&amp;$K17&amp;$L17&amp;$J17&amp;"F"</f>
        <v>USD5X11F</v>
      </c>
      <c r="N17" s="324" t="str">
        <v>USD5X11F=ICAP</v>
      </c>
      <c r="O17" s="325">
        <v>0.39500000000000002</v>
      </c>
      <c r="P17" s="325">
        <v>0.44500000000000001</v>
      </c>
      <c r="Q17" s="324">
        <v>0</v>
      </c>
      <c r="R17" s="324">
        <v>0</v>
      </c>
      <c r="S17" s="268">
        <f>_xll.qlMidSafe($O17,$P17)</f>
        <v>0.42000000000000004</v>
      </c>
      <c r="T17" s="266"/>
      <c r="U17" s="323">
        <v>0.42000000000000004</v>
      </c>
      <c r="V17" s="266"/>
      <c r="W17" s="322" t="str">
        <f>$M17&amp;$X$4</f>
        <v>USD5X11F_Quote</v>
      </c>
      <c r="X17" s="264">
        <v>0.42000000000000004</v>
      </c>
      <c r="Y17" s="263">
        <f>_xll.qlSimpleQuoteSetValue($W17,$X17/100,Trigger)</f>
        <v>0</v>
      </c>
      <c r="Z17" s="220"/>
      <c r="AA17" s="21"/>
      <c r="AB17" s="306"/>
      <c r="AC17" s="21"/>
      <c r="AD17" s="21"/>
      <c r="AE17" s="21"/>
      <c r="AF17" s="305" t="e">
        <f>(P19-S19)/50</f>
        <v>#VALUE!</v>
      </c>
    </row>
    <row r="18" spans="1:32" x14ac:dyDescent="0.2">
      <c r="A18" s="121"/>
      <c r="B18" s="129">
        <v>4</v>
      </c>
      <c r="C18" s="130" t="str">
        <f t="shared" si="1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USD4x10F_Quote#0004</v>
      </c>
      <c r="F18" s="127" t="str">
        <f>_xll.ohRangeRetrieveError(E18)</f>
        <v/>
      </c>
      <c r="G18" s="47"/>
      <c r="I18" s="121"/>
      <c r="J18" s="270">
        <v>12</v>
      </c>
      <c r="K18" s="326">
        <v>6</v>
      </c>
      <c r="L18" s="326" t="s">
        <v>266</v>
      </c>
      <c r="M18" s="324" t="str">
        <f>Currency&amp;$K18&amp;$L18&amp;$J18&amp;"F"</f>
        <v>USD6X12F</v>
      </c>
      <c r="N18" s="324" t="str">
        <v>USD6X12F=ICAP</v>
      </c>
      <c r="O18" s="325">
        <v>0.41299999999999998</v>
      </c>
      <c r="P18" s="325">
        <v>0.46300000000000002</v>
      </c>
      <c r="Q18" s="324">
        <v>0</v>
      </c>
      <c r="R18" s="324">
        <v>0</v>
      </c>
      <c r="S18" s="268">
        <f>_xll.qlMidSafe($O18,$P18)</f>
        <v>0.438</v>
      </c>
      <c r="T18" s="266"/>
      <c r="U18" s="323">
        <v>0.438</v>
      </c>
      <c r="V18" s="266"/>
      <c r="W18" s="322" t="str">
        <f>$M18&amp;$X$4</f>
        <v>USD6X12F_Quote</v>
      </c>
      <c r="X18" s="264">
        <v>0.438</v>
      </c>
      <c r="Y18" s="263">
        <f>_xll.qlSimpleQuoteSetValue($W18,$X18/100,Trigger)</f>
        <v>0</v>
      </c>
      <c r="Z18" s="220"/>
      <c r="AA18" s="21"/>
      <c r="AB18" s="306"/>
      <c r="AC18" s="21"/>
      <c r="AD18" s="21"/>
      <c r="AE18" s="21"/>
      <c r="AF18" s="305" t="e">
        <f>(P20-S20)/50</f>
        <v>#VALUE!</v>
      </c>
    </row>
    <row r="19" spans="1:32" x14ac:dyDescent="0.2">
      <c r="A19" s="121"/>
      <c r="B19" s="129">
        <v>5</v>
      </c>
      <c r="C19" s="130" t="str">
        <f t="shared" si="1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USD5x11F_Quote#0004</v>
      </c>
      <c r="F19" s="127" t="str">
        <f>_xll.ohRangeRetrieveError(E19)</f>
        <v/>
      </c>
      <c r="G19" s="47"/>
      <c r="I19" s="121"/>
      <c r="J19" s="270">
        <v>18</v>
      </c>
      <c r="K19" s="326">
        <v>12</v>
      </c>
      <c r="L19" s="326" t="s">
        <v>266</v>
      </c>
      <c r="M19" s="324" t="str">
        <f>Currency&amp;$K19&amp;$L19&amp;$J19&amp;"F"</f>
        <v>USD12X18F</v>
      </c>
      <c r="N19" s="324" t="str">
        <v>USD12X18F=ICAP</v>
      </c>
      <c r="O19" s="325" t="s">
        <v>245</v>
      </c>
      <c r="P19" s="325" t="s">
        <v>245</v>
      </c>
      <c r="Q19" s="324" t="s">
        <v>245</v>
      </c>
      <c r="R19" s="324" t="s">
        <v>245</v>
      </c>
      <c r="S19" s="268" t="e">
        <f>_xll.qlMidSafe($O19,$P19)</f>
        <v>#NUM!</v>
      </c>
      <c r="T19" s="266"/>
      <c r="U19" s="323" t="e">
        <v>#NUM!</v>
      </c>
      <c r="V19" s="266"/>
      <c r="W19" s="322" t="str">
        <f>$M19&amp;$X$4</f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6"/>
      <c r="AC19" s="21"/>
      <c r="AD19" s="21"/>
      <c r="AE19" s="21"/>
      <c r="AF19" s="305" t="e">
        <f>(P21-S21)/50</f>
        <v>#VALUE!</v>
      </c>
    </row>
    <row r="20" spans="1:32" x14ac:dyDescent="0.2">
      <c r="A20" s="121"/>
      <c r="B20" s="129">
        <v>6</v>
      </c>
      <c r="C20" s="130" t="str">
        <f t="shared" si="1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USD6x12F_Quote#0004</v>
      </c>
      <c r="F20" s="127" t="str">
        <f>_xll.ohRangeRetrieveError(E20)</f>
        <v/>
      </c>
      <c r="G20" s="47"/>
      <c r="I20" s="121"/>
      <c r="J20" s="282">
        <v>24</v>
      </c>
      <c r="K20" s="321">
        <v>18</v>
      </c>
      <c r="L20" s="321" t="s">
        <v>266</v>
      </c>
      <c r="M20" s="319" t="str">
        <f>Currency&amp;$K20&amp;$L20&amp;$J20&amp;"F"</f>
        <v>USD18X24F</v>
      </c>
      <c r="N20" s="319" t="str">
        <v>USD18X24F=ICAP</v>
      </c>
      <c r="O20" s="320" t="s">
        <v>245</v>
      </c>
      <c r="P20" s="320" t="s">
        <v>245</v>
      </c>
      <c r="Q20" s="319" t="s">
        <v>245</v>
      </c>
      <c r="R20" s="319" t="s">
        <v>245</v>
      </c>
      <c r="S20" s="280" t="e">
        <f>_xll.qlMidSafe($O20,$P20)</f>
        <v>#NUM!</v>
      </c>
      <c r="T20" s="266"/>
      <c r="U20" s="318" t="e">
        <v>#NUM!</v>
      </c>
      <c r="V20" s="266"/>
      <c r="W20" s="317" t="str">
        <f>$M20&amp;$X$4</f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6"/>
      <c r="AC20" s="21"/>
      <c r="AD20" s="21"/>
      <c r="AE20" s="21"/>
      <c r="AF20" s="305"/>
    </row>
    <row r="21" spans="1:32" x14ac:dyDescent="0.2">
      <c r="A21" s="121"/>
      <c r="B21" s="129">
        <v>7</v>
      </c>
      <c r="C21" s="130" t="str">
        <f t="shared" si="1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USD7x13F_Quote#0004</v>
      </c>
      <c r="F21" s="127" t="str">
        <f>_xll.ohRangeRetrieveError(E21)</f>
        <v/>
      </c>
      <c r="G21" s="47"/>
      <c r="I21" s="121"/>
      <c r="J21" s="316">
        <v>24</v>
      </c>
      <c r="K21" s="315">
        <v>12</v>
      </c>
      <c r="L21" s="315" t="s">
        <v>266</v>
      </c>
      <c r="M21" s="313" t="str">
        <f>Currency&amp;$K21&amp;$L21&amp;$J21&amp;"F"</f>
        <v>USD12X24F</v>
      </c>
      <c r="N21" s="313" t="str">
        <v>USD12X24F=ICAP</v>
      </c>
      <c r="O21" s="314" t="s">
        <v>245</v>
      </c>
      <c r="P21" s="314" t="s">
        <v>245</v>
      </c>
      <c r="Q21" s="313" t="s">
        <v>245</v>
      </c>
      <c r="R21" s="313" t="s">
        <v>245</v>
      </c>
      <c r="S21" s="312" t="e">
        <f>_xll.qlMidSafe($O21,$P21)</f>
        <v>#NUM!</v>
      </c>
      <c r="T21" s="266"/>
      <c r="U21" s="311" t="e">
        <v>#NUM!</v>
      </c>
      <c r="V21" s="266"/>
      <c r="W21" s="310" t="str">
        <f>$M21&amp;$X$4</f>
        <v>USD12X24F_Quote</v>
      </c>
      <c r="X21" s="309" t="e">
        <v>#NUM!</v>
      </c>
      <c r="Y21" s="308" t="e">
        <f>_xll.qlSimpleQuoteSetValue($W21,$X21/100,Trigger)</f>
        <v>#NUM!</v>
      </c>
      <c r="Z21" s="220"/>
    </row>
    <row r="22" spans="1:32" ht="13.5" thickBot="1" x14ac:dyDescent="0.25">
      <c r="A22" s="121"/>
      <c r="B22" s="129">
        <v>8</v>
      </c>
      <c r="C22" s="130" t="str">
        <f t="shared" si="1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USD8x14F_Quote#0004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7"/>
    </row>
    <row r="23" spans="1:32" x14ac:dyDescent="0.2">
      <c r="A23" s="121"/>
      <c r="B23" s="129">
        <v>9</v>
      </c>
      <c r="C23" s="130" t="str">
        <f t="shared" si="1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USD9x15F_Quote#0004</v>
      </c>
      <c r="F23" s="127" t="str">
        <f>_xll.ohRangeRetrieveError(E23)</f>
        <v/>
      </c>
      <c r="G23" s="47"/>
    </row>
    <row r="24" spans="1:32" x14ac:dyDescent="0.2">
      <c r="A24" s="121"/>
      <c r="B24" s="129">
        <v>10</v>
      </c>
      <c r="C24" s="130" t="str">
        <f t="shared" si="1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USD10x16F_Quote#0004</v>
      </c>
      <c r="F24" s="127" t="str">
        <f>_xll.ohRangeRetrieveError(E24)</f>
        <v/>
      </c>
      <c r="G24" s="47"/>
    </row>
    <row r="25" spans="1:32" x14ac:dyDescent="0.2">
      <c r="A25" s="121"/>
      <c r="B25" s="129">
        <v>11</v>
      </c>
      <c r="C25" s="130" t="str">
        <f t="shared" si="1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USD11x17F_Quote#0004</v>
      </c>
      <c r="F25" s="127" t="str">
        <f>_xll.ohRangeRetrieveError(E25)</f>
        <v/>
      </c>
      <c r="G25" s="47"/>
    </row>
    <row r="26" spans="1:32" x14ac:dyDescent="0.2">
      <c r="A26" s="121"/>
      <c r="B26" s="129">
        <v>12</v>
      </c>
      <c r="C26" s="130" t="str">
        <f t="shared" si="1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USD12x18F_Quote#0004</v>
      </c>
      <c r="F26" s="127" t="str">
        <f>_xll.ohRangeRetrieveError(E26)</f>
        <v/>
      </c>
      <c r="G26" s="47"/>
    </row>
    <row r="27" spans="1:32" x14ac:dyDescent="0.2">
      <c r="A27" s="121"/>
      <c r="B27" s="129">
        <v>13</v>
      </c>
      <c r="C27" s="130" t="str">
        <f t="shared" si="1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USD13x19F_Quote#0004</v>
      </c>
      <c r="F27" s="127" t="str">
        <f>_xll.ohRangeRetrieveError(E27)</f>
        <v/>
      </c>
      <c r="G27" s="47"/>
    </row>
    <row r="28" spans="1:32" x14ac:dyDescent="0.2">
      <c r="A28" s="121"/>
      <c r="B28" s="129">
        <v>14</v>
      </c>
      <c r="C28" s="130" t="str">
        <f t="shared" si="1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USD14x20F_Quote#0004</v>
      </c>
      <c r="F28" s="127" t="str">
        <f>_xll.ohRangeRetrieveError(E28)</f>
        <v/>
      </c>
      <c r="G28" s="47"/>
    </row>
    <row r="29" spans="1:32" x14ac:dyDescent="0.2">
      <c r="A29" s="121"/>
      <c r="B29" s="129">
        <v>15</v>
      </c>
      <c r="C29" s="130" t="str">
        <f t="shared" si="1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USD15x21F_Quote#0004</v>
      </c>
      <c r="F29" s="127" t="str">
        <f>_xll.ohRangeRetrieveError(E29)</f>
        <v/>
      </c>
      <c r="G29" s="47"/>
    </row>
    <row r="30" spans="1:32" x14ac:dyDescent="0.2">
      <c r="A30" s="121"/>
      <c r="B30" s="129">
        <v>16</v>
      </c>
      <c r="C30" s="130" t="str">
        <f t="shared" si="1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USD16x22F_Quote#0004</v>
      </c>
      <c r="F30" s="127" t="str">
        <f>_xll.ohRangeRetrieveError(E30)</f>
        <v/>
      </c>
      <c r="G30" s="47"/>
    </row>
    <row r="31" spans="1:32" x14ac:dyDescent="0.2">
      <c r="A31" s="121"/>
      <c r="B31" s="129">
        <v>17</v>
      </c>
      <c r="C31" s="130" t="str">
        <f t="shared" si="1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USD17x23F_Quote#0004</v>
      </c>
      <c r="F31" s="127" t="str">
        <f>_xll.ohRangeRetrieveError(E31)</f>
        <v/>
      </c>
      <c r="G31" s="47"/>
    </row>
    <row r="32" spans="1:32" x14ac:dyDescent="0.2">
      <c r="A32" s="121"/>
      <c r="B32" s="118">
        <v>18</v>
      </c>
      <c r="C32" s="122" t="str">
        <f t="shared" si="1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USD18x24F_Quote#0004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USDT12F1_Quote#0004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USDTOM12F1_Quote#0004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USD12x24F_Quote#0004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3" width="9.140625" style="102"/>
    <col min="14" max="14" width="14.28515625" style="102" bestFit="1" customWidth="1"/>
    <col min="15" max="16384" width="9.140625" style="102"/>
  </cols>
  <sheetData>
    <row r="1" spans="1:33" x14ac:dyDescent="0.2">
      <c r="J1" s="30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3"/>
      <c r="W1" s="363"/>
      <c r="X1" s="201"/>
      <c r="Y1" s="201"/>
      <c r="Z1" s="201"/>
      <c r="AA1" s="201"/>
      <c r="AB1" s="362"/>
      <c r="AC1" s="21"/>
      <c r="AD1" s="21"/>
      <c r="AE1" s="21"/>
      <c r="AF1" s="21"/>
      <c r="AG1" s="21"/>
    </row>
    <row r="2" spans="1:33" ht="22.5" x14ac:dyDescent="0.2">
      <c r="J2" s="303"/>
      <c r="K2" s="136"/>
      <c r="L2" s="302"/>
      <c r="M2" s="302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61" t="s">
        <v>142</v>
      </c>
      <c r="AA2" s="136"/>
      <c r="AB2" s="360"/>
      <c r="AC2" s="21"/>
      <c r="AD2" s="21"/>
      <c r="AE2" s="21"/>
      <c r="AF2" s="21"/>
      <c r="AG2" s="21"/>
    </row>
    <row r="3" spans="1:33" ht="12" thickBot="1" x14ac:dyDescent="0.25">
      <c r="J3" s="303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60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3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8">
        <f>_xll.ohTrigger(AA6:AA17)</f>
        <v>1</v>
      </c>
      <c r="AB4" s="360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3"/>
      <c r="K5" s="359" t="s">
        <v>182</v>
      </c>
      <c r="L5" s="334" t="s">
        <v>181</v>
      </c>
      <c r="M5" s="334" t="s">
        <v>180</v>
      </c>
      <c r="N5" s="334" t="s">
        <v>275</v>
      </c>
      <c r="O5" s="261" t="e">
        <f ca="1">_xll.RData(O6:O17,P5:T5,"RTFEED:IDN",ReutersRtMode,,P6)</f>
        <v>#NAME?</v>
      </c>
      <c r="P5" s="334" t="s">
        <v>274</v>
      </c>
      <c r="Q5" s="334" t="s">
        <v>233</v>
      </c>
      <c r="R5" s="334" t="s">
        <v>232</v>
      </c>
      <c r="S5" s="334" t="s">
        <v>250</v>
      </c>
      <c r="T5" s="334" t="s">
        <v>269</v>
      </c>
      <c r="U5" s="293" t="s">
        <v>268</v>
      </c>
      <c r="V5" s="266"/>
      <c r="W5" s="296" t="s">
        <v>263</v>
      </c>
      <c r="X5" s="266"/>
      <c r="Y5" s="295" t="s">
        <v>262</v>
      </c>
      <c r="Z5" s="334" t="s">
        <v>261</v>
      </c>
      <c r="AA5" s="297" t="s">
        <v>260</v>
      </c>
      <c r="AB5" s="47"/>
      <c r="AC5" s="21"/>
      <c r="AD5" s="210" t="s">
        <v>273</v>
      </c>
      <c r="AE5" s="208" t="s">
        <v>272</v>
      </c>
      <c r="AF5" s="21"/>
      <c r="AG5" s="332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Z3</v>
      </c>
      <c r="E6" s="142" t="str">
        <f t="shared" ref="E6:E37" si="0">Currency&amp;$D$4&amp;$E$4&amp;$D6&amp;QuoteSuffix</f>
        <v>USDFUT1MZ3_Quote</v>
      </c>
      <c r="F6" s="148" t="str">
        <f>_xll.qlSimpleQuote(E6,,PriceTickValue,Permanent,Trigger,ObjectOverwrite)</f>
        <v>USDFUT1MZ3_Quote#0004</v>
      </c>
      <c r="G6" s="147" t="str">
        <f>_xll.ohRangeRetrieveError(F6)</f>
        <v/>
      </c>
      <c r="H6" s="140"/>
      <c r="J6" s="345"/>
      <c r="K6" s="358">
        <v>1</v>
      </c>
      <c r="L6" s="357" t="b">
        <v>0</v>
      </c>
      <c r="M6" s="284" t="str">
        <f t="array" ref="M6:M17">_xll.qlIMMcode(FuturesDates)</f>
        <v>Z3</v>
      </c>
      <c r="N6" s="356">
        <f t="array" ref="N6:N17">_xll.qlIMMNextDates(_xll.qlSettingsEvaluationDate(Trigger)-1,$L6:$L17)</f>
        <v>41626</v>
      </c>
      <c r="O6" s="284" t="str">
        <f t="array" ref="O6:O17">VLOOKUP(Currency,LiffeCodes,2)&amp;FuturesCodes</f>
        <v>EMZ3</v>
      </c>
      <c r="P6" s="355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7">
        <f>_xll.qlMidSafe($Q6,$R6)</f>
        <v>99.828749999999999</v>
      </c>
      <c r="V6" s="266"/>
      <c r="W6" s="354">
        <v>99.828749999999999</v>
      </c>
      <c r="X6" s="266"/>
      <c r="Y6" s="353" t="str">
        <f t="array" ref="Y6:Y17">Currency&amp;"FUT1M"&amp;FuturesCodes&amp;$Z$2</f>
        <v>USDFUT1MZ3_Quote</v>
      </c>
      <c r="Z6" s="284">
        <f t="array" ref="Z6:Z17">QuoteLive</f>
        <v>99.828749999999999</v>
      </c>
      <c r="AA6" s="287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5">
        <f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F4</v>
      </c>
      <c r="E7" s="142" t="str">
        <f t="shared" si="0"/>
        <v>USDFUT1MF4_Quote</v>
      </c>
      <c r="F7" s="141" t="str">
        <f>_xll.qlSimpleQuote(E7,,PriceTickValue,Permanent,Trigger,ObjectOverwrite)</f>
        <v>USDFUT1MF4_Quote#0004</v>
      </c>
      <c r="G7" s="104" t="str">
        <f>_xll.ohRangeRetrieveError(F7)</f>
        <v/>
      </c>
      <c r="H7" s="140"/>
      <c r="J7" s="345"/>
      <c r="K7" s="351">
        <v>2</v>
      </c>
      <c r="L7" s="350" t="b">
        <v>0</v>
      </c>
      <c r="M7" s="264" t="str">
        <v>F4</v>
      </c>
      <c r="N7" s="349">
        <v>41654</v>
      </c>
      <c r="O7" s="264" t="str">
        <v>EMF4</v>
      </c>
      <c r="P7" s="348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52">
        <v>99.821249999999992</v>
      </c>
      <c r="X7" s="266"/>
      <c r="Y7" s="346" t="str">
        <v>USDFUT1MF4_Quote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5">
        <f>(R7-U7)/50</f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G4</v>
      </c>
      <c r="E8" s="142" t="str">
        <f t="shared" si="0"/>
        <v>USDFUT1MG4_Quote</v>
      </c>
      <c r="F8" s="141" t="str">
        <f>_xll.qlSimpleQuote(E8,,PriceTickValue,Permanent,Trigger,ObjectOverwrite)</f>
        <v>USDFUT1MG4_Quote#0004</v>
      </c>
      <c r="G8" s="104" t="str">
        <f>_xll.ohRangeRetrieveError(F8)</f>
        <v/>
      </c>
      <c r="H8" s="140"/>
      <c r="J8" s="345"/>
      <c r="K8" s="351">
        <v>3</v>
      </c>
      <c r="L8" s="350" t="b">
        <v>0</v>
      </c>
      <c r="M8" s="264" t="str">
        <v>G4</v>
      </c>
      <c r="N8" s="349">
        <v>41689</v>
      </c>
      <c r="O8" s="264" t="str">
        <v>EMG4</v>
      </c>
      <c r="P8" s="348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52">
        <v>99.818749999999994</v>
      </c>
      <c r="X8" s="266"/>
      <c r="Y8" s="346" t="str">
        <v>USDFUT1MG4_Quote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5">
        <f>(R8-U8)/50</f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H4</v>
      </c>
      <c r="E9" s="142" t="str">
        <f t="shared" si="0"/>
        <v>USDFUT1MH4_Quote</v>
      </c>
      <c r="F9" s="141" t="str">
        <f>_xll.qlSimpleQuote(E9,,PriceTickValue,Permanent,Trigger,ObjectOverwrite)</f>
        <v>USDFUT1MH4_Quote#0004</v>
      </c>
      <c r="G9" s="104" t="str">
        <f>_xll.ohRangeRetrieveError(F9)</f>
        <v/>
      </c>
      <c r="H9" s="140"/>
      <c r="J9" s="345"/>
      <c r="K9" s="351">
        <v>4</v>
      </c>
      <c r="L9" s="350" t="b">
        <v>0</v>
      </c>
      <c r="M9" s="264" t="str">
        <v>H4</v>
      </c>
      <c r="N9" s="349">
        <v>41717</v>
      </c>
      <c r="O9" s="264" t="str">
        <v>EMH4</v>
      </c>
      <c r="P9" s="348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52">
        <v>99.8125</v>
      </c>
      <c r="X9" s="266"/>
      <c r="Y9" s="346" t="str">
        <v>USDFUT1MH4_Quote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5">
        <f>(R9-U9)/50</f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J4</v>
      </c>
      <c r="E10" s="142" t="str">
        <f t="shared" si="0"/>
        <v>USDFUT1MJ4_Quote</v>
      </c>
      <c r="F10" s="141" t="str">
        <f>_xll.qlSimpleQuote(E10,,PriceTickValue,Permanent,Trigger,ObjectOverwrite)</f>
        <v>USDFUT1MJ4_Quote#0004</v>
      </c>
      <c r="G10" s="104" t="str">
        <f>_xll.ohRangeRetrieveError(F10)</f>
        <v/>
      </c>
      <c r="H10" s="140"/>
      <c r="J10" s="345"/>
      <c r="K10" s="351">
        <v>5</v>
      </c>
      <c r="L10" s="350" t="b">
        <v>0</v>
      </c>
      <c r="M10" s="264" t="str">
        <v>J4</v>
      </c>
      <c r="N10" s="349">
        <v>41745</v>
      </c>
      <c r="O10" s="264" t="str">
        <v>EMJ4</v>
      </c>
      <c r="P10" s="348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7">
        <v>99.794999999999987</v>
      </c>
      <c r="X10" s="266"/>
      <c r="Y10" s="346" t="str">
        <v>USDFUT1MJ4_Quote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5">
        <f>(R10-U10)/50</f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K4</v>
      </c>
      <c r="E11" s="142" t="str">
        <f t="shared" si="0"/>
        <v>USDFUT1MK4_Quote</v>
      </c>
      <c r="F11" s="141" t="str">
        <f>_xll.qlSimpleQuote(E11,,PriceTickValue,Permanent,Trigger,ObjectOverwrite)</f>
        <v>USDFUT1MK4_Quote#0004</v>
      </c>
      <c r="G11" s="104" t="str">
        <f>_xll.ohRangeRetrieveError(F11)</f>
        <v/>
      </c>
      <c r="H11" s="140"/>
      <c r="J11" s="345"/>
      <c r="K11" s="351">
        <v>6</v>
      </c>
      <c r="L11" s="350" t="b">
        <v>0</v>
      </c>
      <c r="M11" s="264" t="str">
        <v>K4</v>
      </c>
      <c r="N11" s="349">
        <v>41780</v>
      </c>
      <c r="O11" s="264" t="str">
        <v>EMK4</v>
      </c>
      <c r="P11" s="348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7">
        <v>99.786249999999995</v>
      </c>
      <c r="X11" s="266"/>
      <c r="Y11" s="346" t="str">
        <v>USDFUT1MK4_Quote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5">
        <f>(R11-U11)/50</f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M4</v>
      </c>
      <c r="E12" s="142" t="str">
        <f t="shared" si="0"/>
        <v>USDFUT1MM4_Quote</v>
      </c>
      <c r="F12" s="141" t="str">
        <f>_xll.qlSimpleQuote(E12,,PriceTickValue,Permanent,Trigger,ObjectOverwrite)</f>
        <v>USDFUT1MM4_Quote#0004</v>
      </c>
      <c r="G12" s="104" t="str">
        <f>_xll.ohRangeRetrieveError(F12)</f>
        <v/>
      </c>
      <c r="H12" s="140"/>
      <c r="J12" s="345"/>
      <c r="K12" s="351">
        <v>7</v>
      </c>
      <c r="L12" s="350" t="b">
        <v>0</v>
      </c>
      <c r="M12" s="264" t="str">
        <v>M4</v>
      </c>
      <c r="N12" s="349">
        <v>41808</v>
      </c>
      <c r="O12" s="264" t="str">
        <v>EMM4</v>
      </c>
      <c r="P12" s="348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7">
        <v>99.773750000000007</v>
      </c>
      <c r="X12" s="266"/>
      <c r="Y12" s="346" t="str">
        <v>USDFUT1MM4_Quote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5">
        <f>(R12-U12)/50</f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N4</v>
      </c>
      <c r="E13" s="142" t="str">
        <f t="shared" si="0"/>
        <v>USDFUT1MN4_Quote</v>
      </c>
      <c r="F13" s="141" t="str">
        <f>_xll.qlSimpleQuote(E13,,PriceTickValue,Permanent,Trigger,ObjectOverwrite)</f>
        <v>USDFUT1MN4_Quote#0004</v>
      </c>
      <c r="G13" s="104" t="str">
        <f>_xll.ohRangeRetrieveError(F13)</f>
        <v/>
      </c>
      <c r="H13" s="140"/>
      <c r="J13" s="345"/>
      <c r="K13" s="351">
        <v>8</v>
      </c>
      <c r="L13" s="350" t="b">
        <v>0</v>
      </c>
      <c r="M13" s="264" t="str">
        <v>N4</v>
      </c>
      <c r="N13" s="349">
        <v>41836</v>
      </c>
      <c r="O13" s="264" t="str">
        <v>EMN4</v>
      </c>
      <c r="P13" s="348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7">
        <v>99.753749999999997</v>
      </c>
      <c r="X13" s="266"/>
      <c r="Y13" s="346" t="str">
        <v>USDFUT1MN4_Quote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5">
        <f>(R13-U13)/50</f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Q4</v>
      </c>
      <c r="E14" s="142" t="str">
        <f t="shared" si="0"/>
        <v>USDFUT1MQ4_Quote</v>
      </c>
      <c r="F14" s="141" t="str">
        <f>_xll.qlSimpleQuote(E14,,PriceTickValue,Permanent,Trigger,ObjectOverwrite)</f>
        <v>USDFUT1MQ4_Quote#0004</v>
      </c>
      <c r="G14" s="104" t="str">
        <f>_xll.ohRangeRetrieveError(F14)</f>
        <v/>
      </c>
      <c r="H14" s="140"/>
      <c r="J14" s="345"/>
      <c r="K14" s="351">
        <v>9</v>
      </c>
      <c r="L14" s="350" t="b">
        <v>0</v>
      </c>
      <c r="M14" s="264" t="str">
        <v>Q4</v>
      </c>
      <c r="N14" s="349">
        <v>41871</v>
      </c>
      <c r="O14" s="264" t="str">
        <v>EMQ4</v>
      </c>
      <c r="P14" s="348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7">
        <v>99.743750000000006</v>
      </c>
      <c r="X14" s="266"/>
      <c r="Y14" s="346" t="str">
        <v>USDFUT1MQ4_Quote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5">
        <f>(R14-U14)/50</f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U4</v>
      </c>
      <c r="E15" s="142" t="str">
        <f t="shared" si="0"/>
        <v>USDFUT1MU4_Quote</v>
      </c>
      <c r="F15" s="141" t="str">
        <f>_xll.qlSimpleQuote(E15,,PriceTickValue,Permanent,Trigger,ObjectOverwrite)</f>
        <v>USDFUT1MU4_Quote#0004</v>
      </c>
      <c r="G15" s="104" t="str">
        <f>_xll.ohRangeRetrieveError(F15)</f>
        <v/>
      </c>
      <c r="H15" s="140"/>
      <c r="J15" s="345"/>
      <c r="K15" s="351">
        <v>10</v>
      </c>
      <c r="L15" s="350" t="b">
        <v>0</v>
      </c>
      <c r="M15" s="264" t="str">
        <v>U4</v>
      </c>
      <c r="N15" s="349">
        <v>41899</v>
      </c>
      <c r="O15" s="264" t="str">
        <v>EMU4</v>
      </c>
      <c r="P15" s="348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7">
        <v>99.72999999999999</v>
      </c>
      <c r="X15" s="266"/>
      <c r="Y15" s="346" t="str">
        <v>USDFUT1MU4_Quote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5">
        <f>(R15-U15)/50</f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V4</v>
      </c>
      <c r="E16" s="142" t="str">
        <f t="shared" si="0"/>
        <v>USDFUT1MV4_Quote</v>
      </c>
      <c r="F16" s="141" t="str">
        <f>_xll.qlSimpleQuote(E16,,PriceTickValue,Permanent,Trigger,ObjectOverwrite)</f>
        <v>USDFUT1MV4_Quote#0004</v>
      </c>
      <c r="G16" s="104" t="str">
        <f>_xll.ohRangeRetrieveError(F16)</f>
        <v/>
      </c>
      <c r="H16" s="140"/>
      <c r="J16" s="345"/>
      <c r="K16" s="351">
        <v>11</v>
      </c>
      <c r="L16" s="350" t="b">
        <v>0</v>
      </c>
      <c r="M16" s="264" t="str">
        <v>V4</v>
      </c>
      <c r="N16" s="349">
        <v>41927</v>
      </c>
      <c r="O16" s="264" t="str">
        <v>EMV4</v>
      </c>
      <c r="P16" s="348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7">
        <v>99.704999999999998</v>
      </c>
      <c r="X16" s="266"/>
      <c r="Y16" s="346" t="str">
        <v>USDFUT1MV4_Quote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5">
        <f>(R16-U16)/50</f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X4</v>
      </c>
      <c r="E17" s="142" t="str">
        <f t="shared" si="0"/>
        <v>USDFUT1MX4_Quote</v>
      </c>
      <c r="F17" s="141" t="str">
        <f>_xll.qlSimpleQuote(E17,,PriceTickValue,Permanent,Trigger,ObjectOverwrite)</f>
        <v>USDFUT1MX4_Quote#0004</v>
      </c>
      <c r="G17" s="104" t="str">
        <f>_xll.ohRangeRetrieveError(F17)</f>
        <v/>
      </c>
      <c r="H17" s="140"/>
      <c r="J17" s="345"/>
      <c r="K17" s="344">
        <v>12</v>
      </c>
      <c r="L17" s="343" t="b">
        <v>0</v>
      </c>
      <c r="M17" s="277" t="str">
        <v>X4</v>
      </c>
      <c r="N17" s="342">
        <v>41962</v>
      </c>
      <c r="O17" s="277" t="str">
        <v>EMX4</v>
      </c>
      <c r="P17" s="341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40">
        <v>99.696249999999992</v>
      </c>
      <c r="X17" s="266"/>
      <c r="Y17" s="339" t="str">
        <v>USDFUT1MX4_Quote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5">
        <f>(R17-U17)/50</f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Z4</v>
      </c>
      <c r="E18" s="142" t="str">
        <f t="shared" si="0"/>
        <v>USDFUT1MZ4_Quote</v>
      </c>
      <c r="F18" s="141" t="str">
        <f>_xll.qlSimpleQuote(E18,,PriceTickValue,Permanent,Trigger,ObjectOverwrite)</f>
        <v>USDFUT1MZ4_Quote#0004</v>
      </c>
      <c r="G18" s="104" t="str">
        <f>_xll.ohRangeRetrieveError(F18)</f>
        <v/>
      </c>
      <c r="H18" s="140"/>
      <c r="J18" s="338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F5</v>
      </c>
      <c r="E19" s="142" t="str">
        <f t="shared" si="0"/>
        <v>USDFUT1MF5_Quote</v>
      </c>
      <c r="F19" s="141" t="str">
        <f>_xll.qlSimpleQuote(E19,,PriceTickValue,Permanent,Trigger,ObjectOverwrite)</f>
        <v>USDFUT1MF5_Quote#0004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G5</v>
      </c>
      <c r="E20" s="142" t="str">
        <f t="shared" si="0"/>
        <v>USDFUT1MG5_Quote</v>
      </c>
      <c r="F20" s="141" t="str">
        <f>_xll.qlSimpleQuote(E20,,PriceTickValue,Permanent,Trigger,ObjectOverwrite)</f>
        <v>USDFUT1MG5_Quote#0004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H5</v>
      </c>
      <c r="E21" s="142" t="str">
        <f t="shared" si="0"/>
        <v>USDFUT1MH5_Quote</v>
      </c>
      <c r="F21" s="141" t="str">
        <f>_xll.qlSimpleQuote(E21,,PriceTickValue,Permanent,Trigger,ObjectOverwrite)</f>
        <v>USDFUT1MH5_Quote#0004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J5</v>
      </c>
      <c r="E22" s="142" t="str">
        <f t="shared" si="0"/>
        <v>USDFUT1MJ5_Quote</v>
      </c>
      <c r="F22" s="141" t="str">
        <f>_xll.qlSimpleQuote(E22,,PriceTickValue,Permanent,Trigger,ObjectOverwrite)</f>
        <v>USDFUT1MJ5_Quote#0004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K5</v>
      </c>
      <c r="E23" s="142" t="str">
        <f t="shared" si="0"/>
        <v>USDFUT1MK5_Quote</v>
      </c>
      <c r="F23" s="141" t="str">
        <f>_xll.qlSimpleQuote(E23,,PriceTickValue,Permanent,Trigger,ObjectOverwrite)</f>
        <v>USDFUT1MK5_Quote#0004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M5</v>
      </c>
      <c r="E24" s="142" t="str">
        <f t="shared" si="0"/>
        <v>USDFUT1MM5_Quote</v>
      </c>
      <c r="F24" s="141" t="str">
        <f>_xll.qlSimpleQuote(E24,,PriceTickValue,Permanent,Trigger,ObjectOverwrite)</f>
        <v>USDFUT1MM5_Quote#0004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N5</v>
      </c>
      <c r="E25" s="142" t="str">
        <f t="shared" si="0"/>
        <v>USDFUT1MN5_Quote</v>
      </c>
      <c r="F25" s="141" t="str">
        <f>_xll.qlSimpleQuote(E25,,PriceTickValue,Permanent,Trigger,ObjectOverwrite)</f>
        <v>USDFUT1MN5_Quote#0004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Q5</v>
      </c>
      <c r="E26" s="142" t="str">
        <f t="shared" si="0"/>
        <v>USDFUT1MQ5_Quote</v>
      </c>
      <c r="F26" s="141" t="str">
        <f>_xll.qlSimpleQuote(E26,,PriceTickValue,Permanent,Trigger,ObjectOverwrite)</f>
        <v>USDFUT1MQ5_Quote#0004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U5</v>
      </c>
      <c r="E27" s="142" t="str">
        <f t="shared" si="0"/>
        <v>USDFUT1MU5_Quote</v>
      </c>
      <c r="F27" s="141" t="str">
        <f>_xll.qlSimpleQuote(E27,,PriceTickValue,Permanent,Trigger,ObjectOverwrite)</f>
        <v>USDFUT1MU5_Quote#0004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V5</v>
      </c>
      <c r="E28" s="142" t="str">
        <f t="shared" si="0"/>
        <v>USDFUT1MV5_Quote</v>
      </c>
      <c r="F28" s="141" t="str">
        <f>_xll.qlSimpleQuote(E28,,PriceTickValue,Permanent,Trigger,ObjectOverwrite)</f>
        <v>USDFUT1MV5_Quote#0004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X5</v>
      </c>
      <c r="E29" s="142" t="str">
        <f t="shared" si="0"/>
        <v>USDFUT1MX5_Quote</v>
      </c>
      <c r="F29" s="141" t="str">
        <f>_xll.qlSimpleQuote(E29,,PriceTickValue,Permanent,Trigger,ObjectOverwrite)</f>
        <v>USDFUT1MX5_Quote#0004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Z5</v>
      </c>
      <c r="E30" s="142" t="str">
        <f t="shared" si="0"/>
        <v>USDFUT1MZ5_Quote</v>
      </c>
      <c r="F30" s="141" t="str">
        <f>_xll.qlSimpleQuote(E30,,PriceTickValue,Permanent,Trigger,ObjectOverwrite)</f>
        <v>USDFUT1MZ5_Quote#0004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F6</v>
      </c>
      <c r="E31" s="142" t="str">
        <f t="shared" si="0"/>
        <v>USDFUT1MF6_Quote</v>
      </c>
      <c r="F31" s="141" t="str">
        <f>_xll.qlSimpleQuote(E31,,PriceTickValue,Permanent,Trigger,ObjectOverwrite)</f>
        <v>USDFUT1MF6_Quote#0004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G6</v>
      </c>
      <c r="E32" s="142" t="str">
        <f t="shared" si="0"/>
        <v>USDFUT1MG6_Quote</v>
      </c>
      <c r="F32" s="141" t="str">
        <f>_xll.qlSimpleQuote(E32,,PriceTickValue,Permanent,Trigger,ObjectOverwrite)</f>
        <v>USDFUT1MG6_Quote#0004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H6</v>
      </c>
      <c r="E33" s="142" t="str">
        <f t="shared" si="0"/>
        <v>USDFUT1MH6_Quote</v>
      </c>
      <c r="F33" s="141" t="str">
        <f>_xll.qlSimpleQuote(E33,,PriceTickValue,Permanent,Trigger,ObjectOverwrite)</f>
        <v>USDFUT1MH6_Quote#0004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J6</v>
      </c>
      <c r="E34" s="142" t="str">
        <f t="shared" si="0"/>
        <v>USDFUT1MJ6_Quote</v>
      </c>
      <c r="F34" s="141" t="str">
        <f>_xll.qlSimpleQuote(E34,,PriceTickValue,Permanent,Trigger,ObjectOverwrite)</f>
        <v>USDFUT1MJ6_Quote#0004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K6</v>
      </c>
      <c r="E35" s="142" t="str">
        <f t="shared" si="0"/>
        <v>USDFUT1MK6_Quote</v>
      </c>
      <c r="F35" s="141" t="str">
        <f>_xll.qlSimpleQuote(E35,,PriceTickValue,Permanent,Trigger,ObjectOverwrite)</f>
        <v>USDFUT1MK6_Quote#0004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M6</v>
      </c>
      <c r="E36" s="142" t="str">
        <f t="shared" si="0"/>
        <v>USDFUT1MM6_Quote</v>
      </c>
      <c r="F36" s="141" t="str">
        <f>_xll.qlSimpleQuote(E36,,PriceTickValue,Permanent,Trigger,ObjectOverwrite)</f>
        <v>USDFUT1MM6_Quote#0004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N6</v>
      </c>
      <c r="E37" s="142" t="str">
        <f t="shared" si="0"/>
        <v>USDFUT1MN6_Quote</v>
      </c>
      <c r="F37" s="141" t="str">
        <f>_xll.qlSimpleQuote(E37,,PriceTickValue,Permanent,Trigger,ObjectOverwrite)</f>
        <v>USDFUT1MN6_Quote#0004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Q6</v>
      </c>
      <c r="E38" s="142" t="str">
        <f t="shared" ref="E38:E69" si="1">Currency&amp;$D$4&amp;$E$4&amp;$D38&amp;QuoteSuffix</f>
        <v>USDFUT1MQ6_Quote</v>
      </c>
      <c r="F38" s="141" t="str">
        <f>_xll.qlSimpleQuote(E38,,PriceTickValue,Permanent,Trigger,ObjectOverwrite)</f>
        <v>USDFUT1MQ6_Quote#0004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U6</v>
      </c>
      <c r="E39" s="142" t="str">
        <f t="shared" si="1"/>
        <v>USDFUT1MU6_Quote</v>
      </c>
      <c r="F39" s="141" t="str">
        <f>_xll.qlSimpleQuote(E39,,PriceTickValue,Permanent,Trigger,ObjectOverwrite)</f>
        <v>USDFUT1MU6_Quote#0004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V6</v>
      </c>
      <c r="E40" s="142" t="str">
        <f t="shared" si="1"/>
        <v>USDFUT1MV6_Quote</v>
      </c>
      <c r="F40" s="141" t="str">
        <f>_xll.qlSimpleQuote(E40,,PriceTickValue,Permanent,Trigger,ObjectOverwrite)</f>
        <v>USDFUT1MV6_Quote#0004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X6</v>
      </c>
      <c r="E41" s="142" t="str">
        <f t="shared" si="1"/>
        <v>USDFUT1MX6_Quote</v>
      </c>
      <c r="F41" s="141" t="str">
        <f>_xll.qlSimpleQuote(E41,,PriceTickValue,Permanent,Trigger,ObjectOverwrite)</f>
        <v>USDFUT1MX6_Quote#0004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Z6</v>
      </c>
      <c r="E42" s="142" t="str">
        <f t="shared" si="1"/>
        <v>USDFUT1MZ6_Quote</v>
      </c>
      <c r="F42" s="141" t="str">
        <f>_xll.qlSimpleQuote(E42,,PriceTickValue,Permanent,Trigger,ObjectOverwrite)</f>
        <v>USDFUT1MZ6_Quote#0004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F7</v>
      </c>
      <c r="E43" s="142" t="str">
        <f t="shared" si="1"/>
        <v>USDFUT1MF7_Quote</v>
      </c>
      <c r="F43" s="141" t="str">
        <f>_xll.qlSimpleQuote(E43,,PriceTickValue,Permanent,Trigger,ObjectOverwrite)</f>
        <v>USDFUT1MF7_Quote#0004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G7</v>
      </c>
      <c r="E44" s="142" t="str">
        <f t="shared" si="1"/>
        <v>USDFUT1MG7_Quote</v>
      </c>
      <c r="F44" s="141" t="str">
        <f>_xll.qlSimpleQuote(E44,,PriceTickValue,Permanent,Trigger,ObjectOverwrite)</f>
        <v>USDFUT1MG7_Quote#0004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H7</v>
      </c>
      <c r="E45" s="142" t="str">
        <f t="shared" si="1"/>
        <v>USDFUT1MH7_Quote</v>
      </c>
      <c r="F45" s="141" t="str">
        <f>_xll.qlSimpleQuote(E45,,PriceTickValue,Permanent,Trigger,ObjectOverwrite)</f>
        <v>USDFUT1MH7_Quote#0004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J7</v>
      </c>
      <c r="E46" s="142" t="str">
        <f t="shared" si="1"/>
        <v>USDFUT1MJ7_Quote</v>
      </c>
      <c r="F46" s="141" t="str">
        <f>_xll.qlSimpleQuote(E46,,PriceTickValue,Permanent,Trigger,ObjectOverwrite)</f>
        <v>USDFUT1MJ7_Quote#0004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K7</v>
      </c>
      <c r="E47" s="142" t="str">
        <f t="shared" si="1"/>
        <v>USDFUT1MK7_Quote</v>
      </c>
      <c r="F47" s="141" t="str">
        <f>_xll.qlSimpleQuote(E47,,PriceTickValue,Permanent,Trigger,ObjectOverwrite)</f>
        <v>USDFUT1MK7_Quote#0004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M7</v>
      </c>
      <c r="E48" s="142" t="str">
        <f t="shared" si="1"/>
        <v>USDFUT1MM7_Quote</v>
      </c>
      <c r="F48" s="141" t="str">
        <f>_xll.qlSimpleQuote(E48,,PriceTickValue,Permanent,Trigger,ObjectOverwrite)</f>
        <v>USDFUT1MM7_Quote#0004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N7</v>
      </c>
      <c r="E49" s="142" t="str">
        <f t="shared" si="1"/>
        <v>USDFUT1MN7_Quote</v>
      </c>
      <c r="F49" s="141" t="str">
        <f>_xll.qlSimpleQuote(E49,,PriceTickValue,Permanent,Trigger,ObjectOverwrite)</f>
        <v>USDFUT1MN7_Quote#0004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Q7</v>
      </c>
      <c r="E50" s="142" t="str">
        <f t="shared" si="1"/>
        <v>USDFUT1MQ7_Quote</v>
      </c>
      <c r="F50" s="141" t="str">
        <f>_xll.qlSimpleQuote(E50,,PriceTickValue,Permanent,Trigger,ObjectOverwrite)</f>
        <v>USDFUT1MQ7_Quote#0004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U7</v>
      </c>
      <c r="E51" s="142" t="str">
        <f t="shared" si="1"/>
        <v>USDFUT1MU7_Quote</v>
      </c>
      <c r="F51" s="141" t="str">
        <f>_xll.qlSimpleQuote(E51,,PriceTickValue,Permanent,Trigger,ObjectOverwrite)</f>
        <v>USDFUT1MU7_Quote#0004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V7</v>
      </c>
      <c r="E52" s="142" t="str">
        <f t="shared" si="1"/>
        <v>USDFUT1MV7_Quote</v>
      </c>
      <c r="F52" s="141" t="str">
        <f>_xll.qlSimpleQuote(E52,,PriceTickValue,Permanent,Trigger,ObjectOverwrite)</f>
        <v>USDFUT1MV7_Quote#0004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X7</v>
      </c>
      <c r="E53" s="142" t="str">
        <f t="shared" si="1"/>
        <v>USDFUT1MX7_Quote</v>
      </c>
      <c r="F53" s="141" t="str">
        <f>_xll.qlSimpleQuote(E53,,PriceTickValue,Permanent,Trigger,ObjectOverwrite)</f>
        <v>USDFUT1MX7_Quote#0004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Z7</v>
      </c>
      <c r="E54" s="142" t="str">
        <f t="shared" si="1"/>
        <v>USDFUT1MZ7_Quote</v>
      </c>
      <c r="F54" s="141" t="str">
        <f>_xll.qlSimpleQuote(E54,,PriceTickValue,Permanent,Trigger,ObjectOverwrite)</f>
        <v>USDFUT1MZ7_Quote#0004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F8</v>
      </c>
      <c r="E55" s="142" t="str">
        <f t="shared" si="1"/>
        <v>USDFUT1MF8_Quote</v>
      </c>
      <c r="F55" s="141" t="str">
        <f>_xll.qlSimpleQuote(E55,,PriceTickValue,Permanent,Trigger,ObjectOverwrite)</f>
        <v>USDFUT1MF8_Quote#0004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G8</v>
      </c>
      <c r="E56" s="142" t="str">
        <f t="shared" si="1"/>
        <v>USDFUT1MG8_Quote</v>
      </c>
      <c r="F56" s="141" t="str">
        <f>_xll.qlSimpleQuote(E56,,PriceTickValue,Permanent,Trigger,ObjectOverwrite)</f>
        <v>USDFUT1MG8_Quote#0004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H8</v>
      </c>
      <c r="E57" s="142" t="str">
        <f t="shared" si="1"/>
        <v>USDFUT1MH8_Quote</v>
      </c>
      <c r="F57" s="141" t="str">
        <f>_xll.qlSimpleQuote(E57,,PriceTickValue,Permanent,Trigger,ObjectOverwrite)</f>
        <v>USDFUT1MH8_Quote#0004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J8</v>
      </c>
      <c r="E58" s="142" t="str">
        <f t="shared" si="1"/>
        <v>USDFUT1MJ8_Quote</v>
      </c>
      <c r="F58" s="141" t="str">
        <f>_xll.qlSimpleQuote(E58,,PriceTickValue,Permanent,Trigger,ObjectOverwrite)</f>
        <v>USDFUT1MJ8_Quote#0004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K8</v>
      </c>
      <c r="E59" s="142" t="str">
        <f t="shared" si="1"/>
        <v>USDFUT1MK8_Quote</v>
      </c>
      <c r="F59" s="141" t="str">
        <f>_xll.qlSimpleQuote(E59,,PriceTickValue,Permanent,Trigger,ObjectOverwrite)</f>
        <v>USDFUT1MK8_Quote#0004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M8</v>
      </c>
      <c r="E60" s="142" t="str">
        <f t="shared" si="1"/>
        <v>USDFUT1MM8_Quote</v>
      </c>
      <c r="F60" s="141" t="str">
        <f>_xll.qlSimpleQuote(E60,,PriceTickValue,Permanent,Trigger,ObjectOverwrite)</f>
        <v>USDFUT1MM8_Quote#0004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N8</v>
      </c>
      <c r="E61" s="142" t="str">
        <f t="shared" si="1"/>
        <v>USDFUT1MN8_Quote</v>
      </c>
      <c r="F61" s="141" t="str">
        <f>_xll.qlSimpleQuote(E61,,PriceTickValue,Permanent,Trigger,ObjectOverwrite)</f>
        <v>USDFUT1MN8_Quote#0004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Q8</v>
      </c>
      <c r="E62" s="142" t="str">
        <f t="shared" si="1"/>
        <v>USDFUT1MQ8_Quote</v>
      </c>
      <c r="F62" s="141" t="str">
        <f>_xll.qlSimpleQuote(E62,,PriceTickValue,Permanent,Trigger,ObjectOverwrite)</f>
        <v>USDFUT1MQ8_Quote#0004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U8</v>
      </c>
      <c r="E63" s="142" t="str">
        <f t="shared" si="1"/>
        <v>USDFUT1MU8_Quote</v>
      </c>
      <c r="F63" s="141" t="str">
        <f>_xll.qlSimpleQuote(E63,,PriceTickValue,Permanent,Trigger,ObjectOverwrite)</f>
        <v>USDFUT1MU8_Quote#0004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V8</v>
      </c>
      <c r="E64" s="142" t="str">
        <f t="shared" si="1"/>
        <v>USDFUT1MV8_Quote</v>
      </c>
      <c r="F64" s="141" t="str">
        <f>_xll.qlSimpleQuote(E64,,PriceTickValue,Permanent,Trigger,ObjectOverwrite)</f>
        <v>USDFUT1MV8_Quote#0004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X8</v>
      </c>
      <c r="E65" s="142" t="str">
        <f t="shared" si="1"/>
        <v>USDFUT1MX8_Quote</v>
      </c>
      <c r="F65" s="141" t="str">
        <f>_xll.qlSimpleQuote(E65,,PriceTickValue,Permanent,Trigger,ObjectOverwrite)</f>
        <v>USDFUT1MX8_Quote#0004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Z8</v>
      </c>
      <c r="E66" s="142" t="str">
        <f t="shared" si="1"/>
        <v>USDFUT1MZ8_Quote</v>
      </c>
      <c r="F66" s="141" t="str">
        <f>_xll.qlSimpleQuote(E66,,PriceTickValue,Permanent,Trigger,ObjectOverwrite)</f>
        <v>USDFUT1MZ8_Quote#0004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F9</v>
      </c>
      <c r="E67" s="142" t="str">
        <f t="shared" si="1"/>
        <v>USDFUT1MF9_Quote</v>
      </c>
      <c r="F67" s="141" t="str">
        <f>_xll.qlSimpleQuote(E67,,PriceTickValue,Permanent,Trigger,ObjectOverwrite)</f>
        <v>USDFUT1MF9_Quote#0004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G9</v>
      </c>
      <c r="E68" s="142" t="str">
        <f t="shared" si="1"/>
        <v>USDFUT1MG9_Quote</v>
      </c>
      <c r="F68" s="141" t="str">
        <f>_xll.qlSimpleQuote(E68,,PriceTickValue,Permanent,Trigger,ObjectOverwrite)</f>
        <v>USDFUT1MG9_Quote#0004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H9</v>
      </c>
      <c r="E69" s="142" t="str">
        <f t="shared" si="1"/>
        <v>USDFUT1MH9_Quote</v>
      </c>
      <c r="F69" s="141" t="str">
        <f>_xll.qlSimpleQuote(E69,,PriceTickValue,Permanent,Trigger,ObjectOverwrite)</f>
        <v>USDFUT1MH9_Quote#0004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J9</v>
      </c>
      <c r="E70" s="142" t="str">
        <f t="shared" ref="E70:E101" si="2">Currency&amp;$D$4&amp;$E$4&amp;$D70&amp;QuoteSuffix</f>
        <v>USDFUT1MJ9_Quote</v>
      </c>
      <c r="F70" s="141" t="str">
        <f>_xll.qlSimpleQuote(E70,,PriceTickValue,Permanent,Trigger,ObjectOverwrite)</f>
        <v>USDFUT1MJ9_Quote#0004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K9</v>
      </c>
      <c r="E71" s="142" t="str">
        <f t="shared" si="2"/>
        <v>USDFUT1MK9_Quote</v>
      </c>
      <c r="F71" s="141" t="str">
        <f>_xll.qlSimpleQuote(E71,,PriceTickValue,Permanent,Trigger,ObjectOverwrite)</f>
        <v>USDFUT1MK9_Quote#0004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M9</v>
      </c>
      <c r="E72" s="142" t="str">
        <f t="shared" si="2"/>
        <v>USDFUT1MM9_Quote</v>
      </c>
      <c r="F72" s="141" t="str">
        <f>_xll.qlSimpleQuote(E72,,PriceTickValue,Permanent,Trigger,ObjectOverwrite)</f>
        <v>USDFUT1MM9_Quote#0004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N9</v>
      </c>
      <c r="E73" s="142" t="str">
        <f t="shared" si="2"/>
        <v>USDFUT1MN9_Quote</v>
      </c>
      <c r="F73" s="141" t="str">
        <f>_xll.qlSimpleQuote(E73,,PriceTickValue,Permanent,Trigger,ObjectOverwrite)</f>
        <v>USDFUT1MN9_Quote#0004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Q9</v>
      </c>
      <c r="E74" s="142" t="str">
        <f t="shared" si="2"/>
        <v>USDFUT1MQ9_Quote</v>
      </c>
      <c r="F74" s="141" t="str">
        <f>_xll.qlSimpleQuote(E74,,PriceTickValue,Permanent,Trigger,ObjectOverwrite)</f>
        <v>USDFUT1MQ9_Quote#0004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U9</v>
      </c>
      <c r="E75" s="142" t="str">
        <f t="shared" si="2"/>
        <v>USDFUT1MU9_Quote</v>
      </c>
      <c r="F75" s="141" t="str">
        <f>_xll.qlSimpleQuote(E75,,PriceTickValue,Permanent,Trigger,ObjectOverwrite)</f>
        <v>USDFUT1MU9_Quote#0004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V9</v>
      </c>
      <c r="E76" s="142" t="str">
        <f t="shared" si="2"/>
        <v>USDFUT1MV9_Quote</v>
      </c>
      <c r="F76" s="141" t="str">
        <f>_xll.qlSimpleQuote(E76,,PriceTickValue,Permanent,Trigger,ObjectOverwrite)</f>
        <v>USDFUT1MV9_Quote#0004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X9</v>
      </c>
      <c r="E77" s="142" t="str">
        <f t="shared" si="2"/>
        <v>USDFUT1MX9_Quote</v>
      </c>
      <c r="F77" s="141" t="str">
        <f>_xll.qlSimpleQuote(E77,,PriceTickValue,Permanent,Trigger,ObjectOverwrite)</f>
        <v>USDFUT1MX9_Quote#0004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Z9</v>
      </c>
      <c r="E78" s="142" t="str">
        <f t="shared" si="2"/>
        <v>USDFUT1MZ9_Quote</v>
      </c>
      <c r="F78" s="141" t="str">
        <f>_xll.qlSimpleQuote(E78,,PriceTickValue,Permanent,Trigger,ObjectOverwrite)</f>
        <v>USDFUT1MZ9_Quote#0004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F0</v>
      </c>
      <c r="E79" s="142" t="str">
        <f t="shared" si="2"/>
        <v>USDFUT1MF0_Quote</v>
      </c>
      <c r="F79" s="141" t="str">
        <f>_xll.qlSimpleQuote(E79,,PriceTickValue,Permanent,Trigger,ObjectOverwrite)</f>
        <v>USDFUT1MF0_Quote#0004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G0</v>
      </c>
      <c r="E80" s="142" t="str">
        <f t="shared" si="2"/>
        <v>USDFUT1MG0_Quote</v>
      </c>
      <c r="F80" s="141" t="str">
        <f>_xll.qlSimpleQuote(E80,,PriceTickValue,Permanent,Trigger,ObjectOverwrite)</f>
        <v>USDFUT1MG0_Quote#0004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H0</v>
      </c>
      <c r="E81" s="142" t="str">
        <f t="shared" si="2"/>
        <v>USDFUT1MH0_Quote</v>
      </c>
      <c r="F81" s="141" t="str">
        <f>_xll.qlSimpleQuote(E81,,PriceTickValue,Permanent,Trigger,ObjectOverwrite)</f>
        <v>USDFUT1MH0_Quote#0004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J0</v>
      </c>
      <c r="E82" s="142" t="str">
        <f t="shared" si="2"/>
        <v>USDFUT1MJ0_Quote</v>
      </c>
      <c r="F82" s="141" t="str">
        <f>_xll.qlSimpleQuote(E82,,PriceTickValue,Permanent,Trigger,ObjectOverwrite)</f>
        <v>USDFUT1MJ0_Quote#0004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K0</v>
      </c>
      <c r="E83" s="142" t="str">
        <f t="shared" si="2"/>
        <v>USDFUT1MK0_Quote</v>
      </c>
      <c r="F83" s="141" t="str">
        <f>_xll.qlSimpleQuote(E83,,PriceTickValue,Permanent,Trigger,ObjectOverwrite)</f>
        <v>USDFUT1MK0_Quote#0004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M0</v>
      </c>
      <c r="E84" s="142" t="str">
        <f t="shared" si="2"/>
        <v>USDFUT1MM0_Quote</v>
      </c>
      <c r="F84" s="141" t="str">
        <f>_xll.qlSimpleQuote(E84,,PriceTickValue,Permanent,Trigger,ObjectOverwrite)</f>
        <v>USDFUT1MM0_Quote#0004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N0</v>
      </c>
      <c r="E85" s="142" t="str">
        <f t="shared" si="2"/>
        <v>USDFUT1MN0_Quote</v>
      </c>
      <c r="F85" s="141" t="str">
        <f>_xll.qlSimpleQuote(E85,,PriceTickValue,Permanent,Trigger,ObjectOverwrite)</f>
        <v>USDFUT1MN0_Quote#0004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Q0</v>
      </c>
      <c r="E86" s="142" t="str">
        <f t="shared" si="2"/>
        <v>USDFUT1MQ0_Quote</v>
      </c>
      <c r="F86" s="141" t="str">
        <f>_xll.qlSimpleQuote(E86,,PriceTickValue,Permanent,Trigger,ObjectOverwrite)</f>
        <v>USDFUT1MQ0_Quote#0004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U0</v>
      </c>
      <c r="E87" s="142" t="str">
        <f t="shared" si="2"/>
        <v>USDFUT1MU0_Quote</v>
      </c>
      <c r="F87" s="141" t="str">
        <f>_xll.qlSimpleQuote(E87,,PriceTickValue,Permanent,Trigger,ObjectOverwrite)</f>
        <v>USDFUT1MU0_Quote#0004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V0</v>
      </c>
      <c r="E88" s="142" t="str">
        <f t="shared" si="2"/>
        <v>USDFUT1MV0_Quote</v>
      </c>
      <c r="F88" s="141" t="str">
        <f>_xll.qlSimpleQuote(E88,,PriceTickValue,Permanent,Trigger,ObjectOverwrite)</f>
        <v>USDFUT1MV0_Quote#0004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X0</v>
      </c>
      <c r="E89" s="142" t="str">
        <f t="shared" si="2"/>
        <v>USDFUT1MX0_Quote</v>
      </c>
      <c r="F89" s="141" t="str">
        <f>_xll.qlSimpleQuote(E89,,PriceTickValue,Permanent,Trigger,ObjectOverwrite)</f>
        <v>USDFUT1MX0_Quote#0004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Z0</v>
      </c>
      <c r="E90" s="142" t="str">
        <f t="shared" si="2"/>
        <v>USDFUT1MZ0_Quote</v>
      </c>
      <c r="F90" s="141" t="str">
        <f>_xll.qlSimpleQuote(E90,,PriceTickValue,Permanent,Trigger,ObjectOverwrite)</f>
        <v>USDFUT1MZ0_Quote#0004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F1</v>
      </c>
      <c r="E91" s="142" t="str">
        <f t="shared" si="2"/>
        <v>USDFUT1MF1_Quote</v>
      </c>
      <c r="F91" s="141" t="str">
        <f>_xll.qlSimpleQuote(E91,,PriceTickValue,Permanent,Trigger,ObjectOverwrite)</f>
        <v>USDFUT1MF1_Quote#0004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G1</v>
      </c>
      <c r="E92" s="142" t="str">
        <f t="shared" si="2"/>
        <v>USDFUT1MG1_Quote</v>
      </c>
      <c r="F92" s="141" t="str">
        <f>_xll.qlSimpleQuote(E92,,PriceTickValue,Permanent,Trigger,ObjectOverwrite)</f>
        <v>USDFUT1MG1_Quote#0004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H1</v>
      </c>
      <c r="E93" s="142" t="str">
        <f t="shared" si="2"/>
        <v>USDFUT1MH1_Quote</v>
      </c>
      <c r="F93" s="141" t="str">
        <f>_xll.qlSimpleQuote(E93,,PriceTickValue,Permanent,Trigger,ObjectOverwrite)</f>
        <v>USDFUT1MH1_Quote#0004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J1</v>
      </c>
      <c r="E94" s="142" t="str">
        <f t="shared" si="2"/>
        <v>USDFUT1MJ1_Quote</v>
      </c>
      <c r="F94" s="141" t="str">
        <f>_xll.qlSimpleQuote(E94,,PriceTickValue,Permanent,Trigger,ObjectOverwrite)</f>
        <v>USDFUT1MJ1_Quote#0004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K1</v>
      </c>
      <c r="E95" s="142" t="str">
        <f t="shared" si="2"/>
        <v>USDFUT1MK1_Quote</v>
      </c>
      <c r="F95" s="141" t="str">
        <f>_xll.qlSimpleQuote(E95,,PriceTickValue,Permanent,Trigger,ObjectOverwrite)</f>
        <v>USDFUT1MK1_Quote#0004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M1</v>
      </c>
      <c r="E96" s="142" t="str">
        <f t="shared" si="2"/>
        <v>USDFUT1MM1_Quote</v>
      </c>
      <c r="F96" s="141" t="str">
        <f>_xll.qlSimpleQuote(E96,,PriceTickValue,Permanent,Trigger,ObjectOverwrite)</f>
        <v>USDFUT1MM1_Quote#0004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N1</v>
      </c>
      <c r="E97" s="142" t="str">
        <f t="shared" si="2"/>
        <v>USDFUT1MN1_Quote</v>
      </c>
      <c r="F97" s="141" t="str">
        <f>_xll.qlSimpleQuote(E97,,PriceTickValue,Permanent,Trigger,ObjectOverwrite)</f>
        <v>USDFUT1MN1_Quote#0004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Q1</v>
      </c>
      <c r="E98" s="142" t="str">
        <f t="shared" si="2"/>
        <v>USDFUT1MQ1_Quote</v>
      </c>
      <c r="F98" s="141" t="str">
        <f>_xll.qlSimpleQuote(E98,,PriceTickValue,Permanent,Trigger,ObjectOverwrite)</f>
        <v>USDFUT1MQ1_Quote#0004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U1</v>
      </c>
      <c r="E99" s="142" t="str">
        <f t="shared" si="2"/>
        <v>USDFUT1MU1_Quote</v>
      </c>
      <c r="F99" s="141" t="str">
        <f>_xll.qlSimpleQuote(E99,,PriceTickValue,Permanent,Trigger,ObjectOverwrite)</f>
        <v>USDFUT1MU1_Quote#0004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V1</v>
      </c>
      <c r="E100" s="142" t="str">
        <f t="shared" si="2"/>
        <v>USDFUT1MV1_Quote</v>
      </c>
      <c r="F100" s="141" t="str">
        <f>_xll.qlSimpleQuote(E100,,PriceTickValue,Permanent,Trigger,ObjectOverwrite)</f>
        <v>USDFUT1MV1_Quote#0004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X1</v>
      </c>
      <c r="E101" s="142" t="str">
        <f t="shared" si="2"/>
        <v>USDFUT1MX1_Quote</v>
      </c>
      <c r="F101" s="141" t="str">
        <f>_xll.qlSimpleQuote(E101,,PriceTickValue,Permanent,Trigger,ObjectOverwrite)</f>
        <v>USDFUT1MX1_Quote#0004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Z1</v>
      </c>
      <c r="E102" s="142" t="str">
        <f t="shared" ref="E102:E125" si="3">Currency&amp;$D$4&amp;$E$4&amp;$D102&amp;QuoteSuffix</f>
        <v>USDFUT1MZ1_Quote</v>
      </c>
      <c r="F102" s="141" t="str">
        <f>_xll.qlSimpleQuote(E102,,PriceTickValue,Permanent,Trigger,ObjectOverwrite)</f>
        <v>USDFUT1MZ1_Quote#0004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F2</v>
      </c>
      <c r="E103" s="142" t="str">
        <f t="shared" si="3"/>
        <v>USDFUT1MF2_Quote</v>
      </c>
      <c r="F103" s="141" t="str">
        <f>_xll.qlSimpleQuote(E103,,PriceTickValue,Permanent,Trigger,ObjectOverwrite)</f>
        <v>USDFUT1MF2_Quote#0004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G2</v>
      </c>
      <c r="E104" s="142" t="str">
        <f t="shared" si="3"/>
        <v>USDFUT1MG2_Quote</v>
      </c>
      <c r="F104" s="141" t="str">
        <f>_xll.qlSimpleQuote(E104,,PriceTickValue,Permanent,Trigger,ObjectOverwrite)</f>
        <v>USDFUT1MG2_Quote#0004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H2</v>
      </c>
      <c r="E105" s="142" t="str">
        <f t="shared" si="3"/>
        <v>USDFUT1MH2_Quote</v>
      </c>
      <c r="F105" s="141" t="str">
        <f>_xll.qlSimpleQuote(E105,,PriceTickValue,Permanent,Trigger,ObjectOverwrite)</f>
        <v>USDFUT1MH2_Quote#0004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J2</v>
      </c>
      <c r="E106" s="142" t="str">
        <f t="shared" si="3"/>
        <v>USDFUT1MJ2_Quote</v>
      </c>
      <c r="F106" s="141" t="str">
        <f>_xll.qlSimpleQuote(E106,,PriceTickValue,Permanent,Trigger,ObjectOverwrite)</f>
        <v>USDFUT1MJ2_Quote#0004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K2</v>
      </c>
      <c r="E107" s="142" t="str">
        <f t="shared" si="3"/>
        <v>USDFUT1MK2_Quote</v>
      </c>
      <c r="F107" s="141" t="str">
        <f>_xll.qlSimpleQuote(E107,,PriceTickValue,Permanent,Trigger,ObjectOverwrite)</f>
        <v>USDFUT1MK2_Quote#0004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M2</v>
      </c>
      <c r="E108" s="142" t="str">
        <f t="shared" si="3"/>
        <v>USDFUT1MM2_Quote</v>
      </c>
      <c r="F108" s="141" t="str">
        <f>_xll.qlSimpleQuote(E108,,PriceTickValue,Permanent,Trigger,ObjectOverwrite)</f>
        <v>USDFUT1MM2_Quote#0004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N2</v>
      </c>
      <c r="E109" s="142" t="str">
        <f t="shared" si="3"/>
        <v>USDFUT1MN2_Quote</v>
      </c>
      <c r="F109" s="141" t="str">
        <f>_xll.qlSimpleQuote(E109,,PriceTickValue,Permanent,Trigger,ObjectOverwrite)</f>
        <v>USDFUT1MN2_Quote#0004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Q2</v>
      </c>
      <c r="E110" s="142" t="str">
        <f t="shared" si="3"/>
        <v>USDFUT1MQ2_Quote</v>
      </c>
      <c r="F110" s="141" t="str">
        <f>_xll.qlSimpleQuote(E110,,PriceTickValue,Permanent,Trigger,ObjectOverwrite)</f>
        <v>USDFUT1MQ2_Quote#0004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U2</v>
      </c>
      <c r="E111" s="142" t="str">
        <f t="shared" si="3"/>
        <v>USDFUT1MU2_Quote</v>
      </c>
      <c r="F111" s="141" t="str">
        <f>_xll.qlSimpleQuote(E111,,PriceTickValue,Permanent,Trigger,ObjectOverwrite)</f>
        <v>USDFUT1MU2_Quote#0004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V2</v>
      </c>
      <c r="E112" s="142" t="str">
        <f t="shared" si="3"/>
        <v>USDFUT1MV2_Quote</v>
      </c>
      <c r="F112" s="141" t="str">
        <f>_xll.qlSimpleQuote(E112,,PriceTickValue,Permanent,Trigger,ObjectOverwrite)</f>
        <v>USDFUT1MV2_Quote#0004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X2</v>
      </c>
      <c r="E113" s="142" t="str">
        <f t="shared" si="3"/>
        <v>USDFUT1MX2_Quote</v>
      </c>
      <c r="F113" s="141" t="str">
        <f>_xll.qlSimpleQuote(E113,,PriceTickValue,Permanent,Trigger,ObjectOverwrite)</f>
        <v>USDFUT1MX2_Quote#0004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Z2</v>
      </c>
      <c r="E114" s="142" t="str">
        <f t="shared" si="3"/>
        <v>USDFUT1MZ2_Quote</v>
      </c>
      <c r="F114" s="141" t="str">
        <f>_xll.qlSimpleQuote(E114,,PriceTickValue,Permanent,Trigger,ObjectOverwrite)</f>
        <v>USDFUT1MZ2_Quote#0004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F3</v>
      </c>
      <c r="E115" s="142" t="str">
        <f t="shared" si="3"/>
        <v>USDFUT1MF3_Quote</v>
      </c>
      <c r="F115" s="141" t="str">
        <f>_xll.qlSimpleQuote(E115,,PriceTickValue,Permanent,Trigger,ObjectOverwrite)</f>
        <v>USDFUT1MF3_Quote#0004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G3</v>
      </c>
      <c r="E116" s="142" t="str">
        <f t="shared" si="3"/>
        <v>USDFUT1MG3_Quote</v>
      </c>
      <c r="F116" s="141" t="str">
        <f>_xll.qlSimpleQuote(E116,,PriceTickValue,Permanent,Trigger,ObjectOverwrite)</f>
        <v>USDFUT1MG3_Quote#0004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H3</v>
      </c>
      <c r="E117" s="142" t="str">
        <f t="shared" si="3"/>
        <v>USDFUT1MH3_Quote</v>
      </c>
      <c r="F117" s="141" t="str">
        <f>_xll.qlSimpleQuote(E117,,PriceTickValue,Permanent,Trigger,ObjectOverwrite)</f>
        <v>USDFUT1MH3_Quote#0004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J3</v>
      </c>
      <c r="E118" s="142" t="str">
        <f t="shared" si="3"/>
        <v>USDFUT1MJ3_Quote</v>
      </c>
      <c r="F118" s="141" t="str">
        <f>_xll.qlSimpleQuote(E118,,PriceTickValue,Permanent,Trigger,ObjectOverwrite)</f>
        <v>USDFUT1MJ3_Quote#0004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K3</v>
      </c>
      <c r="E119" s="142" t="str">
        <f t="shared" si="3"/>
        <v>USDFUT1MK3_Quote</v>
      </c>
      <c r="F119" s="141" t="str">
        <f>_xll.qlSimpleQuote(E119,,PriceTickValue,Permanent,Trigger,ObjectOverwrite)</f>
        <v>USDFUT1MK3_Quote#0004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M3</v>
      </c>
      <c r="E120" s="142" t="str">
        <f t="shared" si="3"/>
        <v>USDFUT1MM3_Quote</v>
      </c>
      <c r="F120" s="141" t="str">
        <f>_xll.qlSimpleQuote(E120,,PriceTickValue,Permanent,Trigger,ObjectOverwrite)</f>
        <v>USDFUT1MM3_Quote#0004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N3</v>
      </c>
      <c r="E121" s="142" t="str">
        <f t="shared" si="3"/>
        <v>USDFUT1MN3_Quote</v>
      </c>
      <c r="F121" s="141" t="str">
        <f>_xll.qlSimpleQuote(E121,,PriceTickValue,Permanent,Trigger,ObjectOverwrite)</f>
        <v>USDFUT1MN3_Quote#0004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Q3</v>
      </c>
      <c r="E122" s="142" t="str">
        <f t="shared" si="3"/>
        <v>USDFUT1MQ3_Quote</v>
      </c>
      <c r="F122" s="141" t="str">
        <f>_xll.qlSimpleQuote(E122,,PriceTickValue,Permanent,Trigger,ObjectOverwrite)</f>
        <v>USDFUT1MQ3_Quote#0004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U3</v>
      </c>
      <c r="E123" s="142" t="str">
        <f t="shared" si="3"/>
        <v>USDFUT1MU3_Quote</v>
      </c>
      <c r="F123" s="141" t="str">
        <f>_xll.qlSimpleQuote(E123,,PriceTickValue,Permanent,Trigger,ObjectOverwrite)</f>
        <v>USDFUT1MU3_Quote#0004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V3</v>
      </c>
      <c r="E124" s="142" t="str">
        <f t="shared" si="3"/>
        <v>USDFUT1MV3_Quote</v>
      </c>
      <c r="F124" s="141" t="str">
        <f>_xll.qlSimpleQuote(E124,,PriceTickValue,Permanent,Trigger,ObjectOverwrite)</f>
        <v>USDFUT1MV3_Quote#0004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X3</v>
      </c>
      <c r="E125" s="142" t="str">
        <f t="shared" si="3"/>
        <v>USDFUT1MX3_Quote</v>
      </c>
      <c r="F125" s="141" t="str">
        <f>_xll.qlSimpleQuote(E125,,PriceTickValue,Permanent,Trigger,ObjectOverwrite)</f>
        <v>USDFUT1MX3_Quote#0004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3"/>
      <c r="W1" s="363"/>
      <c r="X1" s="201"/>
      <c r="Y1" s="201"/>
      <c r="Z1" s="201"/>
      <c r="AA1" s="201"/>
      <c r="AB1" s="362"/>
      <c r="AC1" s="21"/>
      <c r="AD1" s="21"/>
      <c r="AE1" s="21"/>
      <c r="AF1" s="21"/>
      <c r="AG1" s="21"/>
    </row>
    <row r="2" spans="1:33" ht="22.5" x14ac:dyDescent="0.2">
      <c r="J2" s="303"/>
      <c r="K2" s="136"/>
      <c r="L2" s="302"/>
      <c r="M2" s="302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61" t="s">
        <v>142</v>
      </c>
      <c r="AA2" s="136"/>
      <c r="AB2" s="360"/>
      <c r="AC2" s="21"/>
      <c r="AD2" s="21"/>
      <c r="AE2" s="21"/>
      <c r="AF2" s="21"/>
      <c r="AG2" s="21"/>
    </row>
    <row r="3" spans="1:33" ht="12" thickBot="1" x14ac:dyDescent="0.25">
      <c r="J3" s="303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60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3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8">
        <f>_xll.ohTrigger(AA6:AA47)</f>
        <v>1</v>
      </c>
      <c r="AB4" s="360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3"/>
      <c r="K5" s="370" t="s">
        <v>182</v>
      </c>
      <c r="L5" s="365" t="s">
        <v>181</v>
      </c>
      <c r="M5" s="365" t="s">
        <v>180</v>
      </c>
      <c r="N5" s="365" t="s">
        <v>275</v>
      </c>
      <c r="O5" s="369" t="e">
        <f ca="1">_xll.RData(O6:O47,P5:T5,"RTFEED:IDN",ReutersRtMode,,P6)</f>
        <v>#NAME?</v>
      </c>
      <c r="P5" s="365" t="s">
        <v>274</v>
      </c>
      <c r="Q5" s="365" t="s">
        <v>233</v>
      </c>
      <c r="R5" s="365" t="s">
        <v>232</v>
      </c>
      <c r="S5" s="365" t="s">
        <v>250</v>
      </c>
      <c r="T5" s="365" t="s">
        <v>269</v>
      </c>
      <c r="U5" s="368" t="s">
        <v>268</v>
      </c>
      <c r="V5" s="266"/>
      <c r="W5" s="367" t="s">
        <v>263</v>
      </c>
      <c r="X5" s="266"/>
      <c r="Y5" s="366" t="s">
        <v>262</v>
      </c>
      <c r="Z5" s="365" t="s">
        <v>261</v>
      </c>
      <c r="AA5" s="364" t="s">
        <v>260</v>
      </c>
      <c r="AB5" s="47"/>
      <c r="AC5" s="21"/>
      <c r="AD5" s="210" t="s">
        <v>273</v>
      </c>
      <c r="AE5" s="208" t="s">
        <v>272</v>
      </c>
      <c r="AF5" s="21"/>
      <c r="AG5" s="332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Z3</v>
      </c>
      <c r="E6" s="142" t="str">
        <f t="shared" ref="E6:E37" si="0">Currency&amp;$D$4&amp;$E$4&amp;$D6&amp;QuoteSuffix</f>
        <v>USDFUT3MZ3_Quote</v>
      </c>
      <c r="F6" s="148" t="str">
        <f>_xll.qlSimpleQuote(E6,,PriceTickValue,Permanent,Trigger,ObjectOverwrite)</f>
        <v>USDFUT3MZ3_Quote#0004</v>
      </c>
      <c r="G6" s="147" t="str">
        <f>_xll.ohRangeRetrieveError(F6)</f>
        <v/>
      </c>
      <c r="H6" s="140"/>
      <c r="J6" s="345"/>
      <c r="K6" s="358">
        <v>1</v>
      </c>
      <c r="L6" s="357" t="b">
        <v>0</v>
      </c>
      <c r="M6" s="284" t="str">
        <f t="array" ref="M6:M47">_xll.qlIMMcode(FuturesDates)</f>
        <v>Z3</v>
      </c>
      <c r="N6" s="356">
        <f t="array" ref="N6:N47">_xll.qlIMMNextDates(_xll.qlSettingsEvaluationDate(Trigger)-1,$L6:$L47)</f>
        <v>41626</v>
      </c>
      <c r="O6" s="284" t="str">
        <f t="array" ref="O6:O47">VLOOKUP(Currency,LiffeCodes,2)&amp;FuturesCodes</f>
        <v>EDZ3</v>
      </c>
      <c r="P6" s="355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7">
        <f>_xll.qlMidSafe($Q6,$R6)</f>
        <v>99.758749999999992</v>
      </c>
      <c r="V6" s="266"/>
      <c r="W6" s="354">
        <v>99.758749999999992</v>
      </c>
      <c r="X6" s="266"/>
      <c r="Y6" s="353" t="str">
        <f t="array" ref="Y6:Y47">Currency&amp;"FUT3M"&amp;FuturesCodes&amp;$Z$2</f>
        <v>USDFUT3MZ3_Quote</v>
      </c>
      <c r="Z6" s="284">
        <f t="array" ref="Z6:Z47">QuoteLive</f>
        <v>99.758749999999992</v>
      </c>
      <c r="AA6" s="287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5">
        <f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F4</v>
      </c>
      <c r="E7" s="142" t="str">
        <f t="shared" si="0"/>
        <v>USDFUT3MF4_Quote</v>
      </c>
      <c r="F7" s="141" t="str">
        <f>_xll.qlSimpleQuote(E7,,PriceTickValue,Permanent,Trigger,ObjectOverwrite)</f>
        <v>USDFUT3MF4_Quote#0004</v>
      </c>
      <c r="G7" s="104" t="str">
        <f>_xll.ohRangeRetrieveError(F7)</f>
        <v/>
      </c>
      <c r="H7" s="140"/>
      <c r="J7" s="345"/>
      <c r="K7" s="351">
        <v>2</v>
      </c>
      <c r="L7" s="350" t="b">
        <v>0</v>
      </c>
      <c r="M7" s="264" t="str">
        <v>F4</v>
      </c>
      <c r="N7" s="349">
        <v>41654</v>
      </c>
      <c r="O7" s="264" t="str">
        <v>EDF4</v>
      </c>
      <c r="P7" s="348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52">
        <v>99.747500000000002</v>
      </c>
      <c r="X7" s="266"/>
      <c r="Y7" s="346" t="str">
        <v>USDFUT3MF4_Quote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5">
        <f>(R7-U7)/50</f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G4</v>
      </c>
      <c r="E8" s="142" t="str">
        <f t="shared" si="0"/>
        <v>USDFUT3MG4_Quote</v>
      </c>
      <c r="F8" s="141" t="str">
        <f>_xll.qlSimpleQuote(E8,,PriceTickValue,Permanent,Trigger,ObjectOverwrite)</f>
        <v>USDFUT3MG4_Quote#0004</v>
      </c>
      <c r="G8" s="104" t="str">
        <f>_xll.ohRangeRetrieveError(F8)</f>
        <v/>
      </c>
      <c r="H8" s="140"/>
      <c r="J8" s="345"/>
      <c r="K8" s="351">
        <v>3</v>
      </c>
      <c r="L8" s="350" t="b">
        <v>0</v>
      </c>
      <c r="M8" s="264" t="str">
        <v>G4</v>
      </c>
      <c r="N8" s="349">
        <v>41689</v>
      </c>
      <c r="O8" s="264" t="str">
        <v>EDG4</v>
      </c>
      <c r="P8" s="348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52">
        <v>99.737499999999997</v>
      </c>
      <c r="X8" s="266"/>
      <c r="Y8" s="346" t="str">
        <v>USDFUT3MG4_Quote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5">
        <f>(R8-U8)/50</f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H4</v>
      </c>
      <c r="E9" s="142" t="str">
        <f t="shared" si="0"/>
        <v>USDFUT3MH4_Quote</v>
      </c>
      <c r="F9" s="141" t="str">
        <f>_xll.qlSimpleQuote(E9,,PriceTickValue,Permanent,Trigger,ObjectOverwrite)</f>
        <v>USDFUT3MH4_Quote#0004</v>
      </c>
      <c r="G9" s="104" t="str">
        <f>_xll.ohRangeRetrieveError(F9)</f>
        <v/>
      </c>
      <c r="H9" s="140"/>
      <c r="J9" s="345"/>
      <c r="K9" s="351">
        <v>4</v>
      </c>
      <c r="L9" s="350" t="b">
        <v>0</v>
      </c>
      <c r="M9" s="264" t="str">
        <v>H4</v>
      </c>
      <c r="N9" s="349">
        <v>41717</v>
      </c>
      <c r="O9" s="264" t="str">
        <v>EDH4</v>
      </c>
      <c r="P9" s="348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52">
        <v>99.727499999999992</v>
      </c>
      <c r="X9" s="266"/>
      <c r="Y9" s="346" t="str">
        <v>USDFUT3MH4_Quote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5">
        <f>(R9-U9)/50</f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J4</v>
      </c>
      <c r="E10" s="142" t="str">
        <f t="shared" si="0"/>
        <v>USDFUT3MJ4_Quote</v>
      </c>
      <c r="F10" s="141" t="str">
        <f>_xll.qlSimpleQuote(E10,,PriceTickValue,Permanent,Trigger,ObjectOverwrite)</f>
        <v>USDFUT3MJ4_Quote#0004</v>
      </c>
      <c r="G10" s="104" t="str">
        <f>_xll.ohRangeRetrieveError(F10)</f>
        <v/>
      </c>
      <c r="H10" s="140"/>
      <c r="J10" s="345"/>
      <c r="K10" s="351">
        <v>5</v>
      </c>
      <c r="L10" s="350" t="b">
        <v>0</v>
      </c>
      <c r="M10" s="264" t="str">
        <v>J4</v>
      </c>
      <c r="N10" s="349">
        <v>41745</v>
      </c>
      <c r="O10" s="264" t="str">
        <v>EDJ4</v>
      </c>
      <c r="P10" s="348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7">
        <v>99.707499999999996</v>
      </c>
      <c r="X10" s="266"/>
      <c r="Y10" s="346" t="str">
        <v>USDFUT3MJ4_Quote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5">
        <f>(R10-U10)/50</f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K4</v>
      </c>
      <c r="E11" s="142" t="str">
        <f t="shared" si="0"/>
        <v>USDFUT3MK4_Quote</v>
      </c>
      <c r="F11" s="141" t="str">
        <f>_xll.qlSimpleQuote(E11,,PriceTickValue,Permanent,Trigger,ObjectOverwrite)</f>
        <v>USDFUT3MK4_Quote#0004</v>
      </c>
      <c r="G11" s="104" t="str">
        <f>_xll.ohRangeRetrieveError(F11)</f>
        <v/>
      </c>
      <c r="H11" s="140"/>
      <c r="J11" s="345"/>
      <c r="K11" s="351">
        <v>6</v>
      </c>
      <c r="L11" s="350" t="b">
        <v>0</v>
      </c>
      <c r="M11" s="264" t="str">
        <v>K4</v>
      </c>
      <c r="N11" s="349">
        <v>41780</v>
      </c>
      <c r="O11" s="264" t="str">
        <v>EDK4</v>
      </c>
      <c r="P11" s="348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7">
        <v>99.694999999999993</v>
      </c>
      <c r="X11" s="266"/>
      <c r="Y11" s="346" t="str">
        <v>USDFUT3MK4_Quote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5">
        <f>(R11-U11)/50</f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M4</v>
      </c>
      <c r="E12" s="142" t="str">
        <f t="shared" si="0"/>
        <v>USDFUT3MM4_Quote</v>
      </c>
      <c r="F12" s="141" t="str">
        <f>_xll.qlSimpleQuote(E12,,PriceTickValue,Permanent,Trigger,ObjectOverwrite)</f>
        <v>USDFUT3MM4_Quote#0004</v>
      </c>
      <c r="G12" s="104" t="str">
        <f>_xll.ohRangeRetrieveError(F12)</f>
        <v/>
      </c>
      <c r="H12" s="140"/>
      <c r="J12" s="345"/>
      <c r="K12" s="351">
        <v>7</v>
      </c>
      <c r="L12" s="350" t="b">
        <v>0</v>
      </c>
      <c r="M12" s="264" t="str">
        <v>M4</v>
      </c>
      <c r="N12" s="349">
        <v>41808</v>
      </c>
      <c r="O12" s="264" t="str">
        <v>EDM4</v>
      </c>
      <c r="P12" s="348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7" t="e">
        <v>#NUM!</v>
      </c>
      <c r="X12" s="266"/>
      <c r="Y12" s="346" t="str">
        <v>USDFUT3MM4_Quote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5" t="e">
        <f>(R12-U12)/50</f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N4</v>
      </c>
      <c r="E13" s="142" t="str">
        <f t="shared" si="0"/>
        <v>USDFUT3MN4_Quote</v>
      </c>
      <c r="F13" s="141" t="str">
        <f>_xll.qlSimpleQuote(E13,,PriceTickValue,Permanent,Trigger,ObjectOverwrite)</f>
        <v>USDFUT3MN4_Quote#0004</v>
      </c>
      <c r="G13" s="104" t="str">
        <f>_xll.ohRangeRetrieveError(F13)</f>
        <v/>
      </c>
      <c r="H13" s="140"/>
      <c r="J13" s="345"/>
      <c r="K13" s="351">
        <v>8</v>
      </c>
      <c r="L13" s="350" t="b">
        <v>0</v>
      </c>
      <c r="M13" s="264" t="str">
        <v>N4</v>
      </c>
      <c r="N13" s="349">
        <v>41836</v>
      </c>
      <c r="O13" s="264" t="str">
        <v>EDN4</v>
      </c>
      <c r="P13" s="348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7">
        <v>99.662499999999994</v>
      </c>
      <c r="X13" s="266"/>
      <c r="Y13" s="346" t="str">
        <v>USDFUT3MN4_Quote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5">
        <f>(R13-U13)/50</f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Q4</v>
      </c>
      <c r="E14" s="142" t="str">
        <f t="shared" si="0"/>
        <v>USDFUT3MQ4_Quote</v>
      </c>
      <c r="F14" s="141" t="str">
        <f>_xll.qlSimpleQuote(E14,,PriceTickValue,Permanent,Trigger,ObjectOverwrite)</f>
        <v>USDFUT3MQ4_Quote#0004</v>
      </c>
      <c r="G14" s="104" t="str">
        <f>_xll.ohRangeRetrieveError(F14)</f>
        <v/>
      </c>
      <c r="H14" s="140"/>
      <c r="J14" s="345"/>
      <c r="K14" s="351">
        <v>9</v>
      </c>
      <c r="L14" s="350" t="b">
        <v>0</v>
      </c>
      <c r="M14" s="264" t="str">
        <v>Q4</v>
      </c>
      <c r="N14" s="349">
        <v>41871</v>
      </c>
      <c r="O14" s="264" t="str">
        <v>EDQ4</v>
      </c>
      <c r="P14" s="348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7" t="e">
        <v>#NUM!</v>
      </c>
      <c r="X14" s="266"/>
      <c r="Y14" s="346" t="str">
        <v>USDFUT3MQ4_Quote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5" t="e">
        <f>(R14-U14)/50</f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U4</v>
      </c>
      <c r="E15" s="142" t="str">
        <f t="shared" si="0"/>
        <v>USDFUT3MU4_Quote</v>
      </c>
      <c r="F15" s="141" t="str">
        <f>_xll.qlSimpleQuote(E15,,PriceTickValue,Permanent,Trigger,ObjectOverwrite)</f>
        <v>USDFUT3MU4_Quote#0004</v>
      </c>
      <c r="G15" s="104" t="str">
        <f>_xll.ohRangeRetrieveError(F15)</f>
        <v/>
      </c>
      <c r="H15" s="140"/>
      <c r="J15" s="345"/>
      <c r="K15" s="351">
        <v>10</v>
      </c>
      <c r="L15" s="350" t="b">
        <v>0</v>
      </c>
      <c r="M15" s="264" t="str">
        <v>U4</v>
      </c>
      <c r="N15" s="349">
        <v>41899</v>
      </c>
      <c r="O15" s="264" t="str">
        <v>EDU4</v>
      </c>
      <c r="P15" s="348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7" t="e">
        <v>#NUM!</v>
      </c>
      <c r="X15" s="266"/>
      <c r="Y15" s="346" t="str">
        <v>USDFUT3MU4_Quote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5" t="e">
        <f>(R15-U15)/50</f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V4</v>
      </c>
      <c r="E16" s="142" t="str">
        <f t="shared" si="0"/>
        <v>USDFUT3MV4_Quote</v>
      </c>
      <c r="F16" s="141" t="str">
        <f>_xll.qlSimpleQuote(E16,,PriceTickValue,Permanent,Trigger,ObjectOverwrite)</f>
        <v>USDFUT3MV4_Quote#0004</v>
      </c>
      <c r="G16" s="104" t="str">
        <f>_xll.ohRangeRetrieveError(F16)</f>
        <v/>
      </c>
      <c r="H16" s="140"/>
      <c r="J16" s="345"/>
      <c r="K16" s="351">
        <v>11</v>
      </c>
      <c r="L16" s="350" t="b">
        <v>0</v>
      </c>
      <c r="M16" s="264" t="str">
        <v>V4</v>
      </c>
      <c r="N16" s="349">
        <v>41927</v>
      </c>
      <c r="O16" s="264" t="str">
        <v>EDV4</v>
      </c>
      <c r="P16" s="348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7">
        <v>99.612499999999997</v>
      </c>
      <c r="X16" s="266"/>
      <c r="Y16" s="346" t="str">
        <v>USDFUT3MV4_Quote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5">
        <f>(R16-U16)/50</f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X4</v>
      </c>
      <c r="E17" s="142" t="str">
        <f t="shared" si="0"/>
        <v>USDFUT3MX4_Quote</v>
      </c>
      <c r="F17" s="141" t="str">
        <f>_xll.qlSimpleQuote(E17,,PriceTickValue,Permanent,Trigger,ObjectOverwrite)</f>
        <v>USDFUT3MX4_Quote#0004</v>
      </c>
      <c r="G17" s="104" t="str">
        <f>_xll.ohRangeRetrieveError(F17)</f>
        <v/>
      </c>
      <c r="H17" s="140"/>
      <c r="J17" s="345"/>
      <c r="K17" s="351">
        <v>12</v>
      </c>
      <c r="L17" s="350" t="b">
        <v>0</v>
      </c>
      <c r="M17" s="264" t="str">
        <v>X4</v>
      </c>
      <c r="N17" s="349">
        <v>41962</v>
      </c>
      <c r="O17" s="264" t="str">
        <v>EDX4</v>
      </c>
      <c r="P17" s="348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7" t="e">
        <v>#NUM!</v>
      </c>
      <c r="X17" s="266"/>
      <c r="Y17" s="346" t="str">
        <v>USDFUT3MX4_Quote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5" t="e">
        <f>(R17-U17)/50</f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Z4</v>
      </c>
      <c r="E18" s="142" t="str">
        <f t="shared" si="0"/>
        <v>USDFUT3MZ4_Quote</v>
      </c>
      <c r="F18" s="141" t="str">
        <f>_xll.qlSimpleQuote(E18,,PriceTickValue,Permanent,Trigger,ObjectOverwrite)</f>
        <v>USDFUT3MZ4_Quote#0004</v>
      </c>
      <c r="G18" s="104" t="str">
        <f>_xll.ohRangeRetrieveError(F18)</f>
        <v/>
      </c>
      <c r="H18" s="140"/>
      <c r="J18" s="345"/>
      <c r="K18" s="351">
        <v>13</v>
      </c>
      <c r="L18" s="350" t="b">
        <v>1</v>
      </c>
      <c r="M18" s="264" t="str">
        <v>Z4</v>
      </c>
      <c r="N18" s="349">
        <v>41990</v>
      </c>
      <c r="O18" s="264" t="str">
        <v>EDZ4</v>
      </c>
      <c r="P18" s="348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7">
        <v>99.537499999999994</v>
      </c>
      <c r="X18" s="266"/>
      <c r="Y18" s="346" t="str">
        <v>USDFUT3MZ4_Quote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5">
        <f>(R18-U18)/50</f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F5</v>
      </c>
      <c r="E19" s="142" t="str">
        <f t="shared" si="0"/>
        <v>USDFUT3MF5_Quote</v>
      </c>
      <c r="F19" s="141" t="str">
        <f>_xll.qlSimpleQuote(E19,,PriceTickValue,Permanent,Trigger,ObjectOverwrite)</f>
        <v>USDFUT3MF5_Quote#0004</v>
      </c>
      <c r="G19" s="104" t="str">
        <f>_xll.ohRangeRetrieveError(F19)</f>
        <v/>
      </c>
      <c r="H19" s="140"/>
      <c r="J19" s="345"/>
      <c r="K19" s="351">
        <v>14</v>
      </c>
      <c r="L19" s="350" t="b">
        <v>1</v>
      </c>
      <c r="M19" s="264" t="str">
        <v>H5</v>
      </c>
      <c r="N19" s="349">
        <v>42081</v>
      </c>
      <c r="O19" s="264" t="str">
        <v>EDH5</v>
      </c>
      <c r="P19" s="348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7">
        <v>99.442499999999995</v>
      </c>
      <c r="X19" s="266"/>
      <c r="Y19" s="346" t="str">
        <v>USDFUT3MH5_Quote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5">
        <f>(R19-U19)/50</f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G5</v>
      </c>
      <c r="E20" s="142" t="str">
        <f t="shared" si="0"/>
        <v>USDFUT3MG5_Quote</v>
      </c>
      <c r="F20" s="141" t="str">
        <f>_xll.qlSimpleQuote(E20,,PriceTickValue,Permanent,Trigger,ObjectOverwrite)</f>
        <v>USDFUT3MG5_Quote#0004</v>
      </c>
      <c r="G20" s="104" t="str">
        <f>_xll.ohRangeRetrieveError(F20)</f>
        <v/>
      </c>
      <c r="H20" s="140"/>
      <c r="J20" s="345"/>
      <c r="K20" s="351">
        <v>15</v>
      </c>
      <c r="L20" s="350" t="b">
        <v>1</v>
      </c>
      <c r="M20" s="264" t="str">
        <v>M5</v>
      </c>
      <c r="N20" s="349">
        <v>42172</v>
      </c>
      <c r="O20" s="264" t="str">
        <v>EDM5</v>
      </c>
      <c r="P20" s="348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7">
        <v>99.322499999999991</v>
      </c>
      <c r="X20" s="266"/>
      <c r="Y20" s="346" t="str">
        <v>USDFUT3MM5_Quote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5">
        <f>(R20-U20)/50</f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H5</v>
      </c>
      <c r="E21" s="142" t="str">
        <f t="shared" si="0"/>
        <v>USDFUT3MH5_Quote</v>
      </c>
      <c r="F21" s="141" t="str">
        <f>_xll.qlSimpleQuote(E21,,PriceTickValue,Permanent,Trigger,ObjectOverwrite)</f>
        <v>USDFUT3MH5_Quote#0004</v>
      </c>
      <c r="G21" s="104" t="str">
        <f>_xll.ohRangeRetrieveError(F21)</f>
        <v/>
      </c>
      <c r="H21" s="140"/>
      <c r="J21" s="345"/>
      <c r="K21" s="351">
        <v>16</v>
      </c>
      <c r="L21" s="350" t="b">
        <v>1</v>
      </c>
      <c r="M21" s="264" t="str">
        <v>U5</v>
      </c>
      <c r="N21" s="349">
        <v>42263</v>
      </c>
      <c r="O21" s="264" t="str">
        <v>EDU5</v>
      </c>
      <c r="P21" s="348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7">
        <v>99.182500000000005</v>
      </c>
      <c r="X21" s="266"/>
      <c r="Y21" s="346" t="str">
        <v>USDFUT3MU5_Quote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5">
        <f>(R21-U21)/50</f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J5</v>
      </c>
      <c r="E22" s="142" t="str">
        <f t="shared" si="0"/>
        <v>USDFUT3MJ5_Quote</v>
      </c>
      <c r="F22" s="141" t="str">
        <f>_xll.qlSimpleQuote(E22,,PriceTickValue,Permanent,Trigger,ObjectOverwrite)</f>
        <v>USDFUT3MJ5_Quote#0004</v>
      </c>
      <c r="G22" s="104" t="str">
        <f>_xll.ohRangeRetrieveError(F22)</f>
        <v/>
      </c>
      <c r="H22" s="140"/>
      <c r="J22" s="345"/>
      <c r="K22" s="351">
        <v>17</v>
      </c>
      <c r="L22" s="350" t="b">
        <v>1</v>
      </c>
      <c r="M22" s="264" t="str">
        <v>Z5</v>
      </c>
      <c r="N22" s="349">
        <v>42354</v>
      </c>
      <c r="O22" s="264" t="str">
        <v>EDZ5</v>
      </c>
      <c r="P22" s="348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7">
        <v>98.997500000000002</v>
      </c>
      <c r="X22" s="266"/>
      <c r="Y22" s="346" t="str">
        <v>USDFUT3MZ5_Quote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5">
        <f>(R22-U22)/50</f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K5</v>
      </c>
      <c r="E23" s="142" t="str">
        <f t="shared" si="0"/>
        <v>USDFUT3MK5_Quote</v>
      </c>
      <c r="F23" s="141" t="str">
        <f>_xll.qlSimpleQuote(E23,,PriceTickValue,Permanent,Trigger,ObjectOverwrite)</f>
        <v>USDFUT3MK5_Quote#0004</v>
      </c>
      <c r="G23" s="104" t="str">
        <f>_xll.ohRangeRetrieveError(F23)</f>
        <v/>
      </c>
      <c r="H23" s="140"/>
      <c r="J23" s="345"/>
      <c r="K23" s="351">
        <v>18</v>
      </c>
      <c r="L23" s="350" t="b">
        <v>1</v>
      </c>
      <c r="M23" s="264" t="str">
        <v>H6</v>
      </c>
      <c r="N23" s="349">
        <v>42445</v>
      </c>
      <c r="O23" s="264" t="str">
        <v>EDH6</v>
      </c>
      <c r="P23" s="348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7">
        <v>98.782499999999999</v>
      </c>
      <c r="X23" s="266"/>
      <c r="Y23" s="346" t="str">
        <v>USDFUT3MH6_Quote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5">
        <f>(R23-U23)/50</f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M5</v>
      </c>
      <c r="E24" s="142" t="str">
        <f t="shared" si="0"/>
        <v>USDFUT3MM5_Quote</v>
      </c>
      <c r="F24" s="141" t="str">
        <f>_xll.qlSimpleQuote(E24,,PriceTickValue,Permanent,Trigger,ObjectOverwrite)</f>
        <v>USDFUT3MM5_Quote#0004</v>
      </c>
      <c r="G24" s="104" t="str">
        <f>_xll.ohRangeRetrieveError(F24)</f>
        <v/>
      </c>
      <c r="H24" s="140"/>
      <c r="J24" s="345"/>
      <c r="K24" s="351">
        <v>19</v>
      </c>
      <c r="L24" s="350" t="b">
        <v>1</v>
      </c>
      <c r="M24" s="264" t="str">
        <v>M6</v>
      </c>
      <c r="N24" s="349">
        <v>42536</v>
      </c>
      <c r="O24" s="264" t="str">
        <v>EDM6</v>
      </c>
      <c r="P24" s="348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7">
        <v>98.542500000000004</v>
      </c>
      <c r="X24" s="266"/>
      <c r="Y24" s="346" t="str">
        <v>USDFUT3MM6_Quote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5">
        <f>(R24-U24)/50</f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N5</v>
      </c>
      <c r="E25" s="142" t="str">
        <f t="shared" si="0"/>
        <v>USDFUT3MN5_Quote</v>
      </c>
      <c r="F25" s="141" t="str">
        <f>_xll.qlSimpleQuote(E25,,PriceTickValue,Permanent,Trigger,ObjectOverwrite)</f>
        <v>USDFUT3MN5_Quote#0004</v>
      </c>
      <c r="G25" s="104" t="str">
        <f>_xll.ohRangeRetrieveError(F25)</f>
        <v/>
      </c>
      <c r="H25" s="140"/>
      <c r="J25" s="345"/>
      <c r="K25" s="351">
        <v>20</v>
      </c>
      <c r="L25" s="350" t="b">
        <v>1</v>
      </c>
      <c r="M25" s="264" t="str">
        <v>U6</v>
      </c>
      <c r="N25" s="349">
        <v>42634</v>
      </c>
      <c r="O25" s="264" t="str">
        <v>EDU6</v>
      </c>
      <c r="P25" s="348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7">
        <v>98.282499999999999</v>
      </c>
      <c r="X25" s="266"/>
      <c r="Y25" s="346" t="str">
        <v>USDFUT3MU6_Quote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5">
        <f>(R25-U25)/50</f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Q5</v>
      </c>
      <c r="E26" s="142" t="str">
        <f t="shared" si="0"/>
        <v>USDFUT3MQ5_Quote</v>
      </c>
      <c r="F26" s="141" t="str">
        <f>_xll.qlSimpleQuote(E26,,PriceTickValue,Permanent,Trigger,ObjectOverwrite)</f>
        <v>USDFUT3MQ5_Quote#0004</v>
      </c>
      <c r="G26" s="104" t="str">
        <f>_xll.ohRangeRetrieveError(F26)</f>
        <v/>
      </c>
      <c r="H26" s="140"/>
      <c r="J26" s="345"/>
      <c r="K26" s="351">
        <v>21</v>
      </c>
      <c r="L26" s="350" t="b">
        <v>1</v>
      </c>
      <c r="M26" s="264" t="str">
        <v>Z6</v>
      </c>
      <c r="N26" s="349">
        <v>42725</v>
      </c>
      <c r="O26" s="264" t="str">
        <v>EDZ6</v>
      </c>
      <c r="P26" s="348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7">
        <v>98.022500000000008</v>
      </c>
      <c r="X26" s="266"/>
      <c r="Y26" s="346" t="str">
        <v>USDFUT3MZ6_Quote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5">
        <f>(R26-U26)/50</f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U5</v>
      </c>
      <c r="E27" s="142" t="str">
        <f t="shared" si="0"/>
        <v>USDFUT3MU5_Quote</v>
      </c>
      <c r="F27" s="141" t="str">
        <f>_xll.qlSimpleQuote(E27,,PriceTickValue,Permanent,Trigger,ObjectOverwrite)</f>
        <v>USDFUT3MU5_Quote#0004</v>
      </c>
      <c r="G27" s="104" t="str">
        <f>_xll.ohRangeRetrieveError(F27)</f>
        <v/>
      </c>
      <c r="H27" s="140"/>
      <c r="J27" s="345"/>
      <c r="K27" s="351">
        <v>22</v>
      </c>
      <c r="L27" s="350" t="b">
        <v>1</v>
      </c>
      <c r="M27" s="264" t="str">
        <v>H7</v>
      </c>
      <c r="N27" s="349">
        <v>42809</v>
      </c>
      <c r="O27" s="264" t="str">
        <v>EDH7</v>
      </c>
      <c r="P27" s="348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7">
        <v>97.797499999999999</v>
      </c>
      <c r="X27" s="266"/>
      <c r="Y27" s="346" t="str">
        <v>USDFUT3MH7_Quote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5">
        <f>(R27-U27)/50</f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V5</v>
      </c>
      <c r="E28" s="142" t="str">
        <f t="shared" si="0"/>
        <v>USDFUT3MV5_Quote</v>
      </c>
      <c r="F28" s="141" t="str">
        <f>_xll.qlSimpleQuote(E28,,PriceTickValue,Permanent,Trigger,ObjectOverwrite)</f>
        <v>USDFUT3MV5_Quote#0004</v>
      </c>
      <c r="G28" s="104" t="str">
        <f>_xll.ohRangeRetrieveError(F28)</f>
        <v/>
      </c>
      <c r="H28" s="140"/>
      <c r="J28" s="345"/>
      <c r="K28" s="351">
        <v>23</v>
      </c>
      <c r="L28" s="350" t="b">
        <v>1</v>
      </c>
      <c r="M28" s="264" t="str">
        <v>M7</v>
      </c>
      <c r="N28" s="349">
        <v>42907</v>
      </c>
      <c r="O28" s="264" t="str">
        <v>EDM7</v>
      </c>
      <c r="P28" s="348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7">
        <v>97.56</v>
      </c>
      <c r="X28" s="266"/>
      <c r="Y28" s="346" t="str">
        <v>USDFUT3MM7_Quote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5">
        <f>(R28-U28)/50</f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X5</v>
      </c>
      <c r="E29" s="142" t="str">
        <f t="shared" si="0"/>
        <v>USDFUT3MX5_Quote</v>
      </c>
      <c r="F29" s="141" t="str">
        <f>_xll.qlSimpleQuote(E29,,PriceTickValue,Permanent,Trigger,ObjectOverwrite)</f>
        <v>USDFUT3MX5_Quote#0004</v>
      </c>
      <c r="G29" s="104" t="str">
        <f>_xll.ohRangeRetrieveError(F29)</f>
        <v/>
      </c>
      <c r="H29" s="140"/>
      <c r="J29" s="345"/>
      <c r="K29" s="351">
        <v>24</v>
      </c>
      <c r="L29" s="350" t="b">
        <v>1</v>
      </c>
      <c r="M29" s="264" t="str">
        <v>U7</v>
      </c>
      <c r="N29" s="349">
        <v>42998</v>
      </c>
      <c r="O29" s="264" t="str">
        <v>EDU7</v>
      </c>
      <c r="P29" s="348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7">
        <v>97.342500000000001</v>
      </c>
      <c r="X29" s="266"/>
      <c r="Y29" s="346" t="str">
        <v>USDFUT3MU7_Quote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5">
        <f>(R29-U29)/50</f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Z5</v>
      </c>
      <c r="E30" s="142" t="str">
        <f t="shared" si="0"/>
        <v>USDFUT3MZ5_Quote</v>
      </c>
      <c r="F30" s="141" t="str">
        <f>_xll.qlSimpleQuote(E30,,PriceTickValue,Permanent,Trigger,ObjectOverwrite)</f>
        <v>USDFUT3MZ5_Quote#0004</v>
      </c>
      <c r="G30" s="104" t="str">
        <f>_xll.ohRangeRetrieveError(F30)</f>
        <v/>
      </c>
      <c r="H30" s="140"/>
      <c r="J30" s="345"/>
      <c r="K30" s="351">
        <v>25</v>
      </c>
      <c r="L30" s="350" t="b">
        <v>1</v>
      </c>
      <c r="M30" s="264" t="str">
        <v>Z7</v>
      </c>
      <c r="N30" s="349">
        <v>43089</v>
      </c>
      <c r="O30" s="264" t="str">
        <v>EDZ7</v>
      </c>
      <c r="P30" s="348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7">
        <v>97.12</v>
      </c>
      <c r="X30" s="266"/>
      <c r="Y30" s="346" t="str">
        <v>USDFUT3MZ7_Quote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5">
        <f>(R30-U30)/50</f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F6</v>
      </c>
      <c r="E31" s="142" t="str">
        <f t="shared" si="0"/>
        <v>USDFUT3MF6_Quote</v>
      </c>
      <c r="F31" s="141" t="str">
        <f>_xll.qlSimpleQuote(E31,,PriceTickValue,Permanent,Trigger,ObjectOverwrite)</f>
        <v>USDFUT3MF6_Quote#0004</v>
      </c>
      <c r="G31" s="104" t="str">
        <f>_xll.ohRangeRetrieveError(F31)</f>
        <v/>
      </c>
      <c r="H31" s="140"/>
      <c r="J31" s="345"/>
      <c r="K31" s="351">
        <v>26</v>
      </c>
      <c r="L31" s="350" t="b">
        <v>1</v>
      </c>
      <c r="M31" s="264" t="str">
        <v>H8</v>
      </c>
      <c r="N31" s="349">
        <v>43180</v>
      </c>
      <c r="O31" s="264" t="str">
        <v>EDH8</v>
      </c>
      <c r="P31" s="348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7">
        <v>96.932500000000005</v>
      </c>
      <c r="X31" s="266"/>
      <c r="Y31" s="346" t="str">
        <v>USDFUT3MH8_Quote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5">
        <f>(R31-U31)/50</f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G6</v>
      </c>
      <c r="E32" s="142" t="str">
        <f t="shared" si="0"/>
        <v>USDFUT3MG6_Quote</v>
      </c>
      <c r="F32" s="141" t="str">
        <f>_xll.qlSimpleQuote(E32,,PriceTickValue,Permanent,Trigger,ObjectOverwrite)</f>
        <v>USDFUT3MG6_Quote#0004</v>
      </c>
      <c r="G32" s="104" t="str">
        <f>_xll.ohRangeRetrieveError(F32)</f>
        <v/>
      </c>
      <c r="H32" s="140"/>
      <c r="J32" s="345"/>
      <c r="K32" s="351">
        <v>27</v>
      </c>
      <c r="L32" s="350" t="b">
        <v>1</v>
      </c>
      <c r="M32" s="264" t="str">
        <v>M8</v>
      </c>
      <c r="N32" s="349">
        <v>43271</v>
      </c>
      <c r="O32" s="264" t="str">
        <v>EDM8</v>
      </c>
      <c r="P32" s="348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7">
        <v>96.752499999999998</v>
      </c>
      <c r="X32" s="266"/>
      <c r="Y32" s="346" t="str">
        <v>USDFUT3MM8_Quote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5">
        <f>(R32-U32)/50</f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H6</v>
      </c>
      <c r="E33" s="142" t="str">
        <f t="shared" si="0"/>
        <v>USDFUT3MH6_Quote</v>
      </c>
      <c r="F33" s="141" t="str">
        <f>_xll.qlSimpleQuote(E33,,PriceTickValue,Permanent,Trigger,ObjectOverwrite)</f>
        <v>USDFUT3MH6_Quote#0004</v>
      </c>
      <c r="G33" s="104" t="str">
        <f>_xll.ohRangeRetrieveError(F33)</f>
        <v/>
      </c>
      <c r="H33" s="140"/>
      <c r="J33" s="345"/>
      <c r="K33" s="351">
        <v>28</v>
      </c>
      <c r="L33" s="350" t="b">
        <v>1</v>
      </c>
      <c r="M33" s="264" t="str">
        <v>U8</v>
      </c>
      <c r="N33" s="349">
        <v>43362</v>
      </c>
      <c r="O33" s="264" t="str">
        <v>EDU8</v>
      </c>
      <c r="P33" s="348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7">
        <v>96.592500000000001</v>
      </c>
      <c r="X33" s="266"/>
      <c r="Y33" s="346" t="str">
        <v>USDFUT3MU8_Quote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5">
        <f>(R33-U33)/50</f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J6</v>
      </c>
      <c r="E34" s="142" t="str">
        <f t="shared" si="0"/>
        <v>USDFUT3MJ6_Quote</v>
      </c>
      <c r="F34" s="141" t="str">
        <f>_xll.qlSimpleQuote(E34,,PriceTickValue,Permanent,Trigger,ObjectOverwrite)</f>
        <v>USDFUT3MJ6_Quote#0004</v>
      </c>
      <c r="G34" s="104" t="str">
        <f>_xll.ohRangeRetrieveError(F34)</f>
        <v/>
      </c>
      <c r="H34" s="140"/>
      <c r="J34" s="345"/>
      <c r="K34" s="351">
        <v>29</v>
      </c>
      <c r="L34" s="350" t="b">
        <v>1</v>
      </c>
      <c r="M34" s="264" t="str">
        <v>Z8</v>
      </c>
      <c r="N34" s="349">
        <v>43453</v>
      </c>
      <c r="O34" s="264" t="str">
        <v>EDZ8</v>
      </c>
      <c r="P34" s="348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7">
        <v>96.442499999999995</v>
      </c>
      <c r="X34" s="266"/>
      <c r="Y34" s="346" t="str">
        <v>USDFUT3MZ8_Quote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5">
        <f>(R34-U34)/50</f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K6</v>
      </c>
      <c r="E35" s="142" t="str">
        <f t="shared" si="0"/>
        <v>USDFUT3MK6_Quote</v>
      </c>
      <c r="F35" s="141" t="str">
        <f>_xll.qlSimpleQuote(E35,,PriceTickValue,Permanent,Trigger,ObjectOverwrite)</f>
        <v>USDFUT3MK6_Quote#0004</v>
      </c>
      <c r="G35" s="104" t="str">
        <f>_xll.ohRangeRetrieveError(F35)</f>
        <v/>
      </c>
      <c r="H35" s="140"/>
      <c r="J35" s="345"/>
      <c r="K35" s="351">
        <v>30</v>
      </c>
      <c r="L35" s="350" t="b">
        <v>1</v>
      </c>
      <c r="M35" s="264" t="str">
        <v>H9</v>
      </c>
      <c r="N35" s="349">
        <v>43544</v>
      </c>
      <c r="O35" s="264" t="str">
        <v>EDH9</v>
      </c>
      <c r="P35" s="348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7">
        <v>96.3125</v>
      </c>
      <c r="X35" s="266"/>
      <c r="Y35" s="346" t="str">
        <v>USDFUT3MH9_Quote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5">
        <f>(R35-U35)/50</f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M6</v>
      </c>
      <c r="E36" s="142" t="str">
        <f t="shared" si="0"/>
        <v>USDFUT3MM6_Quote</v>
      </c>
      <c r="F36" s="141" t="str">
        <f>_xll.qlSimpleQuote(E36,,PriceTickValue,Permanent,Trigger,ObjectOverwrite)</f>
        <v>USDFUT3MM6_Quote#0004</v>
      </c>
      <c r="G36" s="104" t="str">
        <f>_xll.ohRangeRetrieveError(F36)</f>
        <v/>
      </c>
      <c r="H36" s="140"/>
      <c r="J36" s="345"/>
      <c r="K36" s="351">
        <v>31</v>
      </c>
      <c r="L36" s="350" t="b">
        <v>1</v>
      </c>
      <c r="M36" s="264" t="str">
        <v>M9</v>
      </c>
      <c r="N36" s="349">
        <v>43635</v>
      </c>
      <c r="O36" s="264" t="str">
        <v>EDM9</v>
      </c>
      <c r="P36" s="348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7">
        <v>96.197499999999991</v>
      </c>
      <c r="X36" s="266"/>
      <c r="Y36" s="346" t="str">
        <v>USDFUT3MM9_Quote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5">
        <f>(R36-U36)/50</f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N6</v>
      </c>
      <c r="E37" s="142" t="str">
        <f t="shared" si="0"/>
        <v>USDFUT3MN6_Quote</v>
      </c>
      <c r="F37" s="141" t="str">
        <f>_xll.qlSimpleQuote(E37,,PriceTickValue,Permanent,Trigger,ObjectOverwrite)</f>
        <v>USDFUT3MN6_Quote#0004</v>
      </c>
      <c r="G37" s="104" t="str">
        <f>_xll.ohRangeRetrieveError(F37)</f>
        <v/>
      </c>
      <c r="H37" s="140"/>
      <c r="J37" s="345"/>
      <c r="K37" s="351">
        <v>32</v>
      </c>
      <c r="L37" s="350" t="b">
        <v>1</v>
      </c>
      <c r="M37" s="264" t="str">
        <v>U9</v>
      </c>
      <c r="N37" s="349">
        <v>43726</v>
      </c>
      <c r="O37" s="264" t="str">
        <v>EDU9</v>
      </c>
      <c r="P37" s="348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7">
        <v>96.087500000000006</v>
      </c>
      <c r="X37" s="266"/>
      <c r="Y37" s="346" t="str">
        <v>USDFUT3MU9_Quote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5">
        <f>(R37-U37)/50</f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Q6</v>
      </c>
      <c r="E38" s="142" t="str">
        <f t="shared" ref="E38:E69" si="1">Currency&amp;$D$4&amp;$E$4&amp;$D38&amp;QuoteSuffix</f>
        <v>USDFUT3MQ6_Quote</v>
      </c>
      <c r="F38" s="141" t="str">
        <f>_xll.qlSimpleQuote(E38,,PriceTickValue,Permanent,Trigger,ObjectOverwrite)</f>
        <v>USDFUT3MQ6_Quote#0004</v>
      </c>
      <c r="G38" s="104" t="str">
        <f>_xll.ohRangeRetrieveError(F38)</f>
        <v/>
      </c>
      <c r="H38" s="140"/>
      <c r="J38" s="345"/>
      <c r="K38" s="351">
        <v>33</v>
      </c>
      <c r="L38" s="350" t="b">
        <v>1</v>
      </c>
      <c r="M38" s="264" t="str">
        <v>Z9</v>
      </c>
      <c r="N38" s="349">
        <v>43817</v>
      </c>
      <c r="O38" s="264" t="str">
        <v>EDZ9</v>
      </c>
      <c r="P38" s="348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7">
        <v>95.982500000000002</v>
      </c>
      <c r="X38" s="266"/>
      <c r="Y38" s="346" t="str">
        <v>USDFUT3MZ9_Quote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5">
        <f>(R38-U38)/50</f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U6</v>
      </c>
      <c r="E39" s="142" t="str">
        <f t="shared" si="1"/>
        <v>USDFUT3MU6_Quote</v>
      </c>
      <c r="F39" s="141" t="str">
        <f>_xll.qlSimpleQuote(E39,,PriceTickValue,Permanent,Trigger,ObjectOverwrite)</f>
        <v>USDFUT3MU6_Quote#0004</v>
      </c>
      <c r="G39" s="104" t="str">
        <f>_xll.ohRangeRetrieveError(F39)</f>
        <v/>
      </c>
      <c r="H39" s="140"/>
      <c r="J39" s="345"/>
      <c r="K39" s="351">
        <v>34</v>
      </c>
      <c r="L39" s="350" t="b">
        <v>1</v>
      </c>
      <c r="M39" s="264" t="str">
        <v>H0</v>
      </c>
      <c r="N39" s="349">
        <v>43908</v>
      </c>
      <c r="O39" s="264" t="str">
        <v>EDH0</v>
      </c>
      <c r="P39" s="348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7">
        <v>95.905000000000001</v>
      </c>
      <c r="X39" s="266"/>
      <c r="Y39" s="346" t="str">
        <v>USDFUT3MH0_Quote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5">
        <f>(R39-U39)/50</f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V6</v>
      </c>
      <c r="E40" s="142" t="str">
        <f t="shared" si="1"/>
        <v>USDFUT3MV6_Quote</v>
      </c>
      <c r="F40" s="141" t="str">
        <f>_xll.qlSimpleQuote(E40,,PriceTickValue,Permanent,Trigger,ObjectOverwrite)</f>
        <v>USDFUT3MV6_Quote#0004</v>
      </c>
      <c r="G40" s="104" t="str">
        <f>_xll.ohRangeRetrieveError(F40)</f>
        <v/>
      </c>
      <c r="H40" s="140"/>
      <c r="J40" s="345"/>
      <c r="K40" s="351">
        <v>35</v>
      </c>
      <c r="L40" s="350" t="b">
        <v>1</v>
      </c>
      <c r="M40" s="264" t="str">
        <v>M0</v>
      </c>
      <c r="N40" s="349">
        <v>43999</v>
      </c>
      <c r="O40" s="264" t="str">
        <v>EDM0</v>
      </c>
      <c r="P40" s="348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7">
        <v>95.827500000000001</v>
      </c>
      <c r="X40" s="266"/>
      <c r="Y40" s="346" t="str">
        <v>USDFUT3MM0_Quote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5">
        <f>(R40-U40)/50</f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X6</v>
      </c>
      <c r="E41" s="142" t="str">
        <f t="shared" si="1"/>
        <v>USDFUT3MX6_Quote</v>
      </c>
      <c r="F41" s="141" t="str">
        <f>_xll.qlSimpleQuote(E41,,PriceTickValue,Permanent,Trigger,ObjectOverwrite)</f>
        <v>USDFUT3MX6_Quote#0004</v>
      </c>
      <c r="G41" s="104" t="str">
        <f>_xll.ohRangeRetrieveError(F41)</f>
        <v/>
      </c>
      <c r="H41" s="140"/>
      <c r="J41" s="345"/>
      <c r="K41" s="351">
        <v>36</v>
      </c>
      <c r="L41" s="350" t="b">
        <v>1</v>
      </c>
      <c r="M41" s="264" t="str">
        <v>U0</v>
      </c>
      <c r="N41" s="349">
        <v>44090</v>
      </c>
      <c r="O41" s="264" t="str">
        <v>EDU0</v>
      </c>
      <c r="P41" s="348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7">
        <v>95.759999999999991</v>
      </c>
      <c r="X41" s="266"/>
      <c r="Y41" s="346" t="str">
        <v>USDFUT3MU0_Quote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5">
        <f>(R41-U41)/50</f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Z6</v>
      </c>
      <c r="E42" s="142" t="str">
        <f t="shared" si="1"/>
        <v>USDFUT3MZ6_Quote</v>
      </c>
      <c r="F42" s="141" t="str">
        <f>_xll.qlSimpleQuote(E42,,PriceTickValue,Permanent,Trigger,ObjectOverwrite)</f>
        <v>USDFUT3MZ6_Quote#0004</v>
      </c>
      <c r="G42" s="104" t="str">
        <f>_xll.ohRangeRetrieveError(F42)</f>
        <v/>
      </c>
      <c r="H42" s="140"/>
      <c r="J42" s="345"/>
      <c r="K42" s="351">
        <v>37</v>
      </c>
      <c r="L42" s="350" t="b">
        <v>1</v>
      </c>
      <c r="M42" s="264" t="str">
        <v>Z0</v>
      </c>
      <c r="N42" s="349">
        <v>44181</v>
      </c>
      <c r="O42" s="264" t="str">
        <v>EDZ0</v>
      </c>
      <c r="P42" s="348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7">
        <v>95.69</v>
      </c>
      <c r="X42" s="266"/>
      <c r="Y42" s="346" t="str">
        <v>USDFUT3MZ0_Quote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5">
        <f>(R42-U42)/50</f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F7</v>
      </c>
      <c r="E43" s="142" t="str">
        <f t="shared" si="1"/>
        <v>USDFUT3MF7_Quote</v>
      </c>
      <c r="F43" s="141" t="str">
        <f>_xll.qlSimpleQuote(E43,,PriceTickValue,Permanent,Trigger,ObjectOverwrite)</f>
        <v>USDFUT3MF7_Quote#0004</v>
      </c>
      <c r="G43" s="104" t="str">
        <f>_xll.ohRangeRetrieveError(F43)</f>
        <v/>
      </c>
      <c r="H43" s="140"/>
      <c r="J43" s="345"/>
      <c r="K43" s="351">
        <v>38</v>
      </c>
      <c r="L43" s="350" t="b">
        <v>1</v>
      </c>
      <c r="M43" s="264" t="str">
        <v>H1</v>
      </c>
      <c r="N43" s="349">
        <v>44272</v>
      </c>
      <c r="O43" s="264" t="str">
        <v>EDH1</v>
      </c>
      <c r="P43" s="348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7">
        <v>95.66</v>
      </c>
      <c r="X43" s="266"/>
      <c r="Y43" s="346" t="str">
        <v>USDFUT3MH1_Quote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5">
        <f>(R43-U43)/50</f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G7</v>
      </c>
      <c r="E44" s="142" t="str">
        <f t="shared" si="1"/>
        <v>USDFUT3MG7_Quote</v>
      </c>
      <c r="F44" s="141" t="str">
        <f>_xll.qlSimpleQuote(E44,,PriceTickValue,Permanent,Trigger,ObjectOverwrite)</f>
        <v>USDFUT3MG7_Quote#0004</v>
      </c>
      <c r="G44" s="104" t="str">
        <f>_xll.ohRangeRetrieveError(F44)</f>
        <v/>
      </c>
      <c r="H44" s="140"/>
      <c r="J44" s="345"/>
      <c r="K44" s="351">
        <v>39</v>
      </c>
      <c r="L44" s="350" t="b">
        <v>1</v>
      </c>
      <c r="M44" s="264" t="str">
        <v>M1</v>
      </c>
      <c r="N44" s="349">
        <v>44363</v>
      </c>
      <c r="O44" s="264" t="str">
        <v>EDM1</v>
      </c>
      <c r="P44" s="348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7">
        <v>95.6</v>
      </c>
      <c r="X44" s="266"/>
      <c r="Y44" s="346" t="str">
        <v>USDFUT3MM1_Quote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5">
        <f>(R44-U44)/50</f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H7</v>
      </c>
      <c r="E45" s="142" t="str">
        <f t="shared" si="1"/>
        <v>USDFUT3MH7_Quote</v>
      </c>
      <c r="F45" s="141" t="str">
        <f>_xll.qlSimpleQuote(E45,,PriceTickValue,Permanent,Trigger,ObjectOverwrite)</f>
        <v>USDFUT3MH7_Quote#0004</v>
      </c>
      <c r="G45" s="104" t="str">
        <f>_xll.ohRangeRetrieveError(F45)</f>
        <v/>
      </c>
      <c r="H45" s="140"/>
      <c r="J45" s="345"/>
      <c r="K45" s="351">
        <v>40</v>
      </c>
      <c r="L45" s="350" t="b">
        <v>1</v>
      </c>
      <c r="M45" s="264" t="str">
        <v>U1</v>
      </c>
      <c r="N45" s="349">
        <v>44454</v>
      </c>
      <c r="O45" s="264" t="str">
        <v>EDU1</v>
      </c>
      <c r="P45" s="348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7">
        <v>95.602500000000006</v>
      </c>
      <c r="X45" s="266"/>
      <c r="Y45" s="346" t="str">
        <v>USDFUT3MU1_Quote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5">
        <f>(R45-U45)/50</f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J7</v>
      </c>
      <c r="E46" s="142" t="str">
        <f t="shared" si="1"/>
        <v>USDFUT3MJ7_Quote</v>
      </c>
      <c r="F46" s="141" t="str">
        <f>_xll.qlSimpleQuote(E46,,PriceTickValue,Permanent,Trigger,ObjectOverwrite)</f>
        <v>USDFUT3MJ7_Quote#0004</v>
      </c>
      <c r="G46" s="104" t="str">
        <f>_xll.ohRangeRetrieveError(F46)</f>
        <v/>
      </c>
      <c r="H46" s="140"/>
      <c r="J46" s="345"/>
      <c r="K46" s="351">
        <v>41</v>
      </c>
      <c r="L46" s="350" t="b">
        <v>1</v>
      </c>
      <c r="M46" s="264" t="str">
        <v>Z1</v>
      </c>
      <c r="N46" s="349">
        <v>44545</v>
      </c>
      <c r="O46" s="264" t="str">
        <v>EDZ1</v>
      </c>
      <c r="P46" s="348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7">
        <v>95.557500000000005</v>
      </c>
      <c r="X46" s="266"/>
      <c r="Y46" s="346" t="str">
        <v>USDFUT3MZ1_Quote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5">
        <f>(R46-U46)/50</f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K7</v>
      </c>
      <c r="E47" s="142" t="str">
        <f t="shared" si="1"/>
        <v>USDFUT3MK7_Quote</v>
      </c>
      <c r="F47" s="141" t="str">
        <f>_xll.qlSimpleQuote(E47,,PriceTickValue,Permanent,Trigger,ObjectOverwrite)</f>
        <v>USDFUT3MK7_Quote#0004</v>
      </c>
      <c r="G47" s="104" t="str">
        <f>_xll.ohRangeRetrieveError(F47)</f>
        <v/>
      </c>
      <c r="H47" s="140"/>
      <c r="J47" s="345"/>
      <c r="K47" s="344">
        <v>42</v>
      </c>
      <c r="L47" s="343" t="b">
        <v>1</v>
      </c>
      <c r="M47" s="277" t="str">
        <v>H2</v>
      </c>
      <c r="N47" s="342">
        <v>44636</v>
      </c>
      <c r="O47" s="277" t="str">
        <v>EDH2</v>
      </c>
      <c r="P47" s="341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40">
        <v>95.51</v>
      </c>
      <c r="X47" s="266"/>
      <c r="Y47" s="339" t="str">
        <v>USDFUT3MH2_Quote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5">
        <f>(R47-U47)/50</f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M7</v>
      </c>
      <c r="E48" s="142" t="str">
        <f t="shared" si="1"/>
        <v>USDFUT3MM7_Quote</v>
      </c>
      <c r="F48" s="141" t="str">
        <f>_xll.qlSimpleQuote(E48,,PriceTickValue,Permanent,Trigger,ObjectOverwrite)</f>
        <v>USDFUT3MM7_Quote#0004</v>
      </c>
      <c r="G48" s="104" t="str">
        <f>_xll.ohRangeRetrieveError(F48)</f>
        <v/>
      </c>
      <c r="H48" s="140"/>
      <c r="J48" s="338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N7</v>
      </c>
      <c r="E49" s="142" t="str">
        <f t="shared" si="1"/>
        <v>USDFUT3MN7_Quote</v>
      </c>
      <c r="F49" s="141" t="str">
        <f>_xll.qlSimpleQuote(E49,,PriceTickValue,Permanent,Trigger,ObjectOverwrite)</f>
        <v>USDFUT3MN7_Quote#0004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Q7</v>
      </c>
      <c r="E50" s="142" t="str">
        <f t="shared" si="1"/>
        <v>USDFUT3MQ7_Quote</v>
      </c>
      <c r="F50" s="141" t="str">
        <f>_xll.qlSimpleQuote(E50,,PriceTickValue,Permanent,Trigger,ObjectOverwrite)</f>
        <v>USDFUT3MQ7_Quote#0004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U7</v>
      </c>
      <c r="E51" s="142" t="str">
        <f t="shared" si="1"/>
        <v>USDFUT3MU7_Quote</v>
      </c>
      <c r="F51" s="141" t="str">
        <f>_xll.qlSimpleQuote(E51,,PriceTickValue,Permanent,Trigger,ObjectOverwrite)</f>
        <v>USDFUT3MU7_Quote#0004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V7</v>
      </c>
      <c r="E52" s="142" t="str">
        <f t="shared" si="1"/>
        <v>USDFUT3MV7_Quote</v>
      </c>
      <c r="F52" s="141" t="str">
        <f>_xll.qlSimpleQuote(E52,,PriceTickValue,Permanent,Trigger,ObjectOverwrite)</f>
        <v>USDFUT3MV7_Quote#0004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X7</v>
      </c>
      <c r="E53" s="142" t="str">
        <f t="shared" si="1"/>
        <v>USDFUT3MX7_Quote</v>
      </c>
      <c r="F53" s="141" t="str">
        <f>_xll.qlSimpleQuote(E53,,PriceTickValue,Permanent,Trigger,ObjectOverwrite)</f>
        <v>USDFUT3MX7_Quote#0004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Z7</v>
      </c>
      <c r="E54" s="142" t="str">
        <f t="shared" si="1"/>
        <v>USDFUT3MZ7_Quote</v>
      </c>
      <c r="F54" s="141" t="str">
        <f>_xll.qlSimpleQuote(E54,,PriceTickValue,Permanent,Trigger,ObjectOverwrite)</f>
        <v>USDFUT3MZ7_Quote#0004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F8</v>
      </c>
      <c r="E55" s="142" t="str">
        <f t="shared" si="1"/>
        <v>USDFUT3MF8_Quote</v>
      </c>
      <c r="F55" s="141" t="str">
        <f>_xll.qlSimpleQuote(E55,,PriceTickValue,Permanent,Trigger,ObjectOverwrite)</f>
        <v>USDFUT3MF8_Quote#0004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G8</v>
      </c>
      <c r="E56" s="142" t="str">
        <f t="shared" si="1"/>
        <v>USDFUT3MG8_Quote</v>
      </c>
      <c r="F56" s="141" t="str">
        <f>_xll.qlSimpleQuote(E56,,PriceTickValue,Permanent,Trigger,ObjectOverwrite)</f>
        <v>USDFUT3MG8_Quote#0004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H8</v>
      </c>
      <c r="E57" s="142" t="str">
        <f t="shared" si="1"/>
        <v>USDFUT3MH8_Quote</v>
      </c>
      <c r="F57" s="141" t="str">
        <f>_xll.qlSimpleQuote(E57,,PriceTickValue,Permanent,Trigger,ObjectOverwrite)</f>
        <v>USDFUT3MH8_Quote#0004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J8</v>
      </c>
      <c r="E58" s="142" t="str">
        <f t="shared" si="1"/>
        <v>USDFUT3MJ8_Quote</v>
      </c>
      <c r="F58" s="141" t="str">
        <f>_xll.qlSimpleQuote(E58,,PriceTickValue,Permanent,Trigger,ObjectOverwrite)</f>
        <v>USDFUT3MJ8_Quote#0004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K8</v>
      </c>
      <c r="E59" s="142" t="str">
        <f t="shared" si="1"/>
        <v>USDFUT3MK8_Quote</v>
      </c>
      <c r="F59" s="141" t="str">
        <f>_xll.qlSimpleQuote(E59,,PriceTickValue,Permanent,Trigger,ObjectOverwrite)</f>
        <v>USDFUT3MK8_Quote#0004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M8</v>
      </c>
      <c r="E60" s="142" t="str">
        <f t="shared" si="1"/>
        <v>USDFUT3MM8_Quote</v>
      </c>
      <c r="F60" s="141" t="str">
        <f>_xll.qlSimpleQuote(E60,,PriceTickValue,Permanent,Trigger,ObjectOverwrite)</f>
        <v>USDFUT3MM8_Quote#0004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N8</v>
      </c>
      <c r="E61" s="142" t="str">
        <f t="shared" si="1"/>
        <v>USDFUT3MN8_Quote</v>
      </c>
      <c r="F61" s="141" t="str">
        <f>_xll.qlSimpleQuote(E61,,PriceTickValue,Permanent,Trigger,ObjectOverwrite)</f>
        <v>USDFUT3MN8_Quote#0004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Q8</v>
      </c>
      <c r="E62" s="142" t="str">
        <f t="shared" si="1"/>
        <v>USDFUT3MQ8_Quote</v>
      </c>
      <c r="F62" s="141" t="str">
        <f>_xll.qlSimpleQuote(E62,,PriceTickValue,Permanent,Trigger,ObjectOverwrite)</f>
        <v>USDFUT3MQ8_Quote#0004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U8</v>
      </c>
      <c r="E63" s="142" t="str">
        <f t="shared" si="1"/>
        <v>USDFUT3MU8_Quote</v>
      </c>
      <c r="F63" s="141" t="str">
        <f>_xll.qlSimpleQuote(E63,,PriceTickValue,Permanent,Trigger,ObjectOverwrite)</f>
        <v>USDFUT3MU8_Quote#0004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V8</v>
      </c>
      <c r="E64" s="142" t="str">
        <f t="shared" si="1"/>
        <v>USDFUT3MV8_Quote</v>
      </c>
      <c r="F64" s="141" t="str">
        <f>_xll.qlSimpleQuote(E64,,PriceTickValue,Permanent,Trigger,ObjectOverwrite)</f>
        <v>USDFUT3MV8_Quote#0004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X8</v>
      </c>
      <c r="E65" s="142" t="str">
        <f t="shared" si="1"/>
        <v>USDFUT3MX8_Quote</v>
      </c>
      <c r="F65" s="141" t="str">
        <f>_xll.qlSimpleQuote(E65,,PriceTickValue,Permanent,Trigger,ObjectOverwrite)</f>
        <v>USDFUT3MX8_Quote#0004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Z8</v>
      </c>
      <c r="E66" s="142" t="str">
        <f t="shared" si="1"/>
        <v>USDFUT3MZ8_Quote</v>
      </c>
      <c r="F66" s="141" t="str">
        <f>_xll.qlSimpleQuote(E66,,PriceTickValue,Permanent,Trigger,ObjectOverwrite)</f>
        <v>USDFUT3MZ8_Quote#0004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F9</v>
      </c>
      <c r="E67" s="142" t="str">
        <f t="shared" si="1"/>
        <v>USDFUT3MF9_Quote</v>
      </c>
      <c r="F67" s="141" t="str">
        <f>_xll.qlSimpleQuote(E67,,PriceTickValue,Permanent,Trigger,ObjectOverwrite)</f>
        <v>USDFUT3MF9_Quote#0004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G9</v>
      </c>
      <c r="E68" s="142" t="str">
        <f t="shared" si="1"/>
        <v>USDFUT3MG9_Quote</v>
      </c>
      <c r="F68" s="141" t="str">
        <f>_xll.qlSimpleQuote(E68,,PriceTickValue,Permanent,Trigger,ObjectOverwrite)</f>
        <v>USDFUT3MG9_Quote#0004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H9</v>
      </c>
      <c r="E69" s="142" t="str">
        <f t="shared" si="1"/>
        <v>USDFUT3MH9_Quote</v>
      </c>
      <c r="F69" s="141" t="str">
        <f>_xll.qlSimpleQuote(E69,,PriceTickValue,Permanent,Trigger,ObjectOverwrite)</f>
        <v>USDFUT3MH9_Quote#0004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J9</v>
      </c>
      <c r="E70" s="142" t="str">
        <f t="shared" ref="E70:E101" si="2">Currency&amp;$D$4&amp;$E$4&amp;$D70&amp;QuoteSuffix</f>
        <v>USDFUT3MJ9_Quote</v>
      </c>
      <c r="F70" s="141" t="str">
        <f>_xll.qlSimpleQuote(E70,,PriceTickValue,Permanent,Trigger,ObjectOverwrite)</f>
        <v>USDFUT3MJ9_Quote#0004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K9</v>
      </c>
      <c r="E71" s="142" t="str">
        <f t="shared" si="2"/>
        <v>USDFUT3MK9_Quote</v>
      </c>
      <c r="F71" s="141" t="str">
        <f>_xll.qlSimpleQuote(E71,,PriceTickValue,Permanent,Trigger,ObjectOverwrite)</f>
        <v>USDFUT3MK9_Quote#0004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M9</v>
      </c>
      <c r="E72" s="142" t="str">
        <f t="shared" si="2"/>
        <v>USDFUT3MM9_Quote</v>
      </c>
      <c r="F72" s="141" t="str">
        <f>_xll.qlSimpleQuote(E72,,PriceTickValue,Permanent,Trigger,ObjectOverwrite)</f>
        <v>USDFUT3MM9_Quote#0004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N9</v>
      </c>
      <c r="E73" s="142" t="str">
        <f t="shared" si="2"/>
        <v>USDFUT3MN9_Quote</v>
      </c>
      <c r="F73" s="141" t="str">
        <f>_xll.qlSimpleQuote(E73,,PriceTickValue,Permanent,Trigger,ObjectOverwrite)</f>
        <v>USDFUT3MN9_Quote#0004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Q9</v>
      </c>
      <c r="E74" s="142" t="str">
        <f t="shared" si="2"/>
        <v>USDFUT3MQ9_Quote</v>
      </c>
      <c r="F74" s="141" t="str">
        <f>_xll.qlSimpleQuote(E74,,PriceTickValue,Permanent,Trigger,ObjectOverwrite)</f>
        <v>USDFUT3MQ9_Quote#0004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U9</v>
      </c>
      <c r="E75" s="142" t="str">
        <f t="shared" si="2"/>
        <v>USDFUT3MU9_Quote</v>
      </c>
      <c r="F75" s="141" t="str">
        <f>_xll.qlSimpleQuote(E75,,PriceTickValue,Permanent,Trigger,ObjectOverwrite)</f>
        <v>USDFUT3MU9_Quote#0004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V9</v>
      </c>
      <c r="E76" s="142" t="str">
        <f t="shared" si="2"/>
        <v>USDFUT3MV9_Quote</v>
      </c>
      <c r="F76" s="141" t="str">
        <f>_xll.qlSimpleQuote(E76,,PriceTickValue,Permanent,Trigger,ObjectOverwrite)</f>
        <v>USDFUT3MV9_Quote#0004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X9</v>
      </c>
      <c r="E77" s="142" t="str">
        <f t="shared" si="2"/>
        <v>USDFUT3MX9_Quote</v>
      </c>
      <c r="F77" s="141" t="str">
        <f>_xll.qlSimpleQuote(E77,,PriceTickValue,Permanent,Trigger,ObjectOverwrite)</f>
        <v>USDFUT3MX9_Quote#0004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Z9</v>
      </c>
      <c r="E78" s="142" t="str">
        <f t="shared" si="2"/>
        <v>USDFUT3MZ9_Quote</v>
      </c>
      <c r="F78" s="141" t="str">
        <f>_xll.qlSimpleQuote(E78,,PriceTickValue,Permanent,Trigger,ObjectOverwrite)</f>
        <v>USDFUT3MZ9_Quote#0004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F0</v>
      </c>
      <c r="E79" s="142" t="str">
        <f t="shared" si="2"/>
        <v>USDFUT3MF0_Quote</v>
      </c>
      <c r="F79" s="141" t="str">
        <f>_xll.qlSimpleQuote(E79,,PriceTickValue,Permanent,Trigger,ObjectOverwrite)</f>
        <v>USDFUT3MF0_Quote#0004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G0</v>
      </c>
      <c r="E80" s="142" t="str">
        <f t="shared" si="2"/>
        <v>USDFUT3MG0_Quote</v>
      </c>
      <c r="F80" s="141" t="str">
        <f>_xll.qlSimpleQuote(E80,,PriceTickValue,Permanent,Trigger,ObjectOverwrite)</f>
        <v>USDFUT3MG0_Quote#0004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H0</v>
      </c>
      <c r="E81" s="142" t="str">
        <f t="shared" si="2"/>
        <v>USDFUT3MH0_Quote</v>
      </c>
      <c r="F81" s="141" t="str">
        <f>_xll.qlSimpleQuote(E81,,PriceTickValue,Permanent,Trigger,ObjectOverwrite)</f>
        <v>USDFUT3MH0_Quote#0004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J0</v>
      </c>
      <c r="E82" s="142" t="str">
        <f t="shared" si="2"/>
        <v>USDFUT3MJ0_Quote</v>
      </c>
      <c r="F82" s="141" t="str">
        <f>_xll.qlSimpleQuote(E82,,PriceTickValue,Permanent,Trigger,ObjectOverwrite)</f>
        <v>USDFUT3MJ0_Quote#0004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K0</v>
      </c>
      <c r="E83" s="142" t="str">
        <f t="shared" si="2"/>
        <v>USDFUT3MK0_Quote</v>
      </c>
      <c r="F83" s="141" t="str">
        <f>_xll.qlSimpleQuote(E83,,PriceTickValue,Permanent,Trigger,ObjectOverwrite)</f>
        <v>USDFUT3MK0_Quote#0004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M0</v>
      </c>
      <c r="E84" s="142" t="str">
        <f t="shared" si="2"/>
        <v>USDFUT3MM0_Quote</v>
      </c>
      <c r="F84" s="141" t="str">
        <f>_xll.qlSimpleQuote(E84,,PriceTickValue,Permanent,Trigger,ObjectOverwrite)</f>
        <v>USDFUT3MM0_Quote#0004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N0</v>
      </c>
      <c r="E85" s="142" t="str">
        <f t="shared" si="2"/>
        <v>USDFUT3MN0_Quote</v>
      </c>
      <c r="F85" s="141" t="str">
        <f>_xll.qlSimpleQuote(E85,,PriceTickValue,Permanent,Trigger,ObjectOverwrite)</f>
        <v>USDFUT3MN0_Quote#0004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Q0</v>
      </c>
      <c r="E86" s="142" t="str">
        <f t="shared" si="2"/>
        <v>USDFUT3MQ0_Quote</v>
      </c>
      <c r="F86" s="141" t="str">
        <f>_xll.qlSimpleQuote(E86,,PriceTickValue,Permanent,Trigger,ObjectOverwrite)</f>
        <v>USDFUT3MQ0_Quote#0004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U0</v>
      </c>
      <c r="E87" s="142" t="str">
        <f t="shared" si="2"/>
        <v>USDFUT3MU0_Quote</v>
      </c>
      <c r="F87" s="141" t="str">
        <f>_xll.qlSimpleQuote(E87,,PriceTickValue,Permanent,Trigger,ObjectOverwrite)</f>
        <v>USDFUT3MU0_Quote#0004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V0</v>
      </c>
      <c r="E88" s="142" t="str">
        <f t="shared" si="2"/>
        <v>USDFUT3MV0_Quote</v>
      </c>
      <c r="F88" s="141" t="str">
        <f>_xll.qlSimpleQuote(E88,,PriceTickValue,Permanent,Trigger,ObjectOverwrite)</f>
        <v>USDFUT3MV0_Quote#0004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X0</v>
      </c>
      <c r="E89" s="142" t="str">
        <f t="shared" si="2"/>
        <v>USDFUT3MX0_Quote</v>
      </c>
      <c r="F89" s="141" t="str">
        <f>_xll.qlSimpleQuote(E89,,PriceTickValue,Permanent,Trigger,ObjectOverwrite)</f>
        <v>USDFUT3MX0_Quote#0004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Z0</v>
      </c>
      <c r="E90" s="142" t="str">
        <f t="shared" si="2"/>
        <v>USDFUT3MZ0_Quote</v>
      </c>
      <c r="F90" s="141" t="str">
        <f>_xll.qlSimpleQuote(E90,,PriceTickValue,Permanent,Trigger,ObjectOverwrite)</f>
        <v>USDFUT3MZ0_Quote#0004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F1</v>
      </c>
      <c r="E91" s="142" t="str">
        <f t="shared" si="2"/>
        <v>USDFUT3MF1_Quote</v>
      </c>
      <c r="F91" s="141" t="str">
        <f>_xll.qlSimpleQuote(E91,,PriceTickValue,Permanent,Trigger,ObjectOverwrite)</f>
        <v>USDFUT3MF1_Quote#0004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G1</v>
      </c>
      <c r="E92" s="142" t="str">
        <f t="shared" si="2"/>
        <v>USDFUT3MG1_Quote</v>
      </c>
      <c r="F92" s="141" t="str">
        <f>_xll.qlSimpleQuote(E92,,PriceTickValue,Permanent,Trigger,ObjectOverwrite)</f>
        <v>USDFUT3MG1_Quote#0004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H1</v>
      </c>
      <c r="E93" s="142" t="str">
        <f t="shared" si="2"/>
        <v>USDFUT3MH1_Quote</v>
      </c>
      <c r="F93" s="141" t="str">
        <f>_xll.qlSimpleQuote(E93,,PriceTickValue,Permanent,Trigger,ObjectOverwrite)</f>
        <v>USDFUT3MH1_Quote#0004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J1</v>
      </c>
      <c r="E94" s="142" t="str">
        <f t="shared" si="2"/>
        <v>USDFUT3MJ1_Quote</v>
      </c>
      <c r="F94" s="141" t="str">
        <f>_xll.qlSimpleQuote(E94,,PriceTickValue,Permanent,Trigger,ObjectOverwrite)</f>
        <v>USDFUT3MJ1_Quote#0004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K1</v>
      </c>
      <c r="E95" s="142" t="str">
        <f t="shared" si="2"/>
        <v>USDFUT3MK1_Quote</v>
      </c>
      <c r="F95" s="141" t="str">
        <f>_xll.qlSimpleQuote(E95,,PriceTickValue,Permanent,Trigger,ObjectOverwrite)</f>
        <v>USDFUT3MK1_Quote#0004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M1</v>
      </c>
      <c r="E96" s="142" t="str">
        <f t="shared" si="2"/>
        <v>USDFUT3MM1_Quote</v>
      </c>
      <c r="F96" s="141" t="str">
        <f>_xll.qlSimpleQuote(E96,,PriceTickValue,Permanent,Trigger,ObjectOverwrite)</f>
        <v>USDFUT3MM1_Quote#0004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N1</v>
      </c>
      <c r="E97" s="142" t="str">
        <f t="shared" si="2"/>
        <v>USDFUT3MN1_Quote</v>
      </c>
      <c r="F97" s="141" t="str">
        <f>_xll.qlSimpleQuote(E97,,PriceTickValue,Permanent,Trigger,ObjectOverwrite)</f>
        <v>USDFUT3MN1_Quote#0004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Q1</v>
      </c>
      <c r="E98" s="142" t="str">
        <f t="shared" si="2"/>
        <v>USDFUT3MQ1_Quote</v>
      </c>
      <c r="F98" s="141" t="str">
        <f>_xll.qlSimpleQuote(E98,,PriceTickValue,Permanent,Trigger,ObjectOverwrite)</f>
        <v>USDFUT3MQ1_Quote#0004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U1</v>
      </c>
      <c r="E99" s="142" t="str">
        <f t="shared" si="2"/>
        <v>USDFUT3MU1_Quote</v>
      </c>
      <c r="F99" s="141" t="str">
        <f>_xll.qlSimpleQuote(E99,,PriceTickValue,Permanent,Trigger,ObjectOverwrite)</f>
        <v>USDFUT3MU1_Quote#0004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V1</v>
      </c>
      <c r="E100" s="142" t="str">
        <f t="shared" si="2"/>
        <v>USDFUT3MV1_Quote</v>
      </c>
      <c r="F100" s="141" t="str">
        <f>_xll.qlSimpleQuote(E100,,PriceTickValue,Permanent,Trigger,ObjectOverwrite)</f>
        <v>USDFUT3MV1_Quote#0004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X1</v>
      </c>
      <c r="E101" s="142" t="str">
        <f t="shared" si="2"/>
        <v>USDFUT3MX1_Quote</v>
      </c>
      <c r="F101" s="141" t="str">
        <f>_xll.qlSimpleQuote(E101,,PriceTickValue,Permanent,Trigger,ObjectOverwrite)</f>
        <v>USDFUT3MX1_Quote#0004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Z1</v>
      </c>
      <c r="E102" s="142" t="str">
        <f t="shared" ref="E102:E125" si="3">Currency&amp;$D$4&amp;$E$4&amp;$D102&amp;QuoteSuffix</f>
        <v>USDFUT3MZ1_Quote</v>
      </c>
      <c r="F102" s="141" t="str">
        <f>_xll.qlSimpleQuote(E102,,PriceTickValue,Permanent,Trigger,ObjectOverwrite)</f>
        <v>USDFUT3MZ1_Quote#0004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F2</v>
      </c>
      <c r="E103" s="142" t="str">
        <f t="shared" si="3"/>
        <v>USDFUT3MF2_Quote</v>
      </c>
      <c r="F103" s="141" t="str">
        <f>_xll.qlSimpleQuote(E103,,PriceTickValue,Permanent,Trigger,ObjectOverwrite)</f>
        <v>USDFUT3MF2_Quote#0004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G2</v>
      </c>
      <c r="E104" s="142" t="str">
        <f t="shared" si="3"/>
        <v>USDFUT3MG2_Quote</v>
      </c>
      <c r="F104" s="141" t="str">
        <f>_xll.qlSimpleQuote(E104,,PriceTickValue,Permanent,Trigger,ObjectOverwrite)</f>
        <v>USDFUT3MG2_Quote#0004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H2</v>
      </c>
      <c r="E105" s="142" t="str">
        <f t="shared" si="3"/>
        <v>USDFUT3MH2_Quote</v>
      </c>
      <c r="F105" s="141" t="str">
        <f>_xll.qlSimpleQuote(E105,,PriceTickValue,Permanent,Trigger,ObjectOverwrite)</f>
        <v>USDFUT3MH2_Quote#0004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J2</v>
      </c>
      <c r="E106" s="142" t="str">
        <f t="shared" si="3"/>
        <v>USDFUT3MJ2_Quote</v>
      </c>
      <c r="F106" s="141" t="str">
        <f>_xll.qlSimpleQuote(E106,,PriceTickValue,Permanent,Trigger,ObjectOverwrite)</f>
        <v>USDFUT3MJ2_Quote#0004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K2</v>
      </c>
      <c r="E107" s="142" t="str">
        <f t="shared" si="3"/>
        <v>USDFUT3MK2_Quote</v>
      </c>
      <c r="F107" s="141" t="str">
        <f>_xll.qlSimpleQuote(E107,,PriceTickValue,Permanent,Trigger,ObjectOverwrite)</f>
        <v>USDFUT3MK2_Quote#0004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M2</v>
      </c>
      <c r="E108" s="142" t="str">
        <f t="shared" si="3"/>
        <v>USDFUT3MM2_Quote</v>
      </c>
      <c r="F108" s="141" t="str">
        <f>_xll.qlSimpleQuote(E108,,PriceTickValue,Permanent,Trigger,ObjectOverwrite)</f>
        <v>USDFUT3MM2_Quote#0004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N2</v>
      </c>
      <c r="E109" s="142" t="str">
        <f t="shared" si="3"/>
        <v>USDFUT3MN2_Quote</v>
      </c>
      <c r="F109" s="141" t="str">
        <f>_xll.qlSimpleQuote(E109,,PriceTickValue,Permanent,Trigger,ObjectOverwrite)</f>
        <v>USDFUT3MN2_Quote#0004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Q2</v>
      </c>
      <c r="E110" s="142" t="str">
        <f t="shared" si="3"/>
        <v>USDFUT3MQ2_Quote</v>
      </c>
      <c r="F110" s="141" t="str">
        <f>_xll.qlSimpleQuote(E110,,PriceTickValue,Permanent,Trigger,ObjectOverwrite)</f>
        <v>USDFUT3MQ2_Quote#0004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U2</v>
      </c>
      <c r="E111" s="142" t="str">
        <f t="shared" si="3"/>
        <v>USDFUT3MU2_Quote</v>
      </c>
      <c r="F111" s="141" t="str">
        <f>_xll.qlSimpleQuote(E111,,PriceTickValue,Permanent,Trigger,ObjectOverwrite)</f>
        <v>USDFUT3MU2_Quote#0004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V2</v>
      </c>
      <c r="E112" s="142" t="str">
        <f t="shared" si="3"/>
        <v>USDFUT3MV2_Quote</v>
      </c>
      <c r="F112" s="141" t="str">
        <f>_xll.qlSimpleQuote(E112,,PriceTickValue,Permanent,Trigger,ObjectOverwrite)</f>
        <v>USDFUT3MV2_Quote#0004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X2</v>
      </c>
      <c r="E113" s="142" t="str">
        <f t="shared" si="3"/>
        <v>USDFUT3MX2_Quote</v>
      </c>
      <c r="F113" s="141" t="str">
        <f>_xll.qlSimpleQuote(E113,,PriceTickValue,Permanent,Trigger,ObjectOverwrite)</f>
        <v>USDFUT3MX2_Quote#0004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Z2</v>
      </c>
      <c r="E114" s="142" t="str">
        <f t="shared" si="3"/>
        <v>USDFUT3MZ2_Quote</v>
      </c>
      <c r="F114" s="141" t="str">
        <f>_xll.qlSimpleQuote(E114,,PriceTickValue,Permanent,Trigger,ObjectOverwrite)</f>
        <v>USDFUT3MZ2_Quote#0004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F3</v>
      </c>
      <c r="E115" s="142" t="str">
        <f t="shared" si="3"/>
        <v>USDFUT3MF3_Quote</v>
      </c>
      <c r="F115" s="141" t="str">
        <f>_xll.qlSimpleQuote(E115,,PriceTickValue,Permanent,Trigger,ObjectOverwrite)</f>
        <v>USDFUT3MF3_Quote#0004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G3</v>
      </c>
      <c r="E116" s="142" t="str">
        <f t="shared" si="3"/>
        <v>USDFUT3MG3_Quote</v>
      </c>
      <c r="F116" s="141" t="str">
        <f>_xll.qlSimpleQuote(E116,,PriceTickValue,Permanent,Trigger,ObjectOverwrite)</f>
        <v>USDFUT3MG3_Quote#0004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H3</v>
      </c>
      <c r="E117" s="142" t="str">
        <f t="shared" si="3"/>
        <v>USDFUT3MH3_Quote</v>
      </c>
      <c r="F117" s="141" t="str">
        <f>_xll.qlSimpleQuote(E117,,PriceTickValue,Permanent,Trigger,ObjectOverwrite)</f>
        <v>USDFUT3MH3_Quote#0004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J3</v>
      </c>
      <c r="E118" s="142" t="str">
        <f t="shared" si="3"/>
        <v>USDFUT3MJ3_Quote</v>
      </c>
      <c r="F118" s="141" t="str">
        <f>_xll.qlSimpleQuote(E118,,PriceTickValue,Permanent,Trigger,ObjectOverwrite)</f>
        <v>USDFUT3MJ3_Quote#0004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K3</v>
      </c>
      <c r="E119" s="142" t="str">
        <f t="shared" si="3"/>
        <v>USDFUT3MK3_Quote</v>
      </c>
      <c r="F119" s="141" t="str">
        <f>_xll.qlSimpleQuote(E119,,PriceTickValue,Permanent,Trigger,ObjectOverwrite)</f>
        <v>USDFUT3MK3_Quote#0004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M3</v>
      </c>
      <c r="E120" s="142" t="str">
        <f t="shared" si="3"/>
        <v>USDFUT3MM3_Quote</v>
      </c>
      <c r="F120" s="141" t="str">
        <f>_xll.qlSimpleQuote(E120,,PriceTickValue,Permanent,Trigger,ObjectOverwrite)</f>
        <v>USDFUT3MM3_Quote#0004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N3</v>
      </c>
      <c r="E121" s="142" t="str">
        <f t="shared" si="3"/>
        <v>USDFUT3MN3_Quote</v>
      </c>
      <c r="F121" s="141" t="str">
        <f>_xll.qlSimpleQuote(E121,,PriceTickValue,Permanent,Trigger,ObjectOverwrite)</f>
        <v>USDFUT3MN3_Quote#0004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Q3</v>
      </c>
      <c r="E122" s="142" t="str">
        <f t="shared" si="3"/>
        <v>USDFUT3MQ3_Quote</v>
      </c>
      <c r="F122" s="141" t="str">
        <f>_xll.qlSimpleQuote(E122,,PriceTickValue,Permanent,Trigger,ObjectOverwrite)</f>
        <v>USDFUT3MQ3_Quote#0004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U3</v>
      </c>
      <c r="E123" s="142" t="str">
        <f t="shared" si="3"/>
        <v>USDFUT3MU3_Quote</v>
      </c>
      <c r="F123" s="141" t="str">
        <f>_xll.qlSimpleQuote(E123,,PriceTickValue,Permanent,Trigger,ObjectOverwrite)</f>
        <v>USDFUT3MU3_Quote#0004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V3</v>
      </c>
      <c r="E124" s="142" t="str">
        <f t="shared" si="3"/>
        <v>USDFUT3MV3_Quote</v>
      </c>
      <c r="F124" s="141" t="str">
        <f>_xll.qlSimpleQuote(E124,,PriceTickValue,Permanent,Trigger,ObjectOverwrite)</f>
        <v>USDFUT3MV3_Quote#0004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X3</v>
      </c>
      <c r="E125" s="142" t="str">
        <f t="shared" si="3"/>
        <v>USDFUT3MX3_Quote</v>
      </c>
      <c r="F125" s="141" t="str">
        <f>_xll.qlSimpleQuote(E125,,PriceTickValue,Permanent,Trigger,ObjectOverwrite)</f>
        <v>USDFUT3MX3_Quote#0004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USDIMMFRA6MZ3_Quote</v>
      </c>
      <c r="F3" s="148" t="str">
        <f>_xll.qlSimpleQuote(E3,,PriceTickValue,Permanent,Trigger,ObjectOverwrite)</f>
        <v>USDIMMFRA6MZ3_Quote#0002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USDIMMFRA6MF4_Quote</v>
      </c>
      <c r="F4" s="141" t="str">
        <f>_xll.qlSimpleQuote(E4,,PriceTickValue,Permanent,Trigger,ObjectOverwrite)</f>
        <v>USDIMMFRA6MF4_Quote#0002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USDIMMFRA6MG4_Quote</v>
      </c>
      <c r="F5" s="141" t="str">
        <f>_xll.qlSimpleQuote(E5,,PriceTickValue,Permanent,Trigger,ObjectOverwrite)</f>
        <v>USDIMMFRA6MG4_Quote#0002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USDIMMFRA6MH4_Quote</v>
      </c>
      <c r="F6" s="141" t="str">
        <f>_xll.qlSimpleQuote(E6,,PriceTickValue,Permanent,Trigger,ObjectOverwrite)</f>
        <v>USDIMMFRA6MH4_Quote#0002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USDIMMFRA6MJ4_Quote</v>
      </c>
      <c r="F7" s="141" t="str">
        <f>_xll.qlSimpleQuote(E7,,PriceTickValue,Permanent,Trigger,ObjectOverwrite)</f>
        <v>USDIMMFRA6MJ4_Quote#0002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USDIMMFRA6MK4_Quote</v>
      </c>
      <c r="F8" s="141" t="str">
        <f>_xll.qlSimpleQuote(E8,,PriceTickValue,Permanent,Trigger,ObjectOverwrite)</f>
        <v>USDIMMFRA6MK4_Quote#0002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USDIMMFRA6MM4_Quote</v>
      </c>
      <c r="F9" s="141" t="str">
        <f>_xll.qlSimpleQuote(E9,,PriceTickValue,Permanent,Trigger,ObjectOverwrite)</f>
        <v>USDIMMFRA6MM4_Quote#0002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USDIMMFRA6MN4_Quote</v>
      </c>
      <c r="F10" s="141" t="str">
        <f>_xll.qlSimpleQuote(E10,,PriceTickValue,Permanent,Trigger,ObjectOverwrite)</f>
        <v>USDIMMFRA6MN4_Quote#0002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USDIMMFRA6MQ4_Quote</v>
      </c>
      <c r="F11" s="141" t="str">
        <f>_xll.qlSimpleQuote(E11,,PriceTickValue,Permanent,Trigger,ObjectOverwrite)</f>
        <v>USDIMMFRA6MQ4_Quote#0002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USDIMMFRA6MU4_Quote</v>
      </c>
      <c r="F12" s="141" t="str">
        <f>_xll.qlSimpleQuote(E12,,PriceTickValue,Permanent,Trigger,ObjectOverwrite)</f>
        <v>USDIMMFRA6MU4_Quote#0002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USDIMMFRA6MV4_Quote</v>
      </c>
      <c r="F13" s="141" t="str">
        <f>_xll.qlSimpleQuote(E13,,PriceTickValue,Permanent,Trigger,ObjectOverwrite)</f>
        <v>USDIMMFRA6MV4_Quote#0002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USDIMMFRA6MX4_Quote</v>
      </c>
      <c r="F14" s="141" t="str">
        <f>_xll.qlSimpleQuote(E14,,PriceTickValue,Permanent,Trigger,ObjectOverwrite)</f>
        <v>USDIMMFRA6MX4_Quote#0002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USDIMMFRA6MZ4_Quote</v>
      </c>
      <c r="F15" s="141" t="str">
        <f>_xll.qlSimpleQuote(E15,,PriceTickValue,Permanent,Trigger,ObjectOverwrite)</f>
        <v>USDIMMFRA6MZ4_Quote#0002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USDIMMFRA6MF5_Quote</v>
      </c>
      <c r="F16" s="141" t="str">
        <f>_xll.qlSimpleQuote(E16,,PriceTickValue,Permanent,Trigger,ObjectOverwrite)</f>
        <v>USDIMMFRA6MF5_Quote#0002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USDIMMFRA6MG5_Quote</v>
      </c>
      <c r="F17" s="141" t="str">
        <f>_xll.qlSimpleQuote(E17,,PriceTickValue,Permanent,Trigger,ObjectOverwrite)</f>
        <v>USDIMMFRA6MG5_Quote#0002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USDIMMFRA6MH5_Quote</v>
      </c>
      <c r="F18" s="141" t="str">
        <f>_xll.qlSimpleQuote(E18,,PriceTickValue,Permanent,Trigger,ObjectOverwrite)</f>
        <v>USDIMMFRA6MH5_Quote#0002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USDIMMFRA6MJ5_Quote</v>
      </c>
      <c r="F19" s="141" t="str">
        <f>_xll.qlSimpleQuote(E19,,PriceTickValue,Permanent,Trigger,ObjectOverwrite)</f>
        <v>USDIMMFRA6MJ5_Quote#0002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USDIMMFRA6MK5_Quote</v>
      </c>
      <c r="F20" s="141" t="str">
        <f>_xll.qlSimpleQuote(E20,,PriceTickValue,Permanent,Trigger,ObjectOverwrite)</f>
        <v>USDIMMFRA6MK5_Quote#0002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USDIMMFRA6MM5_Quote</v>
      </c>
      <c r="F21" s="141" t="str">
        <f>_xll.qlSimpleQuote(E21,,PriceTickValue,Permanent,Trigger,ObjectOverwrite)</f>
        <v>USDIMMFRA6MM5_Quote#0002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USDIMMFRA6MN5_Quote</v>
      </c>
      <c r="F22" s="141" t="str">
        <f>_xll.qlSimpleQuote(E22,,PriceTickValue,Permanent,Trigger,ObjectOverwrite)</f>
        <v>USDIMMFRA6MN5_Quote#0002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USDIMMFRA6MQ5_Quote</v>
      </c>
      <c r="F23" s="141" t="str">
        <f>_xll.qlSimpleQuote(E23,,PriceTickValue,Permanent,Trigger,ObjectOverwrite)</f>
        <v>USDIMMFRA6MQ5_Quote#0002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USDIMMFRA6MU5_Quote</v>
      </c>
      <c r="F24" s="141" t="str">
        <f>_xll.qlSimpleQuote(E24,,PriceTickValue,Permanent,Trigger,ObjectOverwrite)</f>
        <v>USDIMMFRA6MU5_Quote#0002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USDIMMFRA6MV5_Quote</v>
      </c>
      <c r="F25" s="141" t="str">
        <f>_xll.qlSimpleQuote(E25,,PriceTickValue,Permanent,Trigger,ObjectOverwrite)</f>
        <v>USDIMMFRA6MV5_Quote#0002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USDIMMFRA6MX5_Quote</v>
      </c>
      <c r="F26" s="141" t="str">
        <f>_xll.qlSimpleQuote(E26,,PriceTickValue,Permanent,Trigger,ObjectOverwrite)</f>
        <v>USDIMMFRA6MX5_Quote#0002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USDIMMFRA6MZ5_Quote</v>
      </c>
      <c r="F27" s="141" t="str">
        <f>_xll.qlSimpleQuote(E27,,PriceTickValue,Permanent,Trigger,ObjectOverwrite)</f>
        <v>USDIMMFRA6MZ5_Quote#0002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USDIMMFRA6MF6_Quote</v>
      </c>
      <c r="F28" s="141" t="str">
        <f>_xll.qlSimpleQuote(E28,,PriceTickValue,Permanent,Trigger,ObjectOverwrite)</f>
        <v>USDIMMFRA6MF6_Quote#0002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USDIMMFRA6MG6_Quote</v>
      </c>
      <c r="F29" s="141" t="str">
        <f>_xll.qlSimpleQuote(E29,,PriceTickValue,Permanent,Trigger,ObjectOverwrite)</f>
        <v>USDIMMFRA6MG6_Quote#0002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USDIMMFRA6MH6_Quote</v>
      </c>
      <c r="F30" s="141" t="str">
        <f>_xll.qlSimpleQuote(E30,,PriceTickValue,Permanent,Trigger,ObjectOverwrite)</f>
        <v>USDIMMFRA6MH6_Quote#0002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USDIMMFRA6MJ6_Quote</v>
      </c>
      <c r="F31" s="141" t="str">
        <f>_xll.qlSimpleQuote(E31,,PriceTickValue,Permanent,Trigger,ObjectOverwrite)</f>
        <v>USDIMMFRA6MJ6_Quote#0002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USDIMMFRA6MK6_Quote</v>
      </c>
      <c r="F32" s="141" t="str">
        <f>_xll.qlSimpleQuote(E32,,PriceTickValue,Permanent,Trigger,ObjectOverwrite)</f>
        <v>USDIMMFRA6MK6_Quote#0002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USDIMMFRA6MM6_Quote</v>
      </c>
      <c r="F33" s="141" t="str">
        <f>_xll.qlSimpleQuote(E33,,PriceTickValue,Permanent,Trigger,ObjectOverwrite)</f>
        <v>USDIMMFRA6MM6_Quote#0002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USDIMMFRA6MN6_Quote</v>
      </c>
      <c r="F34" s="141" t="str">
        <f>_xll.qlSimpleQuote(E34,,PriceTickValue,Permanent,Trigger,ObjectOverwrite)</f>
        <v>USDIMMFRA6MN6_Quote#0002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USDIMMFRA6MQ6_Quote</v>
      </c>
      <c r="F35" s="141" t="str">
        <f>_xll.qlSimpleQuote(E35,,PriceTickValue,Permanent,Trigger,ObjectOverwrite)</f>
        <v>USDIMMFRA6MQ6_Quote#0002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USDIMMFRA6MU6_Quote</v>
      </c>
      <c r="F36" s="141" t="str">
        <f>_xll.qlSimpleQuote(E36,,PriceTickValue,Permanent,Trigger,ObjectOverwrite)</f>
        <v>USDIMMFRA6MU6_Quote#0002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USDIMMFRA6MV6_Quote</v>
      </c>
      <c r="F37" s="141" t="str">
        <f>_xll.qlSimpleQuote(E37,,PriceTickValue,Permanent,Trigger,ObjectOverwrite)</f>
        <v>USDIMMFRA6MV6_Quote#0002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USDIMMFRA6MX6_Quote</v>
      </c>
      <c r="F38" s="141" t="str">
        <f>_xll.qlSimpleQuote(E38,,PriceTickValue,Permanent,Trigger,ObjectOverwrite)</f>
        <v>USDIMMFRA6MX6_Quote#0002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USDIMMFRA6MZ6_Quote</v>
      </c>
      <c r="F39" s="141" t="str">
        <f>_xll.qlSimpleQuote(E39,,PriceTickValue,Permanent,Trigger,ObjectOverwrite)</f>
        <v>USDIMMFRA6MZ6_Quote#0002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USDIMMFRA6MF7_Quote</v>
      </c>
      <c r="F40" s="141" t="str">
        <f>_xll.qlSimpleQuote(E40,,PriceTickValue,Permanent,Trigger,ObjectOverwrite)</f>
        <v>USDIMMFRA6MF7_Quote#0002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USDIMMFRA6MG7_Quote</v>
      </c>
      <c r="F41" s="141" t="str">
        <f>_xll.qlSimpleQuote(E41,,PriceTickValue,Permanent,Trigger,ObjectOverwrite)</f>
        <v>USDIMMFRA6MG7_Quote#0002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USDIMMFRA6MH7_Quote</v>
      </c>
      <c r="F42" s="141" t="str">
        <f>_xll.qlSimpleQuote(E42,,PriceTickValue,Permanent,Trigger,ObjectOverwrite)</f>
        <v>USDIMMFRA6MH7_Quote#0002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USDIMMFRA6MJ7_Quote</v>
      </c>
      <c r="F43" s="141" t="str">
        <f>_xll.qlSimpleQuote(E43,,PriceTickValue,Permanent,Trigger,ObjectOverwrite)</f>
        <v>USDIMMFRA6MJ7_Quote#0002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USDIMMFRA6MK7_Quote</v>
      </c>
      <c r="F44" s="141" t="str">
        <f>_xll.qlSimpleQuote(E44,,PriceTickValue,Permanent,Trigger,ObjectOverwrite)</f>
        <v>USDIMMFRA6MK7_Quote#0002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USDIMMFRA6MM7_Quote</v>
      </c>
      <c r="F45" s="141" t="str">
        <f>_xll.qlSimpleQuote(E45,,PriceTickValue,Permanent,Trigger,ObjectOverwrite)</f>
        <v>USDIMMFRA6MM7_Quote#0002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USDIMMFRA6MN7_Quote</v>
      </c>
      <c r="F46" s="141" t="str">
        <f>_xll.qlSimpleQuote(E46,,PriceTickValue,Permanent,Trigger,ObjectOverwrite)</f>
        <v>USDIMMFRA6MN7_Quote#0002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USDIMMFRA6MQ7_Quote</v>
      </c>
      <c r="F47" s="141" t="str">
        <f>_xll.qlSimpleQuote(E47,,PriceTickValue,Permanent,Trigger,ObjectOverwrite)</f>
        <v>USDIMMFRA6MQ7_Quote#0002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USDIMMFRA6MU7_Quote</v>
      </c>
      <c r="F48" s="141" t="str">
        <f>_xll.qlSimpleQuote(E48,,PriceTickValue,Permanent,Trigger,ObjectOverwrite)</f>
        <v>USDIMMFRA6MU7_Quote#0002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USDIMMFRA6MV7_Quote</v>
      </c>
      <c r="F49" s="141" t="str">
        <f>_xll.qlSimpleQuote(E49,,PriceTickValue,Permanent,Trigger,ObjectOverwrite)</f>
        <v>USDIMMFRA6MV7_Quote#0002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USDIMMFRA6MX7_Quote</v>
      </c>
      <c r="F50" s="141" t="str">
        <f>_xll.qlSimpleQuote(E50,,PriceTickValue,Permanent,Trigger,ObjectOverwrite)</f>
        <v>USDIMMFRA6MX7_Quote#0002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USDIMMFRA6MZ7_Quote</v>
      </c>
      <c r="F51" s="141" t="str">
        <f>_xll.qlSimpleQuote(E51,,PriceTickValue,Permanent,Trigger,ObjectOverwrite)</f>
        <v>USDIMMFRA6MZ7_Quote#0002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USDIMMFRA6MF8_Quote</v>
      </c>
      <c r="F52" s="141" t="str">
        <f>_xll.qlSimpleQuote(E52,,PriceTickValue,Permanent,Trigger,ObjectOverwrite)</f>
        <v>USDIMMFRA6MF8_Quote#0002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USDIMMFRA6MG8_Quote</v>
      </c>
      <c r="F53" s="141" t="str">
        <f>_xll.qlSimpleQuote(E53,,PriceTickValue,Permanent,Trigger,ObjectOverwrite)</f>
        <v>USDIMMFRA6MG8_Quote#0002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USDIMMFRA6MH8_Quote</v>
      </c>
      <c r="F54" s="141" t="str">
        <f>_xll.qlSimpleQuote(E54,,PriceTickValue,Permanent,Trigger,ObjectOverwrite)</f>
        <v>USDIMMFRA6MH8_Quote#0002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USDIMMFRA6MJ8_Quote</v>
      </c>
      <c r="F55" s="141" t="str">
        <f>_xll.qlSimpleQuote(E55,,PriceTickValue,Permanent,Trigger,ObjectOverwrite)</f>
        <v>USDIMMFRA6MJ8_Quote#0002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USDIMMFRA6MK8_Quote</v>
      </c>
      <c r="F56" s="141" t="str">
        <f>_xll.qlSimpleQuote(E56,,PriceTickValue,Permanent,Trigger,ObjectOverwrite)</f>
        <v>USDIMMFRA6MK8_Quote#0002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USDIMMFRA6MM8_Quote</v>
      </c>
      <c r="F57" s="141" t="str">
        <f>_xll.qlSimpleQuote(E57,,PriceTickValue,Permanent,Trigger,ObjectOverwrite)</f>
        <v>USDIMMFRA6MM8_Quote#0002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USDIMMFRA6MN8_Quote</v>
      </c>
      <c r="F58" s="141" t="str">
        <f>_xll.qlSimpleQuote(E58,,PriceTickValue,Permanent,Trigger,ObjectOverwrite)</f>
        <v>USDIMMFRA6MN8_Quote#0002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USDIMMFRA6MQ8_Quote</v>
      </c>
      <c r="F59" s="141" t="str">
        <f>_xll.qlSimpleQuote(E59,,PriceTickValue,Permanent,Trigger,ObjectOverwrite)</f>
        <v>USDIMMFRA6MQ8_Quote#0002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USDIMMFRA6MU8_Quote</v>
      </c>
      <c r="F60" s="141" t="str">
        <f>_xll.qlSimpleQuote(E60,,PriceTickValue,Permanent,Trigger,ObjectOverwrite)</f>
        <v>USDIMMFRA6MU8_Quote#0002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USDIMMFRA6MV8_Quote</v>
      </c>
      <c r="F61" s="141" t="str">
        <f>_xll.qlSimpleQuote(E61,,PriceTickValue,Permanent,Trigger,ObjectOverwrite)</f>
        <v>USDIMMFRA6MV8_Quote#0002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USDIMMFRA6MX8_Quote</v>
      </c>
      <c r="F62" s="141" t="str">
        <f>_xll.qlSimpleQuote(E62,,PriceTickValue,Permanent,Trigger,ObjectOverwrite)</f>
        <v>USDIMMFRA6MX8_Quote#0002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USDIMMFRA6MZ8_Quote</v>
      </c>
      <c r="F63" s="141" t="str">
        <f>_xll.qlSimpleQuote(E63,,PriceTickValue,Permanent,Trigger,ObjectOverwrite)</f>
        <v>USDIMMFRA6MZ8_Quote#0002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USDIMMFRA6MF9_Quote</v>
      </c>
      <c r="F64" s="141" t="str">
        <f>_xll.qlSimpleQuote(E64,,PriceTickValue,Permanent,Trigger,ObjectOverwrite)</f>
        <v>USDIMMFRA6MF9_Quote#0002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USDIMMFRA6MG9_Quote</v>
      </c>
      <c r="F65" s="141" t="str">
        <f>_xll.qlSimpleQuote(E65,,PriceTickValue,Permanent,Trigger,ObjectOverwrite)</f>
        <v>USDIMMFRA6MG9_Quote#0002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USDIMMFRA6MH9_Quote</v>
      </c>
      <c r="F66" s="141" t="str">
        <f>_xll.qlSimpleQuote(E66,,PriceTickValue,Permanent,Trigger,ObjectOverwrite)</f>
        <v>USDIMMFRA6MH9_Quote#0002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USDIMMFRA6MJ9_Quote</v>
      </c>
      <c r="F67" s="141" t="str">
        <f>_xll.qlSimpleQuote(E67,,PriceTickValue,Permanent,Trigger,ObjectOverwrite)</f>
        <v>USDIMMFRA6MJ9_Quote#0002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USDIMMFRA6MK9_Quote</v>
      </c>
      <c r="F68" s="141" t="str">
        <f>_xll.qlSimpleQuote(E68,,PriceTickValue,Permanent,Trigger,ObjectOverwrite)</f>
        <v>USDIMMFRA6MK9_Quote#0002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USDIMMFRA6MM9_Quote</v>
      </c>
      <c r="F69" s="141" t="str">
        <f>_xll.qlSimpleQuote(E69,,PriceTickValue,Permanent,Trigger,ObjectOverwrite)</f>
        <v>USDIMMFRA6MM9_Quote#0002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USDIMMFRA6MN9_Quote</v>
      </c>
      <c r="F70" s="141" t="str">
        <f>_xll.qlSimpleQuote(E70,,PriceTickValue,Permanent,Trigger,ObjectOverwrite)</f>
        <v>USDIMMFRA6MN9_Quote#0002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USDIMMFRA6MQ9_Quote</v>
      </c>
      <c r="F71" s="141" t="str">
        <f>_xll.qlSimpleQuote(E71,,PriceTickValue,Permanent,Trigger,ObjectOverwrite)</f>
        <v>USDIMMFRA6MQ9_Quote#0002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USDIMMFRA6MU9_Quote</v>
      </c>
      <c r="F72" s="141" t="str">
        <f>_xll.qlSimpleQuote(E72,,PriceTickValue,Permanent,Trigger,ObjectOverwrite)</f>
        <v>USDIMMFRA6MU9_Quote#0002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USDIMMFRA6MV9_Quote</v>
      </c>
      <c r="F73" s="141" t="str">
        <f>_xll.qlSimpleQuote(E73,,PriceTickValue,Permanent,Trigger,ObjectOverwrite)</f>
        <v>USDIMMFRA6MV9_Quote#0002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USDIMMFRA6MX9_Quote</v>
      </c>
      <c r="F74" s="141" t="str">
        <f>_xll.qlSimpleQuote(E74,,PriceTickValue,Permanent,Trigger,ObjectOverwrite)</f>
        <v>USDIMMFRA6MX9_Quote#0002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USDIMMFRA6MZ9_Quote</v>
      </c>
      <c r="F75" s="141" t="str">
        <f>_xll.qlSimpleQuote(E75,,PriceTickValue,Permanent,Trigger,ObjectOverwrite)</f>
        <v>USDIMMFRA6MZ9_Quote#0002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USDIMMFRA6MF0_Quote</v>
      </c>
      <c r="F76" s="141" t="str">
        <f>_xll.qlSimpleQuote(E76,,PriceTickValue,Permanent,Trigger,ObjectOverwrite)</f>
        <v>USDIMMFRA6MF0_Quote#0002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USDIMMFRA6MG0_Quote</v>
      </c>
      <c r="F77" s="141" t="str">
        <f>_xll.qlSimpleQuote(E77,,PriceTickValue,Permanent,Trigger,ObjectOverwrite)</f>
        <v>USDIMMFRA6MG0_Quote#0002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USDIMMFRA6MH0_Quote</v>
      </c>
      <c r="F78" s="141" t="str">
        <f>_xll.qlSimpleQuote(E78,,PriceTickValue,Permanent,Trigger,ObjectOverwrite)</f>
        <v>USDIMMFRA6MH0_Quote#0002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USDIMMFRA6MJ0_Quote</v>
      </c>
      <c r="F79" s="141" t="str">
        <f>_xll.qlSimpleQuote(E79,,PriceTickValue,Permanent,Trigger,ObjectOverwrite)</f>
        <v>USDIMMFRA6MJ0_Quote#0002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USDIMMFRA6MK0_Quote</v>
      </c>
      <c r="F80" s="141" t="str">
        <f>_xll.qlSimpleQuote(E80,,PriceTickValue,Permanent,Trigger,ObjectOverwrite)</f>
        <v>USDIMMFRA6MK0_Quote#0002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USDIMMFRA6MM0_Quote</v>
      </c>
      <c r="F81" s="141" t="str">
        <f>_xll.qlSimpleQuote(E81,,PriceTickValue,Permanent,Trigger,ObjectOverwrite)</f>
        <v>USDIMMFRA6MM0_Quote#0002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USDIMMFRA6MN0_Quote</v>
      </c>
      <c r="F82" s="141" t="str">
        <f>_xll.qlSimpleQuote(E82,,PriceTickValue,Permanent,Trigger,ObjectOverwrite)</f>
        <v>USDIMMFRA6MN0_Quote#0002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USDIMMFRA6MQ0_Quote</v>
      </c>
      <c r="F83" s="141" t="str">
        <f>_xll.qlSimpleQuote(E83,,PriceTickValue,Permanent,Trigger,ObjectOverwrite)</f>
        <v>USDIMMFRA6MQ0_Quote#0002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USDIMMFRA6MU0_Quote</v>
      </c>
      <c r="F84" s="141" t="str">
        <f>_xll.qlSimpleQuote(E84,,PriceTickValue,Permanent,Trigger,ObjectOverwrite)</f>
        <v>USDIMMFRA6MU0_Quote#0002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USDIMMFRA6MV0_Quote</v>
      </c>
      <c r="F85" s="141" t="str">
        <f>_xll.qlSimpleQuote(E85,,PriceTickValue,Permanent,Trigger,ObjectOverwrite)</f>
        <v>USDIMMFRA6MV0_Quote#0002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USDIMMFRA6MX0_Quote</v>
      </c>
      <c r="F86" s="141" t="str">
        <f>_xll.qlSimpleQuote(E86,,PriceTickValue,Permanent,Trigger,ObjectOverwrite)</f>
        <v>USDIMMFRA6MX0_Quote#0002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USDIMMFRA6MZ0_Quote</v>
      </c>
      <c r="F87" s="141" t="str">
        <f>_xll.qlSimpleQuote(E87,,PriceTickValue,Permanent,Trigger,ObjectOverwrite)</f>
        <v>USDIMMFRA6MZ0_Quote#0002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USDIMMFRA6MF1_Quote</v>
      </c>
      <c r="F88" s="141" t="str">
        <f>_xll.qlSimpleQuote(E88,,PriceTickValue,Permanent,Trigger,ObjectOverwrite)</f>
        <v>USDIMMFRA6MF1_Quote#0002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USDIMMFRA6MG1_Quote</v>
      </c>
      <c r="F89" s="141" t="str">
        <f>_xll.qlSimpleQuote(E89,,PriceTickValue,Permanent,Trigger,ObjectOverwrite)</f>
        <v>USDIMMFRA6MG1_Quote#0002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USDIMMFRA6MH1_Quote</v>
      </c>
      <c r="F90" s="141" t="str">
        <f>_xll.qlSimpleQuote(E90,,PriceTickValue,Permanent,Trigger,ObjectOverwrite)</f>
        <v>USDIMMFRA6MH1_Quote#0002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USDIMMFRA6MJ1_Quote</v>
      </c>
      <c r="F91" s="141" t="str">
        <f>_xll.qlSimpleQuote(E91,,PriceTickValue,Permanent,Trigger,ObjectOverwrite)</f>
        <v>USDIMMFRA6MJ1_Quote#0002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USDIMMFRA6MK1_Quote</v>
      </c>
      <c r="F92" s="141" t="str">
        <f>_xll.qlSimpleQuote(E92,,PriceTickValue,Permanent,Trigger,ObjectOverwrite)</f>
        <v>USDIMMFRA6MK1_Quote#0002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USDIMMFRA6MM1_Quote</v>
      </c>
      <c r="F93" s="141" t="str">
        <f>_xll.qlSimpleQuote(E93,,PriceTickValue,Permanent,Trigger,ObjectOverwrite)</f>
        <v>USDIMMFRA6MM1_Quote#0002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USDIMMFRA6MN1_Quote</v>
      </c>
      <c r="F94" s="141" t="str">
        <f>_xll.qlSimpleQuote(E94,,PriceTickValue,Permanent,Trigger,ObjectOverwrite)</f>
        <v>USDIMMFRA6MN1_Quote#0002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USDIMMFRA6MQ1_Quote</v>
      </c>
      <c r="F95" s="141" t="str">
        <f>_xll.qlSimpleQuote(E95,,PriceTickValue,Permanent,Trigger,ObjectOverwrite)</f>
        <v>USDIMMFRA6MQ1_Quote#0002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USDIMMFRA6MU1_Quote</v>
      </c>
      <c r="F96" s="141" t="str">
        <f>_xll.qlSimpleQuote(E96,,PriceTickValue,Permanent,Trigger,ObjectOverwrite)</f>
        <v>USDIMMFRA6MU1_Quote#0002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USDIMMFRA6MV1_Quote</v>
      </c>
      <c r="F97" s="141" t="str">
        <f>_xll.qlSimpleQuote(E97,,PriceTickValue,Permanent,Trigger,ObjectOverwrite)</f>
        <v>USDIMMFRA6MV1_Quote#0002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USDIMMFRA6MX1_Quote</v>
      </c>
      <c r="F98" s="141" t="str">
        <f>_xll.qlSimpleQuote(E98,,PriceTickValue,Permanent,Trigger,ObjectOverwrite)</f>
        <v>USDIMMFRA6MX1_Quote#0002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USDIMMFRA6MZ1_Quote</v>
      </c>
      <c r="F99" s="141" t="str">
        <f>_xll.qlSimpleQuote(E99,,PriceTickValue,Permanent,Trigger,ObjectOverwrite)</f>
        <v>USDIMMFRA6MZ1_Quote#0002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USDIMMFRA6MF2_Quote</v>
      </c>
      <c r="F100" s="141" t="str">
        <f>_xll.qlSimpleQuote(E100,,PriceTickValue,Permanent,Trigger,ObjectOverwrite)</f>
        <v>USDIMMFRA6MF2_Quote#0002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USDIMMFRA6MG2_Quote</v>
      </c>
      <c r="F101" s="141" t="str">
        <f>_xll.qlSimpleQuote(E101,,PriceTickValue,Permanent,Trigger,ObjectOverwrite)</f>
        <v>USDIMMFRA6MG2_Quote#0002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USDIMMFRA6MH2_Quote</v>
      </c>
      <c r="F102" s="141" t="str">
        <f>_xll.qlSimpleQuote(E102,,PriceTickValue,Permanent,Trigger,ObjectOverwrite)</f>
        <v>USDIMMFRA6MH2_Quote#0002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USDIMMFRA6MJ2_Quote</v>
      </c>
      <c r="F103" s="141" t="str">
        <f>_xll.qlSimpleQuote(E103,,PriceTickValue,Permanent,Trigger,ObjectOverwrite)</f>
        <v>USDIMMFRA6MJ2_Quote#0002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USDIMMFRA6MK2_Quote</v>
      </c>
      <c r="F104" s="141" t="str">
        <f>_xll.qlSimpleQuote(E104,,PriceTickValue,Permanent,Trigger,ObjectOverwrite)</f>
        <v>USDIMMFRA6MK2_Quote#0002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USDIMMFRA6MM2_Quote</v>
      </c>
      <c r="F105" s="141" t="str">
        <f>_xll.qlSimpleQuote(E105,,PriceTickValue,Permanent,Trigger,ObjectOverwrite)</f>
        <v>USDIMMFRA6MM2_Quote#0002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USDIMMFRA6MN2_Quote</v>
      </c>
      <c r="F106" s="141" t="str">
        <f>_xll.qlSimpleQuote(E106,,PriceTickValue,Permanent,Trigger,ObjectOverwrite)</f>
        <v>USDIMMFRA6MN2_Quote#0002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USDIMMFRA6MQ2_Quote</v>
      </c>
      <c r="F107" s="141" t="str">
        <f>_xll.qlSimpleQuote(E107,,PriceTickValue,Permanent,Trigger,ObjectOverwrite)</f>
        <v>USDIMMFRA6MQ2_Quote#0002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USDIMMFRA6MU2_Quote</v>
      </c>
      <c r="F108" s="141" t="str">
        <f>_xll.qlSimpleQuote(E108,,PriceTickValue,Permanent,Trigger,ObjectOverwrite)</f>
        <v>USDIMMFRA6MU2_Quote#0002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USDIMMFRA6MV2_Quote</v>
      </c>
      <c r="F109" s="141" t="str">
        <f>_xll.qlSimpleQuote(E109,,PriceTickValue,Permanent,Trigger,ObjectOverwrite)</f>
        <v>USDIMMFRA6MV2_Quote#0002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USDIMMFRA6MX2_Quote</v>
      </c>
      <c r="F110" s="141" t="str">
        <f>_xll.qlSimpleQuote(E110,,PriceTickValue,Permanent,Trigger,ObjectOverwrite)</f>
        <v>USDIMMFRA6MX2_Quote#0002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USDIMMFRA6MZ2_Quote</v>
      </c>
      <c r="F111" s="141" t="str">
        <f>_xll.qlSimpleQuote(E111,,PriceTickValue,Permanent,Trigger,ObjectOverwrite)</f>
        <v>USDIMMFRA6MZ2_Quote#0002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USDIMMFRA6MF3_Quote</v>
      </c>
      <c r="F112" s="141" t="str">
        <f>_xll.qlSimpleQuote(E112,,PriceTickValue,Permanent,Trigger,ObjectOverwrite)</f>
        <v>USDIMMFRA6MF3_Quote#0002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USDIMMFRA6MG3_Quote</v>
      </c>
      <c r="F113" s="141" t="str">
        <f>_xll.qlSimpleQuote(E113,,PriceTickValue,Permanent,Trigger,ObjectOverwrite)</f>
        <v>USDIMMFRA6MG3_Quote#0002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USDIMMFRA6MH3_Quote</v>
      </c>
      <c r="F114" s="141" t="str">
        <f>_xll.qlSimpleQuote(E114,,PriceTickValue,Permanent,Trigger,ObjectOverwrite)</f>
        <v>USDIMMFRA6MH3_Quote#0002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USDIMMFRA6MJ3_Quote</v>
      </c>
      <c r="F115" s="141" t="str">
        <f>_xll.qlSimpleQuote(E115,,PriceTickValue,Permanent,Trigger,ObjectOverwrite)</f>
        <v>USDIMMFRA6MJ3_Quote#0002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USDIMMFRA6MK3_Quote</v>
      </c>
      <c r="F116" s="141" t="str">
        <f>_xll.qlSimpleQuote(E116,,PriceTickValue,Permanent,Trigger,ObjectOverwrite)</f>
        <v>USDIMMFRA6MK3_Quote#0002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USDIMMFRA6MM3_Quote</v>
      </c>
      <c r="F117" s="141" t="str">
        <f>_xll.qlSimpleQuote(E117,,PriceTickValue,Permanent,Trigger,ObjectOverwrite)</f>
        <v>USDIMMFRA6MM3_Quote#0002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USDIMMFRA6MN3_Quote</v>
      </c>
      <c r="F118" s="141" t="str">
        <f>_xll.qlSimpleQuote(E118,,PriceTickValue,Permanent,Trigger,ObjectOverwrite)</f>
        <v>USDIMMFRA6MN3_Quote#0002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USDIMMFRA6MQ3_Quote</v>
      </c>
      <c r="F119" s="141" t="str">
        <f>_xll.qlSimpleQuote(E119,,PriceTickValue,Permanent,Trigger,ObjectOverwrite)</f>
        <v>USDIMMFRA6MQ3_Quote#0002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USDIMMFRA6MU3_Quote</v>
      </c>
      <c r="F120" s="141" t="str">
        <f>_xll.qlSimpleQuote(E120,,PriceTickValue,Permanent,Trigger,ObjectOverwrite)</f>
        <v>USDIMMFRA6MU3_Quote#0002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USDIMMFRA6MV3_Quote</v>
      </c>
      <c r="F121" s="141" t="str">
        <f>_xll.qlSimpleQuote(E121,,PriceTickValue,Permanent,Trigger,ObjectOverwrite)</f>
        <v>USDIMMFRA6MV3_Quote#0002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USDIMMFRA6MX3_Quote</v>
      </c>
      <c r="F122" s="141" t="str">
        <f>_xll.qlSimpleQuote(E122,,PriceTickValue,Permanent,Trigger,ObjectOverwrite)</f>
        <v>USDIMMFRA6MX3_Quote#0002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4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3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3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8">
        <f>_xll.ohTrigger(R5:R9)</f>
        <v>5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3"/>
      <c r="H4" s="359" t="e">
        <f ca="1">_xll.RData(H5,I4,"RTFEED:IDN",ReutersRtMode,,I5)</f>
        <v>#NAME?</v>
      </c>
      <c r="I4" s="391" t="s">
        <v>233</v>
      </c>
      <c r="J4" s="380"/>
      <c r="K4" s="532" t="s">
        <v>287</v>
      </c>
      <c r="L4" s="533"/>
      <c r="M4" s="380"/>
      <c r="N4" s="296" t="s">
        <v>263</v>
      </c>
      <c r="O4" s="378"/>
      <c r="P4" s="359" t="s">
        <v>262</v>
      </c>
      <c r="Q4" s="334" t="s">
        <v>261</v>
      </c>
      <c r="R4" s="297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USDHW_Volatility_Quote#0004</v>
      </c>
      <c r="D5" s="104" t="str">
        <f>_xll.ohRangeRetrieveError(C5)</f>
        <v/>
      </c>
      <c r="E5" s="161"/>
      <c r="G5" s="303"/>
      <c r="H5" s="390" t="str">
        <f>VLOOKUP(Currency,$U$5:$W$9,2)&amp;V3&amp;VLOOKUP(Currency,$U$5:$W$9,3)&amp;"ATM="&amp;VLOOKUP(Contributor,ContributorTable,2,FALSE)</f>
        <v>US4Y3LATM=ICAP</v>
      </c>
      <c r="I5" s="389">
        <v>66.400000000000006</v>
      </c>
      <c r="J5" s="380"/>
      <c r="K5" s="388" t="s">
        <v>286</v>
      </c>
      <c r="L5" s="384">
        <f>I5/100*IF(ISNUMBER(Swap3M4Y),Swap3M4Y/100,Swap6M4Y/100)*0</f>
        <v>0</v>
      </c>
      <c r="M5" s="380"/>
      <c r="N5" s="387">
        <v>0</v>
      </c>
      <c r="O5" s="378"/>
      <c r="P5" s="386" t="str">
        <f>Currency&amp;"HW_Volatility_Quote"</f>
        <v>USDHW_Volatility_Quote</v>
      </c>
      <c r="Q5" s="385">
        <f t="array" ref="Q5:Q6">QuoteLive</f>
        <v>0</v>
      </c>
      <c r="R5" s="384">
        <f>_xll.qlSimpleQuoteSetValue(P5,Q5,Trigger)</f>
        <v>0</v>
      </c>
      <c r="S5" s="47"/>
      <c r="T5" s="21"/>
      <c r="U5" s="87" t="s">
        <v>132</v>
      </c>
      <c r="V5" s="248" t="s">
        <v>285</v>
      </c>
      <c r="W5" s="383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USDHW_MeanReversion_Quote#0004</v>
      </c>
      <c r="D6" s="104" t="str">
        <f>_xll.ohRangeRetrieveError(C6)</f>
        <v/>
      </c>
      <c r="E6" s="161"/>
      <c r="G6" s="303"/>
      <c r="H6" s="377"/>
      <c r="I6" s="382"/>
      <c r="J6" s="380"/>
      <c r="K6" s="381" t="s">
        <v>284</v>
      </c>
      <c r="L6" s="375">
        <v>0.03</v>
      </c>
      <c r="M6" s="380"/>
      <c r="N6" s="379">
        <v>0.03</v>
      </c>
      <c r="O6" s="378"/>
      <c r="P6" s="377" t="str">
        <f>Currency&amp;"HW_MeanReversion_Quote"</f>
        <v>USDHW_MeanReversion_Quote</v>
      </c>
      <c r="Q6" s="376">
        <v>0.03</v>
      </c>
      <c r="R6" s="375">
        <f>_xll.qlSimpleQuoteSetValue(P6,Q6,Trigger)</f>
        <v>0</v>
      </c>
      <c r="S6" s="47"/>
      <c r="T6" s="21"/>
      <c r="U6" s="84" t="s">
        <v>131</v>
      </c>
      <c r="V6" s="374" t="s">
        <v>283</v>
      </c>
      <c r="W6" s="373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4" t="s">
        <v>282</v>
      </c>
      <c r="W7" s="373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4" t="s">
        <v>281</v>
      </c>
      <c r="W8" s="373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72" t="s">
        <v>280</v>
      </c>
      <c r="W9" s="371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20" width="9.140625" style="165"/>
    <col min="21" max="21" width="2.7109375" style="165" customWidth="1"/>
    <col min="22" max="22" width="9.140625" style="165"/>
    <col min="23" max="23" width="2.7109375" style="165" customWidth="1"/>
    <col min="24" max="26" width="9.140625" style="165"/>
    <col min="27" max="27" width="2.7109375" style="165" customWidth="1"/>
    <col min="28" max="16384" width="9.140625" style="165"/>
  </cols>
  <sheetData>
    <row r="1" spans="1:27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7" ht="14.25" thickBot="1" x14ac:dyDescent="0.3">
      <c r="J2" s="303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6" t="s">
        <v>265</v>
      </c>
      <c r="Y2" s="143" t="s">
        <v>142</v>
      </c>
      <c r="Z2" s="136"/>
      <c r="AA2" s="47"/>
    </row>
    <row r="3" spans="1:27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 t="e">
        <f>_xll.ohTrigger(Z5:Z24)</f>
        <v>#NUM!</v>
      </c>
      <c r="AA3" s="220"/>
    </row>
    <row r="4" spans="1:27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10"/>
      <c r="L4" s="134"/>
      <c r="M4" s="134"/>
      <c r="N4" s="134"/>
      <c r="O4" s="369" t="e">
        <f ca="1">_xll.RData(O5:O58,P4:S4,"RTFEED:IDN",ReutersRtMode,,P5)</f>
        <v>#NAME?</v>
      </c>
      <c r="P4" s="365" t="s">
        <v>233</v>
      </c>
      <c r="Q4" s="365" t="s">
        <v>232</v>
      </c>
      <c r="R4" s="365" t="s">
        <v>250</v>
      </c>
      <c r="S4" s="365" t="s">
        <v>269</v>
      </c>
      <c r="T4" s="368" t="s">
        <v>290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</row>
    <row r="5" spans="1:27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9" t="s">
        <v>43</v>
      </c>
      <c r="L5" s="331"/>
      <c r="M5" s="331" t="s">
        <v>186</v>
      </c>
      <c r="N5" s="329" t="str">
        <f t="shared" ref="N5:N36" si="1">Currency&amp;$K5&amp;$L5&amp;$M5</f>
        <v>USDSWOIS</v>
      </c>
      <c r="O5" s="329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7">
        <f>_xll.qlMidEquivalent($P5,$Q5,$R5,$S5)</f>
        <v>0.09</v>
      </c>
      <c r="U5" s="266"/>
      <c r="V5" s="286">
        <v>0.09</v>
      </c>
      <c r="W5" s="266"/>
      <c r="X5" s="322" t="str">
        <f t="shared" ref="X5:X36" si="2">Currency&amp;$M5&amp;$L5&amp;$K5&amp;$Y$2</f>
        <v>USDOISSW_Quote</v>
      </c>
      <c r="Y5" s="284">
        <f t="array" ref="Y5:Y58">QuoteLive</f>
        <v>0.09</v>
      </c>
      <c r="Z5" s="283" t="e">
        <f>_xll.qlSimpleQuoteSetValue($X5,$Y5/100,Trigger)</f>
        <v>#N/A</v>
      </c>
      <c r="AA5" s="220"/>
    </row>
    <row r="6" spans="1:27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6"/>
      <c r="M6" s="326" t="s">
        <v>186</v>
      </c>
      <c r="N6" s="324" t="str">
        <f t="shared" si="1"/>
        <v>USD2WOIS</v>
      </c>
      <c r="O6" s="324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22" t="str">
        <f t="shared" si="2"/>
        <v>USDOIS2W_Quote</v>
      </c>
      <c r="Y6" s="264">
        <v>8.5999999999999993E-2</v>
      </c>
      <c r="Z6" s="263" t="e">
        <f>_xll.qlSimpleQuoteSetValue($X6,$Y6/100,Trigger)</f>
        <v>#N/A</v>
      </c>
      <c r="AA6" s="220"/>
    </row>
    <row r="7" spans="1:27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6"/>
      <c r="M7" s="326" t="s">
        <v>186</v>
      </c>
      <c r="N7" s="324" t="str">
        <f t="shared" si="1"/>
        <v>USD3WOIS</v>
      </c>
      <c r="O7" s="324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22" t="str">
        <f t="shared" si="2"/>
        <v>USDOIS3W_Quote</v>
      </c>
      <c r="Y7" s="264">
        <v>8.5000000000000006E-2</v>
      </c>
      <c r="Z7" s="263" t="e">
        <f>_xll.qlSimpleQuoteSetValue($X7,$Y7/100,Trigger)</f>
        <v>#N/A</v>
      </c>
      <c r="AA7" s="220"/>
    </row>
    <row r="8" spans="1:27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6"/>
      <c r="M8" s="326" t="s">
        <v>186</v>
      </c>
      <c r="N8" s="324" t="str">
        <f t="shared" si="1"/>
        <v>USD1MOIS</v>
      </c>
      <c r="O8" s="324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22" t="str">
        <f t="shared" si="2"/>
        <v>USDOIS1M_Quote</v>
      </c>
      <c r="Y8" s="264">
        <v>8.4000000000000005E-2</v>
      </c>
      <c r="Z8" s="263" t="e">
        <f>_xll.qlSimpleQuoteSetValue($X8,$Y8/100,Trigger)</f>
        <v>#N/A</v>
      </c>
      <c r="AA8" s="220"/>
    </row>
    <row r="9" spans="1:27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6"/>
      <c r="M9" s="326" t="s">
        <v>186</v>
      </c>
      <c r="N9" s="324" t="str">
        <f t="shared" si="1"/>
        <v>USD2MOIS</v>
      </c>
      <c r="O9" s="324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22" t="str">
        <f t="shared" si="2"/>
        <v>USDOIS2M_Quote</v>
      </c>
      <c r="Y9" s="264">
        <v>8.4000000000000005E-2</v>
      </c>
      <c r="Z9" s="263" t="e">
        <f>_xll.qlSimpleQuoteSetValue($X9,$Y9/100,Trigger)</f>
        <v>#N/A</v>
      </c>
      <c r="AA9" s="220"/>
    </row>
    <row r="10" spans="1:27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6"/>
      <c r="M10" s="326" t="s">
        <v>186</v>
      </c>
      <c r="N10" s="324" t="str">
        <f t="shared" si="1"/>
        <v>USD3MOIS</v>
      </c>
      <c r="O10" s="324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22" t="str">
        <f t="shared" si="2"/>
        <v>USDOIS3M_Quote</v>
      </c>
      <c r="Y10" s="264">
        <v>8.4000000000000005E-2</v>
      </c>
      <c r="Z10" s="263" t="e">
        <f>_xll.qlSimpleQuoteSetValue($X10,$Y10/100,Trigger)</f>
        <v>#N/A</v>
      </c>
      <c r="AA10" s="220"/>
    </row>
    <row r="11" spans="1:27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6"/>
      <c r="M11" s="326" t="s">
        <v>186</v>
      </c>
      <c r="N11" s="324" t="str">
        <f t="shared" si="1"/>
        <v>USD4MOIS</v>
      </c>
      <c r="O11" s="324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22" t="str">
        <f t="shared" si="2"/>
        <v>USDOIS4M_Quote</v>
      </c>
      <c r="Y11" s="264">
        <v>8.7999999999999995E-2</v>
      </c>
      <c r="Z11" s="263" t="e">
        <f>_xll.qlSimpleQuoteSetValue($X11,$Y11/100,Trigger)</f>
        <v>#N/A</v>
      </c>
      <c r="AA11" s="220"/>
    </row>
    <row r="12" spans="1:27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6"/>
      <c r="M12" s="326" t="s">
        <v>186</v>
      </c>
      <c r="N12" s="324" t="str">
        <f t="shared" si="1"/>
        <v>USD5MOIS</v>
      </c>
      <c r="O12" s="324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22" t="str">
        <f t="shared" si="2"/>
        <v>USDOIS5M_Quote</v>
      </c>
      <c r="Y12" s="264">
        <v>0.09</v>
      </c>
      <c r="Z12" s="263" t="e">
        <f>_xll.qlSimpleQuoteSetValue($X12,$Y12/100,Trigger)</f>
        <v>#N/A</v>
      </c>
      <c r="AA12" s="220"/>
    </row>
    <row r="13" spans="1:27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6"/>
      <c r="M13" s="326" t="s">
        <v>186</v>
      </c>
      <c r="N13" s="324" t="str">
        <f t="shared" si="1"/>
        <v>USD6MOIS</v>
      </c>
      <c r="O13" s="324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22" t="str">
        <f t="shared" si="2"/>
        <v>USDOIS6M_Quote</v>
      </c>
      <c r="Y13" s="264">
        <v>9.2999999999999999E-2</v>
      </c>
      <c r="Z13" s="263" t="e">
        <f>_xll.qlSimpleQuoteSetValue($X13,$Y13/100,Trigger)</f>
        <v>#N/A</v>
      </c>
      <c r="AA13" s="220"/>
    </row>
    <row r="14" spans="1:27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6"/>
      <c r="M14" s="326" t="s">
        <v>186</v>
      </c>
      <c r="N14" s="324" t="str">
        <f t="shared" si="1"/>
        <v>USD7MOIS</v>
      </c>
      <c r="O14" s="324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22" t="str">
        <f t="shared" si="2"/>
        <v>USDOIS7M_Quote</v>
      </c>
      <c r="Y14" s="264">
        <v>9.7000000000000003E-2</v>
      </c>
      <c r="Z14" s="263" t="e">
        <f>_xll.qlSimpleQuoteSetValue($X14,$Y14/100,Trigger)</f>
        <v>#N/A</v>
      </c>
      <c r="AA14" s="220"/>
    </row>
    <row r="15" spans="1:27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6"/>
      <c r="M15" s="326" t="s">
        <v>186</v>
      </c>
      <c r="N15" s="324" t="str">
        <f t="shared" si="1"/>
        <v>USD8MOIS</v>
      </c>
      <c r="O15" s="324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22" t="str">
        <f t="shared" si="2"/>
        <v>USDOIS8M_Quote</v>
      </c>
      <c r="Y15" s="264">
        <v>0.1</v>
      </c>
      <c r="Z15" s="263" t="e">
        <f>_xll.qlSimpleQuoteSetValue($X15,$Y15/100,Trigger)</f>
        <v>#N/A</v>
      </c>
      <c r="AA15" s="220"/>
    </row>
    <row r="16" spans="1:27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6"/>
      <c r="M16" s="326" t="s">
        <v>186</v>
      </c>
      <c r="N16" s="324" t="str">
        <f t="shared" si="1"/>
        <v>USD9MOIS</v>
      </c>
      <c r="O16" s="324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22" t="str">
        <f t="shared" si="2"/>
        <v>USDOIS9M_Quote</v>
      </c>
      <c r="Y16" s="264">
        <v>0.105</v>
      </c>
      <c r="Z16" s="263" t="e">
        <f>_xll.qlSimpleQuoteSetValue($X16,$Y16/100,Trigger)</f>
        <v>#N/A</v>
      </c>
      <c r="AA16" s="220"/>
    </row>
    <row r="17" spans="1:27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6"/>
      <c r="M17" s="326" t="s">
        <v>186</v>
      </c>
      <c r="N17" s="324" t="str">
        <f t="shared" si="1"/>
        <v>USD10MOIS</v>
      </c>
      <c r="O17" s="324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22" t="str">
        <f t="shared" si="2"/>
        <v>USDOIS10M_Quote</v>
      </c>
      <c r="Y17" s="264">
        <v>0.109</v>
      </c>
      <c r="Z17" s="263" t="e">
        <f>_xll.qlSimpleQuoteSetValue($X17,$Y17/100,Trigger)</f>
        <v>#N/A</v>
      </c>
      <c r="AA17" s="220"/>
    </row>
    <row r="18" spans="1:27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6"/>
      <c r="M18" s="326" t="s">
        <v>186</v>
      </c>
      <c r="N18" s="324" t="str">
        <f t="shared" si="1"/>
        <v>USD11MOIS</v>
      </c>
      <c r="O18" s="324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22" t="str">
        <f t="shared" si="2"/>
        <v>USDOIS11M_Quote</v>
      </c>
      <c r="Y18" s="264">
        <v>0.114</v>
      </c>
      <c r="Z18" s="263" t="e">
        <f>_xll.qlSimpleQuoteSetValue($X18,$Y18/100,Trigger)</f>
        <v>#N/A</v>
      </c>
      <c r="AA18" s="220"/>
    </row>
    <row r="19" spans="1:27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6"/>
      <c r="M19" s="326" t="s">
        <v>186</v>
      </c>
      <c r="N19" s="324" t="str">
        <f t="shared" si="1"/>
        <v>USD1YOIS</v>
      </c>
      <c r="O19" s="324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22" t="str">
        <f t="shared" si="2"/>
        <v>USDOIS1Y_Quote</v>
      </c>
      <c r="Y19" s="264">
        <v>0.11899999999999999</v>
      </c>
      <c r="Z19" s="263" t="e">
        <f>_xll.qlSimpleQuoteSetValue($X19,$Y19/100,Trigger)</f>
        <v>#N/A</v>
      </c>
      <c r="AA19" s="220"/>
    </row>
    <row r="20" spans="1:27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204</v>
      </c>
      <c r="L20" s="326"/>
      <c r="M20" s="326" t="s">
        <v>186</v>
      </c>
      <c r="N20" s="324" t="str">
        <f t="shared" si="1"/>
        <v>USD13MOIS</v>
      </c>
      <c r="O20" s="324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22" t="str">
        <f t="shared" si="2"/>
        <v>USDOIS13M_Quote</v>
      </c>
      <c r="Y20" s="264">
        <v>0.124</v>
      </c>
      <c r="Z20" s="263" t="e">
        <f>_xll.qlSimpleQuoteSetValue($X20,$Y20/100,Trigger)</f>
        <v>#N/A</v>
      </c>
      <c r="AA20" s="220"/>
    </row>
    <row r="21" spans="1:27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203</v>
      </c>
      <c r="L21" s="326"/>
      <c r="M21" s="326" t="s">
        <v>186</v>
      </c>
      <c r="N21" s="324" t="str">
        <f t="shared" si="1"/>
        <v>USD14MOIS</v>
      </c>
      <c r="O21" s="324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22" t="str">
        <f t="shared" si="2"/>
        <v>USDOIS14M_Quote</v>
      </c>
      <c r="Y21" s="264">
        <v>0.129</v>
      </c>
      <c r="Z21" s="263" t="e">
        <f>_xll.qlSimpleQuoteSetValue($X21,$Y21/100,Trigger)</f>
        <v>#N/A</v>
      </c>
      <c r="AA21" s="220"/>
    </row>
    <row r="22" spans="1:27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6"/>
      <c r="M22" s="326" t="s">
        <v>186</v>
      </c>
      <c r="N22" s="324" t="str">
        <f t="shared" si="1"/>
        <v>USD15MOIS</v>
      </c>
      <c r="O22" s="324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22" t="str">
        <f t="shared" si="2"/>
        <v>USDOIS15M_Quote</v>
      </c>
      <c r="Y22" s="264">
        <v>0.13600000000000001</v>
      </c>
      <c r="Z22" s="263" t="e">
        <f>_xll.qlSimpleQuoteSetValue($X22,$Y22/100,Trigger)</f>
        <v>#N/A</v>
      </c>
      <c r="AA22" s="220"/>
    </row>
    <row r="23" spans="1:27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202</v>
      </c>
      <c r="L23" s="326"/>
      <c r="M23" s="326" t="s">
        <v>186</v>
      </c>
      <c r="N23" s="324" t="str">
        <f t="shared" si="1"/>
        <v>USD16MOIS</v>
      </c>
      <c r="O23" s="324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22" t="str">
        <f t="shared" si="2"/>
        <v>USDOIS16M_Quote</v>
      </c>
      <c r="Y23" s="264">
        <v>0.14300000000000002</v>
      </c>
      <c r="Z23" s="263" t="e">
        <f>_xll.qlSimpleQuoteSetValue($X23,$Y23/100,Trigger)</f>
        <v>#N/A</v>
      </c>
      <c r="AA23" s="220"/>
    </row>
    <row r="24" spans="1:27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201</v>
      </c>
      <c r="L24" s="326"/>
      <c r="M24" s="326" t="s">
        <v>186</v>
      </c>
      <c r="N24" s="324" t="str">
        <f t="shared" si="1"/>
        <v>USD17MOIS</v>
      </c>
      <c r="O24" s="324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22" t="str">
        <f t="shared" si="2"/>
        <v>USDOIS17M_Quote</v>
      </c>
      <c r="Y24" s="264">
        <v>0.15000000000000002</v>
      </c>
      <c r="Z24" s="263" t="e">
        <f>_xll.qlSimpleQuoteSetValue($X24,$Y24/100,Trigger)</f>
        <v>#N/A</v>
      </c>
      <c r="AA24" s="220"/>
    </row>
    <row r="25" spans="1:27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6"/>
      <c r="M25" s="326" t="s">
        <v>186</v>
      </c>
      <c r="N25" s="324" t="str">
        <f t="shared" si="1"/>
        <v>USD18MOIS</v>
      </c>
      <c r="O25" s="324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22" t="str">
        <f t="shared" si="2"/>
        <v>USDOIS18M_Quote</v>
      </c>
      <c r="Y25" s="264">
        <v>0.15799999999999997</v>
      </c>
      <c r="Z25" s="263" t="e">
        <f>_xll.qlSimpleQuoteSetValue($X25,$Y25/100,Trigger)</f>
        <v>#N/A</v>
      </c>
      <c r="AA25" s="220"/>
    </row>
    <row r="26" spans="1:27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200</v>
      </c>
      <c r="L26" s="326"/>
      <c r="M26" s="326" t="s">
        <v>186</v>
      </c>
      <c r="N26" s="324" t="str">
        <f t="shared" si="1"/>
        <v>USD19MOIS</v>
      </c>
      <c r="O26" s="324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22" t="str">
        <f t="shared" si="2"/>
        <v>USDOIS19M_Quote</v>
      </c>
      <c r="Y26" s="264">
        <v>0.16699999999999998</v>
      </c>
      <c r="Z26" s="263" t="e">
        <f>_xll.qlSimpleQuoteSetValue($X26,$Y26/100,Trigger)</f>
        <v>#N/A</v>
      </c>
      <c r="AA26" s="220"/>
    </row>
    <row r="27" spans="1:27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199</v>
      </c>
      <c r="L27" s="326"/>
      <c r="M27" s="326" t="s">
        <v>186</v>
      </c>
      <c r="N27" s="324" t="str">
        <f t="shared" si="1"/>
        <v>USD20MOIS</v>
      </c>
      <c r="O27" s="324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22" t="str">
        <f t="shared" si="2"/>
        <v>USDOIS20M_Quote</v>
      </c>
      <c r="Y27" s="264">
        <v>0.17699999999999999</v>
      </c>
      <c r="Z27" s="263" t="e">
        <f>_xll.qlSimpleQuoteSetValue($X27,$Y27/100,Trigger)</f>
        <v>#N/A</v>
      </c>
      <c r="AA27" s="220"/>
    </row>
    <row r="28" spans="1:27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6"/>
      <c r="M28" s="326" t="s">
        <v>186</v>
      </c>
      <c r="N28" s="324" t="str">
        <f t="shared" si="1"/>
        <v>USD21MOIS</v>
      </c>
      <c r="O28" s="324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22" t="str">
        <f t="shared" si="2"/>
        <v>USDOIS21M_Quote</v>
      </c>
      <c r="Y28" s="264">
        <v>0.187</v>
      </c>
      <c r="Z28" s="263" t="e">
        <f>_xll.qlSimpleQuoteSetValue($X28,$Y28/100,Trigger)</f>
        <v>#N/A</v>
      </c>
      <c r="AA28" s="220"/>
    </row>
    <row r="29" spans="1:27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198</v>
      </c>
      <c r="L29" s="326"/>
      <c r="M29" s="326" t="s">
        <v>186</v>
      </c>
      <c r="N29" s="324" t="str">
        <f t="shared" si="1"/>
        <v>USD22MOIS</v>
      </c>
      <c r="O29" s="324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22" t="str">
        <f t="shared" si="2"/>
        <v>USDOIS22M_Quote</v>
      </c>
      <c r="Y29" s="264">
        <v>0.19800000000000001</v>
      </c>
      <c r="Z29" s="263" t="e">
        <f>_xll.qlSimpleQuoteSetValue($X29,$Y29/100,Trigger)</f>
        <v>#N/A</v>
      </c>
      <c r="AA29" s="220"/>
    </row>
    <row r="30" spans="1:27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197</v>
      </c>
      <c r="L30" s="326"/>
      <c r="M30" s="326" t="s">
        <v>186</v>
      </c>
      <c r="N30" s="324" t="str">
        <f t="shared" si="1"/>
        <v>USD23MOIS</v>
      </c>
      <c r="O30" s="324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22" t="str">
        <f t="shared" si="2"/>
        <v>USDOIS23M_Quote</v>
      </c>
      <c r="Y30" s="264">
        <v>0.21000000000000002</v>
      </c>
      <c r="Z30" s="263" t="e">
        <f>_xll.qlSimpleQuoteSetValue($X30,$Y30/100,Trigger)</f>
        <v>#N/A</v>
      </c>
      <c r="AA30" s="220"/>
    </row>
    <row r="31" spans="1:27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6"/>
      <c r="M31" s="326" t="s">
        <v>186</v>
      </c>
      <c r="N31" s="324" t="str">
        <f t="shared" si="1"/>
        <v>USD2YOIS</v>
      </c>
      <c r="O31" s="324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22" t="str">
        <f t="shared" si="2"/>
        <v>USDOIS2Y_Quote</v>
      </c>
      <c r="Y31" s="264">
        <v>0.22299999999999998</v>
      </c>
      <c r="Z31" s="263" t="e">
        <f>_xll.qlSimpleQuoteSetValue($X31,$Y31/100,Trigger)</f>
        <v>#N/A</v>
      </c>
      <c r="AA31" s="220"/>
    </row>
    <row r="32" spans="1:27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196</v>
      </c>
      <c r="L32" s="326"/>
      <c r="M32" s="326" t="s">
        <v>186</v>
      </c>
      <c r="N32" s="324" t="str">
        <f t="shared" si="1"/>
        <v>USD27MOIS</v>
      </c>
      <c r="O32" s="324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22" t="str">
        <f t="shared" si="2"/>
        <v>USDOIS27M_Quote</v>
      </c>
      <c r="Y32" s="264">
        <v>0.26600000000000001</v>
      </c>
      <c r="Z32" s="263" t="e">
        <f>_xll.qlSimpleQuoteSetValue($X32,$Y32/100,Trigger)</f>
        <v>#N/A</v>
      </c>
      <c r="AA32" s="220"/>
    </row>
    <row r="33" spans="1:27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195</v>
      </c>
      <c r="L33" s="326"/>
      <c r="M33" s="326" t="s">
        <v>186</v>
      </c>
      <c r="N33" s="324" t="str">
        <f t="shared" si="1"/>
        <v>USD30MOIS</v>
      </c>
      <c r="O33" s="324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22" t="str">
        <f t="shared" si="2"/>
        <v>USDOIS30M_Quote</v>
      </c>
      <c r="Y33" s="264">
        <v>0.31899999999999995</v>
      </c>
      <c r="Z33" s="263" t="e">
        <f>_xll.qlSimpleQuoteSetValue($X33,$Y33/100,Trigger)</f>
        <v>#N/A</v>
      </c>
      <c r="AA33" s="220"/>
    </row>
    <row r="34" spans="1:27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194</v>
      </c>
      <c r="L34" s="326"/>
      <c r="M34" s="326" t="s">
        <v>186</v>
      </c>
      <c r="N34" s="324" t="str">
        <f t="shared" si="1"/>
        <v>USD33MOIS</v>
      </c>
      <c r="O34" s="324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22" t="str">
        <f t="shared" si="2"/>
        <v>USDOIS33M_Quote</v>
      </c>
      <c r="Y34" s="264">
        <v>0.38100000000000001</v>
      </c>
      <c r="Z34" s="263" t="e">
        <f>_xll.qlSimpleQuoteSetValue($X34,$Y34/100,Trigger)</f>
        <v>#N/A</v>
      </c>
      <c r="AA34" s="220"/>
    </row>
    <row r="35" spans="1:27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6"/>
      <c r="M35" s="326" t="s">
        <v>186</v>
      </c>
      <c r="N35" s="324" t="str">
        <f t="shared" si="1"/>
        <v>USD3YOIS</v>
      </c>
      <c r="O35" s="324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22" t="str">
        <f t="shared" si="2"/>
        <v>USDOIS3Y_Quote</v>
      </c>
      <c r="Y35" s="264">
        <v>0.45099999999999996</v>
      </c>
      <c r="Z35" s="263" t="e">
        <f>_xll.qlSimpleQuoteSetValue($X35,$Y35/100,Trigger)</f>
        <v>#N/A</v>
      </c>
      <c r="AA35" s="220"/>
    </row>
    <row r="36" spans="1:27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193</v>
      </c>
      <c r="L36" s="326"/>
      <c r="M36" s="326" t="s">
        <v>186</v>
      </c>
      <c r="N36" s="324" t="str">
        <f t="shared" si="1"/>
        <v>USD39MOIS</v>
      </c>
      <c r="O36" s="324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22" t="str">
        <f t="shared" si="2"/>
        <v>USDOIS39M_Quote</v>
      </c>
      <c r="Y36" s="264">
        <v>0.52800000000000002</v>
      </c>
      <c r="Z36" s="263" t="e">
        <f>_xll.qlSimpleQuoteSetValue($X36,$Y36/100,Trigger)</f>
        <v>#N/A</v>
      </c>
      <c r="AA36" s="220"/>
    </row>
    <row r="37" spans="1:27" x14ac:dyDescent="0.25">
      <c r="A37" s="176"/>
      <c r="B37" s="175"/>
      <c r="C37" s="175" t="s">
        <v>186</v>
      </c>
      <c r="D37" s="181" t="s">
        <v>192</v>
      </c>
      <c r="E37" s="173" t="str">
        <f t="shared" ref="E37:E58" si="3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192</v>
      </c>
      <c r="L37" s="326"/>
      <c r="M37" s="326" t="s">
        <v>186</v>
      </c>
      <c r="N37" s="324" t="str">
        <f t="shared" ref="N37:N58" si="4">Currency&amp;$K37&amp;$L37&amp;$M37</f>
        <v>USD42MOIS</v>
      </c>
      <c r="O37" s="324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22" t="str">
        <f t="shared" ref="X37:X58" si="5">Currency&amp;$M37&amp;$L37&amp;$K37&amp;$Y$2</f>
        <v>USDOIS42M_Quote</v>
      </c>
      <c r="Y37" s="264">
        <v>0.60899999999999999</v>
      </c>
      <c r="Z37" s="263" t="e">
        <f>_xll.qlSimpleQuoteSetValue($X37,$Y37/100,Trigger)</f>
        <v>#N/A</v>
      </c>
      <c r="AA37" s="220"/>
    </row>
    <row r="38" spans="1:27" x14ac:dyDescent="0.25">
      <c r="A38" s="176"/>
      <c r="B38" s="175"/>
      <c r="C38" s="175" t="s">
        <v>186</v>
      </c>
      <c r="D38" s="181" t="s">
        <v>191</v>
      </c>
      <c r="E38" s="173" t="str">
        <f t="shared" si="3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191</v>
      </c>
      <c r="L38" s="326"/>
      <c r="M38" s="326" t="s">
        <v>186</v>
      </c>
      <c r="N38" s="324" t="str">
        <f t="shared" si="4"/>
        <v>USD45MOIS</v>
      </c>
      <c r="O38" s="324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22" t="str">
        <f t="shared" si="5"/>
        <v>USDOIS45M_Quote</v>
      </c>
      <c r="Y38" s="264">
        <v>0.69100000000000006</v>
      </c>
      <c r="Z38" s="263" t="e">
        <f>_xll.qlSimpleQuoteSetValue($X38,$Y38/100,Trigger)</f>
        <v>#N/A</v>
      </c>
      <c r="AA38" s="220"/>
    </row>
    <row r="39" spans="1:27" x14ac:dyDescent="0.25">
      <c r="A39" s="176"/>
      <c r="B39" s="175"/>
      <c r="C39" s="175" t="s">
        <v>186</v>
      </c>
      <c r="D39" s="181" t="s">
        <v>106</v>
      </c>
      <c r="E39" s="173" t="str">
        <f t="shared" si="3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6"/>
      <c r="M39" s="326" t="s">
        <v>186</v>
      </c>
      <c r="N39" s="324" t="str">
        <f t="shared" si="4"/>
        <v>USD4YOIS</v>
      </c>
      <c r="O39" s="324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22" t="str">
        <f t="shared" si="5"/>
        <v>USDOIS4Y_Quote</v>
      </c>
      <c r="Y39" s="264">
        <v>0.77900000000000003</v>
      </c>
      <c r="Z39" s="263" t="e">
        <f>_xll.qlSimpleQuoteSetValue($X39,$Y39/100,Trigger)</f>
        <v>#N/A</v>
      </c>
      <c r="AA39" s="220"/>
    </row>
    <row r="40" spans="1:27" x14ac:dyDescent="0.25">
      <c r="A40" s="176"/>
      <c r="B40" s="175"/>
      <c r="C40" s="175" t="s">
        <v>186</v>
      </c>
      <c r="D40" s="181" t="s">
        <v>190</v>
      </c>
      <c r="E40" s="173" t="str">
        <f t="shared" si="3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190</v>
      </c>
      <c r="L40" s="326"/>
      <c r="M40" s="326" t="s">
        <v>186</v>
      </c>
      <c r="N40" s="324" t="str">
        <f t="shared" si="4"/>
        <v>USD51MOIS</v>
      </c>
      <c r="O40" s="324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22" t="str">
        <f t="shared" si="5"/>
        <v>USDOIS51M_Quote</v>
      </c>
      <c r="Y40" s="264">
        <v>0.85899999999999999</v>
      </c>
      <c r="Z40" s="263" t="e">
        <f>_xll.qlSimpleQuoteSetValue($X40,$Y40/100,Trigger)</f>
        <v>#N/A</v>
      </c>
      <c r="AA40" s="220"/>
    </row>
    <row r="41" spans="1:27" x14ac:dyDescent="0.25">
      <c r="A41" s="176"/>
      <c r="B41" s="175"/>
      <c r="C41" s="175" t="s">
        <v>186</v>
      </c>
      <c r="D41" s="181" t="s">
        <v>189</v>
      </c>
      <c r="E41" s="173" t="str">
        <f t="shared" si="3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189</v>
      </c>
      <c r="L41" s="326"/>
      <c r="M41" s="326" t="s">
        <v>186</v>
      </c>
      <c r="N41" s="324" t="str">
        <f t="shared" si="4"/>
        <v>USD54MOIS</v>
      </c>
      <c r="O41" s="324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22" t="str">
        <f t="shared" si="5"/>
        <v>USDOIS54M_Quote</v>
      </c>
      <c r="Y41" s="264">
        <v>0.95199999999999996</v>
      </c>
      <c r="Z41" s="263" t="e">
        <f>_xll.qlSimpleQuoteSetValue($X41,$Y41/100,Trigger)</f>
        <v>#N/A</v>
      </c>
      <c r="AA41" s="220"/>
    </row>
    <row r="42" spans="1:27" x14ac:dyDescent="0.25">
      <c r="A42" s="176"/>
      <c r="B42" s="175"/>
      <c r="C42" s="175" t="s">
        <v>186</v>
      </c>
      <c r="D42" s="181" t="s">
        <v>188</v>
      </c>
      <c r="E42" s="173" t="str">
        <f t="shared" si="3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188</v>
      </c>
      <c r="L42" s="326"/>
      <c r="M42" s="326" t="s">
        <v>186</v>
      </c>
      <c r="N42" s="324" t="str">
        <f t="shared" si="4"/>
        <v>USD57MOIS</v>
      </c>
      <c r="O42" s="324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22" t="str">
        <f t="shared" si="5"/>
        <v>USDOIS57M_Quote</v>
      </c>
      <c r="Y42" s="264">
        <v>1.0270000000000001</v>
      </c>
      <c r="Z42" s="263" t="e">
        <f>_xll.qlSimpleQuoteSetValue($X42,$Y42/100,Trigger)</f>
        <v>#N/A</v>
      </c>
      <c r="AA42" s="220"/>
    </row>
    <row r="43" spans="1:27" x14ac:dyDescent="0.25">
      <c r="A43" s="176"/>
      <c r="B43" s="175"/>
      <c r="C43" s="175" t="s">
        <v>186</v>
      </c>
      <c r="D43" s="181" t="s">
        <v>105</v>
      </c>
      <c r="E43" s="173" t="str">
        <f t="shared" si="3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6"/>
      <c r="M43" s="326" t="s">
        <v>186</v>
      </c>
      <c r="N43" s="324" t="str">
        <f t="shared" si="4"/>
        <v>USD5YOIS</v>
      </c>
      <c r="O43" s="324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22" t="str">
        <f t="shared" si="5"/>
        <v>USDOIS5Y_Quote</v>
      </c>
      <c r="Y43" s="264">
        <v>1.125</v>
      </c>
      <c r="Z43" s="263" t="e">
        <f>_xll.qlSimpleQuoteSetValue($X43,$Y43/100,Trigger)</f>
        <v>#N/A</v>
      </c>
      <c r="AA43" s="220"/>
    </row>
    <row r="44" spans="1:27" x14ac:dyDescent="0.25">
      <c r="A44" s="176"/>
      <c r="B44" s="175"/>
      <c r="C44" s="175" t="s">
        <v>186</v>
      </c>
      <c r="D44" s="181" t="s">
        <v>104</v>
      </c>
      <c r="E44" s="173" t="str">
        <f t="shared" si="3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6"/>
      <c r="M44" s="326" t="s">
        <v>186</v>
      </c>
      <c r="N44" s="324" t="str">
        <f t="shared" si="4"/>
        <v>USD6YOIS</v>
      </c>
      <c r="O44" s="324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22" t="str">
        <f t="shared" si="5"/>
        <v>USDOIS6Y_Quote</v>
      </c>
      <c r="Y44" s="264">
        <v>1.44</v>
      </c>
      <c r="Z44" s="263" t="e">
        <f>_xll.qlSimpleQuoteSetValue($X44,$Y44/100,Trigger)</f>
        <v>#N/A</v>
      </c>
      <c r="AA44" s="220"/>
    </row>
    <row r="45" spans="1:27" x14ac:dyDescent="0.25">
      <c r="A45" s="176"/>
      <c r="B45" s="175"/>
      <c r="C45" s="175" t="s">
        <v>186</v>
      </c>
      <c r="D45" s="181" t="s">
        <v>103</v>
      </c>
      <c r="E45" s="173" t="str">
        <f t="shared" si="3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6"/>
      <c r="M45" s="326" t="s">
        <v>186</v>
      </c>
      <c r="N45" s="324" t="str">
        <f t="shared" si="4"/>
        <v>USD7YOIS</v>
      </c>
      <c r="O45" s="324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22" t="str">
        <f t="shared" si="5"/>
        <v>USDOIS7Y_Quote</v>
      </c>
      <c r="Y45" s="264">
        <v>1.7130000000000001</v>
      </c>
      <c r="Z45" s="263" t="e">
        <f>_xll.qlSimpleQuoteSetValue($X45,$Y45/100,Trigger)</f>
        <v>#N/A</v>
      </c>
      <c r="AA45" s="220"/>
    </row>
    <row r="46" spans="1:27" x14ac:dyDescent="0.25">
      <c r="A46" s="176"/>
      <c r="B46" s="175"/>
      <c r="C46" s="175" t="s">
        <v>186</v>
      </c>
      <c r="D46" s="181" t="s">
        <v>102</v>
      </c>
      <c r="E46" s="173" t="str">
        <f t="shared" si="3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6"/>
      <c r="M46" s="326" t="s">
        <v>186</v>
      </c>
      <c r="N46" s="324" t="str">
        <f t="shared" si="4"/>
        <v>USD8YOIS</v>
      </c>
      <c r="O46" s="324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22" t="str">
        <f t="shared" si="5"/>
        <v>USDOIS8Y_Quote</v>
      </c>
      <c r="Y46" s="264">
        <v>1.9430000000000001</v>
      </c>
      <c r="Z46" s="263" t="e">
        <f>_xll.qlSimpleQuoteSetValue($X46,$Y46/100,Trigger)</f>
        <v>#N/A</v>
      </c>
      <c r="AA46" s="220"/>
    </row>
    <row r="47" spans="1:27" x14ac:dyDescent="0.25">
      <c r="A47" s="176"/>
      <c r="B47" s="175"/>
      <c r="C47" s="175" t="s">
        <v>186</v>
      </c>
      <c r="D47" s="181" t="s">
        <v>101</v>
      </c>
      <c r="E47" s="173" t="str">
        <f t="shared" si="3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6"/>
      <c r="M47" s="326" t="s">
        <v>186</v>
      </c>
      <c r="N47" s="324" t="str">
        <f t="shared" si="4"/>
        <v>USD9YOIS</v>
      </c>
      <c r="O47" s="324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22" t="str">
        <f t="shared" si="5"/>
        <v>USDOIS9Y_Quote</v>
      </c>
      <c r="Y47" s="264">
        <v>2.1360000000000001</v>
      </c>
      <c r="Z47" s="263" t="e">
        <f>_xll.qlSimpleQuoteSetValue($X47,$Y47/100,Trigger)</f>
        <v>#N/A</v>
      </c>
      <c r="AA47" s="220"/>
    </row>
    <row r="48" spans="1:27" x14ac:dyDescent="0.25">
      <c r="A48" s="176"/>
      <c r="B48" s="175"/>
      <c r="C48" s="175" t="s">
        <v>186</v>
      </c>
      <c r="D48" s="181" t="s">
        <v>100</v>
      </c>
      <c r="E48" s="173" t="str">
        <f t="shared" si="3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6"/>
      <c r="M48" s="326" t="s">
        <v>186</v>
      </c>
      <c r="N48" s="324" t="str">
        <f t="shared" si="4"/>
        <v>USD10YOIS</v>
      </c>
      <c r="O48" s="324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22" t="str">
        <f t="shared" si="5"/>
        <v>USDOIS10Y_Quote</v>
      </c>
      <c r="Y48" s="264">
        <v>2.302</v>
      </c>
      <c r="Z48" s="263" t="e">
        <f>_xll.qlSimpleQuoteSetValue($X48,$Y48/100,Trigger)</f>
        <v>#N/A</v>
      </c>
      <c r="AA48" s="220"/>
    </row>
    <row r="49" spans="1:27" x14ac:dyDescent="0.25">
      <c r="A49" s="176"/>
      <c r="B49" s="175"/>
      <c r="C49" s="175" t="s">
        <v>186</v>
      </c>
      <c r="D49" s="181" t="s">
        <v>98</v>
      </c>
      <c r="E49" s="173" t="str">
        <f t="shared" si="3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6"/>
      <c r="M49" s="326" t="s">
        <v>186</v>
      </c>
      <c r="N49" s="324" t="str">
        <f t="shared" si="4"/>
        <v>USD12YOIS</v>
      </c>
      <c r="O49" s="324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22" t="str">
        <f t="shared" si="5"/>
        <v>USDOIS12Y_Quote</v>
      </c>
      <c r="Y49" s="264">
        <v>2.577</v>
      </c>
      <c r="Z49" s="263" t="e">
        <f>_xll.qlSimpleQuoteSetValue($X49,$Y49/100,Trigger)</f>
        <v>#N/A</v>
      </c>
      <c r="AA49" s="220"/>
    </row>
    <row r="50" spans="1:27" x14ac:dyDescent="0.25">
      <c r="A50" s="176"/>
      <c r="B50" s="175"/>
      <c r="C50" s="175" t="s">
        <v>186</v>
      </c>
      <c r="D50" s="181" t="s">
        <v>95</v>
      </c>
      <c r="E50" s="173" t="str">
        <f t="shared" si="3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6"/>
      <c r="M50" s="326" t="s">
        <v>186</v>
      </c>
      <c r="N50" s="324" t="str">
        <f t="shared" si="4"/>
        <v>USD15YOIS</v>
      </c>
      <c r="O50" s="324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22" t="str">
        <f t="shared" si="5"/>
        <v>USDOIS15Y_Quote</v>
      </c>
      <c r="Y50" s="264">
        <v>2.839</v>
      </c>
      <c r="Z50" s="263" t="e">
        <f>_xll.qlSimpleQuoteSetValue($X50,$Y50/100,Trigger)</f>
        <v>#N/A</v>
      </c>
      <c r="AA50" s="220"/>
    </row>
    <row r="51" spans="1:27" x14ac:dyDescent="0.25">
      <c r="A51" s="176"/>
      <c r="B51" s="175"/>
      <c r="C51" s="175" t="s">
        <v>186</v>
      </c>
      <c r="D51" s="181" t="s">
        <v>90</v>
      </c>
      <c r="E51" s="173" t="str">
        <f t="shared" si="3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6"/>
      <c r="M51" s="326" t="s">
        <v>186</v>
      </c>
      <c r="N51" s="324" t="str">
        <f t="shared" si="4"/>
        <v>USD20YOIS</v>
      </c>
      <c r="O51" s="324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22" t="str">
        <f t="shared" si="5"/>
        <v>USDOIS20Y_Quote</v>
      </c>
      <c r="Y51" s="264">
        <v>3.0649999999999999</v>
      </c>
      <c r="Z51" s="263" t="e">
        <f>_xll.qlSimpleQuoteSetValue($X51,$Y51/100,Trigger)</f>
        <v>#N/A</v>
      </c>
      <c r="AA51" s="220"/>
    </row>
    <row r="52" spans="1:27" x14ac:dyDescent="0.25">
      <c r="A52" s="176"/>
      <c r="B52" s="175"/>
      <c r="C52" s="175" t="s">
        <v>186</v>
      </c>
      <c r="D52" s="181" t="s">
        <v>85</v>
      </c>
      <c r="E52" s="173" t="str">
        <f t="shared" si="3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6"/>
      <c r="M52" s="326" t="s">
        <v>186</v>
      </c>
      <c r="N52" s="324" t="str">
        <f t="shared" si="4"/>
        <v>USD25YOIS</v>
      </c>
      <c r="O52" s="324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22" t="str">
        <f t="shared" si="5"/>
        <v>USDOIS25Y_Quote</v>
      </c>
      <c r="Y52" s="264">
        <v>3.1799999999999997</v>
      </c>
      <c r="Z52" s="263" t="e">
        <f>_xll.qlSimpleQuoteSetValue($X52,$Y52/100,Trigger)</f>
        <v>#N/A</v>
      </c>
      <c r="AA52" s="220"/>
    </row>
    <row r="53" spans="1:27" x14ac:dyDescent="0.25">
      <c r="A53" s="176"/>
      <c r="B53" s="175"/>
      <c r="C53" s="175" t="s">
        <v>186</v>
      </c>
      <c r="D53" s="181" t="s">
        <v>83</v>
      </c>
      <c r="E53" s="173" t="str">
        <f t="shared" si="3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6"/>
      <c r="M53" s="326" t="s">
        <v>186</v>
      </c>
      <c r="N53" s="324" t="str">
        <f t="shared" si="4"/>
        <v>USD27YOIS</v>
      </c>
      <c r="O53" s="324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22" t="str">
        <f t="shared" si="5"/>
        <v>USDOIS27Y_Quote</v>
      </c>
      <c r="Y53" s="264" t="e">
        <v>#NUM!</v>
      </c>
      <c r="Z53" s="263" t="e">
        <f>_xll.qlSimpleQuoteSetValue($X53,$Y53/100,Trigger)</f>
        <v>#NUM!</v>
      </c>
      <c r="AA53" s="220"/>
    </row>
    <row r="54" spans="1:27" x14ac:dyDescent="0.25">
      <c r="A54" s="176"/>
      <c r="B54" s="175"/>
      <c r="C54" s="175" t="s">
        <v>186</v>
      </c>
      <c r="D54" s="181" t="s">
        <v>80</v>
      </c>
      <c r="E54" s="173" t="str">
        <f t="shared" si="3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6"/>
      <c r="M54" s="326" t="s">
        <v>186</v>
      </c>
      <c r="N54" s="324" t="str">
        <f t="shared" si="4"/>
        <v>USD30YOIS</v>
      </c>
      <c r="O54" s="324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22" t="str">
        <f t="shared" si="5"/>
        <v>USDOIS30Y_Quote</v>
      </c>
      <c r="Y54" s="264">
        <v>3.2450000000000001</v>
      </c>
      <c r="Z54" s="263" t="e">
        <f>_xll.qlSimpleQuoteSetValue($X54,$Y54/100,Trigger)</f>
        <v>#N/A</v>
      </c>
      <c r="AA54" s="220"/>
    </row>
    <row r="55" spans="1:27" x14ac:dyDescent="0.25">
      <c r="A55" s="176"/>
      <c r="B55" s="175"/>
      <c r="C55" s="175" t="s">
        <v>186</v>
      </c>
      <c r="D55" s="181" t="s">
        <v>75</v>
      </c>
      <c r="E55" s="173" t="str">
        <f t="shared" si="3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6"/>
      <c r="M55" s="326" t="s">
        <v>186</v>
      </c>
      <c r="N55" s="324" t="str">
        <f t="shared" si="4"/>
        <v>USD35YOIS</v>
      </c>
      <c r="O55" s="324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22" t="str">
        <f t="shared" si="5"/>
        <v>USDOIS35Y_Quote</v>
      </c>
      <c r="Y55" s="264">
        <v>3.2629999999999999</v>
      </c>
      <c r="Z55" s="263" t="e">
        <f>_xll.qlSimpleQuoteSetValue($X55,$Y55/100,Trigger)</f>
        <v>#N/A</v>
      </c>
      <c r="AA55" s="220"/>
    </row>
    <row r="56" spans="1:27" x14ac:dyDescent="0.25">
      <c r="A56" s="176"/>
      <c r="B56" s="175"/>
      <c r="C56" s="175" t="s">
        <v>186</v>
      </c>
      <c r="D56" s="181" t="s">
        <v>70</v>
      </c>
      <c r="E56" s="173" t="str">
        <f t="shared" si="3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6"/>
      <c r="M56" s="326" t="s">
        <v>186</v>
      </c>
      <c r="N56" s="324" t="str">
        <f t="shared" si="4"/>
        <v>USD40YOIS</v>
      </c>
      <c r="O56" s="324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22" t="str">
        <f t="shared" si="5"/>
        <v>USDOIS40Y_Quote</v>
      </c>
      <c r="Y56" s="264">
        <v>3.2640000000000002</v>
      </c>
      <c r="Z56" s="263" t="e">
        <f>_xll.qlSimpleQuoteSetValue($X56,$Y56/100,Trigger)</f>
        <v>#N/A</v>
      </c>
      <c r="AA56" s="220"/>
    </row>
    <row r="57" spans="1:27" x14ac:dyDescent="0.25">
      <c r="A57" s="176"/>
      <c r="B57" s="175"/>
      <c r="C57" s="175" t="s">
        <v>186</v>
      </c>
      <c r="D57" s="181" t="s">
        <v>65</v>
      </c>
      <c r="E57" s="173" t="str">
        <f t="shared" si="3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6"/>
      <c r="M57" s="326" t="s">
        <v>186</v>
      </c>
      <c r="N57" s="324" t="str">
        <f t="shared" si="4"/>
        <v>USD45YOIS</v>
      </c>
      <c r="O57" s="324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22" t="str">
        <f t="shared" si="5"/>
        <v>USDOIS45Y_Quote</v>
      </c>
      <c r="Y57" s="264">
        <v>3.2549999999999999</v>
      </c>
      <c r="Z57" s="263" t="e">
        <f>_xll.qlSimpleQuoteSetValue($X57,$Y57/100,Trigger)</f>
        <v>#N/A</v>
      </c>
      <c r="AA57" s="220"/>
    </row>
    <row r="58" spans="1:27" x14ac:dyDescent="0.25">
      <c r="A58" s="176"/>
      <c r="B58" s="175"/>
      <c r="C58" s="175" t="s">
        <v>186</v>
      </c>
      <c r="D58" s="181" t="s">
        <v>60</v>
      </c>
      <c r="E58" s="173" t="str">
        <f t="shared" si="3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21"/>
      <c r="M58" s="321" t="s">
        <v>186</v>
      </c>
      <c r="N58" s="319" t="str">
        <f t="shared" si="4"/>
        <v>USD50YOIS</v>
      </c>
      <c r="O58" s="319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22" t="str">
        <f t="shared" si="5"/>
        <v>USDOIS50Y_Quote</v>
      </c>
      <c r="Y58" s="264">
        <v>3.2439999999999998</v>
      </c>
      <c r="Z58" s="263" t="e">
        <f>_xll.qlSimpleQuoteSetValue($X58,$Y58/100,Trigger)</f>
        <v>#N/A</v>
      </c>
      <c r="AA58" s="220"/>
    </row>
    <row r="59" spans="1:27" x14ac:dyDescent="0.25">
      <c r="A59" s="176"/>
      <c r="B59" s="180"/>
      <c r="C59" s="180"/>
      <c r="D59" s="179"/>
      <c r="E59" s="178"/>
      <c r="F59" s="178"/>
      <c r="G59" s="177"/>
      <c r="H59" s="171"/>
    </row>
    <row r="60" spans="1:27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6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USDFEDOISJAN13_Quote#0002</v>
      </c>
      <c r="G60" s="172" t="str">
        <f>_xll.ohRangeRetrieveError(F60)</f>
        <v/>
      </c>
      <c r="H60" s="171"/>
    </row>
    <row r="61" spans="1:27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6"/>
        <v>USDFEDOISFEB13_Quote</v>
      </c>
      <c r="F61" s="173" t="str">
        <f>_xll.qlSimpleQuote(Currency&amp;$B61&amp;$C61&amp;$D61&amp;QuoteSuffix,,RateTickValue,Permanent,Trigger,ObjectOverwrite)</f>
        <v>USDFEDOISFEB13_Quote#0002</v>
      </c>
      <c r="G61" s="172" t="str">
        <f>_xll.ohRangeRetrieveError(F61)</f>
        <v/>
      </c>
      <c r="H61" s="171"/>
    </row>
    <row r="62" spans="1:27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6"/>
        <v>USDFEDOISMAR13_Quote</v>
      </c>
      <c r="F62" s="173" t="str">
        <f>_xll.qlSimpleQuote(Currency&amp;$B62&amp;$C62&amp;$D62&amp;QuoteSuffix,,RateTickValue,Permanent,Trigger,ObjectOverwrite)</f>
        <v>USDFEDOISMAR13_Quote#0002</v>
      </c>
      <c r="G62" s="172" t="str">
        <f>_xll.ohRangeRetrieveError(F62)</f>
        <v/>
      </c>
      <c r="H62" s="171"/>
    </row>
    <row r="63" spans="1:27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6"/>
        <v>USDFEDOISAPR13_Quote</v>
      </c>
      <c r="F63" s="173" t="str">
        <f>_xll.qlSimpleQuote(Currency&amp;$B63&amp;$C63&amp;$D63&amp;QuoteSuffix,,RateTickValue,Permanent,Trigger,ObjectOverwrite)</f>
        <v>USDFEDOISAPR13_Quote#0002</v>
      </c>
      <c r="G63" s="172" t="str">
        <f>_xll.ohRangeRetrieveError(F63)</f>
        <v/>
      </c>
      <c r="H63" s="171"/>
    </row>
    <row r="64" spans="1:27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6"/>
        <v>USDFEDOISMAY13_Quote</v>
      </c>
      <c r="F64" s="173" t="str">
        <f>_xll.qlSimpleQuote(Currency&amp;$B64&amp;$C64&amp;$D64&amp;QuoteSuffix,,RateTickValue,Permanent,Trigger,ObjectOverwrite)</f>
        <v>USDFEDOISMAY13_Quote#0002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6"/>
        <v>USDFEDOISJUN13_Quote</v>
      </c>
      <c r="F65" s="173" t="str">
        <f>_xll.qlSimpleQuote(Currency&amp;$B65&amp;$C65&amp;$D65&amp;QuoteSuffix,,RateTickValue,Permanent,Trigger,ObjectOverwrite)</f>
        <v>USDFEDOISJUN13_Quote#0002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6"/>
        <v>USDFEDOISJUL13_Quote</v>
      </c>
      <c r="F66" s="173" t="str">
        <f>_xll.qlSimpleQuote(Currency&amp;$B66&amp;$C66&amp;$D66&amp;QuoteSuffix,,RateTickValue,Permanent,Trigger,ObjectOverwrite)</f>
        <v>USDFEDOISJUL13_Quote#0002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6"/>
        <v>USDFEDOISAUG13_Quote</v>
      </c>
      <c r="F67" s="173" t="str">
        <f>_xll.qlSimpleQuote(Currency&amp;$B67&amp;$C67&amp;$D67&amp;QuoteSuffix,,RateTickValue,Permanent,Trigger,ObjectOverwrite)</f>
        <v>USDFEDOISAUG13_Quote#0002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6"/>
        <v>USDFEDOISSEP13_Quote</v>
      </c>
      <c r="F68" s="173" t="str">
        <f>_xll.qlSimpleQuote(Currency&amp;$B68&amp;$C68&amp;$D68&amp;QuoteSuffix,,RateTickValue,Permanent,Trigger,ObjectOverwrite)</f>
        <v>USDFEDOISSEP13_Quote#0002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6"/>
        <v>USDFEDOISOCT13_Quote</v>
      </c>
      <c r="F69" s="173" t="str">
        <f>_xll.qlSimpleQuote(Currency&amp;$B69&amp;$C69&amp;$D69&amp;QuoteSuffix,,RateTickValue,Permanent,Trigger,ObjectOverwrite)</f>
        <v>USDFEDOISOCT13_Quote#0002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6"/>
        <v>USDFEDOISNOV13_Quote</v>
      </c>
      <c r="F70" s="173" t="str">
        <f>_xll.qlSimpleQuote(Currency&amp;$B70&amp;$C70&amp;$D70&amp;QuoteSuffix,,RateTickValue,Permanent,Trigger,ObjectOverwrite)</f>
        <v>USDFEDOISNOV13_Quote#0002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6"/>
        <v>USDFEDOISDEC13_Quote</v>
      </c>
      <c r="F71" s="173" t="str">
        <f>_xll.qlSimpleQuote(Currency&amp;$B71&amp;$C71&amp;$D71&amp;QuoteSuffix,,RateTickValue,Permanent,Trigger,ObjectOverwrite)</f>
        <v>USDFEDOISDEC13_Quote#0002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6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6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6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6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6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6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6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6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6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6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6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6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6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6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6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6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6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6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6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6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6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6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6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6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Z5:Z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29" ht="13.5" thickBot="1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3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3" t="s">
        <v>265</v>
      </c>
      <c r="Y2" s="392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>
        <f>_xll.ohTrigger(Z5:Z15)</f>
        <v>2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5"/>
      <c r="L4" s="196"/>
      <c r="M4" s="196"/>
      <c r="N4" s="196"/>
      <c r="O4" s="261" t="e">
        <f ca="1">_xll.RData(O5:O18,P4:S4,"RTFEED:IDN",ReutersRtMode,,P5)</f>
        <v>#NAME?</v>
      </c>
      <c r="P4" s="334" t="s">
        <v>233</v>
      </c>
      <c r="Q4" s="334" t="s">
        <v>232</v>
      </c>
      <c r="R4" s="334" t="s">
        <v>250</v>
      </c>
      <c r="S4" s="334" t="s">
        <v>269</v>
      </c>
      <c r="T4" s="293" t="s">
        <v>268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  <c r="AC4" s="332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6">
        <v>2</v>
      </c>
      <c r="M5" s="326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22" t="str">
        <f t="shared" ref="X5:X18" si="2"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#N/A</v>
      </c>
      <c r="AA5" s="220"/>
      <c r="AC5" s="305">
        <f t="shared" ref="AC5:AC15" si="3"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6">
        <v>3</v>
      </c>
      <c r="M6" s="326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22" t="str">
        <f t="shared" si="2"/>
        <v>USD3X1S_Quote</v>
      </c>
      <c r="Y6" s="264">
        <v>0.17399999999999999</v>
      </c>
      <c r="Z6" s="263" t="e">
        <f>_xll.qlSimpleQuoteSetValue($X6,$Y6/100,Trigger)</f>
        <v>#N/A</v>
      </c>
      <c r="AA6" s="220"/>
      <c r="AC6" s="305">
        <f t="shared" si="3"/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6">
        <v>4</v>
      </c>
      <c r="M7" s="326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22" t="str">
        <f t="shared" si="2"/>
        <v>USD4X1S_Quote</v>
      </c>
      <c r="Y7" s="264">
        <v>0.17699999999999999</v>
      </c>
      <c r="Z7" s="263" t="e">
        <f>_xll.qlSimpleQuoteSetValue($X7,$Y7/100,Trigger)</f>
        <v>#N/A</v>
      </c>
      <c r="AA7" s="220"/>
      <c r="AC7" s="305">
        <f t="shared" si="3"/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6">
        <v>5</v>
      </c>
      <c r="M8" s="326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22" t="str">
        <f t="shared" si="2"/>
        <v>USD5X1S_Quote</v>
      </c>
      <c r="Y8" s="264">
        <v>0.18</v>
      </c>
      <c r="Z8" s="263" t="e">
        <f>_xll.qlSimpleQuoteSetValue($X8,$Y8/100,Trigger)</f>
        <v>#N/A</v>
      </c>
      <c r="AA8" s="220"/>
      <c r="AC8" s="305">
        <f t="shared" si="3"/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6">
        <v>6</v>
      </c>
      <c r="M9" s="326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22" t="str">
        <f t="shared" si="2"/>
        <v>USD6X1S_Quote</v>
      </c>
      <c r="Y9" s="264">
        <v>0.184</v>
      </c>
      <c r="Z9" s="263" t="e">
        <f>_xll.qlSimpleQuoteSetValue($X9,$Y9/100,Trigger)</f>
        <v>#N/A</v>
      </c>
      <c r="AA9" s="220"/>
      <c r="AC9" s="305">
        <f t="shared" si="3"/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6">
        <v>7</v>
      </c>
      <c r="M10" s="326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22" t="str">
        <f t="shared" si="2"/>
        <v>USD7X1S_Quote</v>
      </c>
      <c r="Y10" s="264">
        <v>0.19</v>
      </c>
      <c r="Z10" s="263" t="e">
        <f>_xll.qlSimpleQuoteSetValue($X10,$Y10/100,Trigger)</f>
        <v>#N/A</v>
      </c>
      <c r="AA10" s="220"/>
      <c r="AC10" s="305">
        <f t="shared" si="3"/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6">
        <v>8</v>
      </c>
      <c r="M11" s="326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22" t="str">
        <f t="shared" si="2"/>
        <v>USD8X1S_Quote</v>
      </c>
      <c r="Y11" s="264">
        <v>0.19500000000000001</v>
      </c>
      <c r="Z11" s="263" t="e">
        <f>_xll.qlSimpleQuoteSetValue($X11,$Y11/100,Trigger)</f>
        <v>#N/A</v>
      </c>
      <c r="AA11" s="220"/>
      <c r="AC11" s="305">
        <f t="shared" si="3"/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6">
        <v>9</v>
      </c>
      <c r="M12" s="326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22" t="str">
        <f t="shared" si="2"/>
        <v>USD9X1S_Quote</v>
      </c>
      <c r="Y12" s="264">
        <v>0.20100000000000001</v>
      </c>
      <c r="Z12" s="263" t="e">
        <f>_xll.qlSimpleQuoteSetValue($X12,$Y12/100,Trigger)</f>
        <v>#N/A</v>
      </c>
      <c r="AA12" s="220"/>
      <c r="AC12" s="305">
        <f t="shared" si="3"/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6">
        <v>10</v>
      </c>
      <c r="M13" s="326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22" t="str">
        <f t="shared" si="2"/>
        <v>USD10X1S_Quote</v>
      </c>
      <c r="Y13" s="264">
        <v>0.20700000000000002</v>
      </c>
      <c r="Z13" s="263" t="e">
        <f>_xll.qlSimpleQuoteSetValue($X13,$Y13/100,Trigger)</f>
        <v>#N/A</v>
      </c>
      <c r="AA13" s="220"/>
      <c r="AC13" s="305">
        <f t="shared" si="3"/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6">
        <v>11</v>
      </c>
      <c r="M14" s="326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22" t="str">
        <f t="shared" si="2"/>
        <v>USD11X1S_Quote</v>
      </c>
      <c r="Y14" s="264">
        <v>0.21299999999999999</v>
      </c>
      <c r="Z14" s="263" t="e">
        <f>_xll.qlSimpleQuoteSetValue($X14,$Y14/100,Trigger)</f>
        <v>#N/A</v>
      </c>
      <c r="AA14" s="220"/>
      <c r="AC14" s="305">
        <f t="shared" si="3"/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6">
        <v>12</v>
      </c>
      <c r="M15" s="326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22" t="str">
        <f t="shared" si="2"/>
        <v>USD12X1S_Quote</v>
      </c>
      <c r="Y15" s="264">
        <v>0.221</v>
      </c>
      <c r="Z15" s="263" t="e">
        <f>_xll.qlSimpleQuoteSetValue($X15,$Y15/100,Trigger)</f>
        <v>#N/A</v>
      </c>
      <c r="AA15" s="220"/>
      <c r="AC15" s="305">
        <f t="shared" si="3"/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6">
        <v>15</v>
      </c>
      <c r="M16" s="326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22" t="str">
        <f t="shared" si="2"/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6">
        <v>18</v>
      </c>
      <c r="M17" s="326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22" t="str">
        <f t="shared" si="2"/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6">
        <v>24</v>
      </c>
      <c r="M18" s="326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22" t="str">
        <f t="shared" si="2"/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7"/>
    </row>
  </sheetData>
  <conditionalFormatting sqref="Z5:Z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G12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8" width="4.42578125" style="20" customWidth="1"/>
    <col min="9" max="23" width="9.140625" style="20"/>
    <col min="24" max="24" width="12.5703125" style="20" bestFit="1" customWidth="1"/>
    <col min="25" max="16384" width="9.140625" style="20"/>
  </cols>
  <sheetData>
    <row r="1" spans="1:33" ht="13.5" thickBot="1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33" ht="13.5" thickBot="1" x14ac:dyDescent="0.25">
      <c r="J2" s="303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3" t="s">
        <v>265</v>
      </c>
      <c r="Y2" s="392" t="s">
        <v>142</v>
      </c>
      <c r="Z2" s="136"/>
      <c r="AA2" s="47"/>
    </row>
    <row r="3" spans="1:33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>
        <f>_xll.ohTrigger(Z5:Z11)</f>
        <v>2</v>
      </c>
      <c r="AA3" s="220"/>
    </row>
    <row r="4" spans="1:33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5"/>
      <c r="L4" s="196"/>
      <c r="M4" s="196"/>
      <c r="N4" s="196"/>
      <c r="O4" s="261" t="e">
        <f ca="1">_xll.RData(O5:O11,P4:S4,"RTFEED:IDN",ReutersRtMode,,P5)</f>
        <v>#NAME?</v>
      </c>
      <c r="P4" s="334" t="s">
        <v>233</v>
      </c>
      <c r="Q4" s="334" t="s">
        <v>232</v>
      </c>
      <c r="R4" s="334" t="s">
        <v>250</v>
      </c>
      <c r="S4" s="334" t="s">
        <v>269</v>
      </c>
      <c r="T4" s="293" t="s">
        <v>268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  <c r="AG4" s="332" t="s">
        <v>267</v>
      </c>
    </row>
    <row r="5" spans="1:33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6" t="s">
        <v>206</v>
      </c>
      <c r="M5" s="326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22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G5" s="305">
        <f t="shared" ref="AG5:AG11" si="3">(Q5-T5)/50</f>
        <v>5.0000000000000044E-4</v>
      </c>
    </row>
    <row r="6" spans="1:33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6" t="s">
        <v>207</v>
      </c>
      <c r="M6" s="326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22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G6" s="305">
        <f t="shared" si="3"/>
        <v>5.0000000000000044E-4</v>
      </c>
    </row>
    <row r="7" spans="1:33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6" t="s">
        <v>209</v>
      </c>
      <c r="M7" s="326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22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G7" s="305">
        <f t="shared" si="3"/>
        <v>5.0000000000000044E-4</v>
      </c>
    </row>
    <row r="8" spans="1:33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6" t="s">
        <v>208</v>
      </c>
      <c r="M8" s="326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22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G8" s="305">
        <f t="shared" si="3"/>
        <v>5.0000000000000044E-4</v>
      </c>
    </row>
    <row r="9" spans="1:33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6" t="s">
        <v>206</v>
      </c>
      <c r="M9" s="326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22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G9" s="305" t="e">
        <f t="shared" si="3"/>
        <v>#VALUE!</v>
      </c>
    </row>
    <row r="10" spans="1:33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6" t="s">
        <v>207</v>
      </c>
      <c r="M10" s="326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22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G10" s="305" t="e">
        <f t="shared" si="3"/>
        <v>#VALUE!</v>
      </c>
    </row>
    <row r="11" spans="1:33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21" t="s">
        <v>206</v>
      </c>
      <c r="M11" s="321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7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G11" s="305" t="e">
        <f t="shared" si="3"/>
        <v>#VALUE!</v>
      </c>
    </row>
    <row r="12" spans="1:33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7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3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37" ht="13.5" thickBot="1" x14ac:dyDescent="0.25">
      <c r="N1" s="337" t="s">
        <v>313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3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3" t="s">
        <v>265</v>
      </c>
      <c r="AC2" s="392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5"/>
      <c r="P4" s="196"/>
      <c r="Q4" s="196"/>
      <c r="R4" s="196"/>
      <c r="S4" s="261" t="e">
        <f ca="1">_xll.RData(S5:S42,T4:W4,"RTFEED:IDN",ReutersRtMode,,T5)</f>
        <v>#NAME?</v>
      </c>
      <c r="T4" s="334" t="s">
        <v>233</v>
      </c>
      <c r="U4" s="334" t="s">
        <v>232</v>
      </c>
      <c r="V4" s="334" t="s">
        <v>250</v>
      </c>
      <c r="W4" s="334" t="s">
        <v>269</v>
      </c>
      <c r="X4" s="293" t="s">
        <v>268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  <c r="AJ4" s="21"/>
      <c r="AK4" s="332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6" t="str">
        <f t="array" ref="P5:P42">VLOOKUP(Currency,Conventions,2)</f>
        <v>AM</v>
      </c>
      <c r="Q5" s="326" t="str">
        <f t="array" ref="Q5:Q42">VLOOKUP(Currency,Conventions,3)</f>
        <v>3L</v>
      </c>
      <c r="R5" s="324" t="str">
        <f>Currency&amp;$P5&amp;$Q5&amp;$O5</f>
        <v>USDAM3L6M</v>
      </c>
      <c r="S5" s="324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2" t="str">
        <f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5" t="s">
        <v>132</v>
      </c>
      <c r="AH5" s="86" t="s">
        <v>212</v>
      </c>
      <c r="AI5" s="85" t="s">
        <v>125</v>
      </c>
      <c r="AJ5" s="21"/>
      <c r="AK5" s="305" t="e">
        <f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0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USDAM3L1Y_Quote#0004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6" t="str">
        <v>AM</v>
      </c>
      <c r="Q6" s="326" t="str">
        <v>3L</v>
      </c>
      <c r="R6" s="324" t="str">
        <f>Currency&amp;$P6&amp;$Q6&amp;$O6</f>
        <v>USDAM3L1Y</v>
      </c>
      <c r="S6" s="324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22" t="str">
        <f>$R6&amp;$AC$2</f>
        <v>USDAM3L1Y_Quote</v>
      </c>
      <c r="AC6" s="264">
        <v>0.29400000000000004</v>
      </c>
      <c r="AD6" s="263" t="e">
        <f>_xll.qlSimpleQuoteSetValue($AB6,$AC6/100,Trigger)</f>
        <v>#N/A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5">
        <f>(U6-X6)/50</f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0"/>
        <v>USDAM3L15M_Quote</v>
      </c>
      <c r="F7" s="74" t="str">
        <f>_xll.qlSimpleQuote(Currency&amp;$C7&amp;$D7&amp;$B7&amp;QuoteSuffix,,RateTickValue,Permanent,Trigger,ObjectOverwrite)</f>
        <v>USDAM3L15M_Quote#0004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6" t="str">
        <v>AM</v>
      </c>
      <c r="Q7" s="326" t="str">
        <v>3L</v>
      </c>
      <c r="R7" s="324" t="str">
        <f>Currency&amp;$P7&amp;$Q7&amp;$O7</f>
        <v>USDAM3L15M</v>
      </c>
      <c r="S7" s="324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22" t="str">
        <f>$R7&amp;$AC$2</f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5" t="e">
        <f>(U7-X7)/50</f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0"/>
        <v>USDAM3L18M_Quote</v>
      </c>
      <c r="F8" s="74" t="str">
        <f>_xll.qlSimpleQuote(Currency&amp;$C8&amp;$D8&amp;$B8&amp;QuoteSuffix,,RateTickValue,Permanent,Trigger,ObjectOverwrite)</f>
        <v>USDAM3L18M_Quote#0004</v>
      </c>
      <c r="G8" s="191" t="str">
        <f>_xll.ohRangeRetrieveError(F8)</f>
        <v/>
      </c>
      <c r="H8" s="47"/>
      <c r="N8" s="121"/>
      <c r="O8" s="270" t="s">
        <v>134</v>
      </c>
      <c r="P8" s="326" t="str">
        <v>AM</v>
      </c>
      <c r="Q8" s="326" t="str">
        <v>3L</v>
      </c>
      <c r="R8" s="324" t="str">
        <f>Currency&amp;$P8&amp;$Q8&amp;$O8</f>
        <v>USDAM3L18M</v>
      </c>
      <c r="S8" s="324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22" t="str">
        <f>$R8&amp;$AC$2</f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5" t="e">
        <f>(U8-X8)/50</f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0"/>
        <v>USDAM3L21M_Quote</v>
      </c>
      <c r="F9" s="74" t="str">
        <f>_xll.qlSimpleQuote(Currency&amp;$C9&amp;$D9&amp;$B9&amp;QuoteSuffix,,RateTickValue,Permanent,Trigger,ObjectOverwrite)</f>
        <v>USDAM3L21M_Quote#0004</v>
      </c>
      <c r="G9" s="191" t="str">
        <f>_xll.ohRangeRetrieveError(F9)</f>
        <v/>
      </c>
      <c r="H9" s="47"/>
      <c r="N9" s="121"/>
      <c r="O9" s="270" t="s">
        <v>133</v>
      </c>
      <c r="P9" s="326" t="str">
        <v>AM</v>
      </c>
      <c r="Q9" s="326" t="str">
        <v>3L</v>
      </c>
      <c r="R9" s="324" t="str">
        <f>Currency&amp;$P9&amp;$Q9&amp;$O9</f>
        <v>USDAM3L21M</v>
      </c>
      <c r="S9" s="324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22" t="str">
        <f>$R9&amp;$AC$2</f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5" t="e">
        <f>(U9-X9)/50</f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0"/>
        <v>USDAM3L2Y_Quote</v>
      </c>
      <c r="F10" s="74" t="str">
        <f>_xll.qlSimpleQuote(Currency&amp;$C10&amp;$D10&amp;$B10&amp;QuoteSuffix,,RateTickValue,Permanent,Trigger,ObjectOverwrite)</f>
        <v>USDAM3L2Y_Quote#0004</v>
      </c>
      <c r="G10" s="191" t="str">
        <f>_xll.ohRangeRetrieveError(F10)</f>
        <v/>
      </c>
      <c r="H10" s="47"/>
      <c r="N10" s="121"/>
      <c r="O10" s="270" t="s">
        <v>108</v>
      </c>
      <c r="P10" s="326" t="str">
        <v>AM</v>
      </c>
      <c r="Q10" s="326" t="str">
        <v>3L</v>
      </c>
      <c r="R10" s="324" t="str">
        <f>Currency&amp;$P10&amp;$Q10&amp;$O10</f>
        <v>USDAM3L2Y</v>
      </c>
      <c r="S10" s="324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22" t="str">
        <f>$R10&amp;$AC$2</f>
        <v>USDAM3L2Y_Quote</v>
      </c>
      <c r="AC10" s="264">
        <v>0.42799999999999999</v>
      </c>
      <c r="AD10" s="263" t="e">
        <f>_xll.qlSimpleQuoteSetValue($AB10,$AC10/100,Trigger)</f>
        <v>#N/A</v>
      </c>
      <c r="AE10" s="220"/>
      <c r="AF10" s="21"/>
      <c r="AG10" s="21"/>
      <c r="AH10" s="21"/>
      <c r="AI10" s="21"/>
      <c r="AJ10" s="21"/>
      <c r="AK10" s="305">
        <f>(U10-X10)/50</f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0"/>
        <v>USDAM3L3Y_Quote</v>
      </c>
      <c r="F11" s="74" t="str">
        <f>_xll.qlSimpleQuote(Currency&amp;$C11&amp;$D11&amp;$B11&amp;QuoteSuffix,,RateTickValue,Permanent,Trigger,ObjectOverwrite)</f>
        <v>USDAM3L3Y_Quote#0004</v>
      </c>
      <c r="G11" s="191" t="str">
        <f>_xll.ohRangeRetrieveError(F11)</f>
        <v/>
      </c>
      <c r="H11" s="47"/>
      <c r="N11" s="121"/>
      <c r="O11" s="270" t="s">
        <v>107</v>
      </c>
      <c r="P11" s="374" t="str">
        <v>AM</v>
      </c>
      <c r="Q11" s="374" t="str">
        <v>3L</v>
      </c>
      <c r="R11" s="324" t="str">
        <f>Currency&amp;$P11&amp;$Q11&amp;$O11</f>
        <v>USDAM3L3Y</v>
      </c>
      <c r="S11" s="324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22" t="str">
        <f>$R11&amp;$AC$2</f>
        <v>USDAM3L3Y_Quote</v>
      </c>
      <c r="AC11" s="264">
        <v>0.68399999999999994</v>
      </c>
      <c r="AD11" s="263" t="e">
        <f>_xll.qlSimpleQuoteSetValue($AB11,$AC11/100,Trigger)</f>
        <v>#N/A</v>
      </c>
      <c r="AE11" s="220"/>
      <c r="AF11" s="21"/>
      <c r="AG11" s="21"/>
      <c r="AH11" s="21"/>
      <c r="AI11" s="21"/>
      <c r="AJ11" s="21"/>
      <c r="AK11" s="305">
        <f>(U11-X11)/50</f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0"/>
        <v>USDAM3L4Y_Quote</v>
      </c>
      <c r="F12" s="74" t="str">
        <f>_xll.qlSimpleQuote(Currency&amp;$C12&amp;$D12&amp;$B12&amp;QuoteSuffix,,RateTickValue,Permanent,Trigger,ObjectOverwrite)</f>
        <v>USDAM3L4Y_Quote#0004</v>
      </c>
      <c r="G12" s="191" t="str">
        <f>_xll.ohRangeRetrieveError(F12)</f>
        <v/>
      </c>
      <c r="H12" s="47"/>
      <c r="N12" s="121"/>
      <c r="O12" s="270" t="s">
        <v>106</v>
      </c>
      <c r="P12" s="374" t="str">
        <v>AM</v>
      </c>
      <c r="Q12" s="374" t="str">
        <v>3L</v>
      </c>
      <c r="R12" s="324" t="str">
        <f>Currency&amp;$P12&amp;$Q12&amp;$O12</f>
        <v>USDAM3L4Y</v>
      </c>
      <c r="S12" s="324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22" t="str">
        <f>$R12&amp;$AC$2</f>
        <v>USDAM3L4Y_Quote</v>
      </c>
      <c r="AC12" s="264">
        <v>1.0379999999999998</v>
      </c>
      <c r="AD12" s="263" t="e">
        <f>_xll.qlSimpleQuoteSetValue($AB12,$AC12/100,Trigger)</f>
        <v>#N/A</v>
      </c>
      <c r="AE12" s="220"/>
      <c r="AF12" s="21"/>
      <c r="AG12" s="21"/>
      <c r="AH12" s="21"/>
      <c r="AI12" s="21"/>
      <c r="AJ12" s="21"/>
      <c r="AK12" s="305">
        <f>(U12-X12)/50</f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0"/>
        <v>USDAM3L5Y_Quote</v>
      </c>
      <c r="F13" s="74" t="str">
        <f>_xll.qlSimpleQuote(Currency&amp;$C13&amp;$D13&amp;$B13&amp;QuoteSuffix,,RateTickValue,Permanent,Trigger,ObjectOverwrite)</f>
        <v>USDAM3L5Y_Quote#0004</v>
      </c>
      <c r="G13" s="191" t="str">
        <f>_xll.ohRangeRetrieveError(F13)</f>
        <v/>
      </c>
      <c r="H13" s="47"/>
      <c r="N13" s="121"/>
      <c r="O13" s="270" t="s">
        <v>105</v>
      </c>
      <c r="P13" s="374" t="str">
        <v>AM</v>
      </c>
      <c r="Q13" s="374" t="str">
        <v>3L</v>
      </c>
      <c r="R13" s="324" t="str">
        <f>Currency&amp;$P13&amp;$Q13&amp;$O13</f>
        <v>USDAM3L5Y</v>
      </c>
      <c r="S13" s="324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22" t="str">
        <f>$R13&amp;$AC$2</f>
        <v>USDAM3L5Y_Quote</v>
      </c>
      <c r="AC13" s="264">
        <v>1.4</v>
      </c>
      <c r="AD13" s="263" t="e">
        <f>_xll.qlSimpleQuoteSetValue($AB13,$AC13/100,Trigger)</f>
        <v>#N/A</v>
      </c>
      <c r="AE13" s="220"/>
      <c r="AF13" s="21"/>
      <c r="AG13" s="21"/>
      <c r="AH13" s="21"/>
      <c r="AI13" s="21"/>
      <c r="AJ13" s="21"/>
      <c r="AK13" s="305">
        <f>(U13-X13)/50</f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0"/>
        <v>USDAM3L6Y_Quote</v>
      </c>
      <c r="F14" s="74" t="str">
        <f>_xll.qlSimpleQuote(Currency&amp;$C14&amp;$D14&amp;$B14&amp;QuoteSuffix,,RateTickValue,Permanent,Trigger,ObjectOverwrite)</f>
        <v>USDAM3L6Y_Quote#0004</v>
      </c>
      <c r="G14" s="191" t="str">
        <f>_xll.ohRangeRetrieveError(F14)</f>
        <v/>
      </c>
      <c r="H14" s="47"/>
      <c r="N14" s="121"/>
      <c r="O14" s="270" t="s">
        <v>104</v>
      </c>
      <c r="P14" s="374" t="str">
        <v>AM</v>
      </c>
      <c r="Q14" s="374" t="str">
        <v>3L</v>
      </c>
      <c r="R14" s="324" t="str">
        <f>Currency&amp;$P14&amp;$Q14&amp;$O14</f>
        <v>USDAM3L6Y</v>
      </c>
      <c r="S14" s="324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22" t="str">
        <f>$R14&amp;$AC$2</f>
        <v>USDAM3L6Y_Quote</v>
      </c>
      <c r="AC14" s="264">
        <v>1.73</v>
      </c>
      <c r="AD14" s="263" t="e">
        <f>_xll.qlSimpleQuoteSetValue($AB14,$AC14/100,Trigger)</f>
        <v>#N/A</v>
      </c>
      <c r="AE14" s="220"/>
      <c r="AF14" s="21"/>
      <c r="AG14" s="21"/>
      <c r="AH14" s="21"/>
      <c r="AI14" s="21"/>
      <c r="AJ14" s="21"/>
      <c r="AK14" s="305">
        <f>(U14-X14)/50</f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0"/>
        <v>USDAM3L7Y_Quote</v>
      </c>
      <c r="F15" s="74" t="str">
        <f>_xll.qlSimpleQuote(Currency&amp;$C15&amp;$D15&amp;$B15&amp;QuoteSuffix,,RateTickValue,Permanent,Trigger,ObjectOverwrite)</f>
        <v>USDAM3L7Y_Quote#0004</v>
      </c>
      <c r="G15" s="191" t="str">
        <f>_xll.ohRangeRetrieveError(F15)</f>
        <v/>
      </c>
      <c r="H15" s="47"/>
      <c r="N15" s="121"/>
      <c r="O15" s="270" t="s">
        <v>103</v>
      </c>
      <c r="P15" s="374" t="str">
        <v>AM</v>
      </c>
      <c r="Q15" s="374" t="str">
        <v>3L</v>
      </c>
      <c r="R15" s="324" t="str">
        <f>Currency&amp;$P15&amp;$Q15&amp;$O15</f>
        <v>USDAM3L7Y</v>
      </c>
      <c r="S15" s="324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22" t="str">
        <f>$R15&amp;$AC$2</f>
        <v>USDAM3L7Y_Quote</v>
      </c>
      <c r="AC15" s="264">
        <v>2.008</v>
      </c>
      <c r="AD15" s="263" t="e">
        <f>_xll.qlSimpleQuoteSetValue($AB15,$AC15/100,Trigger)</f>
        <v>#N/A</v>
      </c>
      <c r="AE15" s="220"/>
      <c r="AF15" s="21"/>
      <c r="AG15" s="21"/>
      <c r="AH15" s="21"/>
      <c r="AI15" s="21"/>
      <c r="AJ15" s="21"/>
      <c r="AK15" s="305">
        <f>(U15-X15)/50</f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0"/>
        <v>USDAM3L8Y_Quote</v>
      </c>
      <c r="F16" s="74" t="str">
        <f>_xll.qlSimpleQuote(Currency&amp;$C16&amp;$D16&amp;$B16&amp;QuoteSuffix,,RateTickValue,Permanent,Trigger,ObjectOverwrite)</f>
        <v>USDAM3L8Y_Quote#0004</v>
      </c>
      <c r="G16" s="191" t="str">
        <f>_xll.ohRangeRetrieveError(F16)</f>
        <v/>
      </c>
      <c r="H16" s="47"/>
      <c r="N16" s="121"/>
      <c r="O16" s="270" t="s">
        <v>102</v>
      </c>
      <c r="P16" s="374" t="str">
        <v>AM</v>
      </c>
      <c r="Q16" s="374" t="str">
        <v>3L</v>
      </c>
      <c r="R16" s="324" t="str">
        <f>Currency&amp;$P16&amp;$Q16&amp;$O16</f>
        <v>USDAM3L8Y</v>
      </c>
      <c r="S16" s="324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22" t="str">
        <f>$R16&amp;$AC$2</f>
        <v>USDAM3L8Y_Quote</v>
      </c>
      <c r="AC16" s="264">
        <v>2.2409999999999997</v>
      </c>
      <c r="AD16" s="263" t="e">
        <f>_xll.qlSimpleQuoteSetValue($AB16,$AC16/100,Trigger)</f>
        <v>#N/A</v>
      </c>
      <c r="AE16" s="220"/>
      <c r="AF16" s="21"/>
      <c r="AG16" s="21"/>
      <c r="AH16" s="21"/>
      <c r="AI16" s="21"/>
      <c r="AJ16" s="21"/>
      <c r="AK16" s="305">
        <f>(U16-X16)/50</f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0"/>
        <v>USDAM3L9Y_Quote</v>
      </c>
      <c r="F17" s="74" t="str">
        <f>_xll.qlSimpleQuote(Currency&amp;$C17&amp;$D17&amp;$B17&amp;QuoteSuffix,,RateTickValue,Permanent,Trigger,ObjectOverwrite)</f>
        <v>USDAM3L9Y_Quote#0004</v>
      </c>
      <c r="G17" s="191" t="str">
        <f>_xll.ohRangeRetrieveError(F17)</f>
        <v/>
      </c>
      <c r="H17" s="47"/>
      <c r="N17" s="121"/>
      <c r="O17" s="270" t="s">
        <v>101</v>
      </c>
      <c r="P17" s="374" t="str">
        <v>AM</v>
      </c>
      <c r="Q17" s="374" t="str">
        <v>3L</v>
      </c>
      <c r="R17" s="324" t="str">
        <f>Currency&amp;$P17&amp;$Q17&amp;$O17</f>
        <v>USDAM3L9Y</v>
      </c>
      <c r="S17" s="324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22" t="str">
        <f>$R17&amp;$AC$2</f>
        <v>USDAM3L9Y_Quote</v>
      </c>
      <c r="AC17" s="264">
        <v>2.4370000000000003</v>
      </c>
      <c r="AD17" s="263" t="e">
        <f>_xll.qlSimpleQuoteSetValue($AB17,$AC17/100,Trigger)</f>
        <v>#N/A</v>
      </c>
      <c r="AE17" s="220"/>
      <c r="AF17" s="21"/>
      <c r="AG17" s="21"/>
      <c r="AH17" s="21"/>
      <c r="AI17" s="21"/>
      <c r="AJ17" s="21"/>
      <c r="AK17" s="305">
        <f>(U17-X17)/50</f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0"/>
        <v>USDAM3L10Y_Quote</v>
      </c>
      <c r="F18" s="74" t="str">
        <f>_xll.qlSimpleQuote(Currency&amp;$C18&amp;$D18&amp;$B18&amp;QuoteSuffix,,RateTickValue,Permanent,Trigger,ObjectOverwrite)</f>
        <v>USDAM3L10Y_Quote#0004</v>
      </c>
      <c r="G18" s="191" t="str">
        <f>_xll.ohRangeRetrieveError(F18)</f>
        <v/>
      </c>
      <c r="H18" s="47"/>
      <c r="N18" s="121"/>
      <c r="O18" s="270" t="s">
        <v>100</v>
      </c>
      <c r="P18" s="374" t="str">
        <v>AM</v>
      </c>
      <c r="Q18" s="374" t="str">
        <v>3L</v>
      </c>
      <c r="R18" s="324" t="str">
        <f>Currency&amp;$P18&amp;$Q18&amp;$O18</f>
        <v>USDAM3L10Y</v>
      </c>
      <c r="S18" s="324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22" t="str">
        <f>$R18&amp;$AC$2</f>
        <v>USDAM3L10Y_Quote</v>
      </c>
      <c r="AC18" s="264">
        <v>2.6020000000000003</v>
      </c>
      <c r="AD18" s="263" t="e">
        <f>_xll.qlSimpleQuoteSetValue($AB18,$AC18/100,Trigger)</f>
        <v>#N/A</v>
      </c>
      <c r="AE18" s="220"/>
      <c r="AF18" s="21"/>
      <c r="AG18" s="21"/>
      <c r="AH18" s="21"/>
      <c r="AI18" s="21"/>
      <c r="AJ18" s="21"/>
      <c r="AK18" s="305">
        <f>(U18-X18)/50</f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0"/>
        <v>USDAM3L11Y_Quote</v>
      </c>
      <c r="F19" s="74" t="str">
        <f>_xll.qlSimpleQuote(Currency&amp;$C19&amp;$D19&amp;$B19&amp;QuoteSuffix,,RateTickValue,Permanent,Trigger,ObjectOverwrite)</f>
        <v>USDAM3L11Y_Quote#0004</v>
      </c>
      <c r="G19" s="191" t="str">
        <f>_xll.ohRangeRetrieveError(F19)</f>
        <v/>
      </c>
      <c r="H19" s="47"/>
      <c r="N19" s="121"/>
      <c r="O19" s="270" t="s">
        <v>99</v>
      </c>
      <c r="P19" s="374" t="str">
        <v>AM</v>
      </c>
      <c r="Q19" s="374" t="str">
        <v>3L</v>
      </c>
      <c r="R19" s="324" t="str">
        <f>Currency&amp;$P19&amp;$Q19&amp;$O19</f>
        <v>USDAM3L11Y</v>
      </c>
      <c r="S19" s="324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22" t="str">
        <f>$R19&amp;$AC$2</f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5" t="e">
        <f>(U19-X19)/50</f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0"/>
        <v>USDAM3L12Y_Quote</v>
      </c>
      <c r="F20" s="74" t="str">
        <f>_xll.qlSimpleQuote(Currency&amp;$C20&amp;$D20&amp;$B20&amp;QuoteSuffix,,RateTickValue,Permanent,Trigger,ObjectOverwrite)</f>
        <v>USDAM3L12Y_Quote#0004</v>
      </c>
      <c r="G20" s="191" t="str">
        <f>_xll.ohRangeRetrieveError(F20)</f>
        <v/>
      </c>
      <c r="H20" s="47"/>
      <c r="N20" s="121"/>
      <c r="O20" s="270" t="s">
        <v>98</v>
      </c>
      <c r="P20" s="374" t="str">
        <v>AM</v>
      </c>
      <c r="Q20" s="374" t="str">
        <v>3L</v>
      </c>
      <c r="R20" s="324" t="str">
        <f>Currency&amp;$P20&amp;$Q20&amp;$O20</f>
        <v>USDAM3L12Y</v>
      </c>
      <c r="S20" s="324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22" t="str">
        <f>$R20&amp;$AC$2</f>
        <v>USDAM3L12Y_Quote</v>
      </c>
      <c r="AC20" s="264">
        <v>2.867</v>
      </c>
      <c r="AD20" s="263" t="e">
        <f>_xll.qlSimpleQuoteSetValue($AB20,$AC20/100,Trigger)</f>
        <v>#N/A</v>
      </c>
      <c r="AE20" s="220"/>
      <c r="AF20" s="21"/>
      <c r="AG20" s="21"/>
      <c r="AH20" s="21"/>
      <c r="AI20" s="21"/>
      <c r="AJ20" s="21"/>
      <c r="AK20" s="305">
        <f>(U20-X20)/50</f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0"/>
        <v>USDAM3L13Y_Quote</v>
      </c>
      <c r="F21" s="74" t="str">
        <f>_xll.qlSimpleQuote(Currency&amp;$C21&amp;$D21&amp;$B21&amp;QuoteSuffix,,RateTickValue,Permanent,Trigger,ObjectOverwrite)</f>
        <v>USDAM3L13Y_Quote#0004</v>
      </c>
      <c r="G21" s="191" t="str">
        <f>_xll.ohRangeRetrieveError(F21)</f>
        <v/>
      </c>
      <c r="H21" s="47"/>
      <c r="N21" s="121"/>
      <c r="O21" s="270" t="s">
        <v>97</v>
      </c>
      <c r="P21" s="374" t="str">
        <v>AM</v>
      </c>
      <c r="Q21" s="374" t="str">
        <v>3L</v>
      </c>
      <c r="R21" s="324" t="str">
        <f>Currency&amp;$P21&amp;$Q21&amp;$O21</f>
        <v>USDAM3L13Y</v>
      </c>
      <c r="S21" s="324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22" t="str">
        <f>$R21&amp;$AC$2</f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5" t="e">
        <f>(U21-X21)/50</f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0"/>
        <v>USDAM3L14Y_Quote</v>
      </c>
      <c r="F22" s="74" t="str">
        <f>_xll.qlSimpleQuote(Currency&amp;$C22&amp;$D22&amp;$B22&amp;QuoteSuffix,,RateTickValue,Permanent,Trigger,ObjectOverwrite)</f>
        <v>USDAM3L14Y_Quote#0004</v>
      </c>
      <c r="G22" s="191" t="str">
        <f>_xll.ohRangeRetrieveError(F22)</f>
        <v/>
      </c>
      <c r="H22" s="47"/>
      <c r="N22" s="121"/>
      <c r="O22" s="270" t="s">
        <v>96</v>
      </c>
      <c r="P22" s="374" t="str">
        <v>AM</v>
      </c>
      <c r="Q22" s="374" t="str">
        <v>3L</v>
      </c>
      <c r="R22" s="324" t="str">
        <f>Currency&amp;$P22&amp;$Q22&amp;$O22</f>
        <v>USDAM3L14Y</v>
      </c>
      <c r="S22" s="324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22" t="str">
        <f>$R22&amp;$AC$2</f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5" t="e">
        <f>(U22-X22)/50</f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0"/>
        <v>USDAM3L15Y_Quote</v>
      </c>
      <c r="F23" s="74" t="str">
        <f>_xll.qlSimpleQuote(Currency&amp;$C23&amp;$D23&amp;$B23&amp;QuoteSuffix,,RateTickValue,Permanent,Trigger,ObjectOverwrite)</f>
        <v>USDAM3L15Y_Quote#0004</v>
      </c>
      <c r="G23" s="191" t="str">
        <f>_xll.ohRangeRetrieveError(F23)</f>
        <v/>
      </c>
      <c r="H23" s="47"/>
      <c r="N23" s="121"/>
      <c r="O23" s="270" t="s">
        <v>95</v>
      </c>
      <c r="P23" s="374" t="str">
        <v>AM</v>
      </c>
      <c r="Q23" s="374" t="str">
        <v>3L</v>
      </c>
      <c r="R23" s="324" t="str">
        <f>Currency&amp;$P23&amp;$Q23&amp;$O23</f>
        <v>USDAM3L15Y</v>
      </c>
      <c r="S23" s="324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22" t="str">
        <f>$R23&amp;$AC$2</f>
        <v>USDAM3L15Y_Quote</v>
      </c>
      <c r="AC23" s="264">
        <v>3.1260000000000003</v>
      </c>
      <c r="AD23" s="263" t="e">
        <f>_xll.qlSimpleQuoteSetValue($AB23,$AC23/100,Trigger)</f>
        <v>#N/A</v>
      </c>
      <c r="AE23" s="220"/>
      <c r="AF23" s="21"/>
      <c r="AG23" s="21"/>
      <c r="AH23" s="21"/>
      <c r="AI23" s="21"/>
      <c r="AJ23" s="21"/>
      <c r="AK23" s="305">
        <f>(U23-X23)/50</f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0"/>
        <v>USDAM3L16Y_Quote</v>
      </c>
      <c r="F24" s="74" t="str">
        <f>_xll.qlSimpleQuote(Currency&amp;$C24&amp;$D24&amp;$B24&amp;QuoteSuffix,,RateTickValue,Permanent,Trigger,ObjectOverwrite)</f>
        <v>USDAM3L16Y_Quote#0004</v>
      </c>
      <c r="G24" s="191" t="str">
        <f>_xll.ohRangeRetrieveError(F24)</f>
        <v/>
      </c>
      <c r="H24" s="47"/>
      <c r="N24" s="121"/>
      <c r="O24" s="270" t="s">
        <v>94</v>
      </c>
      <c r="P24" s="374" t="str">
        <v>AM</v>
      </c>
      <c r="Q24" s="374" t="str">
        <v>3L</v>
      </c>
      <c r="R24" s="324" t="str">
        <f>Currency&amp;$P24&amp;$Q24&amp;$O24</f>
        <v>USDAM3L16Y</v>
      </c>
      <c r="S24" s="324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22" t="str">
        <f>$R24&amp;$AC$2</f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5" t="e">
        <f>(U24-X24)/50</f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0"/>
        <v>USDAM3L17Y_Quote</v>
      </c>
      <c r="F25" s="74" t="str">
        <f>_xll.qlSimpleQuote(Currency&amp;$C25&amp;$D25&amp;$B25&amp;QuoteSuffix,,RateTickValue,Permanent,Trigger,ObjectOverwrite)</f>
        <v>USDAM3L17Y_Quote#0004</v>
      </c>
      <c r="G25" s="191" t="str">
        <f>_xll.ohRangeRetrieveError(F25)</f>
        <v/>
      </c>
      <c r="H25" s="47"/>
      <c r="N25" s="121"/>
      <c r="O25" s="270" t="s">
        <v>93</v>
      </c>
      <c r="P25" s="374" t="str">
        <v>AM</v>
      </c>
      <c r="Q25" s="374" t="str">
        <v>3L</v>
      </c>
      <c r="R25" s="324" t="str">
        <f>Currency&amp;$P25&amp;$Q25&amp;$O25</f>
        <v>USDAM3L17Y</v>
      </c>
      <c r="S25" s="324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22" t="str">
        <f>$R25&amp;$AC$2</f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5" t="e">
        <f>(U25-X25)/50</f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0"/>
        <v>USDAM3L18Y_Quote</v>
      </c>
      <c r="F26" s="74" t="str">
        <f>_xll.qlSimpleQuote(Currency&amp;$C26&amp;$D26&amp;$B26&amp;QuoteSuffix,,RateTickValue,Permanent,Trigger,ObjectOverwrite)</f>
        <v>USDAM3L18Y_Quote#0004</v>
      </c>
      <c r="G26" s="191" t="str">
        <f>_xll.ohRangeRetrieveError(F26)</f>
        <v/>
      </c>
      <c r="H26" s="47"/>
      <c r="N26" s="121"/>
      <c r="O26" s="270" t="s">
        <v>92</v>
      </c>
      <c r="P26" s="374" t="str">
        <v>AM</v>
      </c>
      <c r="Q26" s="374" t="str">
        <v>3L</v>
      </c>
      <c r="R26" s="324" t="str">
        <f>Currency&amp;$P26&amp;$Q26&amp;$O26</f>
        <v>USDAM3L18Y</v>
      </c>
      <c r="S26" s="324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22" t="str">
        <f>$R26&amp;$AC$2</f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5" t="e">
        <f>(U26-X26)/50</f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0"/>
        <v>USDAM3L19Y_Quote</v>
      </c>
      <c r="F27" s="74" t="str">
        <f>_xll.qlSimpleQuote(Currency&amp;$C27&amp;$D27&amp;$B27&amp;QuoteSuffix,,RateTickValue,Permanent,Trigger,ObjectOverwrite)</f>
        <v>USDAM3L19Y_Quote#0004</v>
      </c>
      <c r="G27" s="191" t="str">
        <f>_xll.ohRangeRetrieveError(F27)</f>
        <v/>
      </c>
      <c r="H27" s="47"/>
      <c r="N27" s="121"/>
      <c r="O27" s="270" t="s">
        <v>91</v>
      </c>
      <c r="P27" s="374" t="str">
        <v>AM</v>
      </c>
      <c r="Q27" s="374" t="str">
        <v>3L</v>
      </c>
      <c r="R27" s="324" t="str">
        <f>Currency&amp;$P27&amp;$Q27&amp;$O27</f>
        <v>USDAM3L19Y</v>
      </c>
      <c r="S27" s="324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22" t="str">
        <f>$R27&amp;$AC$2</f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5" t="e">
        <f>(U27-X27)/50</f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0"/>
        <v>USDAM3L20Y_Quote</v>
      </c>
      <c r="F28" s="74" t="str">
        <f>_xll.qlSimpleQuote(Currency&amp;$C28&amp;$D28&amp;$B28&amp;QuoteSuffix,,RateTickValue,Permanent,Trigger,ObjectOverwrite)</f>
        <v>USDAM3L20Y_Quote#0004</v>
      </c>
      <c r="G28" s="191" t="str">
        <f>_xll.ohRangeRetrieveError(F28)</f>
        <v/>
      </c>
      <c r="H28" s="47"/>
      <c r="N28" s="121"/>
      <c r="O28" s="270" t="s">
        <v>90</v>
      </c>
      <c r="P28" s="374" t="str">
        <v>AM</v>
      </c>
      <c r="Q28" s="374" t="str">
        <v>3L</v>
      </c>
      <c r="R28" s="324" t="str">
        <f>Currency&amp;$P28&amp;$Q28&amp;$O28</f>
        <v>USDAM3L20Y</v>
      </c>
      <c r="S28" s="324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22" t="str">
        <f>$R28&amp;$AC$2</f>
        <v>USDAM3L20Y_Quote</v>
      </c>
      <c r="AC28" s="264">
        <v>3.35</v>
      </c>
      <c r="AD28" s="263" t="e">
        <f>_xll.qlSimpleQuoteSetValue($AB28,$AC28/100,Trigger)</f>
        <v>#N/A</v>
      </c>
      <c r="AE28" s="220"/>
      <c r="AF28" s="21"/>
      <c r="AG28" s="21"/>
      <c r="AH28" s="21"/>
      <c r="AI28" s="21"/>
      <c r="AJ28" s="21"/>
      <c r="AK28" s="305">
        <f>(U28-X28)/50</f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0"/>
        <v>USDAM3L21Y_Quote</v>
      </c>
      <c r="F29" s="74" t="str">
        <f>_xll.qlSimpleQuote(Currency&amp;$C29&amp;$D29&amp;$B29&amp;QuoteSuffix,,RateTickValue,Permanent,Trigger,ObjectOverwrite)</f>
        <v>USDAM3L21Y_Quote#0004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4" t="str">
        <f>Currency&amp;$P29&amp;$Q29&amp;$O29</f>
        <v>USDAM3L21Y</v>
      </c>
      <c r="S29" s="324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22" t="str">
        <f>$R29&amp;$AC$2</f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5" t="e">
        <f>(U29-X29)/50</f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0"/>
        <v>USDAM3L22Y_Quote</v>
      </c>
      <c r="F30" s="74" t="str">
        <f>_xll.qlSimpleQuote(Currency&amp;$C30&amp;$D30&amp;$B30&amp;QuoteSuffix,,RateTickValue,Permanent,Trigger,ObjectOverwrite)</f>
        <v>USDAM3L22Y_Quote#0004</v>
      </c>
      <c r="G30" s="191" t="str">
        <f>_xll.ohRangeRetrieveError(F30)</f>
        <v/>
      </c>
      <c r="H30" s="47"/>
      <c r="N30" s="121"/>
      <c r="O30" s="270" t="s">
        <v>88</v>
      </c>
      <c r="P30" s="374" t="str">
        <v>AM</v>
      </c>
      <c r="Q30" s="374" t="str">
        <v>3L</v>
      </c>
      <c r="R30" s="324" t="str">
        <f>Currency&amp;$P30&amp;$Q30&amp;$O30</f>
        <v>USDAM3L22Y</v>
      </c>
      <c r="S30" s="324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22" t="str">
        <f>$R30&amp;$AC$2</f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5" t="e">
        <f>(U30-X30)/50</f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0"/>
        <v>USDAM3L23Y_Quote</v>
      </c>
      <c r="F31" s="74" t="str">
        <f>_xll.qlSimpleQuote(Currency&amp;$C31&amp;$D31&amp;$B31&amp;QuoteSuffix,,RateTickValue,Permanent,Trigger,ObjectOverwrite)</f>
        <v>USDAM3L23Y_Quote#0004</v>
      </c>
      <c r="G31" s="191" t="str">
        <f>_xll.ohRangeRetrieveError(F31)</f>
        <v/>
      </c>
      <c r="H31" s="47"/>
      <c r="N31" s="121"/>
      <c r="O31" s="270" t="s">
        <v>87</v>
      </c>
      <c r="P31" s="374" t="str">
        <v>AM</v>
      </c>
      <c r="Q31" s="374" t="str">
        <v>3L</v>
      </c>
      <c r="R31" s="324" t="str">
        <f>Currency&amp;$P31&amp;$Q31&amp;$O31</f>
        <v>USDAM3L23Y</v>
      </c>
      <c r="S31" s="324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22" t="str">
        <f>$R31&amp;$AC$2</f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5" t="e">
        <f>(U31-X31)/50</f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0"/>
        <v>USDAM3L24Y_Quote</v>
      </c>
      <c r="F32" s="74" t="str">
        <f>_xll.qlSimpleQuote(Currency&amp;$C32&amp;$D32&amp;$B32&amp;QuoteSuffix,,RateTickValue,Permanent,Trigger,ObjectOverwrite)</f>
        <v>USDAM3L24Y_Quote#0004</v>
      </c>
      <c r="G32" s="191" t="str">
        <f>_xll.ohRangeRetrieveError(F32)</f>
        <v/>
      </c>
      <c r="H32" s="47"/>
      <c r="N32" s="121"/>
      <c r="O32" s="270" t="s">
        <v>86</v>
      </c>
      <c r="P32" s="374" t="str">
        <v>AM</v>
      </c>
      <c r="Q32" s="374" t="str">
        <v>3L</v>
      </c>
      <c r="R32" s="324" t="str">
        <f>Currency&amp;$P32&amp;$Q32&amp;$O32</f>
        <v>USDAM3L24Y</v>
      </c>
      <c r="S32" s="324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22" t="str">
        <f>$R32&amp;$AC$2</f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5" t="e">
        <f>(U32-X32)/50</f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0"/>
        <v>USDAM3L25Y_Quote</v>
      </c>
      <c r="F33" s="74" t="str">
        <f>_xll.qlSimpleQuote(Currency&amp;$C33&amp;$D33&amp;$B33&amp;QuoteSuffix,,RateTickValue,Permanent,Trigger,ObjectOverwrite)</f>
        <v>USDAM3L25Y_Quote#0004</v>
      </c>
      <c r="G33" s="191" t="str">
        <f>_xll.ohRangeRetrieveError(F33)</f>
        <v/>
      </c>
      <c r="H33" s="47"/>
      <c r="N33" s="121"/>
      <c r="O33" s="270" t="s">
        <v>85</v>
      </c>
      <c r="P33" s="374" t="str">
        <v>AM</v>
      </c>
      <c r="Q33" s="374" t="str">
        <v>3L</v>
      </c>
      <c r="R33" s="324" t="str">
        <f>Currency&amp;$P33&amp;$Q33&amp;$O33</f>
        <v>USDAM3L25Y</v>
      </c>
      <c r="S33" s="324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22" t="str">
        <f>$R33&amp;$AC$2</f>
        <v>USDAM3L25Y_Quote</v>
      </c>
      <c r="AC33" s="264">
        <v>3.4619999999999997</v>
      </c>
      <c r="AD33" s="263" t="e">
        <f>_xll.qlSimpleQuoteSetValue($AB33,$AC33/100,Trigger)</f>
        <v>#N/A</v>
      </c>
      <c r="AE33" s="220"/>
      <c r="AF33" s="21"/>
      <c r="AG33" s="21"/>
      <c r="AH33" s="21"/>
      <c r="AI33" s="21"/>
      <c r="AJ33" s="21"/>
      <c r="AK33" s="305">
        <f>(U33-X33)/50</f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0"/>
        <v>USDAM3L26Y_Quote</v>
      </c>
      <c r="F34" s="74" t="str">
        <f>_xll.qlSimpleQuote(Currency&amp;$C34&amp;$D34&amp;$B34&amp;QuoteSuffix,,RateTickValue,Permanent,Trigger,ObjectOverwrite)</f>
        <v>USDAM3L26Y_Quote#0004</v>
      </c>
      <c r="G34" s="191" t="str">
        <f>_xll.ohRangeRetrieveError(F34)</f>
        <v/>
      </c>
      <c r="H34" s="47"/>
      <c r="N34" s="121"/>
      <c r="O34" s="270" t="s">
        <v>84</v>
      </c>
      <c r="P34" s="374" t="str">
        <v>AM</v>
      </c>
      <c r="Q34" s="374" t="str">
        <v>3L</v>
      </c>
      <c r="R34" s="324" t="str">
        <f>Currency&amp;$P34&amp;$Q34&amp;$O34</f>
        <v>USDAM3L26Y</v>
      </c>
      <c r="S34" s="324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22" t="str">
        <f>$R34&amp;$AC$2</f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5" t="e">
        <f>(U34-X34)/50</f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0"/>
        <v>USDAM3L27Y_Quote</v>
      </c>
      <c r="F35" s="74" t="str">
        <f>_xll.qlSimpleQuote(Currency&amp;$C35&amp;$D35&amp;$B35&amp;QuoteSuffix,,RateTickValue,Permanent,Trigger,ObjectOverwrite)</f>
        <v>USDAM3L27Y_Quote#0004</v>
      </c>
      <c r="G35" s="191" t="str">
        <f>_xll.ohRangeRetrieveError(F35)</f>
        <v/>
      </c>
      <c r="H35" s="47"/>
      <c r="N35" s="121"/>
      <c r="O35" s="270" t="s">
        <v>83</v>
      </c>
      <c r="P35" s="374" t="str">
        <v>AM</v>
      </c>
      <c r="Q35" s="374" t="str">
        <v>3L</v>
      </c>
      <c r="R35" s="324" t="str">
        <f>Currency&amp;$P35&amp;$Q35&amp;$O35</f>
        <v>USDAM3L27Y</v>
      </c>
      <c r="S35" s="324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22" t="str">
        <f>$R35&amp;$AC$2</f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5" t="e">
        <f>(U35-X35)/50</f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0"/>
        <v>USDAM3L28Y_Quote</v>
      </c>
      <c r="F36" s="74" t="str">
        <f>_xll.qlSimpleQuote(Currency&amp;$C36&amp;$D36&amp;$B36&amp;QuoteSuffix,,RateTickValue,Permanent,Trigger,ObjectOverwrite)</f>
        <v>USDAM3L28Y_Quote#0004</v>
      </c>
      <c r="G36" s="191" t="str">
        <f>_xll.ohRangeRetrieveError(F36)</f>
        <v/>
      </c>
      <c r="H36" s="47"/>
      <c r="N36" s="121"/>
      <c r="O36" s="270" t="s">
        <v>82</v>
      </c>
      <c r="P36" s="374" t="str">
        <v>AM</v>
      </c>
      <c r="Q36" s="374" t="str">
        <v>3L</v>
      </c>
      <c r="R36" s="324" t="str">
        <f>Currency&amp;$P36&amp;$Q36&amp;$O36</f>
        <v>USDAM3L28Y</v>
      </c>
      <c r="S36" s="324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22" t="str">
        <f>$R36&amp;$AC$2</f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5" t="e">
        <f>(U36-X36)/50</f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0"/>
        <v>USDAM3L29Y_Quote</v>
      </c>
      <c r="F37" s="74" t="str">
        <f>_xll.qlSimpleQuote(Currency&amp;$C37&amp;$D37&amp;$B37&amp;QuoteSuffix,,RateTickValue,Permanent,Trigger,ObjectOverwrite)</f>
        <v>USDAM3L29Y_Quote#0004</v>
      </c>
      <c r="G37" s="191" t="str">
        <f>_xll.ohRangeRetrieveError(F37)</f>
        <v/>
      </c>
      <c r="H37" s="47"/>
      <c r="N37" s="121"/>
      <c r="O37" s="270" t="s">
        <v>81</v>
      </c>
      <c r="P37" s="374" t="str">
        <v>AM</v>
      </c>
      <c r="Q37" s="374" t="str">
        <v>3L</v>
      </c>
      <c r="R37" s="324" t="str">
        <f>Currency&amp;$P37&amp;$Q37&amp;$O37</f>
        <v>USDAM3L29Y</v>
      </c>
      <c r="S37" s="324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22" t="str">
        <f>$R37&amp;$AC$2</f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5" t="e">
        <f>(U37-X37)/50</f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0"/>
        <v>USDAM3L30Y_Quote</v>
      </c>
      <c r="F38" s="74" t="str">
        <f>_xll.qlSimpleQuote(Currency&amp;$C38&amp;$D38&amp;$B38&amp;QuoteSuffix,,RateTickValue,Permanent,Trigger,ObjectOverwrite)</f>
        <v>USDAM3L30Y_Quote#0004</v>
      </c>
      <c r="G38" s="191" t="str">
        <f>_xll.ohRangeRetrieveError(F38)</f>
        <v/>
      </c>
      <c r="H38" s="47"/>
      <c r="N38" s="121"/>
      <c r="O38" s="270" t="s">
        <v>80</v>
      </c>
      <c r="P38" s="374" t="str">
        <v>AM</v>
      </c>
      <c r="Q38" s="374" t="str">
        <v>3L</v>
      </c>
      <c r="R38" s="324" t="str">
        <f>Currency&amp;$P38&amp;$Q38&amp;$O38</f>
        <v>USDAM3L30Y</v>
      </c>
      <c r="S38" s="324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22" t="str">
        <f>$R38&amp;$AC$2</f>
        <v>USDAM3L30Y_Quote</v>
      </c>
      <c r="AC38" s="264">
        <v>3.5220000000000002</v>
      </c>
      <c r="AD38" s="263" t="e">
        <f>_xll.qlSimpleQuoteSetValue($AB38,$AC38/100,Trigger)</f>
        <v>#N/A</v>
      </c>
      <c r="AE38" s="220"/>
      <c r="AF38" s="21"/>
      <c r="AG38" s="21"/>
      <c r="AH38" s="21"/>
      <c r="AI38" s="21"/>
      <c r="AJ38" s="21"/>
      <c r="AK38" s="305">
        <f>(U38-X38)/50</f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0"/>
        <v>USDAM3L35Y_Quote</v>
      </c>
      <c r="F39" s="74" t="str">
        <f>_xll.qlSimpleQuote(Currency&amp;$C39&amp;$D39&amp;$B39&amp;QuoteSuffix,,RateTickValue,Permanent,Trigger,ObjectOverwrite)</f>
        <v>USDAM3L35Y_Quote#0004</v>
      </c>
      <c r="G39" s="191" t="str">
        <f>_xll.ohRangeRetrieveError(F39)</f>
        <v/>
      </c>
      <c r="H39" s="47"/>
      <c r="N39" s="121"/>
      <c r="O39" s="270" t="s">
        <v>75</v>
      </c>
      <c r="P39" s="374" t="str">
        <v>AM</v>
      </c>
      <c r="Q39" s="374" t="str">
        <v>3L</v>
      </c>
      <c r="R39" s="324" t="str">
        <f>Currency&amp;$P39&amp;$Q39&amp;$O39</f>
        <v>USDAM3L35Y</v>
      </c>
      <c r="S39" s="324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22" t="str">
        <f>$R39&amp;$AC$2</f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5" t="e">
        <f>(U39-X39)/50</f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0"/>
        <v>USDAM3L40Y_Quote</v>
      </c>
      <c r="F40" s="74" t="str">
        <f>_xll.qlSimpleQuote(Currency&amp;$C40&amp;$D40&amp;$B40&amp;QuoteSuffix,,RateTickValue,Permanent,Trigger,ObjectOverwrite)</f>
        <v>USDAM3L40Y_Quote#0004</v>
      </c>
      <c r="G40" s="191" t="str">
        <f>_xll.ohRangeRetrieveError(F40)</f>
        <v/>
      </c>
      <c r="H40" s="47"/>
      <c r="N40" s="121"/>
      <c r="O40" s="270" t="s">
        <v>70</v>
      </c>
      <c r="P40" s="374" t="str">
        <v>AM</v>
      </c>
      <c r="Q40" s="374" t="str">
        <v>3L</v>
      </c>
      <c r="R40" s="324" t="str">
        <f>Currency&amp;$P40&amp;$Q40&amp;$O40</f>
        <v>USDAM3L40Y</v>
      </c>
      <c r="S40" s="324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22" t="str">
        <f>$R40&amp;$AC$2</f>
        <v>USDAM3L40Y_Quote</v>
      </c>
      <c r="AC40" s="264">
        <v>3.5369999999999999</v>
      </c>
      <c r="AD40" s="263" t="e">
        <f>_xll.qlSimpleQuoteSetValue($AB40,$AC40/100,Trigger)</f>
        <v>#N/A</v>
      </c>
      <c r="AE40" s="220"/>
      <c r="AF40" s="21"/>
      <c r="AG40" s="21"/>
      <c r="AH40" s="21"/>
      <c r="AI40" s="21"/>
      <c r="AJ40" s="21"/>
      <c r="AK40" s="305">
        <f>(U40-X40)/50</f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0"/>
        <v>USDAM3L50Y_Quote</v>
      </c>
      <c r="F41" s="74" t="str">
        <f>_xll.qlSimpleQuote(Currency&amp;$C41&amp;$D41&amp;$B41&amp;QuoteSuffix,,RateTickValue,Permanent,Trigger,ObjectOverwrite)</f>
        <v>USDAM3L50Y_Quote#0004</v>
      </c>
      <c r="G41" s="191" t="str">
        <f>_xll.ohRangeRetrieveError(F41)</f>
        <v/>
      </c>
      <c r="H41" s="47"/>
      <c r="N41" s="121"/>
      <c r="O41" s="270" t="s">
        <v>60</v>
      </c>
      <c r="P41" s="374" t="str">
        <v>AM</v>
      </c>
      <c r="Q41" s="374" t="str">
        <v>3L</v>
      </c>
      <c r="R41" s="324" t="str">
        <f>Currency&amp;$P41&amp;$Q41&amp;$O41</f>
        <v>USDAM3L50Y</v>
      </c>
      <c r="S41" s="324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22" t="str">
        <f>$R41&amp;$AC$2</f>
        <v>USDAM3L50Y_Quote</v>
      </c>
      <c r="AC41" s="264">
        <v>3.524</v>
      </c>
      <c r="AD41" s="263" t="e">
        <f>_xll.qlSimpleQuoteSetValue($AB41,$AC41/100,Trigger)</f>
        <v>#N/A</v>
      </c>
      <c r="AE41" s="220"/>
      <c r="AF41" s="21"/>
      <c r="AG41" s="21"/>
      <c r="AH41" s="21"/>
      <c r="AI41" s="21"/>
      <c r="AJ41" s="21"/>
      <c r="AK41" s="305">
        <f>(U41-X41)/50</f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0"/>
        <v>USDAM3L60Y_Quote</v>
      </c>
      <c r="F42" s="74" t="str">
        <f>_xll.qlSimpleQuote(Currency&amp;$C42&amp;$D42&amp;$B42&amp;QuoteSuffix,,RateTickValue,Permanent,Trigger,ObjectOverwrite)</f>
        <v>USDAM3L60Y_Quote#0004</v>
      </c>
      <c r="G42" s="191" t="str">
        <f>_xll.ohRangeRetrieveError(F42)</f>
        <v/>
      </c>
      <c r="H42" s="47"/>
      <c r="N42" s="121"/>
      <c r="O42" s="282" t="s">
        <v>50</v>
      </c>
      <c r="P42" s="394" t="str">
        <v>AM</v>
      </c>
      <c r="Q42" s="394" t="str">
        <v>3L</v>
      </c>
      <c r="R42" s="319" t="str">
        <f>Currency&amp;$P42&amp;$Q42&amp;$O42</f>
        <v>USDAM3L60Y</v>
      </c>
      <c r="S42" s="319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7" t="str">
        <f>$R42&amp;$AC$2</f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5" t="e">
        <f>(U42-X42)/50</f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45"/>
      <c r="Q43" s="45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7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3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8" width="4.42578125" style="102" customWidth="1"/>
    <col min="9" max="9" width="2.4257812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6384" width="9.140625" style="102"/>
  </cols>
  <sheetData>
    <row r="1" spans="1:37" ht="12" thickBot="1" x14ac:dyDescent="0.25">
      <c r="N1" s="337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3"/>
      <c r="O2" s="136"/>
      <c r="P2" s="302"/>
      <c r="Q2" s="302"/>
      <c r="R2" s="302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3" t="s">
        <v>265</v>
      </c>
      <c r="AC2" s="392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7"/>
      <c r="P4" s="196"/>
      <c r="Q4" s="196"/>
      <c r="R4" s="196"/>
      <c r="S4" s="261" t="e">
        <f ca="1">_xll.RData(S5:S42,T4:W4,"RTFEED:IDN",ReutersRtMode,,T5)</f>
        <v>#NAME?</v>
      </c>
      <c r="T4" s="334" t="s">
        <v>233</v>
      </c>
      <c r="U4" s="334" t="s">
        <v>232</v>
      </c>
      <c r="V4" s="334" t="s">
        <v>250</v>
      </c>
      <c r="W4" s="334" t="s">
        <v>269</v>
      </c>
      <c r="X4" s="293" t="s">
        <v>268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  <c r="AJ4" s="21"/>
      <c r="AK4" s="332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6" t="str">
        <f t="array" ref="P5:P42">VLOOKUP(Currency,Conventions,2)</f>
        <v>AM</v>
      </c>
      <c r="Q5" s="326" t="str">
        <f t="array" ref="Q5:Q42">VLOOKUP(Currency,Conventions,3)</f>
        <v>6L</v>
      </c>
      <c r="R5" s="269" t="str">
        <f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2" t="str">
        <f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5" t="s">
        <v>132</v>
      </c>
      <c r="AH5" s="86" t="s">
        <v>212</v>
      </c>
      <c r="AI5" s="85" t="s">
        <v>126</v>
      </c>
      <c r="AJ5" s="21"/>
      <c r="AK5" s="305" t="e">
        <f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0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USDAM6L1Y_Quote#0004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6" t="str">
        <v>AM</v>
      </c>
      <c r="Q6" s="326" t="str">
        <v>6L</v>
      </c>
      <c r="R6" s="269" t="str">
        <f>Currency&amp;$P6&amp;$Q6&amp;$O6</f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22" t="str">
        <f>$R6&amp;$AC$2</f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5" t="e">
        <f>(U6-X6)/50</f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0"/>
        <v>USDAM6L15M_Quote</v>
      </c>
      <c r="F7" s="74" t="str">
        <f>_xll.qlSimpleQuote(Currency&amp;$C7&amp;$D7&amp;$B7&amp;QuoteSuffix,,RateTickValue,Permanent,Trigger,ObjectOverwrite)</f>
        <v>USDAM6L15M_Quote#0004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6" t="str">
        <v>AM</v>
      </c>
      <c r="Q7" s="326" t="str">
        <v>6L</v>
      </c>
      <c r="R7" s="269" t="str">
        <f>Currency&amp;$P7&amp;$Q7&amp;$O7</f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22" t="str">
        <f>$R7&amp;$AC$2</f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6"/>
      <c r="AK7" s="305" t="e">
        <f>(U7-X7)/50</f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0"/>
        <v>USDAM6L18M_Quote</v>
      </c>
      <c r="F8" s="74" t="str">
        <f>_xll.qlSimpleQuote(Currency&amp;$C8&amp;$D8&amp;$B8&amp;QuoteSuffix,,RateTickValue,Permanent,Trigger,ObjectOverwrite)</f>
        <v>USDAM6L18M_Quote#0004</v>
      </c>
      <c r="G8" s="73" t="str">
        <f>_xll.ohRangeRetrieveError(F8)</f>
        <v/>
      </c>
      <c r="H8" s="47"/>
      <c r="N8" s="121"/>
      <c r="O8" s="270" t="s">
        <v>134</v>
      </c>
      <c r="P8" s="326" t="str">
        <v>AM</v>
      </c>
      <c r="Q8" s="326" t="str">
        <v>6L</v>
      </c>
      <c r="R8" s="269" t="str">
        <f>Currency&amp;$P8&amp;$Q8&amp;$O8</f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22" t="str">
        <f>$R8&amp;$AC$2</f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6"/>
      <c r="AK8" s="305" t="e">
        <f>(U8-X8)/50</f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0"/>
        <v>USDAM6L21M_Quote</v>
      </c>
      <c r="F9" s="74" t="str">
        <f>_xll.qlSimpleQuote(Currency&amp;$C9&amp;$D9&amp;$B9&amp;QuoteSuffix,,RateTickValue,Permanent,Trigger,ObjectOverwrite)</f>
        <v>USDAM6L21M_Quote#0004</v>
      </c>
      <c r="G9" s="73" t="str">
        <f>_xll.ohRangeRetrieveError(F9)</f>
        <v/>
      </c>
      <c r="H9" s="47"/>
      <c r="N9" s="121"/>
      <c r="O9" s="270" t="s">
        <v>133</v>
      </c>
      <c r="P9" s="326" t="str">
        <v>AM</v>
      </c>
      <c r="Q9" s="326" t="str">
        <v>6L</v>
      </c>
      <c r="R9" s="269" t="str">
        <f>Currency&amp;$P9&amp;$Q9&amp;$O9</f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22" t="str">
        <f>$R9&amp;$AC$2</f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5" t="e">
        <f>(U9-X9)/50</f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0"/>
        <v>USDAM6L2Y_Quote</v>
      </c>
      <c r="F10" s="74" t="str">
        <f>_xll.qlSimpleQuote(Currency&amp;$C10&amp;$D10&amp;$B10&amp;QuoteSuffix,,RateTickValue,Permanent,Trigger,ObjectOverwrite)</f>
        <v>USDAM6L2Y_Quote#0004</v>
      </c>
      <c r="G10" s="73" t="str">
        <f>_xll.ohRangeRetrieveError(F10)</f>
        <v/>
      </c>
      <c r="H10" s="47"/>
      <c r="N10" s="121"/>
      <c r="O10" s="270" t="s">
        <v>108</v>
      </c>
      <c r="P10" s="326" t="str">
        <v>AM</v>
      </c>
      <c r="Q10" s="326" t="str">
        <v>6L</v>
      </c>
      <c r="R10" s="269" t="str">
        <f>Currency&amp;$P10&amp;$Q10&amp;$O10</f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22" t="str">
        <f>$R10&amp;$AC$2</f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5" t="e">
        <f>(U10-X10)/50</f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0"/>
        <v>USDAM6L3Y_Quote</v>
      </c>
      <c r="F11" s="74" t="str">
        <f>_xll.qlSimpleQuote(Currency&amp;$C11&amp;$D11&amp;$B11&amp;QuoteSuffix,,RateTickValue,Permanent,Trigger,ObjectOverwrite)</f>
        <v>USDAM6L3Y_Quote#0004</v>
      </c>
      <c r="G11" s="73" t="str">
        <f>_xll.ohRangeRetrieveError(F11)</f>
        <v/>
      </c>
      <c r="H11" s="47"/>
      <c r="N11" s="121"/>
      <c r="O11" s="270" t="s">
        <v>107</v>
      </c>
      <c r="P11" s="326" t="str">
        <v>AM</v>
      </c>
      <c r="Q11" s="326" t="str">
        <v>6L</v>
      </c>
      <c r="R11" s="269" t="str">
        <f>Currency&amp;$P11&amp;$Q11&amp;$O11</f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22" t="str">
        <f>$R11&amp;$AC$2</f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5" t="e">
        <f>(U11-X11)/50</f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0"/>
        <v>USDAM6L4Y_Quote</v>
      </c>
      <c r="F12" s="74" t="str">
        <f>_xll.qlSimpleQuote(Currency&amp;$C12&amp;$D12&amp;$B12&amp;QuoteSuffix,,RateTickValue,Permanent,Trigger,ObjectOverwrite)</f>
        <v>USDAM6L4Y_Quote#0004</v>
      </c>
      <c r="G12" s="73" t="str">
        <f>_xll.ohRangeRetrieveError(F12)</f>
        <v/>
      </c>
      <c r="H12" s="47"/>
      <c r="N12" s="121"/>
      <c r="O12" s="270" t="s">
        <v>106</v>
      </c>
      <c r="P12" s="326" t="str">
        <v>AM</v>
      </c>
      <c r="Q12" s="326" t="str">
        <v>6L</v>
      </c>
      <c r="R12" s="269" t="str">
        <f>Currency&amp;$P12&amp;$Q12&amp;$O12</f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22" t="str">
        <f>$R12&amp;$AC$2</f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5" t="e">
        <f>(U12-X12)/50</f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0"/>
        <v>USDAM6L5Y_Quote</v>
      </c>
      <c r="F13" s="74" t="str">
        <f>_xll.qlSimpleQuote(Currency&amp;$C13&amp;$D13&amp;$B13&amp;QuoteSuffix,,RateTickValue,Permanent,Trigger,ObjectOverwrite)</f>
        <v>USDAM6L5Y_Quote#0004</v>
      </c>
      <c r="G13" s="73" t="str">
        <f>_xll.ohRangeRetrieveError(F13)</f>
        <v/>
      </c>
      <c r="H13" s="47"/>
      <c r="N13" s="121"/>
      <c r="O13" s="270" t="s">
        <v>105</v>
      </c>
      <c r="P13" s="326" t="str">
        <v>AM</v>
      </c>
      <c r="Q13" s="326" t="str">
        <v>6L</v>
      </c>
      <c r="R13" s="269" t="str">
        <f>Currency&amp;$P13&amp;$Q13&amp;$O13</f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22" t="str">
        <f>$R13&amp;$AC$2</f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5" t="e">
        <f>(U13-X13)/50</f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0"/>
        <v>USDAM6L6Y_Quote</v>
      </c>
      <c r="F14" s="74" t="str">
        <f>_xll.qlSimpleQuote(Currency&amp;$C14&amp;$D14&amp;$B14&amp;QuoteSuffix,,RateTickValue,Permanent,Trigger,ObjectOverwrite)</f>
        <v>USDAM6L6Y_Quote#0004</v>
      </c>
      <c r="G14" s="73" t="str">
        <f>_xll.ohRangeRetrieveError(F14)</f>
        <v/>
      </c>
      <c r="H14" s="47"/>
      <c r="N14" s="121"/>
      <c r="O14" s="270" t="s">
        <v>104</v>
      </c>
      <c r="P14" s="326" t="str">
        <v>AM</v>
      </c>
      <c r="Q14" s="326" t="str">
        <v>6L</v>
      </c>
      <c r="R14" s="269" t="str">
        <f>Currency&amp;$P14&amp;$Q14&amp;$O14</f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22" t="str">
        <f>$R14&amp;$AC$2</f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5" t="e">
        <f>(U14-X14)/50</f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0"/>
        <v>USDAM6L7Y_Quote</v>
      </c>
      <c r="F15" s="74" t="str">
        <f>_xll.qlSimpleQuote(Currency&amp;$C15&amp;$D15&amp;$B15&amp;QuoteSuffix,,RateTickValue,Permanent,Trigger,ObjectOverwrite)</f>
        <v>USDAM6L7Y_Quote#0004</v>
      </c>
      <c r="G15" s="73" t="str">
        <f>_xll.ohRangeRetrieveError(F15)</f>
        <v/>
      </c>
      <c r="H15" s="47"/>
      <c r="N15" s="121"/>
      <c r="O15" s="270" t="s">
        <v>103</v>
      </c>
      <c r="P15" s="326" t="str">
        <v>AM</v>
      </c>
      <c r="Q15" s="326" t="str">
        <v>6L</v>
      </c>
      <c r="R15" s="269" t="str">
        <f>Currency&amp;$P15&amp;$Q15&amp;$O15</f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22" t="str">
        <f>$R15&amp;$AC$2</f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5" t="e">
        <f>(U15-X15)/50</f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0"/>
        <v>USDAM6L8Y_Quote</v>
      </c>
      <c r="F16" s="74" t="str">
        <f>_xll.qlSimpleQuote(Currency&amp;$C16&amp;$D16&amp;$B16&amp;QuoteSuffix,,RateTickValue,Permanent,Trigger,ObjectOverwrite)</f>
        <v>USDAM6L8Y_Quote#0004</v>
      </c>
      <c r="G16" s="73" t="str">
        <f>_xll.ohRangeRetrieveError(F16)</f>
        <v/>
      </c>
      <c r="H16" s="47"/>
      <c r="N16" s="121"/>
      <c r="O16" s="270" t="s">
        <v>102</v>
      </c>
      <c r="P16" s="326" t="str">
        <v>AM</v>
      </c>
      <c r="Q16" s="326" t="str">
        <v>6L</v>
      </c>
      <c r="R16" s="269" t="str">
        <f>Currency&amp;$P16&amp;$Q16&amp;$O16</f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22" t="str">
        <f>$R16&amp;$AC$2</f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5" t="e">
        <f>(U16-X16)/50</f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0"/>
        <v>USDAM6L9Y_Quote</v>
      </c>
      <c r="F17" s="74" t="str">
        <f>_xll.qlSimpleQuote(Currency&amp;$C17&amp;$D17&amp;$B17&amp;QuoteSuffix,,RateTickValue,Permanent,Trigger,ObjectOverwrite)</f>
        <v>USDAM6L9Y_Quote#0004</v>
      </c>
      <c r="G17" s="73" t="str">
        <f>_xll.ohRangeRetrieveError(F17)</f>
        <v/>
      </c>
      <c r="H17" s="47"/>
      <c r="N17" s="121"/>
      <c r="O17" s="270" t="s">
        <v>101</v>
      </c>
      <c r="P17" s="326" t="str">
        <v>AM</v>
      </c>
      <c r="Q17" s="326" t="str">
        <v>6L</v>
      </c>
      <c r="R17" s="269" t="str">
        <f>Currency&amp;$P17&amp;$Q17&amp;$O17</f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22" t="str">
        <f>$R17&amp;$AC$2</f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5" t="e">
        <f>(U17-X17)/50</f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0"/>
        <v>USDAM6L10Y_Quote</v>
      </c>
      <c r="F18" s="74" t="str">
        <f>_xll.qlSimpleQuote(Currency&amp;$C18&amp;$D18&amp;$B18&amp;QuoteSuffix,,RateTickValue,Permanent,Trigger,ObjectOverwrite)</f>
        <v>USDAM6L10Y_Quote#0004</v>
      </c>
      <c r="G18" s="73" t="str">
        <f>_xll.ohRangeRetrieveError(F18)</f>
        <v/>
      </c>
      <c r="H18" s="47"/>
      <c r="N18" s="121"/>
      <c r="O18" s="270" t="s">
        <v>100</v>
      </c>
      <c r="P18" s="326" t="str">
        <v>AM</v>
      </c>
      <c r="Q18" s="326" t="str">
        <v>6L</v>
      </c>
      <c r="R18" s="269" t="str">
        <f>Currency&amp;$P18&amp;$Q18&amp;$O18</f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22" t="str">
        <f>$R18&amp;$AC$2</f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5" t="e">
        <f>(U18-X18)/50</f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0"/>
        <v>USDAM6L11Y_Quote</v>
      </c>
      <c r="F19" s="74" t="str">
        <f>_xll.qlSimpleQuote(Currency&amp;$C19&amp;$D19&amp;$B19&amp;QuoteSuffix,,RateTickValue,Permanent,Trigger,ObjectOverwrite)</f>
        <v>USDAM6L11Y_Quote#0004</v>
      </c>
      <c r="G19" s="73" t="str">
        <f>_xll.ohRangeRetrieveError(F19)</f>
        <v/>
      </c>
      <c r="H19" s="47"/>
      <c r="N19" s="121"/>
      <c r="O19" s="270" t="s">
        <v>99</v>
      </c>
      <c r="P19" s="326" t="str">
        <v>AM</v>
      </c>
      <c r="Q19" s="326" t="str">
        <v>6L</v>
      </c>
      <c r="R19" s="269" t="str">
        <f>Currency&amp;$P19&amp;$Q19&amp;$O19</f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22" t="str">
        <f>$R19&amp;$AC$2</f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5" t="e">
        <f>(U19-X19)/50</f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0"/>
        <v>USDAM6L12Y_Quote</v>
      </c>
      <c r="F20" s="74" t="str">
        <f>_xll.qlSimpleQuote(Currency&amp;$C20&amp;$D20&amp;$B20&amp;QuoteSuffix,,RateTickValue,Permanent,Trigger,ObjectOverwrite)</f>
        <v>USDAM6L12Y_Quote#0004</v>
      </c>
      <c r="G20" s="73" t="str">
        <f>_xll.ohRangeRetrieveError(F20)</f>
        <v/>
      </c>
      <c r="H20" s="47"/>
      <c r="N20" s="121"/>
      <c r="O20" s="270" t="s">
        <v>98</v>
      </c>
      <c r="P20" s="326" t="str">
        <v>AM</v>
      </c>
      <c r="Q20" s="326" t="str">
        <v>6L</v>
      </c>
      <c r="R20" s="269" t="str">
        <f>Currency&amp;$P20&amp;$Q20&amp;$O20</f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22" t="str">
        <f>$R20&amp;$AC$2</f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5" t="e">
        <f>(U20-X20)/50</f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0"/>
        <v>USDAM6L13Y_Quote</v>
      </c>
      <c r="F21" s="74" t="str">
        <f>_xll.qlSimpleQuote(Currency&amp;$C21&amp;$D21&amp;$B21&amp;QuoteSuffix,,RateTickValue,Permanent,Trigger,ObjectOverwrite)</f>
        <v>USDAM6L13Y_Quote#0004</v>
      </c>
      <c r="G21" s="73" t="str">
        <f>_xll.ohRangeRetrieveError(F21)</f>
        <v/>
      </c>
      <c r="H21" s="47"/>
      <c r="N21" s="121"/>
      <c r="O21" s="270" t="s">
        <v>97</v>
      </c>
      <c r="P21" s="326" t="str">
        <v>AM</v>
      </c>
      <c r="Q21" s="326" t="str">
        <v>6L</v>
      </c>
      <c r="R21" s="269" t="str">
        <f>Currency&amp;$P21&amp;$Q21&amp;$O21</f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22" t="str">
        <f>$R21&amp;$AC$2</f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5" t="e">
        <f>(U21-X21)/50</f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0"/>
        <v>USDAM6L14Y_Quote</v>
      </c>
      <c r="F22" s="74" t="str">
        <f>_xll.qlSimpleQuote(Currency&amp;$C22&amp;$D22&amp;$B22&amp;QuoteSuffix,,RateTickValue,Permanent,Trigger,ObjectOverwrite)</f>
        <v>USDAM6L14Y_Quote#0004</v>
      </c>
      <c r="G22" s="73" t="str">
        <f>_xll.ohRangeRetrieveError(F22)</f>
        <v/>
      </c>
      <c r="H22" s="47"/>
      <c r="N22" s="121"/>
      <c r="O22" s="270" t="s">
        <v>96</v>
      </c>
      <c r="P22" s="326" t="str">
        <v>AM</v>
      </c>
      <c r="Q22" s="326" t="str">
        <v>6L</v>
      </c>
      <c r="R22" s="269" t="str">
        <f>Currency&amp;$P22&amp;$Q22&amp;$O22</f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22" t="str">
        <f>$R22&amp;$AC$2</f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5" t="e">
        <f>(U22-X22)/50</f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0"/>
        <v>USDAM6L15Y_Quote</v>
      </c>
      <c r="F23" s="74" t="str">
        <f>_xll.qlSimpleQuote(Currency&amp;$C23&amp;$D23&amp;$B23&amp;QuoteSuffix,,RateTickValue,Permanent,Trigger,ObjectOverwrite)</f>
        <v>USDAM6L15Y_Quote#0004</v>
      </c>
      <c r="G23" s="73" t="str">
        <f>_xll.ohRangeRetrieveError(F23)</f>
        <v/>
      </c>
      <c r="H23" s="47"/>
      <c r="N23" s="121"/>
      <c r="O23" s="270" t="s">
        <v>95</v>
      </c>
      <c r="P23" s="326" t="str">
        <v>AM</v>
      </c>
      <c r="Q23" s="326" t="str">
        <v>6L</v>
      </c>
      <c r="R23" s="269" t="str">
        <f>Currency&amp;$P23&amp;$Q23&amp;$O23</f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22" t="str">
        <f>$R23&amp;$AC$2</f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5" t="e">
        <f>(U23-X23)/50</f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0"/>
        <v>USDAM6L16Y_Quote</v>
      </c>
      <c r="F24" s="74" t="str">
        <f>_xll.qlSimpleQuote(Currency&amp;$C24&amp;$D24&amp;$B24&amp;QuoteSuffix,,RateTickValue,Permanent,Trigger,ObjectOverwrite)</f>
        <v>USDAM6L16Y_Quote#0004</v>
      </c>
      <c r="G24" s="73" t="str">
        <f>_xll.ohRangeRetrieveError(F24)</f>
        <v/>
      </c>
      <c r="H24" s="47"/>
      <c r="N24" s="121"/>
      <c r="O24" s="270" t="s">
        <v>94</v>
      </c>
      <c r="P24" s="326" t="str">
        <v>AM</v>
      </c>
      <c r="Q24" s="326" t="str">
        <v>6L</v>
      </c>
      <c r="R24" s="269" t="str">
        <f>Currency&amp;$P24&amp;$Q24&amp;$O24</f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22" t="str">
        <f>$R24&amp;$AC$2</f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5" t="e">
        <f>(U24-X24)/50</f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0"/>
        <v>USDAM6L17Y_Quote</v>
      </c>
      <c r="F25" s="74" t="str">
        <f>_xll.qlSimpleQuote(Currency&amp;$C25&amp;$D25&amp;$B25&amp;QuoteSuffix,,RateTickValue,Permanent,Trigger,ObjectOverwrite)</f>
        <v>USDAM6L17Y_Quote#0004</v>
      </c>
      <c r="G25" s="73" t="str">
        <f>_xll.ohRangeRetrieveError(F25)</f>
        <v/>
      </c>
      <c r="H25" s="47"/>
      <c r="N25" s="121"/>
      <c r="O25" s="270" t="s">
        <v>93</v>
      </c>
      <c r="P25" s="326" t="str">
        <v>AM</v>
      </c>
      <c r="Q25" s="326" t="str">
        <v>6L</v>
      </c>
      <c r="R25" s="269" t="str">
        <f>Currency&amp;$P25&amp;$Q25&amp;$O25</f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22" t="str">
        <f>$R25&amp;$AC$2</f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5" t="e">
        <f>(U25-X25)/50</f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0"/>
        <v>USDAM6L18Y_Quote</v>
      </c>
      <c r="F26" s="74" t="str">
        <f>_xll.qlSimpleQuote(Currency&amp;$C26&amp;$D26&amp;$B26&amp;QuoteSuffix,,RateTickValue,Permanent,Trigger,ObjectOverwrite)</f>
        <v>USDAM6L18Y_Quote#0004</v>
      </c>
      <c r="G26" s="73" t="str">
        <f>_xll.ohRangeRetrieveError(F26)</f>
        <v/>
      </c>
      <c r="H26" s="47"/>
      <c r="N26" s="121"/>
      <c r="O26" s="270" t="s">
        <v>92</v>
      </c>
      <c r="P26" s="326" t="str">
        <v>AM</v>
      </c>
      <c r="Q26" s="326" t="str">
        <v>6L</v>
      </c>
      <c r="R26" s="269" t="str">
        <f>Currency&amp;$P26&amp;$Q26&amp;$O26</f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22" t="str">
        <f>$R26&amp;$AC$2</f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5" t="e">
        <f>(U26-X26)/50</f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0"/>
        <v>USDAM6L19Y_Quote</v>
      </c>
      <c r="F27" s="74" t="str">
        <f>_xll.qlSimpleQuote(Currency&amp;$C27&amp;$D27&amp;$B27&amp;QuoteSuffix,,RateTickValue,Permanent,Trigger,ObjectOverwrite)</f>
        <v>USDAM6L19Y_Quote#0004</v>
      </c>
      <c r="G27" s="73" t="str">
        <f>_xll.ohRangeRetrieveError(F27)</f>
        <v/>
      </c>
      <c r="H27" s="47"/>
      <c r="N27" s="121"/>
      <c r="O27" s="270" t="s">
        <v>91</v>
      </c>
      <c r="P27" s="326" t="str">
        <v>AM</v>
      </c>
      <c r="Q27" s="326" t="str">
        <v>6L</v>
      </c>
      <c r="R27" s="269" t="str">
        <f>Currency&amp;$P27&amp;$Q27&amp;$O27</f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22" t="str">
        <f>$R27&amp;$AC$2</f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5" t="e">
        <f>(U27-X27)/50</f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0"/>
        <v>USDAM6L20Y_Quote</v>
      </c>
      <c r="F28" s="74" t="str">
        <f>_xll.qlSimpleQuote(Currency&amp;$C28&amp;$D28&amp;$B28&amp;QuoteSuffix,,RateTickValue,Permanent,Trigger,ObjectOverwrite)</f>
        <v>USDAM6L20Y_Quote#0004</v>
      </c>
      <c r="G28" s="73" t="str">
        <f>_xll.ohRangeRetrieveError(F28)</f>
        <v/>
      </c>
      <c r="H28" s="47"/>
      <c r="N28" s="121"/>
      <c r="O28" s="270" t="s">
        <v>90</v>
      </c>
      <c r="P28" s="326" t="str">
        <v>AM</v>
      </c>
      <c r="Q28" s="326" t="str">
        <v>6L</v>
      </c>
      <c r="R28" s="269" t="str">
        <f>Currency&amp;$P28&amp;$Q28&amp;$O28</f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22" t="str">
        <f>$R28&amp;$AC$2</f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5" t="e">
        <f>(U28-X28)/50</f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0"/>
        <v>USDAM6L21Y_Quote</v>
      </c>
      <c r="F29" s="74" t="str">
        <f>_xll.qlSimpleQuote(Currency&amp;$C29&amp;$D29&amp;$B29&amp;QuoteSuffix,,RateTickValue,Permanent,Trigger,ObjectOverwrite)</f>
        <v>USDAM6L21Y_Quote#0004</v>
      </c>
      <c r="G29" s="73" t="str">
        <f>_xll.ohRangeRetrieveError(F29)</f>
        <v/>
      </c>
      <c r="H29" s="47"/>
      <c r="N29" s="121"/>
      <c r="O29" s="270" t="s">
        <v>89</v>
      </c>
      <c r="P29" s="326" t="str">
        <v>AM</v>
      </c>
      <c r="Q29" s="326" t="str">
        <v>6L</v>
      </c>
      <c r="R29" s="269" t="str">
        <f>Currency&amp;$P29&amp;$Q29&amp;$O29</f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22" t="str">
        <f>$R29&amp;$AC$2</f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5" t="e">
        <f>(U29-X29)/50</f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0"/>
        <v>USDAM6L22Y_Quote</v>
      </c>
      <c r="F30" s="74" t="str">
        <f>_xll.qlSimpleQuote(Currency&amp;$C30&amp;$D30&amp;$B30&amp;QuoteSuffix,,RateTickValue,Permanent,Trigger,ObjectOverwrite)</f>
        <v>USDAM6L22Y_Quote#0004</v>
      </c>
      <c r="G30" s="73" t="str">
        <f>_xll.ohRangeRetrieveError(F30)</f>
        <v/>
      </c>
      <c r="H30" s="47"/>
      <c r="N30" s="121"/>
      <c r="O30" s="270" t="s">
        <v>88</v>
      </c>
      <c r="P30" s="326" t="str">
        <v>AM</v>
      </c>
      <c r="Q30" s="326" t="str">
        <v>6L</v>
      </c>
      <c r="R30" s="269" t="str">
        <f>Currency&amp;$P30&amp;$Q30&amp;$O30</f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22" t="str">
        <f>$R30&amp;$AC$2</f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5" t="e">
        <f>(U30-X30)/50</f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0"/>
        <v>USDAM6L23Y_Quote</v>
      </c>
      <c r="F31" s="74" t="str">
        <f>_xll.qlSimpleQuote(Currency&amp;$C31&amp;$D31&amp;$B31&amp;QuoteSuffix,,RateTickValue,Permanent,Trigger,ObjectOverwrite)</f>
        <v>USDAM6L23Y_Quote#0004</v>
      </c>
      <c r="G31" s="73" t="str">
        <f>_xll.ohRangeRetrieveError(F31)</f>
        <v/>
      </c>
      <c r="H31" s="47"/>
      <c r="N31" s="121"/>
      <c r="O31" s="270" t="s">
        <v>87</v>
      </c>
      <c r="P31" s="326" t="str">
        <v>AM</v>
      </c>
      <c r="Q31" s="326" t="str">
        <v>6L</v>
      </c>
      <c r="R31" s="269" t="str">
        <f>Currency&amp;$P31&amp;$Q31&amp;$O31</f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22" t="str">
        <f>$R31&amp;$AC$2</f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5" t="e">
        <f>(U31-X31)/50</f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0"/>
        <v>USDAM6L24Y_Quote</v>
      </c>
      <c r="F32" s="74" t="str">
        <f>_xll.qlSimpleQuote(Currency&amp;$C32&amp;$D32&amp;$B32&amp;QuoteSuffix,,RateTickValue,Permanent,Trigger,ObjectOverwrite)</f>
        <v>USDAM6L24Y_Quote#0004</v>
      </c>
      <c r="G32" s="73" t="str">
        <f>_xll.ohRangeRetrieveError(F32)</f>
        <v/>
      </c>
      <c r="H32" s="47"/>
      <c r="N32" s="121"/>
      <c r="O32" s="270" t="s">
        <v>86</v>
      </c>
      <c r="P32" s="326" t="str">
        <v>AM</v>
      </c>
      <c r="Q32" s="326" t="str">
        <v>6L</v>
      </c>
      <c r="R32" s="269" t="str">
        <f>Currency&amp;$P32&amp;$Q32&amp;$O32</f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22" t="str">
        <f>$R32&amp;$AC$2</f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5" t="e">
        <f>(U32-X32)/50</f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0"/>
        <v>USDAM6L25Y_Quote</v>
      </c>
      <c r="F33" s="74" t="str">
        <f>_xll.qlSimpleQuote(Currency&amp;$C33&amp;$D33&amp;$B33&amp;QuoteSuffix,,RateTickValue,Permanent,Trigger,ObjectOverwrite)</f>
        <v>USDAM6L25Y_Quote#0004</v>
      </c>
      <c r="G33" s="73" t="str">
        <f>_xll.ohRangeRetrieveError(F33)</f>
        <v/>
      </c>
      <c r="H33" s="47"/>
      <c r="N33" s="121"/>
      <c r="O33" s="270" t="s">
        <v>85</v>
      </c>
      <c r="P33" s="326" t="str">
        <v>AM</v>
      </c>
      <c r="Q33" s="326" t="str">
        <v>6L</v>
      </c>
      <c r="R33" s="269" t="str">
        <f>Currency&amp;$P33&amp;$Q33&amp;$O33</f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22" t="str">
        <f>$R33&amp;$AC$2</f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5" t="e">
        <f>(U33-X33)/50</f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0"/>
        <v>USDAM6L26Y_Quote</v>
      </c>
      <c r="F34" s="74" t="str">
        <f>_xll.qlSimpleQuote(Currency&amp;$C34&amp;$D34&amp;$B34&amp;QuoteSuffix,,RateTickValue,Permanent,Trigger,ObjectOverwrite)</f>
        <v>USDAM6L26Y_Quote#0004</v>
      </c>
      <c r="G34" s="73" t="str">
        <f>_xll.ohRangeRetrieveError(F34)</f>
        <v/>
      </c>
      <c r="H34" s="47"/>
      <c r="N34" s="121"/>
      <c r="O34" s="270" t="s">
        <v>84</v>
      </c>
      <c r="P34" s="326" t="str">
        <v>AM</v>
      </c>
      <c r="Q34" s="326" t="str">
        <v>6L</v>
      </c>
      <c r="R34" s="269" t="str">
        <f>Currency&amp;$P34&amp;$Q34&amp;$O34</f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22" t="str">
        <f>$R34&amp;$AC$2</f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5" t="e">
        <f>(U34-X34)/50</f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0"/>
        <v>USDAM6L27Y_Quote</v>
      </c>
      <c r="F35" s="74" t="str">
        <f>_xll.qlSimpleQuote(Currency&amp;$C35&amp;$D35&amp;$B35&amp;QuoteSuffix,,RateTickValue,Permanent,Trigger,ObjectOverwrite)</f>
        <v>USDAM6L27Y_Quote#0004</v>
      </c>
      <c r="G35" s="73" t="str">
        <f>_xll.ohRangeRetrieveError(F35)</f>
        <v/>
      </c>
      <c r="H35" s="47"/>
      <c r="N35" s="121"/>
      <c r="O35" s="270" t="s">
        <v>83</v>
      </c>
      <c r="P35" s="326" t="str">
        <v>AM</v>
      </c>
      <c r="Q35" s="326" t="str">
        <v>6L</v>
      </c>
      <c r="R35" s="269" t="str">
        <f>Currency&amp;$P35&amp;$Q35&amp;$O35</f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22" t="str">
        <f>$R35&amp;$AC$2</f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5" t="e">
        <f>(U35-X35)/50</f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0"/>
        <v>USDAM6L28Y_Quote</v>
      </c>
      <c r="F36" s="74" t="str">
        <f>_xll.qlSimpleQuote(Currency&amp;$C36&amp;$D36&amp;$B36&amp;QuoteSuffix,,RateTickValue,Permanent,Trigger,ObjectOverwrite)</f>
        <v>USDAM6L28Y_Quote#0004</v>
      </c>
      <c r="G36" s="73" t="str">
        <f>_xll.ohRangeRetrieveError(F36)</f>
        <v/>
      </c>
      <c r="H36" s="47"/>
      <c r="N36" s="121"/>
      <c r="O36" s="270" t="s">
        <v>82</v>
      </c>
      <c r="P36" s="326" t="str">
        <v>AM</v>
      </c>
      <c r="Q36" s="326" t="str">
        <v>6L</v>
      </c>
      <c r="R36" s="269" t="str">
        <f>Currency&amp;$P36&amp;$Q36&amp;$O36</f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22" t="str">
        <f>$R36&amp;$AC$2</f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5" t="e">
        <f>(U36-X36)/50</f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0"/>
        <v>USDAM6L29Y_Quote</v>
      </c>
      <c r="F37" s="74" t="str">
        <f>_xll.qlSimpleQuote(Currency&amp;$C37&amp;$D37&amp;$B37&amp;QuoteSuffix,,RateTickValue,Permanent,Trigger,ObjectOverwrite)</f>
        <v>USDAM6L29Y_Quote#0004</v>
      </c>
      <c r="G37" s="73" t="str">
        <f>_xll.ohRangeRetrieveError(F37)</f>
        <v/>
      </c>
      <c r="H37" s="47"/>
      <c r="N37" s="121"/>
      <c r="O37" s="270" t="s">
        <v>81</v>
      </c>
      <c r="P37" s="326" t="str">
        <v>AM</v>
      </c>
      <c r="Q37" s="326" t="str">
        <v>6L</v>
      </c>
      <c r="R37" s="269" t="str">
        <f>Currency&amp;$P37&amp;$Q37&amp;$O37</f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22" t="str">
        <f>$R37&amp;$AC$2</f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5" t="e">
        <f>(U37-X37)/50</f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0"/>
        <v>USDAM6L30Y_Quote</v>
      </c>
      <c r="F38" s="74" t="str">
        <f>_xll.qlSimpleQuote(Currency&amp;$C38&amp;$D38&amp;$B38&amp;QuoteSuffix,,RateTickValue,Permanent,Trigger,ObjectOverwrite)</f>
        <v>USDAM6L30Y_Quote#0004</v>
      </c>
      <c r="G38" s="73" t="str">
        <f>_xll.ohRangeRetrieveError(F38)</f>
        <v/>
      </c>
      <c r="H38" s="47"/>
      <c r="N38" s="121"/>
      <c r="O38" s="270" t="s">
        <v>80</v>
      </c>
      <c r="P38" s="326" t="str">
        <v>AM</v>
      </c>
      <c r="Q38" s="326" t="str">
        <v>6L</v>
      </c>
      <c r="R38" s="269" t="str">
        <f>Currency&amp;$P38&amp;$Q38&amp;$O38</f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22" t="str">
        <f>$R38&amp;$AC$2</f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5" t="e">
        <f>(U38-X38)/50</f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0"/>
        <v>USDAM6L35Y_Quote</v>
      </c>
      <c r="F39" s="74" t="str">
        <f>_xll.qlSimpleQuote(Currency&amp;$C39&amp;$D39&amp;$B39&amp;QuoteSuffix,,RateTickValue,Permanent,Trigger,ObjectOverwrite)</f>
        <v>USDAM6L35Y_Quote#0004</v>
      </c>
      <c r="G39" s="73" t="str">
        <f>_xll.ohRangeRetrieveError(F39)</f>
        <v/>
      </c>
      <c r="H39" s="47"/>
      <c r="N39" s="121"/>
      <c r="O39" s="270" t="s">
        <v>75</v>
      </c>
      <c r="P39" s="326" t="str">
        <v>AM</v>
      </c>
      <c r="Q39" s="326" t="str">
        <v>6L</v>
      </c>
      <c r="R39" s="269" t="str">
        <f>Currency&amp;$P39&amp;$Q39&amp;$O39</f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22" t="str">
        <f>$R39&amp;$AC$2</f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5" t="e">
        <f>(U39-X39)/50</f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0"/>
        <v>USDAM6L40Y_Quote</v>
      </c>
      <c r="F40" s="74" t="str">
        <f>_xll.qlSimpleQuote(Currency&amp;$C40&amp;$D40&amp;$B40&amp;QuoteSuffix,,RateTickValue,Permanent,Trigger,ObjectOverwrite)</f>
        <v>USDAM6L40Y_Quote#0004</v>
      </c>
      <c r="G40" s="73" t="str">
        <f>_xll.ohRangeRetrieveError(F40)</f>
        <v/>
      </c>
      <c r="H40" s="47"/>
      <c r="N40" s="121"/>
      <c r="O40" s="270" t="s">
        <v>70</v>
      </c>
      <c r="P40" s="326" t="str">
        <v>AM</v>
      </c>
      <c r="Q40" s="326" t="str">
        <v>6L</v>
      </c>
      <c r="R40" s="269" t="str">
        <f>Currency&amp;$P40&amp;$Q40&amp;$O40</f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22" t="str">
        <f>$R40&amp;$AC$2</f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5" t="e">
        <f>(U40-X40)/50</f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0"/>
        <v>USDAM6L50Y_Quote</v>
      </c>
      <c r="F41" s="74" t="str">
        <f>_xll.qlSimpleQuote(Currency&amp;$C41&amp;$D41&amp;$B41&amp;QuoteSuffix,,RateTickValue,Permanent,Trigger,ObjectOverwrite)</f>
        <v>USDAM6L50Y_Quote#0004</v>
      </c>
      <c r="G41" s="73" t="str">
        <f>_xll.ohRangeRetrieveError(F41)</f>
        <v/>
      </c>
      <c r="H41" s="47"/>
      <c r="N41" s="121"/>
      <c r="O41" s="270" t="s">
        <v>60</v>
      </c>
      <c r="P41" s="326" t="str">
        <v>AM</v>
      </c>
      <c r="Q41" s="326" t="str">
        <v>6L</v>
      </c>
      <c r="R41" s="269" t="str">
        <f>Currency&amp;$P41&amp;$Q41&amp;$O41</f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22" t="str">
        <f>$R41&amp;$AC$2</f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5" t="e">
        <f>(U41-X41)/50</f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0"/>
        <v>USDAM6L60Y_Quote</v>
      </c>
      <c r="F42" s="74" t="str">
        <f>_xll.qlSimpleQuote(Currency&amp;$C42&amp;$D42&amp;$B42&amp;QuoteSuffix,,RateTickValue,Permanent,Trigger,ObjectOverwrite)</f>
        <v>USDAM6L60Y_Quote#0004</v>
      </c>
      <c r="G42" s="73" t="str">
        <f>_xll.ohRangeRetrieveError(F42)</f>
        <v/>
      </c>
      <c r="H42" s="47"/>
      <c r="N42" s="121"/>
      <c r="O42" s="282" t="s">
        <v>50</v>
      </c>
      <c r="P42" s="321" t="str">
        <v>AM</v>
      </c>
      <c r="Q42" s="321" t="str">
        <v>6L</v>
      </c>
      <c r="R42" s="281" t="str">
        <f>Currency&amp;$P42&amp;$Q42&amp;$O42</f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7" t="str">
        <f>$R42&amp;$AC$2</f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5" t="e">
        <f>(U42-X42)/50</f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USDFUT1MZ3_Quote</v>
      </c>
      <c r="F7" s="254" t="str">
        <f t="shared" ref="F7:F38" si="1">Currency&amp;"FUT"&amp;$G$4&amp;$D7&amp;"ConvAdj"&amp;QuoteSuffix</f>
        <v>USDFUT1MZ3ConvAdj_Quote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USDFUT1MF4_Quote</v>
      </c>
      <c r="F8" s="254" t="str">
        <f t="shared" si="1"/>
        <v>USDFUT1MF4ConvAdj_Quote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USDFUT1MG4_Quote</v>
      </c>
      <c r="F9" s="254" t="str">
        <f t="shared" si="1"/>
        <v>USDFUT1MG4ConvAdj_Quote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USDFUT1MH4_Quote</v>
      </c>
      <c r="F10" s="254" t="str">
        <f t="shared" si="1"/>
        <v>USDFUT1MH4ConvAdj_Quote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USDFUT1MJ4_Quote</v>
      </c>
      <c r="F11" s="254" t="str">
        <f t="shared" si="1"/>
        <v>USDFUT1MJ4ConvAdj_Quote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USDFUT1MK4_Quote</v>
      </c>
      <c r="F12" s="254" t="str">
        <f t="shared" si="1"/>
        <v>USDFUT1MK4ConvAdj_Quote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USDFUT1MM4_Quote</v>
      </c>
      <c r="F13" s="254" t="str">
        <f t="shared" si="1"/>
        <v>USDFUT1MM4ConvAdj_Quote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USDFUT1MN4_Quote</v>
      </c>
      <c r="F14" s="254" t="str">
        <f t="shared" si="1"/>
        <v>USDFUT1MN4ConvAdj_Quote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USDFUT1MQ4_Quote</v>
      </c>
      <c r="F15" s="254" t="str">
        <f t="shared" si="1"/>
        <v>USDFUT1MQ4ConvAdj_Quote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USDFUT1MU4_Quote</v>
      </c>
      <c r="F16" s="254" t="str">
        <f t="shared" si="1"/>
        <v>USDFUT1MU4ConvAdj_Quote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USDFUT1MV4_Quote</v>
      </c>
      <c r="F17" s="254" t="str">
        <f t="shared" si="1"/>
        <v>USDFUT1MV4ConvAdj_Quote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USDFUT1MX4_Quote</v>
      </c>
      <c r="F18" s="254" t="str">
        <f t="shared" si="1"/>
        <v>USDFUT1MX4ConvAdj_Quote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USDFUT1MZ4_Quote</v>
      </c>
      <c r="F19" s="254" t="str">
        <f t="shared" si="1"/>
        <v>USDFUT1MZ4ConvAdj_Quote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USDFUT1MF5_Quote</v>
      </c>
      <c r="F20" s="254" t="str">
        <f t="shared" si="1"/>
        <v>USDFUT1MF5ConvAdj_Quote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USDFUT1MG5_Quote</v>
      </c>
      <c r="F21" s="254" t="str">
        <f t="shared" si="1"/>
        <v>USDFUT1MG5ConvAdj_Quote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USDFUT1MH5_Quote</v>
      </c>
      <c r="F22" s="254" t="str">
        <f t="shared" si="1"/>
        <v>USDFUT1MH5ConvAdj_Quote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USDFUT1MJ5_Quote</v>
      </c>
      <c r="F23" s="254" t="str">
        <f t="shared" si="1"/>
        <v>USDFUT1MJ5ConvAdj_Quote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USDFUT1MK5_Quote</v>
      </c>
      <c r="F24" s="254" t="str">
        <f t="shared" si="1"/>
        <v>USDFUT1MK5ConvAdj_Quote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USDFUT1MM5_Quote</v>
      </c>
      <c r="F25" s="254" t="str">
        <f t="shared" si="1"/>
        <v>USDFUT1MM5ConvAdj_Quote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USDFUT1MN5_Quote</v>
      </c>
      <c r="F26" s="254" t="str">
        <f t="shared" si="1"/>
        <v>USDFUT1MN5ConvAdj_Quote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USDFUT1MQ5_Quote</v>
      </c>
      <c r="F27" s="254" t="str">
        <f t="shared" si="1"/>
        <v>USDFUT1MQ5ConvAdj_Quote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USDFUT1MU5_Quote</v>
      </c>
      <c r="F28" s="254" t="str">
        <f t="shared" si="1"/>
        <v>USDFUT1MU5ConvAdj_Quote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USDFUT1MV5_Quote</v>
      </c>
      <c r="F29" s="254" t="str">
        <f t="shared" si="1"/>
        <v>USDFUT1MV5ConvAdj_Quote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USDFUT1MX5_Quote</v>
      </c>
      <c r="F30" s="254" t="str">
        <f t="shared" si="1"/>
        <v>USDFUT1MX5ConvAdj_Quote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USDFUT1MZ5_Quote</v>
      </c>
      <c r="F31" s="254" t="str">
        <f t="shared" si="1"/>
        <v>USDFUT1MZ5ConvAdj_Quote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USDFUT1MF6_Quote</v>
      </c>
      <c r="F32" s="254" t="str">
        <f t="shared" si="1"/>
        <v>USDFUT1MF6ConvAdj_Quote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USDFUT1MG6_Quote</v>
      </c>
      <c r="F33" s="254" t="str">
        <f t="shared" si="1"/>
        <v>USDFUT1MG6ConvAdj_Quote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USDFUT1MH6_Quote</v>
      </c>
      <c r="F34" s="254" t="str">
        <f t="shared" si="1"/>
        <v>USDFUT1MH6ConvAdj_Quote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USDFUT1MJ6_Quote</v>
      </c>
      <c r="F35" s="254" t="str">
        <f t="shared" si="1"/>
        <v>USDFUT1MJ6ConvAdj_Quote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USDFUT1MK6_Quote</v>
      </c>
      <c r="F36" s="254" t="str">
        <f t="shared" si="1"/>
        <v>USDFUT1MK6ConvAdj_Quote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USDFUT1MM6_Quote</v>
      </c>
      <c r="F37" s="254" t="str">
        <f t="shared" si="1"/>
        <v>USDFUT1MM6ConvAdj_Quote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USDFUT1MN6_Quote</v>
      </c>
      <c r="F38" s="254" t="str">
        <f t="shared" si="1"/>
        <v>USDFUT1MN6ConvAdj_Quote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USDFUT1MQ6_Quote</v>
      </c>
      <c r="F39" s="254" t="str">
        <f t="shared" ref="F39:F70" si="3">Currency&amp;"FUT"&amp;$G$4&amp;$D39&amp;"ConvAdj"&amp;QuoteSuffix</f>
        <v>USDFUT1MQ6ConvAdj_Quote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USDFUT1MU6_Quote</v>
      </c>
      <c r="F40" s="254" t="str">
        <f t="shared" si="3"/>
        <v>USDFUT1MU6ConvAdj_Quote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USDFUT1MV6_Quote</v>
      </c>
      <c r="F41" s="254" t="str">
        <f t="shared" si="3"/>
        <v>USDFUT1MV6ConvAdj_Quote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USDFUT1MX6_Quote</v>
      </c>
      <c r="F42" s="254" t="str">
        <f t="shared" si="3"/>
        <v>USDFUT1MX6ConvAdj_Quote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USDFUT1MZ6_Quote</v>
      </c>
      <c r="F43" s="254" t="str">
        <f t="shared" si="3"/>
        <v>USDFUT1MZ6ConvAdj_Quote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USDFUT1MF7_Quote</v>
      </c>
      <c r="F44" s="254" t="str">
        <f t="shared" si="3"/>
        <v>USDFUT1MF7ConvAdj_Quote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USDFUT1MG7_Quote</v>
      </c>
      <c r="F45" s="254" t="str">
        <f t="shared" si="3"/>
        <v>USDFUT1MG7ConvAdj_Quote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USDFUT1MH7_Quote</v>
      </c>
      <c r="F46" s="254" t="str">
        <f t="shared" si="3"/>
        <v>USDFUT1MH7ConvAdj_Quote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USDFUT1MJ7_Quote</v>
      </c>
      <c r="F47" s="254" t="str">
        <f t="shared" si="3"/>
        <v>USDFUT1MJ7ConvAdj_Quote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USDFUT1MK7_Quote</v>
      </c>
      <c r="F48" s="254" t="str">
        <f t="shared" si="3"/>
        <v>USDFUT1MK7ConvAdj_Quote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USDFUT1MM7_Quote</v>
      </c>
      <c r="F49" s="254" t="str">
        <f t="shared" si="3"/>
        <v>USDFUT1MM7ConvAdj_Quote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USDFUT1MN7_Quote</v>
      </c>
      <c r="F50" s="254" t="str">
        <f t="shared" si="3"/>
        <v>USDFUT1MN7ConvAdj_Quote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USDFUT1MQ7_Quote</v>
      </c>
      <c r="F51" s="254" t="str">
        <f t="shared" si="3"/>
        <v>USDFUT1MQ7ConvAdj_Quote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USDFUT1MU7_Quote</v>
      </c>
      <c r="F52" s="254" t="str">
        <f t="shared" si="3"/>
        <v>USDFUT1MU7ConvAdj_Quote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USDFUT1MV7_Quote</v>
      </c>
      <c r="F53" s="254" t="str">
        <f t="shared" si="3"/>
        <v>USDFUT1MV7ConvAdj_Quote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USDFUT1MX7_Quote</v>
      </c>
      <c r="F54" s="254" t="str">
        <f t="shared" si="3"/>
        <v>USDFUT1MX7ConvAdj_Quote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USDFUT1MZ7_Quote</v>
      </c>
      <c r="F55" s="254" t="str">
        <f t="shared" si="3"/>
        <v>USDFUT1MZ7ConvAdj_Quote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USDFUT1MF8_Quote</v>
      </c>
      <c r="F56" s="254" t="str">
        <f t="shared" si="3"/>
        <v>USDFUT1MF8ConvAdj_Quote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USDFUT1MG8_Quote</v>
      </c>
      <c r="F57" s="254" t="str">
        <f t="shared" si="3"/>
        <v>USDFUT1MG8ConvAdj_Quote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USDFUT1MH8_Quote</v>
      </c>
      <c r="F58" s="254" t="str">
        <f t="shared" si="3"/>
        <v>USDFUT1MH8ConvAdj_Quote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USDFUT1MJ8_Quote</v>
      </c>
      <c r="F59" s="254" t="str">
        <f t="shared" si="3"/>
        <v>USDFUT1MJ8ConvAdj_Quote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USDFUT1MK8_Quote</v>
      </c>
      <c r="F60" s="254" t="str">
        <f t="shared" si="3"/>
        <v>USDFUT1MK8ConvAdj_Quote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USDFUT1MM8_Quote</v>
      </c>
      <c r="F61" s="254" t="str">
        <f t="shared" si="3"/>
        <v>USDFUT1MM8ConvAdj_Quote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USDFUT1MN8_Quote</v>
      </c>
      <c r="F62" s="254" t="str">
        <f t="shared" si="3"/>
        <v>USDFUT1MN8ConvAdj_Quote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USDFUT1MQ8_Quote</v>
      </c>
      <c r="F63" s="254" t="str">
        <f t="shared" si="3"/>
        <v>USDFUT1MQ8ConvAdj_Quote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USDFUT1MU8_Quote</v>
      </c>
      <c r="F64" s="254" t="str">
        <f t="shared" si="3"/>
        <v>USDFUT1MU8ConvAdj_Quote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USDFUT1MV8_Quote</v>
      </c>
      <c r="F65" s="254" t="str">
        <f t="shared" si="3"/>
        <v>USDFUT1MV8ConvAdj_Quote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USDFUT1MX8_Quote</v>
      </c>
      <c r="F66" s="254" t="str">
        <f t="shared" si="3"/>
        <v>USDFUT1MX8ConvAdj_Quote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USDFUT1MZ8_Quote</v>
      </c>
      <c r="F67" s="254" t="str">
        <f t="shared" si="3"/>
        <v>USDFUT1MZ8ConvAdj_Quote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USDFUT1MF9_Quote</v>
      </c>
      <c r="F68" s="254" t="str">
        <f t="shared" si="3"/>
        <v>USDFUT1MF9ConvAdj_Quote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USDFUT1MG9_Quote</v>
      </c>
      <c r="F69" s="254" t="str">
        <f t="shared" si="3"/>
        <v>USDFUT1MG9ConvAdj_Quote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USDFUT1MH9_Quote</v>
      </c>
      <c r="F70" s="254" t="str">
        <f t="shared" si="3"/>
        <v>USDFUT1MH9ConvAdj_Quote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USDFUT1MJ9_Quote</v>
      </c>
      <c r="F71" s="254" t="str">
        <f t="shared" ref="F71:F102" si="5">Currency&amp;"FUT"&amp;$G$4&amp;$D71&amp;"ConvAdj"&amp;QuoteSuffix</f>
        <v>USDFUT1MJ9ConvAdj_Quote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USDFUT1MK9_Quote</v>
      </c>
      <c r="F72" s="254" t="str">
        <f t="shared" si="5"/>
        <v>USDFUT1MK9ConvAdj_Quote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USDFUT1MM9_Quote</v>
      </c>
      <c r="F73" s="254" t="str">
        <f t="shared" si="5"/>
        <v>USDFUT1MM9ConvAdj_Quote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USDFUT1MN9_Quote</v>
      </c>
      <c r="F74" s="254" t="str">
        <f t="shared" si="5"/>
        <v>USDFUT1MN9ConvAdj_Quote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USDFUT1MQ9_Quote</v>
      </c>
      <c r="F75" s="254" t="str">
        <f t="shared" si="5"/>
        <v>USDFUT1MQ9ConvAdj_Quote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USDFUT1MU9_Quote</v>
      </c>
      <c r="F76" s="254" t="str">
        <f t="shared" si="5"/>
        <v>USDFUT1MU9ConvAdj_Quote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USDFUT1MV9_Quote</v>
      </c>
      <c r="F77" s="254" t="str">
        <f t="shared" si="5"/>
        <v>USDFUT1MV9ConvAdj_Quote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USDFUT1MX9_Quote</v>
      </c>
      <c r="F78" s="254" t="str">
        <f t="shared" si="5"/>
        <v>USDFUT1MX9ConvAdj_Quote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USDFUT1MZ9_Quote</v>
      </c>
      <c r="F79" s="254" t="str">
        <f t="shared" si="5"/>
        <v>USDFUT1MZ9ConvAdj_Quote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USDFUT1MF0_Quote</v>
      </c>
      <c r="F80" s="254" t="str">
        <f t="shared" si="5"/>
        <v>USDFUT1MF0ConvAdj_Quote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USDFUT1MG0_Quote</v>
      </c>
      <c r="F81" s="254" t="str">
        <f t="shared" si="5"/>
        <v>USDFUT1MG0ConvAdj_Quote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USDFUT1MH0_Quote</v>
      </c>
      <c r="F82" s="254" t="str">
        <f t="shared" si="5"/>
        <v>USDFUT1MH0ConvAdj_Quote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USDFUT1MJ0_Quote</v>
      </c>
      <c r="F83" s="254" t="str">
        <f t="shared" si="5"/>
        <v>USDFUT1MJ0ConvAdj_Quote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USDFUT1MK0_Quote</v>
      </c>
      <c r="F84" s="254" t="str">
        <f t="shared" si="5"/>
        <v>USDFUT1MK0ConvAdj_Quote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USDFUT1MM0_Quote</v>
      </c>
      <c r="F85" s="254" t="str">
        <f t="shared" si="5"/>
        <v>USDFUT1MM0ConvAdj_Quote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USDFUT1MN0_Quote</v>
      </c>
      <c r="F86" s="254" t="str">
        <f t="shared" si="5"/>
        <v>USDFUT1MN0ConvAdj_Quote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USDFUT1MQ0_Quote</v>
      </c>
      <c r="F87" s="254" t="str">
        <f t="shared" si="5"/>
        <v>USDFUT1MQ0ConvAdj_Quote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USDFUT1MU0_Quote</v>
      </c>
      <c r="F88" s="254" t="str">
        <f t="shared" si="5"/>
        <v>USDFUT1MU0ConvAdj_Quote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USDFUT1MV0_Quote</v>
      </c>
      <c r="F89" s="254" t="str">
        <f t="shared" si="5"/>
        <v>USDFUT1MV0ConvAdj_Quote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USDFUT1MX0_Quote</v>
      </c>
      <c r="F90" s="254" t="str">
        <f t="shared" si="5"/>
        <v>USDFUT1MX0ConvAdj_Quote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USDFUT1MZ0_Quote</v>
      </c>
      <c r="F91" s="254" t="str">
        <f t="shared" si="5"/>
        <v>USDFUT1MZ0ConvAdj_Quote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USDFUT1MF1_Quote</v>
      </c>
      <c r="F92" s="254" t="str">
        <f t="shared" si="5"/>
        <v>USDFUT1MF1ConvAdj_Quote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USDFUT1MG1_Quote</v>
      </c>
      <c r="F93" s="254" t="str">
        <f t="shared" si="5"/>
        <v>USDFUT1MG1ConvAdj_Quote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USDFUT1MH1_Quote</v>
      </c>
      <c r="F94" s="254" t="str">
        <f t="shared" si="5"/>
        <v>USDFUT1MH1ConvAdj_Quote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USDFUT1MJ1_Quote</v>
      </c>
      <c r="F95" s="254" t="str">
        <f t="shared" si="5"/>
        <v>USDFUT1MJ1ConvAdj_Quote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USDFUT1MK1_Quote</v>
      </c>
      <c r="F96" s="254" t="str">
        <f t="shared" si="5"/>
        <v>USDFUT1MK1ConvAdj_Quote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USDFUT1MM1_Quote</v>
      </c>
      <c r="F97" s="254" t="str">
        <f t="shared" si="5"/>
        <v>USDFUT1MM1ConvAdj_Quote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USDFUT1MN1_Quote</v>
      </c>
      <c r="F98" s="254" t="str">
        <f t="shared" si="5"/>
        <v>USDFUT1MN1ConvAdj_Quote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USDFUT1MQ1_Quote</v>
      </c>
      <c r="F99" s="254" t="str">
        <f t="shared" si="5"/>
        <v>USDFUT1MQ1ConvAdj_Quote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USDFUT1MU1_Quote</v>
      </c>
      <c r="F100" s="254" t="str">
        <f t="shared" si="5"/>
        <v>USDFUT1MU1ConvAdj_Quote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USDFUT1MV1_Quote</v>
      </c>
      <c r="F101" s="254" t="str">
        <f t="shared" si="5"/>
        <v>USDFUT1MV1ConvAdj_Quote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USDFUT1MX1_Quote</v>
      </c>
      <c r="F102" s="254" t="str">
        <f t="shared" si="5"/>
        <v>USDFUT1MX1ConvAdj_Quote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USDFUT1MZ1_Quote</v>
      </c>
      <c r="F103" s="254" t="str">
        <f t="shared" ref="F103:F126" si="7">Currency&amp;"FUT"&amp;$G$4&amp;$D103&amp;"ConvAdj"&amp;QuoteSuffix</f>
        <v>USDFUT1MZ1ConvAdj_Quote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USDFUT1MF2_Quote</v>
      </c>
      <c r="F104" s="254" t="str">
        <f t="shared" si="7"/>
        <v>USDFUT1MF2ConvAdj_Quote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USDFUT1MG2_Quote</v>
      </c>
      <c r="F105" s="254" t="str">
        <f t="shared" si="7"/>
        <v>USDFUT1MG2ConvAdj_Quote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USDFUT1MH2_Quote</v>
      </c>
      <c r="F106" s="254" t="str">
        <f t="shared" si="7"/>
        <v>USDFUT1MH2ConvAdj_Quote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USDFUT1MJ2_Quote</v>
      </c>
      <c r="F107" s="254" t="str">
        <f t="shared" si="7"/>
        <v>USDFUT1MJ2ConvAdj_Quote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USDFUT1MK2_Quote</v>
      </c>
      <c r="F108" s="254" t="str">
        <f t="shared" si="7"/>
        <v>USDFUT1MK2ConvAdj_Quote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USDFUT1MM2_Quote</v>
      </c>
      <c r="F109" s="254" t="str">
        <f t="shared" si="7"/>
        <v>USDFUT1MM2ConvAdj_Quote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USDFUT1MN2_Quote</v>
      </c>
      <c r="F110" s="254" t="str">
        <f t="shared" si="7"/>
        <v>USDFUT1MN2ConvAdj_Quote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USDFUT1MQ2_Quote</v>
      </c>
      <c r="F111" s="254" t="str">
        <f t="shared" si="7"/>
        <v>USDFUT1MQ2ConvAdj_Quote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USDFUT1MU2_Quote</v>
      </c>
      <c r="F112" s="254" t="str">
        <f t="shared" si="7"/>
        <v>USDFUT1MU2ConvAdj_Quote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USDFUT1MV2_Quote</v>
      </c>
      <c r="F113" s="254" t="str">
        <f t="shared" si="7"/>
        <v>USDFUT1MV2ConvAdj_Quote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USDFUT1MX2_Quote</v>
      </c>
      <c r="F114" s="254" t="str">
        <f t="shared" si="7"/>
        <v>USDFUT1MX2ConvAdj_Quote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USDFUT1MZ2_Quote</v>
      </c>
      <c r="F115" s="254" t="str">
        <f t="shared" si="7"/>
        <v>USDFUT1MZ2ConvAdj_Quote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USDFUT1MF3_Quote</v>
      </c>
      <c r="F116" s="254" t="str">
        <f t="shared" si="7"/>
        <v>USDFUT1MF3ConvAdj_Quote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USDFUT1MG3_Quote</v>
      </c>
      <c r="F117" s="254" t="str">
        <f t="shared" si="7"/>
        <v>USDFUT1MG3ConvAdj_Quote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USDFUT1MH3_Quote</v>
      </c>
      <c r="F118" s="254" t="str">
        <f t="shared" si="7"/>
        <v>USDFUT1MH3ConvAdj_Quote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USDFUT1MJ3_Quote</v>
      </c>
      <c r="F119" s="254" t="str">
        <f t="shared" si="7"/>
        <v>USDFUT1MJ3ConvAdj_Quote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USDFUT1MK3_Quote</v>
      </c>
      <c r="F120" s="254" t="str">
        <f t="shared" si="7"/>
        <v>USDFUT1MK3ConvAdj_Quote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USDFUT1MM3_Quote</v>
      </c>
      <c r="F121" s="254" t="str">
        <f t="shared" si="7"/>
        <v>USDFUT1MM3ConvAdj_Quote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USDFUT1MN3_Quote</v>
      </c>
      <c r="F122" s="254" t="str">
        <f t="shared" si="7"/>
        <v>USDFUT1MN3ConvAdj_Quote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USDFUT1MQ3_Quote</v>
      </c>
      <c r="F123" s="254" t="str">
        <f t="shared" si="7"/>
        <v>USDFUT1MQ3ConvAdj_Quote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USDFUT1MU3_Quote</v>
      </c>
      <c r="F124" s="254" t="str">
        <f t="shared" si="7"/>
        <v>USDFUT1MU3ConvAdj_Quote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USDFUT1MV3_Quote</v>
      </c>
      <c r="F125" s="254" t="str">
        <f t="shared" si="7"/>
        <v>USDFUT1MV3ConvAdj_Quote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USDFUT1MX3_Quote</v>
      </c>
      <c r="F126" s="254" t="str">
        <f t="shared" si="7"/>
        <v>USDFUT1MX3ConvAdj_Quote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USDFUT3MZ3_Quote</v>
      </c>
      <c r="F7" s="254" t="str">
        <f t="shared" ref="F7:F38" si="1">Currency&amp;"FUT"&amp;$G$4&amp;$D7&amp;"ConvAdj"&amp;QuoteSuffix</f>
        <v>USDFUT3MZ3ConvAdj_Quote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USDFUT3MF4_Quote</v>
      </c>
      <c r="F8" s="254" t="str">
        <f t="shared" si="1"/>
        <v>USDFUT3MF4ConvAdj_Quote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USDFUT3MG4_Quote</v>
      </c>
      <c r="F9" s="254" t="str">
        <f t="shared" si="1"/>
        <v>USDFUT3MG4ConvAdj_Quote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USDFUT3MH4_Quote</v>
      </c>
      <c r="F10" s="254" t="str">
        <f t="shared" si="1"/>
        <v>USDFUT3MH4ConvAdj_Quote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USDFUT3MJ4_Quote</v>
      </c>
      <c r="F11" s="254" t="str">
        <f t="shared" si="1"/>
        <v>USDFUT3MJ4ConvAdj_Quote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USDFUT3MK4_Quote</v>
      </c>
      <c r="F12" s="254" t="str">
        <f t="shared" si="1"/>
        <v>USDFUT3MK4ConvAdj_Quote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USDFUT3MM4_Quote</v>
      </c>
      <c r="F13" s="254" t="str">
        <f t="shared" si="1"/>
        <v>USDFUT3MM4ConvAdj_Quote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USDFUT3MN4_Quote</v>
      </c>
      <c r="F14" s="254" t="str">
        <f t="shared" si="1"/>
        <v>USDFUT3MN4ConvAdj_Quote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USDFUT3MQ4_Quote</v>
      </c>
      <c r="F15" s="254" t="str">
        <f t="shared" si="1"/>
        <v>USDFUT3MQ4ConvAdj_Quote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USDFUT3MU4_Quote</v>
      </c>
      <c r="F16" s="254" t="str">
        <f t="shared" si="1"/>
        <v>USDFUT3MU4ConvAdj_Quote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USDFUT3MV4_Quote</v>
      </c>
      <c r="F17" s="254" t="str">
        <f t="shared" si="1"/>
        <v>USDFUT3MV4ConvAdj_Quote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USDFUT3MX4_Quote</v>
      </c>
      <c r="F18" s="254" t="str">
        <f t="shared" si="1"/>
        <v>USDFUT3MX4ConvAdj_Quote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USDFUT3MZ4_Quote</v>
      </c>
      <c r="F19" s="254" t="str">
        <f t="shared" si="1"/>
        <v>USDFUT3MZ4ConvAdj_Quote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USDFUT3MF5_Quote</v>
      </c>
      <c r="F20" s="254" t="str">
        <f t="shared" si="1"/>
        <v>USDFUT3MF5ConvAdj_Quote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USDFUT3MG5_Quote</v>
      </c>
      <c r="F21" s="254" t="str">
        <f t="shared" si="1"/>
        <v>USDFUT3MG5ConvAdj_Quote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USDFUT3MH5_Quote</v>
      </c>
      <c r="F22" s="254" t="str">
        <f t="shared" si="1"/>
        <v>USDFUT3MH5ConvAdj_Quote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USDFUT3MJ5_Quote</v>
      </c>
      <c r="F23" s="254" t="str">
        <f t="shared" si="1"/>
        <v>USDFUT3MJ5ConvAdj_Quote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USDFUT3MK5_Quote</v>
      </c>
      <c r="F24" s="254" t="str">
        <f t="shared" si="1"/>
        <v>USDFUT3MK5ConvAdj_Quote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USDFUT3MM5_Quote</v>
      </c>
      <c r="F25" s="254" t="str">
        <f t="shared" si="1"/>
        <v>USDFUT3MM5ConvAdj_Quote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USDFUT3MN5_Quote</v>
      </c>
      <c r="F26" s="254" t="str">
        <f t="shared" si="1"/>
        <v>USDFUT3MN5ConvAdj_Quote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USDFUT3MQ5_Quote</v>
      </c>
      <c r="F27" s="254" t="str">
        <f t="shared" si="1"/>
        <v>USDFUT3MQ5ConvAdj_Quote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USDFUT3MU5_Quote</v>
      </c>
      <c r="F28" s="254" t="str">
        <f t="shared" si="1"/>
        <v>USDFUT3MU5ConvAdj_Quote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USDFUT3MV5_Quote</v>
      </c>
      <c r="F29" s="254" t="str">
        <f t="shared" si="1"/>
        <v>USDFUT3MV5ConvAdj_Quote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USDFUT3MX5_Quote</v>
      </c>
      <c r="F30" s="254" t="str">
        <f t="shared" si="1"/>
        <v>USDFUT3MX5ConvAdj_Quote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USDFUT3MZ5_Quote</v>
      </c>
      <c r="F31" s="254" t="str">
        <f t="shared" si="1"/>
        <v>USDFUT3MZ5ConvAdj_Quote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USDFUT3MF6_Quote</v>
      </c>
      <c r="F32" s="254" t="str">
        <f t="shared" si="1"/>
        <v>USDFUT3MF6ConvAdj_Quote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USDFUT3MG6_Quote</v>
      </c>
      <c r="F33" s="254" t="str">
        <f t="shared" si="1"/>
        <v>USDFUT3MG6ConvAdj_Quote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USDFUT3MH6_Quote</v>
      </c>
      <c r="F34" s="254" t="str">
        <f t="shared" si="1"/>
        <v>USDFUT3MH6ConvAdj_Quote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USDFUT3MJ6_Quote</v>
      </c>
      <c r="F35" s="254" t="str">
        <f t="shared" si="1"/>
        <v>USDFUT3MJ6ConvAdj_Quote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USDFUT3MK6_Quote</v>
      </c>
      <c r="F36" s="254" t="str">
        <f t="shared" si="1"/>
        <v>USDFUT3MK6ConvAdj_Quote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USDFUT3MM6_Quote</v>
      </c>
      <c r="F37" s="254" t="str">
        <f t="shared" si="1"/>
        <v>USDFUT3MM6ConvAdj_Quote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USDFUT3MN6_Quote</v>
      </c>
      <c r="F38" s="254" t="str">
        <f t="shared" si="1"/>
        <v>USDFUT3MN6ConvAdj_Quote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USDFUT3MQ6_Quote</v>
      </c>
      <c r="F39" s="254" t="str">
        <f t="shared" ref="F39:F70" si="3">Currency&amp;"FUT"&amp;$G$4&amp;$D39&amp;"ConvAdj"&amp;QuoteSuffix</f>
        <v>USDFUT3MQ6ConvAdj_Quote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USDFUT3MU6_Quote</v>
      </c>
      <c r="F40" s="254" t="str">
        <f t="shared" si="3"/>
        <v>USDFUT3MU6ConvAdj_Quote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USDFUT3MV6_Quote</v>
      </c>
      <c r="F41" s="254" t="str">
        <f t="shared" si="3"/>
        <v>USDFUT3MV6ConvAdj_Quote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USDFUT3MX6_Quote</v>
      </c>
      <c r="F42" s="254" t="str">
        <f t="shared" si="3"/>
        <v>USDFUT3MX6ConvAdj_Quote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USDFUT3MZ6_Quote</v>
      </c>
      <c r="F43" s="254" t="str">
        <f t="shared" si="3"/>
        <v>USDFUT3MZ6ConvAdj_Quote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USDFUT3MF7_Quote</v>
      </c>
      <c r="F44" s="254" t="str">
        <f t="shared" si="3"/>
        <v>USDFUT3MF7ConvAdj_Quote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USDFUT3MG7_Quote</v>
      </c>
      <c r="F45" s="254" t="str">
        <f t="shared" si="3"/>
        <v>USDFUT3MG7ConvAdj_Quote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USDFUT3MH7_Quote</v>
      </c>
      <c r="F46" s="254" t="str">
        <f t="shared" si="3"/>
        <v>USDFUT3MH7ConvAdj_Quote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USDFUT3MJ7_Quote</v>
      </c>
      <c r="F47" s="254" t="str">
        <f t="shared" si="3"/>
        <v>USDFUT3MJ7ConvAdj_Quote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USDFUT3MK7_Quote</v>
      </c>
      <c r="F48" s="254" t="str">
        <f t="shared" si="3"/>
        <v>USDFUT3MK7ConvAdj_Quote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USDFUT3MM7_Quote</v>
      </c>
      <c r="F49" s="254" t="str">
        <f t="shared" si="3"/>
        <v>USDFUT3MM7ConvAdj_Quote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USDFUT3MN7_Quote</v>
      </c>
      <c r="F50" s="254" t="str">
        <f t="shared" si="3"/>
        <v>USDFUT3MN7ConvAdj_Quote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USDFUT3MQ7_Quote</v>
      </c>
      <c r="F51" s="254" t="str">
        <f t="shared" si="3"/>
        <v>USDFUT3MQ7ConvAdj_Quote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USDFUT3MU7_Quote</v>
      </c>
      <c r="F52" s="254" t="str">
        <f t="shared" si="3"/>
        <v>USDFUT3MU7ConvAdj_Quote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USDFUT3MV7_Quote</v>
      </c>
      <c r="F53" s="254" t="str">
        <f t="shared" si="3"/>
        <v>USDFUT3MV7ConvAdj_Quote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USDFUT3MX7_Quote</v>
      </c>
      <c r="F54" s="254" t="str">
        <f t="shared" si="3"/>
        <v>USDFUT3MX7ConvAdj_Quote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USDFUT3MZ7_Quote</v>
      </c>
      <c r="F55" s="254" t="str">
        <f t="shared" si="3"/>
        <v>USDFUT3MZ7ConvAdj_Quote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USDFUT3MF8_Quote</v>
      </c>
      <c r="F56" s="254" t="str">
        <f t="shared" si="3"/>
        <v>USDFUT3MF8ConvAdj_Quote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USDFUT3MG8_Quote</v>
      </c>
      <c r="F57" s="254" t="str">
        <f t="shared" si="3"/>
        <v>USDFUT3MG8ConvAdj_Quote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USDFUT3MH8_Quote</v>
      </c>
      <c r="F58" s="254" t="str">
        <f t="shared" si="3"/>
        <v>USDFUT3MH8ConvAdj_Quote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USDFUT3MJ8_Quote</v>
      </c>
      <c r="F59" s="254" t="str">
        <f t="shared" si="3"/>
        <v>USDFUT3MJ8ConvAdj_Quote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USDFUT3MK8_Quote</v>
      </c>
      <c r="F60" s="254" t="str">
        <f t="shared" si="3"/>
        <v>USDFUT3MK8ConvAdj_Quote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USDFUT3MM8_Quote</v>
      </c>
      <c r="F61" s="254" t="str">
        <f t="shared" si="3"/>
        <v>USDFUT3MM8ConvAdj_Quote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USDFUT3MN8_Quote</v>
      </c>
      <c r="F62" s="254" t="str">
        <f t="shared" si="3"/>
        <v>USDFUT3MN8ConvAdj_Quote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USDFUT3MQ8_Quote</v>
      </c>
      <c r="F63" s="254" t="str">
        <f t="shared" si="3"/>
        <v>USDFUT3MQ8ConvAdj_Quote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USDFUT3MU8_Quote</v>
      </c>
      <c r="F64" s="254" t="str">
        <f t="shared" si="3"/>
        <v>USDFUT3MU8ConvAdj_Quote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USDFUT3MV8_Quote</v>
      </c>
      <c r="F65" s="254" t="str">
        <f t="shared" si="3"/>
        <v>USDFUT3MV8ConvAdj_Quote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USDFUT3MX8_Quote</v>
      </c>
      <c r="F66" s="254" t="str">
        <f t="shared" si="3"/>
        <v>USDFUT3MX8ConvAdj_Quote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USDFUT3MZ8_Quote</v>
      </c>
      <c r="F67" s="254" t="str">
        <f t="shared" si="3"/>
        <v>USDFUT3MZ8ConvAdj_Quote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USDFUT3MF9_Quote</v>
      </c>
      <c r="F68" s="254" t="str">
        <f t="shared" si="3"/>
        <v>USDFUT3MF9ConvAdj_Quote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USDFUT3MG9_Quote</v>
      </c>
      <c r="F69" s="254" t="str">
        <f t="shared" si="3"/>
        <v>USDFUT3MG9ConvAdj_Quote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USDFUT3MH9_Quote</v>
      </c>
      <c r="F70" s="254" t="str">
        <f t="shared" si="3"/>
        <v>USDFUT3MH9ConvAdj_Quote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USDFUT3MJ9_Quote</v>
      </c>
      <c r="F71" s="254" t="str">
        <f t="shared" ref="F71:F102" si="5">Currency&amp;"FUT"&amp;$G$4&amp;$D71&amp;"ConvAdj"&amp;QuoteSuffix</f>
        <v>USDFUT3MJ9ConvAdj_Quote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USDFUT3MK9_Quote</v>
      </c>
      <c r="F72" s="254" t="str">
        <f t="shared" si="5"/>
        <v>USDFUT3MK9ConvAdj_Quote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USDFUT3MM9_Quote</v>
      </c>
      <c r="F73" s="254" t="str">
        <f t="shared" si="5"/>
        <v>USDFUT3MM9ConvAdj_Quote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USDFUT3MN9_Quote</v>
      </c>
      <c r="F74" s="254" t="str">
        <f t="shared" si="5"/>
        <v>USDFUT3MN9ConvAdj_Quote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USDFUT3MQ9_Quote</v>
      </c>
      <c r="F75" s="254" t="str">
        <f t="shared" si="5"/>
        <v>USDFUT3MQ9ConvAdj_Quote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USDFUT3MU9_Quote</v>
      </c>
      <c r="F76" s="254" t="str">
        <f t="shared" si="5"/>
        <v>USDFUT3MU9ConvAdj_Quote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USDFUT3MV9_Quote</v>
      </c>
      <c r="F77" s="254" t="str">
        <f t="shared" si="5"/>
        <v>USDFUT3MV9ConvAdj_Quote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USDFUT3MX9_Quote</v>
      </c>
      <c r="F78" s="254" t="str">
        <f t="shared" si="5"/>
        <v>USDFUT3MX9ConvAdj_Quote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USDFUT3MZ9_Quote</v>
      </c>
      <c r="F79" s="254" t="str">
        <f t="shared" si="5"/>
        <v>USDFUT3MZ9ConvAdj_Quote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USDFUT3MF0_Quote</v>
      </c>
      <c r="F80" s="254" t="str">
        <f t="shared" si="5"/>
        <v>USDFUT3MF0ConvAdj_Quote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USDFUT3MG0_Quote</v>
      </c>
      <c r="F81" s="254" t="str">
        <f t="shared" si="5"/>
        <v>USDFUT3MG0ConvAdj_Quote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USDFUT3MH0_Quote</v>
      </c>
      <c r="F82" s="254" t="str">
        <f t="shared" si="5"/>
        <v>USDFUT3MH0ConvAdj_Quote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USDFUT3MJ0_Quote</v>
      </c>
      <c r="F83" s="254" t="str">
        <f t="shared" si="5"/>
        <v>USDFUT3MJ0ConvAdj_Quote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USDFUT3MK0_Quote</v>
      </c>
      <c r="F84" s="254" t="str">
        <f t="shared" si="5"/>
        <v>USDFUT3MK0ConvAdj_Quote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USDFUT3MM0_Quote</v>
      </c>
      <c r="F85" s="254" t="str">
        <f t="shared" si="5"/>
        <v>USDFUT3MM0ConvAdj_Quote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USDFUT3MN0_Quote</v>
      </c>
      <c r="F86" s="254" t="str">
        <f t="shared" si="5"/>
        <v>USDFUT3MN0ConvAdj_Quote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USDFUT3MQ0_Quote</v>
      </c>
      <c r="F87" s="254" t="str">
        <f t="shared" si="5"/>
        <v>USDFUT3MQ0ConvAdj_Quote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USDFUT3MU0_Quote</v>
      </c>
      <c r="F88" s="254" t="str">
        <f t="shared" si="5"/>
        <v>USDFUT3MU0ConvAdj_Quote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USDFUT3MV0_Quote</v>
      </c>
      <c r="F89" s="254" t="str">
        <f t="shared" si="5"/>
        <v>USDFUT3MV0ConvAdj_Quote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USDFUT3MX0_Quote</v>
      </c>
      <c r="F90" s="254" t="str">
        <f t="shared" si="5"/>
        <v>USDFUT3MX0ConvAdj_Quote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USDFUT3MZ0_Quote</v>
      </c>
      <c r="F91" s="254" t="str">
        <f t="shared" si="5"/>
        <v>USDFUT3MZ0ConvAdj_Quote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USDFUT3MF1_Quote</v>
      </c>
      <c r="F92" s="254" t="str">
        <f t="shared" si="5"/>
        <v>USDFUT3MF1ConvAdj_Quote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USDFUT3MG1_Quote</v>
      </c>
      <c r="F93" s="254" t="str">
        <f t="shared" si="5"/>
        <v>USDFUT3MG1ConvAdj_Quote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USDFUT3MH1_Quote</v>
      </c>
      <c r="F94" s="254" t="str">
        <f t="shared" si="5"/>
        <v>USDFUT3MH1ConvAdj_Quote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USDFUT3MJ1_Quote</v>
      </c>
      <c r="F95" s="254" t="str">
        <f t="shared" si="5"/>
        <v>USDFUT3MJ1ConvAdj_Quote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USDFUT3MK1_Quote</v>
      </c>
      <c r="F96" s="254" t="str">
        <f t="shared" si="5"/>
        <v>USDFUT3MK1ConvAdj_Quote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USDFUT3MM1_Quote</v>
      </c>
      <c r="F97" s="254" t="str">
        <f t="shared" si="5"/>
        <v>USDFUT3MM1ConvAdj_Quote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USDFUT3MN1_Quote</v>
      </c>
      <c r="F98" s="254" t="str">
        <f t="shared" si="5"/>
        <v>USDFUT3MN1ConvAdj_Quote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USDFUT3MQ1_Quote</v>
      </c>
      <c r="F99" s="254" t="str">
        <f t="shared" si="5"/>
        <v>USDFUT3MQ1ConvAdj_Quote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USDFUT3MU1_Quote</v>
      </c>
      <c r="F100" s="254" t="str">
        <f t="shared" si="5"/>
        <v>USDFUT3MU1ConvAdj_Quote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USDFUT3MV1_Quote</v>
      </c>
      <c r="F101" s="254" t="str">
        <f t="shared" si="5"/>
        <v>USDFUT3MV1ConvAdj_Quote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USDFUT3MX1_Quote</v>
      </c>
      <c r="F102" s="254" t="str">
        <f t="shared" si="5"/>
        <v>USDFUT3MX1ConvAdj_Quote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USDFUT3MZ1_Quote</v>
      </c>
      <c r="F103" s="254" t="str">
        <f t="shared" ref="F103:F126" si="7">Currency&amp;"FUT"&amp;$G$4&amp;$D103&amp;"ConvAdj"&amp;QuoteSuffix</f>
        <v>USDFUT3MZ1ConvAdj_Quote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USDFUT3MF2_Quote</v>
      </c>
      <c r="F104" s="254" t="str">
        <f t="shared" si="7"/>
        <v>USDFUT3MF2ConvAdj_Quote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USDFUT3MG2_Quote</v>
      </c>
      <c r="F105" s="254" t="str">
        <f t="shared" si="7"/>
        <v>USDFUT3MG2ConvAdj_Quote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USDFUT3MH2_Quote</v>
      </c>
      <c r="F106" s="254" t="str">
        <f t="shared" si="7"/>
        <v>USDFUT3MH2ConvAdj_Quote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USDFUT3MJ2_Quote</v>
      </c>
      <c r="F107" s="254" t="str">
        <f t="shared" si="7"/>
        <v>USDFUT3MJ2ConvAdj_Quote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USDFUT3MK2_Quote</v>
      </c>
      <c r="F108" s="254" t="str">
        <f t="shared" si="7"/>
        <v>USDFUT3MK2ConvAdj_Quote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USDFUT3MM2_Quote</v>
      </c>
      <c r="F109" s="254" t="str">
        <f t="shared" si="7"/>
        <v>USDFUT3MM2ConvAdj_Quote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USDFUT3MN2_Quote</v>
      </c>
      <c r="F110" s="254" t="str">
        <f t="shared" si="7"/>
        <v>USDFUT3MN2ConvAdj_Quote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USDFUT3MQ2_Quote</v>
      </c>
      <c r="F111" s="254" t="str">
        <f t="shared" si="7"/>
        <v>USDFUT3MQ2ConvAdj_Quote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USDFUT3MU2_Quote</v>
      </c>
      <c r="F112" s="254" t="str">
        <f t="shared" si="7"/>
        <v>USDFUT3MU2ConvAdj_Quote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USDFUT3MV2_Quote</v>
      </c>
      <c r="F113" s="254" t="str">
        <f t="shared" si="7"/>
        <v>USDFUT3MV2ConvAdj_Quote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USDFUT3MX2_Quote</v>
      </c>
      <c r="F114" s="254" t="str">
        <f t="shared" si="7"/>
        <v>USDFUT3MX2ConvAdj_Quote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USDFUT3MZ2_Quote</v>
      </c>
      <c r="F115" s="254" t="str">
        <f t="shared" si="7"/>
        <v>USDFUT3MZ2ConvAdj_Quote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USDFUT3MF3_Quote</v>
      </c>
      <c r="F116" s="254" t="str">
        <f t="shared" si="7"/>
        <v>USDFUT3MF3ConvAdj_Quote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USDFUT3MG3_Quote</v>
      </c>
      <c r="F117" s="254" t="str">
        <f t="shared" si="7"/>
        <v>USDFUT3MG3ConvAdj_Quote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USDFUT3MH3_Quote</v>
      </c>
      <c r="F118" s="254" t="str">
        <f t="shared" si="7"/>
        <v>USDFUT3MH3ConvAdj_Quote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USDFUT3MJ3_Quote</v>
      </c>
      <c r="F119" s="254" t="str">
        <f t="shared" si="7"/>
        <v>USDFUT3MJ3ConvAdj_Quote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USDFUT3MK3_Quote</v>
      </c>
      <c r="F120" s="254" t="str">
        <f t="shared" si="7"/>
        <v>USDFUT3MK3ConvAdj_Quote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USDFUT3MM3_Quote</v>
      </c>
      <c r="F121" s="254" t="str">
        <f t="shared" si="7"/>
        <v>USDFUT3MM3ConvAdj_Quote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USDFUT3MN3_Quote</v>
      </c>
      <c r="F122" s="254" t="str">
        <f t="shared" si="7"/>
        <v>USDFUT3MN3ConvAdj_Quote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USDFUT3MQ3_Quote</v>
      </c>
      <c r="F123" s="254" t="str">
        <f t="shared" si="7"/>
        <v>USDFUT3MQ3ConvAdj_Quote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USDFUT3MU3_Quote</v>
      </c>
      <c r="F124" s="254" t="str">
        <f t="shared" si="7"/>
        <v>USDFUT3MU3ConvAdj_Quote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USDFUT3MV3_Quote</v>
      </c>
      <c r="F125" s="254" t="str">
        <f t="shared" si="7"/>
        <v>USDFUT3MV3ConvAdj_Quote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USDFUT3MX3_Quote</v>
      </c>
      <c r="F126" s="254" t="str">
        <f t="shared" si="7"/>
        <v>USDFUT3MX3ConvAdj_Quote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3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_xll.ohTrigger(Q5:Q10)</f>
        <v>1</v>
      </c>
      <c r="R3" s="220"/>
    </row>
    <row r="4" spans="1:18" ht="22.5" x14ac:dyDescent="0.2">
      <c r="A4" s="121"/>
      <c r="B4" s="335"/>
      <c r="C4" s="196"/>
      <c r="D4" s="196"/>
      <c r="E4" s="196"/>
      <c r="F4" s="261" t="e">
        <f ca="1">_xll.RData(F5:F10,G4:J4,"RTFEED:IDN",ReutersRtMode,,G5)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290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18" x14ac:dyDescent="0.2">
      <c r="A5" s="121"/>
      <c r="B5" s="289" t="s">
        <v>207</v>
      </c>
      <c r="C5" s="331" t="s">
        <v>294</v>
      </c>
      <c r="D5" s="331" t="s">
        <v>300</v>
      </c>
      <c r="E5" s="329" t="str">
        <f t="shared" ref="E5:E10" si="0">Currency&amp;$C5&amp;$D5&amp;$B5</f>
        <v>USDE1X2S</v>
      </c>
      <c r="F5" s="329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7" t="e">
        <f>_xll.qlMidEquivalent($G5,$H5,$I5,$J5)</f>
        <v>#NUM!</v>
      </c>
      <c r="L5" s="266"/>
      <c r="M5" s="286" t="e">
        <v>#NUM!</v>
      </c>
      <c r="N5" s="266"/>
      <c r="O5" s="327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6" t="s">
        <v>294</v>
      </c>
      <c r="D6" s="326" t="s">
        <v>300</v>
      </c>
      <c r="E6" s="324" t="str">
        <f t="shared" si="0"/>
        <v>USDE1X4S</v>
      </c>
      <c r="F6" s="324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22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6" t="s">
        <v>294</v>
      </c>
      <c r="D7" s="326" t="s">
        <v>298</v>
      </c>
      <c r="E7" s="324" t="str">
        <f t="shared" si="0"/>
        <v>USDE2X3S</v>
      </c>
      <c r="F7" s="324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2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6" t="s">
        <v>294</v>
      </c>
      <c r="D8" s="326" t="s">
        <v>298</v>
      </c>
      <c r="E8" s="324" t="str">
        <f t="shared" si="0"/>
        <v>USDE2X5S</v>
      </c>
      <c r="F8" s="324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2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6" t="s">
        <v>294</v>
      </c>
      <c r="D9" s="326" t="s">
        <v>296</v>
      </c>
      <c r="E9" s="324" t="str">
        <f t="shared" si="0"/>
        <v>USDE3X6S</v>
      </c>
      <c r="F9" s="324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2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21" t="s">
        <v>294</v>
      </c>
      <c r="D10" s="321" t="s">
        <v>293</v>
      </c>
      <c r="E10" s="319" t="str">
        <f t="shared" si="0"/>
        <v>USDE6X12S</v>
      </c>
      <c r="F10" s="319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7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7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38" customWidth="1"/>
    <col min="3" max="3" width="5.7109375" style="438" bestFit="1" customWidth="1"/>
    <col min="4" max="4" width="9.28515625" style="438" bestFit="1" customWidth="1"/>
    <col min="5" max="5" width="26.42578125" style="438" bestFit="1" customWidth="1"/>
    <col min="6" max="6" width="9.85546875" style="438" customWidth="1"/>
    <col min="7" max="7" width="6" style="438" bestFit="1" customWidth="1"/>
    <col min="8" max="8" width="5.5703125" style="438" bestFit="1" customWidth="1"/>
    <col min="9" max="9" width="3.5703125" style="438" customWidth="1"/>
    <col min="10" max="10" width="7.85546875" style="438" bestFit="1" customWidth="1"/>
    <col min="11" max="11" width="11.42578125" style="438" bestFit="1" customWidth="1"/>
    <col min="12" max="12" width="8.7109375" style="438" bestFit="1" customWidth="1"/>
    <col min="13" max="13" width="7.140625" style="438" bestFit="1" customWidth="1"/>
    <col min="14" max="14" width="10" style="438" bestFit="1" customWidth="1"/>
    <col min="15" max="15" width="7.140625" style="438" bestFit="1" customWidth="1"/>
    <col min="16" max="17" width="3.5703125" style="438" customWidth="1"/>
    <col min="18" max="18" width="4" style="438" bestFit="1" customWidth="1"/>
    <col min="19" max="19" width="5.28515625" style="438" bestFit="1" customWidth="1"/>
    <col min="20" max="20" width="1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19.5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MAX(O4:O19)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_xll.RData(D4:D18,E3:F3,"RTFEED:IDN",,,E4)</f>
        <v>#NAME?</v>
      </c>
      <c r="E3" s="487" t="s">
        <v>322</v>
      </c>
      <c r="F3" s="487" t="s">
        <v>328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 t="s">
        <v>336</v>
      </c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29</v>
      </c>
      <c r="D4" s="479" t="str">
        <f t="shared" ref="D4:D18" si="0">Currency&amp;$D$2&amp;$C4&amp;"="</f>
        <v>USD-1Y=</v>
      </c>
      <c r="E4" s="483" t="s">
        <v>245</v>
      </c>
      <c r="F4" s="482" t="s">
        <v>245</v>
      </c>
      <c r="G4" s="482" t="b">
        <f t="shared" ref="G4:G18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18" si="2">PROPER(Currency)&amp;$J$2&amp;$C4</f>
        <v>Usd-1Y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18" si="3">K4-L4</f>
        <v>#NUM!</v>
      </c>
      <c r="N4" s="478" t="e">
        <f>_xll.qlIndexFixing($J4,$E4,TRUE,$L4)</f>
        <v>#NUM!</v>
      </c>
      <c r="O4" s="502">
        <f t="shared" ref="O4:O18" si="4"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108</v>
      </c>
      <c r="D5" s="471" t="str">
        <f t="shared" si="0"/>
        <v>USD-2Y=</v>
      </c>
      <c r="E5" s="475" t="s">
        <v>245</v>
      </c>
      <c r="F5" s="474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Usd-2Y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502">
        <f t="shared" si="4"/>
        <v>0</v>
      </c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107</v>
      </c>
      <c r="D6" s="471" t="str">
        <f t="shared" si="0"/>
        <v>USD-3Y=</v>
      </c>
      <c r="E6" s="475" t="s">
        <v>245</v>
      </c>
      <c r="F6" s="474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Usd-3Y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502">
        <f t="shared" si="4"/>
        <v>0</v>
      </c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106</v>
      </c>
      <c r="D7" s="471" t="str">
        <f t="shared" si="0"/>
        <v>USD-4Y=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Usd-4Y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502">
        <f t="shared" si="4"/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105</v>
      </c>
      <c r="D8" s="471" t="str">
        <f t="shared" si="0"/>
        <v>USD-5Y=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Usd-5Y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502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104</v>
      </c>
      <c r="D9" s="471" t="str">
        <f t="shared" si="0"/>
        <v>USD-6Y=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Usd-6Y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502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103</v>
      </c>
      <c r="D10" s="471" t="str">
        <f t="shared" si="0"/>
        <v>USD-7Y=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Usd-7Y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502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102</v>
      </c>
      <c r="D11" s="471" t="str">
        <f t="shared" si="0"/>
        <v>USD-8Y=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Usd-8Y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502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101</v>
      </c>
      <c r="D12" s="471" t="str">
        <f t="shared" si="0"/>
        <v>USD-9Y=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Usd-9Y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502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100</v>
      </c>
      <c r="D13" s="471" t="str">
        <f t="shared" si="0"/>
        <v>USD-10Y=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Usd-10Y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502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98</v>
      </c>
      <c r="D14" s="471" t="str">
        <f t="shared" si="0"/>
        <v>USD-12Y=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Usd-12Y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502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95</v>
      </c>
      <c r="D15" s="471" t="str">
        <f t="shared" si="0"/>
        <v>USD-15Y=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Usd-15Y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502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90</v>
      </c>
      <c r="D16" s="471" t="str">
        <f t="shared" si="0"/>
        <v>USD-20Y=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Usd-20Y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502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85</v>
      </c>
      <c r="D17" s="471" t="str">
        <f t="shared" si="0"/>
        <v>USD-25Y=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Usd-25Y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502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67" t="s">
        <v>80</v>
      </c>
      <c r="D18" s="461" t="str">
        <f t="shared" si="0"/>
        <v>USD-30Y=</v>
      </c>
      <c r="E18" s="466" t="s">
        <v>245</v>
      </c>
      <c r="F18" s="465" t="s">
        <v>245</v>
      </c>
      <c r="G18" s="465" t="b">
        <f t="shared" si="1"/>
        <v>0</v>
      </c>
      <c r="H18" s="464" t="e">
        <f>IF($G18,_xll.qlIndexAddFixings($J18,$E18,$F18/100,TRUE,ISERROR($K18)),NA())</f>
        <v>#N/A</v>
      </c>
      <c r="I18" s="463"/>
      <c r="J18" s="462" t="str">
        <f t="shared" si="2"/>
        <v>Usd-30Y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501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2" thickBot="1" x14ac:dyDescent="0.25">
      <c r="A19" s="439"/>
      <c r="B19" s="457"/>
      <c r="C19" s="455"/>
      <c r="D19" s="455"/>
      <c r="E19" s="455"/>
      <c r="F19" s="455"/>
      <c r="G19" s="455"/>
      <c r="H19" s="455"/>
      <c r="I19" s="454"/>
      <c r="J19" s="454"/>
      <c r="K19" s="454"/>
      <c r="L19" s="454"/>
      <c r="M19" s="454"/>
      <c r="N19" s="454"/>
      <c r="O19" s="454"/>
      <c r="P19" s="453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2" thickBot="1" x14ac:dyDescent="0.25">
      <c r="A20" s="439"/>
      <c r="B20" s="439"/>
      <c r="C20" s="439"/>
      <c r="D20" s="439"/>
      <c r="E20" s="452"/>
      <c r="F20" s="451"/>
      <c r="G20" s="451"/>
      <c r="H20" s="439"/>
      <c r="I20" s="439"/>
      <c r="J20" s="439"/>
      <c r="K20" s="439"/>
      <c r="L20" s="439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s="439" customFormat="1" x14ac:dyDescent="0.2">
      <c r="C21" s="450" t="s">
        <v>132</v>
      </c>
      <c r="D21" s="449" t="s">
        <v>331</v>
      </c>
      <c r="E21" s="448" t="s">
        <v>331</v>
      </c>
    </row>
    <row r="22" spans="1:30" s="439" customFormat="1" x14ac:dyDescent="0.2">
      <c r="C22" s="445" t="s">
        <v>131</v>
      </c>
      <c r="D22" s="444" t="s">
        <v>335</v>
      </c>
      <c r="E22" s="443" t="s">
        <v>334</v>
      </c>
    </row>
    <row r="23" spans="1:30" s="439" customFormat="1" x14ac:dyDescent="0.2">
      <c r="C23" s="445" t="s">
        <v>315</v>
      </c>
      <c r="D23" s="444" t="s">
        <v>331</v>
      </c>
      <c r="E23" s="443" t="s">
        <v>331</v>
      </c>
    </row>
    <row r="24" spans="1:30" s="439" customFormat="1" x14ac:dyDescent="0.2">
      <c r="C24" s="445" t="s">
        <v>314</v>
      </c>
      <c r="D24" s="444" t="s">
        <v>331</v>
      </c>
      <c r="E24" s="443" t="s">
        <v>331</v>
      </c>
    </row>
    <row r="25" spans="1:30" s="439" customFormat="1" x14ac:dyDescent="0.2">
      <c r="C25" s="445" t="s">
        <v>128</v>
      </c>
      <c r="D25" s="444" t="s">
        <v>331</v>
      </c>
      <c r="E25" s="443" t="s">
        <v>331</v>
      </c>
    </row>
    <row r="26" spans="1:30" s="439" customFormat="1" x14ac:dyDescent="0.2">
      <c r="C26" s="445" t="s">
        <v>127</v>
      </c>
      <c r="D26" s="444" t="s">
        <v>331</v>
      </c>
      <c r="E26" s="443" t="s">
        <v>331</v>
      </c>
    </row>
    <row r="27" spans="1:30" s="439" customFormat="1" ht="12" thickBot="1" x14ac:dyDescent="0.25">
      <c r="C27" s="442" t="s">
        <v>122</v>
      </c>
      <c r="D27" s="500" t="s">
        <v>331</v>
      </c>
      <c r="E27" s="499" t="s">
        <v>331</v>
      </c>
    </row>
    <row r="28" spans="1:30" s="439" customFormat="1" x14ac:dyDescent="0.2"/>
    <row r="29" spans="1:30" s="439" customFormat="1" x14ac:dyDescent="0.2"/>
    <row r="30" spans="1:30" s="439" customFormat="1" x14ac:dyDescent="0.2"/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8" customWidth="1"/>
    <col min="3" max="3" width="5.7109375" style="438" bestFit="1" customWidth="1"/>
    <col min="4" max="4" width="12.140625" style="438" bestFit="1" customWidth="1"/>
    <col min="5" max="5" width="12.85546875" style="438" customWidth="1"/>
    <col min="6" max="6" width="7.42578125" style="438" customWidth="1"/>
    <col min="7" max="7" width="6" style="438" bestFit="1" customWidth="1"/>
    <col min="8" max="8" width="5.5703125" style="438" bestFit="1" customWidth="1"/>
    <col min="9" max="9" width="4.28515625" style="438" customWidth="1"/>
    <col min="10" max="10" width="12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hidden="1" customWidth="1"/>
    <col min="16" max="17" width="4.28515625" style="438" customWidth="1"/>
    <col min="18" max="18" width="4" style="438" bestFit="1" customWidth="1"/>
    <col min="19" max="19" width="5.28515625" style="438" bestFit="1" customWidth="1"/>
    <col min="20" max="20" width="6.140625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22.5" customHeight="1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MAX(O4:O21)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_xll.RData(D4:D21,E3:F3,"RTFEED:IDN",,,E4)</f>
        <v>#NAME?</v>
      </c>
      <c r="E3" s="487" t="s">
        <v>322</v>
      </c>
      <c r="F3" s="487" t="s">
        <v>250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220</v>
      </c>
      <c r="D4" s="479" t="str">
        <f t="shared" ref="D4:D21" si="0">Currency&amp;$D$2&amp;$C4&amp;"D="</f>
        <v>USD-OND=</v>
      </c>
      <c r="E4" s="483" t="s">
        <v>245</v>
      </c>
      <c r="F4" s="508" t="s">
        <v>245</v>
      </c>
      <c r="G4" s="482" t="b">
        <f t="shared" ref="G4:G21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21" si="2">PROPER(Currency)&amp;$J$2&amp;$C4</f>
        <v>Usd-ON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21" si="3">K4-L4</f>
        <v>#NUM!</v>
      </c>
      <c r="N4" s="478" t="e">
        <f>_xll.qlIndexFixing($J4,$E4,TRUE,$L4)</f>
        <v>#NUM!</v>
      </c>
      <c r="O4" s="477">
        <f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252</v>
      </c>
      <c r="D5" s="471" t="str">
        <f t="shared" si="0"/>
        <v>USD-TND=</v>
      </c>
      <c r="E5" s="475" t="s">
        <v>245</v>
      </c>
      <c r="F5" s="507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Usd-TN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469"/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249</v>
      </c>
      <c r="D6" s="471" t="str">
        <f t="shared" si="0"/>
        <v>USD-SND=</v>
      </c>
      <c r="E6" s="475" t="s">
        <v>245</v>
      </c>
      <c r="F6" s="507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Usd-SN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469"/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43</v>
      </c>
      <c r="D7" s="471" t="str">
        <f t="shared" si="0"/>
        <v>USD-SWD=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Usd-SW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469">
        <f t="shared" ref="O7:O21" si="4">IF(ISERROR(M7),0,ABS(M7))</f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42</v>
      </c>
      <c r="D8" s="471" t="str">
        <f t="shared" si="0"/>
        <v>USD-2WD=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Usd-2W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469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41</v>
      </c>
      <c r="D9" s="471" t="str">
        <f t="shared" si="0"/>
        <v>USD-3WD=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Usd-3W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469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40</v>
      </c>
      <c r="D10" s="471" t="str">
        <f t="shared" si="0"/>
        <v>USD-1MD=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Usd-1M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469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39</v>
      </c>
      <c r="D11" s="471" t="str">
        <f t="shared" si="0"/>
        <v>USD-2MD=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Usd-2M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469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38</v>
      </c>
      <c r="D12" s="471" t="str">
        <f t="shared" si="0"/>
        <v>USD-3MD=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Usd-3M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469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37</v>
      </c>
      <c r="D13" s="471" t="str">
        <f t="shared" si="0"/>
        <v>USD-4MD=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Usd-4M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469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36</v>
      </c>
      <c r="D14" s="471" t="str">
        <f t="shared" si="0"/>
        <v>USD-5MD=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Usd-5M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469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35</v>
      </c>
      <c r="D15" s="471" t="str">
        <f t="shared" si="0"/>
        <v>USD-6MD=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Usd-6M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469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34</v>
      </c>
      <c r="D16" s="471" t="str">
        <f t="shared" si="0"/>
        <v>USD-7MD=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Usd-7M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469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33</v>
      </c>
      <c r="D17" s="471" t="str">
        <f t="shared" si="0"/>
        <v>USD-8MD=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Usd-8M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469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76" t="s">
        <v>32</v>
      </c>
      <c r="D18" s="471" t="str">
        <f t="shared" si="0"/>
        <v>USD-9MD=</v>
      </c>
      <c r="E18" s="475" t="s">
        <v>245</v>
      </c>
      <c r="F18" s="474" t="s">
        <v>245</v>
      </c>
      <c r="G18" s="474" t="b">
        <f t="shared" si="1"/>
        <v>0</v>
      </c>
      <c r="H18" s="473" t="e">
        <f>IF($G18,_xll.qlIndexAddFixings($J18,$E18,$F18/100,TRUE,ISERROR($K18)),NA())</f>
        <v>#N/A</v>
      </c>
      <c r="I18" s="463"/>
      <c r="J18" s="472" t="str">
        <f t="shared" si="2"/>
        <v>Usd-9M</v>
      </c>
      <c r="K18" s="471" t="e">
        <f>_xll.qlIndexFixing($J18,$E18,TRUE,$G18)</f>
        <v>#NUM!</v>
      </c>
      <c r="L18" s="471" t="e">
        <f>IF($H18,_xll.qlIndexFixing($J18,$E18,FALSE,$G18),"-")</f>
        <v>#N/A</v>
      </c>
      <c r="M18" s="471" t="e">
        <f t="shared" si="3"/>
        <v>#NUM!</v>
      </c>
      <c r="N18" s="470" t="e">
        <f>_xll.qlIndexFixing($J18,$E18,TRUE,$L18)</f>
        <v>#NUM!</v>
      </c>
      <c r="O18" s="469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x14ac:dyDescent="0.2">
      <c r="A19" s="439"/>
      <c r="B19" s="468"/>
      <c r="C19" s="476" t="s">
        <v>31</v>
      </c>
      <c r="D19" s="471" t="str">
        <f t="shared" si="0"/>
        <v>USD-10MD=</v>
      </c>
      <c r="E19" s="475" t="s">
        <v>245</v>
      </c>
      <c r="F19" s="474" t="s">
        <v>245</v>
      </c>
      <c r="G19" s="474" t="b">
        <f t="shared" si="1"/>
        <v>0</v>
      </c>
      <c r="H19" s="473" t="e">
        <f>IF($G19,_xll.qlIndexAddFixings($J19,$E19,$F19/100,TRUE,ISERROR($K19)),NA())</f>
        <v>#N/A</v>
      </c>
      <c r="I19" s="463"/>
      <c r="J19" s="472" t="str">
        <f t="shared" si="2"/>
        <v>Usd-10M</v>
      </c>
      <c r="K19" s="471" t="e">
        <f>_xll.qlIndexFixing($J19,$E19,TRUE,$G19)</f>
        <v>#NUM!</v>
      </c>
      <c r="L19" s="471" t="e">
        <f>IF($H19,_xll.qlIndexFixing($J19,$E19,FALSE,$G19),"-")</f>
        <v>#N/A</v>
      </c>
      <c r="M19" s="471" t="e">
        <f t="shared" si="3"/>
        <v>#NUM!</v>
      </c>
      <c r="N19" s="470" t="e">
        <f>_xll.qlIndexFixing($J19,$E19,TRUE,$L19)</f>
        <v>#NUM!</v>
      </c>
      <c r="O19" s="469">
        <f t="shared" si="4"/>
        <v>0</v>
      </c>
      <c r="P19" s="458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x14ac:dyDescent="0.2">
      <c r="A20" s="439"/>
      <c r="B20" s="468"/>
      <c r="C20" s="476" t="s">
        <v>30</v>
      </c>
      <c r="D20" s="471" t="str">
        <f t="shared" si="0"/>
        <v>USD-11MD=</v>
      </c>
      <c r="E20" s="475" t="s">
        <v>245</v>
      </c>
      <c r="F20" s="474" t="s">
        <v>245</v>
      </c>
      <c r="G20" s="474" t="b">
        <f t="shared" si="1"/>
        <v>0</v>
      </c>
      <c r="H20" s="473" t="e">
        <f>IF($G20,_xll.qlIndexAddFixings($J20,$E20,$F20/100,TRUE,ISERROR($K20)),NA())</f>
        <v>#N/A</v>
      </c>
      <c r="I20" s="463"/>
      <c r="J20" s="472" t="str">
        <f t="shared" si="2"/>
        <v>Usd-11M</v>
      </c>
      <c r="K20" s="471" t="e">
        <f>_xll.qlIndexFixing($J20,$E20,TRUE,$G20)</f>
        <v>#NUM!</v>
      </c>
      <c r="L20" s="471" t="e">
        <f>IF($H20,_xll.qlIndexFixing($J20,$E20,FALSE,$G20),"-")</f>
        <v>#N/A</v>
      </c>
      <c r="M20" s="471" t="e">
        <f t="shared" si="3"/>
        <v>#NUM!</v>
      </c>
      <c r="N20" s="470" t="e">
        <f>_xll.qlIndexFixing($J20,$E20,TRUE,$L20)</f>
        <v>#NUM!</v>
      </c>
      <c r="O20" s="469">
        <f t="shared" si="4"/>
        <v>0</v>
      </c>
      <c r="P20" s="458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x14ac:dyDescent="0.2">
      <c r="A21" s="439"/>
      <c r="B21" s="468"/>
      <c r="C21" s="467" t="s">
        <v>29</v>
      </c>
      <c r="D21" s="461" t="str">
        <f t="shared" si="0"/>
        <v>USD-1YD=</v>
      </c>
      <c r="E21" s="466" t="s">
        <v>245</v>
      </c>
      <c r="F21" s="465" t="s">
        <v>245</v>
      </c>
      <c r="G21" s="465" t="b">
        <f t="shared" si="1"/>
        <v>0</v>
      </c>
      <c r="H21" s="464" t="e">
        <f>IF($G21,_xll.qlIndexAddFixings($J21,$E21,$F21/100,TRUE,ISERROR($K21)),NA())</f>
        <v>#N/A</v>
      </c>
      <c r="I21" s="463"/>
      <c r="J21" s="462" t="str">
        <f t="shared" si="2"/>
        <v>Usd-1Y</v>
      </c>
      <c r="K21" s="461" t="e">
        <f>_xll.qlIndexFixing($J21,$E21,TRUE,$G21)</f>
        <v>#NUM!</v>
      </c>
      <c r="L21" s="461" t="e">
        <f>IF($H21,_xll.qlIndexFixing($J21,$E21,FALSE,$G21),"-")</f>
        <v>#N/A</v>
      </c>
      <c r="M21" s="461" t="e">
        <f t="shared" si="3"/>
        <v>#NUM!</v>
      </c>
      <c r="N21" s="460" t="e">
        <f>_xll.qlIndexFixing($J21,$E21,TRUE,$L21)</f>
        <v>#NUM!</v>
      </c>
      <c r="O21" s="459">
        <f t="shared" si="4"/>
        <v>0</v>
      </c>
      <c r="P21" s="458"/>
      <c r="Q21" s="439"/>
      <c r="R21" s="439"/>
      <c r="S21" s="439"/>
      <c r="T21" s="439"/>
      <c r="U21" s="439"/>
      <c r="V21" s="439"/>
      <c r="W21" s="439"/>
      <c r="X21" s="439"/>
      <c r="Y21" s="439"/>
      <c r="Z21" s="439"/>
      <c r="AA21" s="439"/>
      <c r="AB21" s="439"/>
      <c r="AC21" s="439"/>
      <c r="AD21" s="439"/>
    </row>
    <row r="22" spans="1:30" ht="12" thickBot="1" x14ac:dyDescent="0.25">
      <c r="A22" s="439"/>
      <c r="B22" s="457"/>
      <c r="C22" s="454"/>
      <c r="D22" s="454"/>
      <c r="E22" s="456"/>
      <c r="F22" s="455"/>
      <c r="G22" s="455"/>
      <c r="H22" s="454"/>
      <c r="I22" s="454"/>
      <c r="J22" s="454"/>
      <c r="K22" s="454"/>
      <c r="L22" s="454"/>
      <c r="M22" s="454"/>
      <c r="N22" s="454"/>
      <c r="O22" s="454"/>
      <c r="P22" s="453"/>
      <c r="Q22" s="439"/>
      <c r="R22" s="439"/>
      <c r="S22" s="439"/>
      <c r="T22" s="439"/>
      <c r="U22" s="439"/>
      <c r="V22" s="439"/>
      <c r="W22" s="439"/>
      <c r="X22" s="439"/>
      <c r="Y22" s="439"/>
      <c r="Z22" s="439"/>
      <c r="AA22" s="439"/>
      <c r="AB22" s="439"/>
      <c r="AC22" s="439"/>
      <c r="AD22" s="439"/>
    </row>
    <row r="23" spans="1:30" ht="12" thickBot="1" x14ac:dyDescent="0.25">
      <c r="A23" s="439"/>
      <c r="B23" s="439"/>
      <c r="C23" s="439"/>
      <c r="D23" s="439"/>
      <c r="E23" s="452"/>
      <c r="F23" s="451"/>
      <c r="G23" s="451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439"/>
      <c r="AA23" s="439"/>
      <c r="AB23" s="439"/>
      <c r="AC23" s="439"/>
      <c r="AD23" s="439"/>
    </row>
    <row r="24" spans="1:30" s="439" customFormat="1" x14ac:dyDescent="0.2">
      <c r="C24" s="450" t="s">
        <v>132</v>
      </c>
      <c r="D24" s="449" t="s">
        <v>331</v>
      </c>
      <c r="E24" s="448" t="s">
        <v>331</v>
      </c>
      <c r="F24" s="447"/>
    </row>
    <row r="25" spans="1:30" s="439" customFormat="1" x14ac:dyDescent="0.2">
      <c r="C25" s="445" t="s">
        <v>131</v>
      </c>
      <c r="D25" s="444" t="s">
        <v>338</v>
      </c>
      <c r="E25" s="443" t="s">
        <v>337</v>
      </c>
      <c r="J25" s="446"/>
    </row>
    <row r="26" spans="1:30" s="439" customFormat="1" x14ac:dyDescent="0.2">
      <c r="C26" s="445" t="s">
        <v>315</v>
      </c>
      <c r="D26" s="444" t="s">
        <v>331</v>
      </c>
      <c r="E26" s="443" t="s">
        <v>331</v>
      </c>
      <c r="J26" s="446"/>
    </row>
    <row r="27" spans="1:30" s="439" customFormat="1" x14ac:dyDescent="0.2">
      <c r="C27" s="445" t="s">
        <v>314</v>
      </c>
      <c r="D27" s="444" t="s">
        <v>331</v>
      </c>
      <c r="E27" s="443" t="s">
        <v>331</v>
      </c>
      <c r="J27" s="446"/>
    </row>
    <row r="28" spans="1:30" s="439" customFormat="1" x14ac:dyDescent="0.2">
      <c r="C28" s="445" t="s">
        <v>128</v>
      </c>
      <c r="D28" s="444" t="s">
        <v>331</v>
      </c>
      <c r="E28" s="443" t="s">
        <v>331</v>
      </c>
    </row>
    <row r="29" spans="1:30" s="439" customFormat="1" x14ac:dyDescent="0.2">
      <c r="C29" s="445" t="s">
        <v>127</v>
      </c>
      <c r="D29" s="444" t="s">
        <v>331</v>
      </c>
      <c r="E29" s="443" t="s">
        <v>331</v>
      </c>
    </row>
    <row r="30" spans="1:30" s="439" customFormat="1" ht="12" thickBot="1" x14ac:dyDescent="0.25">
      <c r="C30" s="442" t="s">
        <v>122</v>
      </c>
      <c r="D30" s="441" t="s">
        <v>331</v>
      </c>
      <c r="E30" s="440" t="s">
        <v>331</v>
      </c>
    </row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  <row r="39" s="439" customFormat="1" x14ac:dyDescent="0.2"/>
    <row r="40" s="439" customFormat="1" x14ac:dyDescent="0.2"/>
    <row r="41" s="43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8" customWidth="1"/>
    <col min="3" max="3" width="5.7109375" style="438" bestFit="1" customWidth="1"/>
    <col min="4" max="4" width="12.140625" style="438" bestFit="1" customWidth="1"/>
    <col min="5" max="5" width="12.85546875" style="438" customWidth="1"/>
    <col min="6" max="6" width="7.42578125" style="438" customWidth="1"/>
    <col min="7" max="7" width="6" style="438" bestFit="1" customWidth="1"/>
    <col min="8" max="8" width="5.5703125" style="438" bestFit="1" customWidth="1"/>
    <col min="9" max="9" width="4.28515625" style="438" customWidth="1"/>
    <col min="10" max="10" width="9.5703125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hidden="1" customWidth="1"/>
    <col min="16" max="17" width="4.28515625" style="438" customWidth="1"/>
    <col min="18" max="18" width="12.85546875" style="438" bestFit="1" customWidth="1"/>
    <col min="19" max="19" width="7.140625" style="438" bestFit="1" customWidth="1"/>
    <col min="20" max="20" width="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22.5" customHeight="1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MAX(O4:O21)</f>
        <v>0</v>
      </c>
      <c r="N2" s="491"/>
      <c r="O2" s="491"/>
      <c r="P2" s="490"/>
      <c r="Q2" s="439"/>
      <c r="R2" s="439" t="s">
        <v>142</v>
      </c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_xll.RData(D4:D21,E3:F3,"RTFEED:IDN",,,E4)</f>
        <v>#NAME?</v>
      </c>
      <c r="E3" s="487" t="s">
        <v>322</v>
      </c>
      <c r="F3" s="487" t="s">
        <v>250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ht="15" x14ac:dyDescent="0.25">
      <c r="A4" s="439"/>
      <c r="B4" s="468"/>
      <c r="C4" s="484" t="s">
        <v>220</v>
      </c>
      <c r="D4" s="479" t="str">
        <f t="shared" ref="D4:D21" si="0">Currency&amp;$D$2&amp;$C4&amp;"D="</f>
        <v>USD-OND=</v>
      </c>
      <c r="E4" s="483" t="s">
        <v>245</v>
      </c>
      <c r="F4" s="508" t="s">
        <v>245</v>
      </c>
      <c r="G4" s="482" t="b">
        <f t="shared" ref="G4:G21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21" si="2">PROPER(Currency)&amp;$J$2&amp;$C4</f>
        <v>Usd-ON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21" si="3">K4-L4</f>
        <v>#NUM!</v>
      </c>
      <c r="N4" s="478" t="e">
        <f>_xll.qlIndexFixing($J4,$E4,TRUE,$L4)</f>
        <v>#NUM!</v>
      </c>
      <c r="O4" s="477">
        <f>IF(ISERROR(M4),0,ABS(M4))</f>
        <v>0</v>
      </c>
      <c r="P4" s="458"/>
      <c r="Q4" s="439"/>
      <c r="R4" s="439" t="str">
        <f>Currency&amp;$C4&amp;"D"&amp;$R$2</f>
        <v>USDOND_Quote</v>
      </c>
      <c r="S4" s="510" t="e">
        <f>_xll.qlQuoteValue(R4,ISERROR(H4))</f>
        <v>#NUM!</v>
      </c>
      <c r="T4" s="509" t="e">
        <f>IF(E4=EvaluationDate,S4-F4/100,NA())</f>
        <v>#N/A</v>
      </c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ht="15" x14ac:dyDescent="0.25">
      <c r="A5" s="439"/>
      <c r="B5" s="468"/>
      <c r="C5" s="476" t="s">
        <v>252</v>
      </c>
      <c r="D5" s="471" t="str">
        <f t="shared" si="0"/>
        <v>USD-TND=</v>
      </c>
      <c r="E5" s="475" t="s">
        <v>245</v>
      </c>
      <c r="F5" s="507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Usd-TN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469"/>
      <c r="P5" s="458"/>
      <c r="Q5" s="439"/>
      <c r="R5" s="439"/>
      <c r="S5" s="510"/>
      <c r="T5" s="50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ht="15" x14ac:dyDescent="0.25">
      <c r="A6" s="439"/>
      <c r="B6" s="468"/>
      <c r="C6" s="476" t="s">
        <v>249</v>
      </c>
      <c r="D6" s="471" t="str">
        <f t="shared" si="0"/>
        <v>USD-SND=</v>
      </c>
      <c r="E6" s="475" t="s">
        <v>245</v>
      </c>
      <c r="F6" s="507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Usd-SN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469"/>
      <c r="P6" s="458"/>
      <c r="Q6" s="439"/>
      <c r="R6" s="439"/>
      <c r="S6" s="510"/>
      <c r="T6" s="50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ht="15" x14ac:dyDescent="0.25">
      <c r="A7" s="439"/>
      <c r="B7" s="468"/>
      <c r="C7" s="476" t="s">
        <v>43</v>
      </c>
      <c r="D7" s="471" t="str">
        <f t="shared" si="0"/>
        <v>USD-SWD=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Usd-SW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469">
        <f t="shared" ref="O7:O21" si="4">IF(ISERROR(M7),0,ABS(M7))</f>
        <v>0</v>
      </c>
      <c r="P7" s="458"/>
      <c r="Q7" s="439"/>
      <c r="R7" s="439" t="str">
        <f t="shared" ref="R7:R21" si="5">Currency&amp;$C7&amp;"D"&amp;$R$2</f>
        <v>USDSWD_Quote</v>
      </c>
      <c r="S7" s="510" t="e">
        <f>_xll.qlQuoteValue(R7,ISERROR(H7))</f>
        <v>#NUM!</v>
      </c>
      <c r="T7" s="509" t="e">
        <f t="shared" ref="T7:T21" si="6">IF(E7=EvaluationDate,S7-F7/100,NA())</f>
        <v>#N/A</v>
      </c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ht="15" x14ac:dyDescent="0.25">
      <c r="A8" s="439"/>
      <c r="B8" s="468"/>
      <c r="C8" s="476" t="s">
        <v>42</v>
      </c>
      <c r="D8" s="471" t="str">
        <f t="shared" si="0"/>
        <v>USD-2WD=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Usd-2W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469">
        <f t="shared" si="4"/>
        <v>0</v>
      </c>
      <c r="P8" s="458"/>
      <c r="Q8" s="439"/>
      <c r="R8" s="439" t="str">
        <f t="shared" si="5"/>
        <v>USD2WD_Quote</v>
      </c>
      <c r="S8" s="510" t="e">
        <f>_xll.qlQuoteValue(R8,ISERROR(H8))</f>
        <v>#NUM!</v>
      </c>
      <c r="T8" s="509" t="e">
        <f t="shared" si="6"/>
        <v>#N/A</v>
      </c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ht="15" x14ac:dyDescent="0.25">
      <c r="A9" s="439"/>
      <c r="B9" s="468"/>
      <c r="C9" s="476" t="s">
        <v>41</v>
      </c>
      <c r="D9" s="471" t="str">
        <f t="shared" si="0"/>
        <v>USD-3WD=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Usd-3W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469">
        <f t="shared" si="4"/>
        <v>0</v>
      </c>
      <c r="P9" s="458"/>
      <c r="Q9" s="439"/>
      <c r="R9" s="439" t="str">
        <f t="shared" si="5"/>
        <v>USD3WD_Quote</v>
      </c>
      <c r="S9" s="510" t="e">
        <f>_xll.qlQuoteValue(R9,ISERROR(H9))</f>
        <v>#NUM!</v>
      </c>
      <c r="T9" s="509" t="e">
        <f t="shared" si="6"/>
        <v>#N/A</v>
      </c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ht="15" x14ac:dyDescent="0.25">
      <c r="A10" s="439"/>
      <c r="B10" s="468"/>
      <c r="C10" s="476" t="s">
        <v>40</v>
      </c>
      <c r="D10" s="471" t="str">
        <f t="shared" si="0"/>
        <v>USD-1MD=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Usd-1M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469">
        <f t="shared" si="4"/>
        <v>0</v>
      </c>
      <c r="P10" s="458"/>
      <c r="Q10" s="439"/>
      <c r="R10" s="439" t="str">
        <f t="shared" si="5"/>
        <v>USD1MD_Quote</v>
      </c>
      <c r="S10" s="510" t="e">
        <f>_xll.qlQuoteValue(R10,ISERROR(H10))</f>
        <v>#NUM!</v>
      </c>
      <c r="T10" s="509" t="e">
        <f t="shared" si="6"/>
        <v>#N/A</v>
      </c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ht="15" x14ac:dyDescent="0.25">
      <c r="A11" s="439"/>
      <c r="B11" s="468"/>
      <c r="C11" s="476" t="s">
        <v>39</v>
      </c>
      <c r="D11" s="471" t="str">
        <f t="shared" si="0"/>
        <v>USD-2MD=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Usd-2M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469">
        <f t="shared" si="4"/>
        <v>0</v>
      </c>
      <c r="P11" s="458"/>
      <c r="Q11" s="439"/>
      <c r="R11" s="439" t="str">
        <f t="shared" si="5"/>
        <v>USD2MD_Quote</v>
      </c>
      <c r="S11" s="510" t="e">
        <f>_xll.qlQuoteValue(R11,ISERROR(H11))</f>
        <v>#NUM!</v>
      </c>
      <c r="T11" s="509" t="e">
        <f t="shared" si="6"/>
        <v>#N/A</v>
      </c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ht="15" x14ac:dyDescent="0.25">
      <c r="A12" s="439"/>
      <c r="B12" s="468"/>
      <c r="C12" s="476" t="s">
        <v>38</v>
      </c>
      <c r="D12" s="471" t="str">
        <f t="shared" si="0"/>
        <v>USD-3MD=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Usd-3M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469">
        <f t="shared" si="4"/>
        <v>0</v>
      </c>
      <c r="P12" s="458"/>
      <c r="Q12" s="439"/>
      <c r="R12" s="439" t="str">
        <f t="shared" si="5"/>
        <v>USD3MD_Quote</v>
      </c>
      <c r="S12" s="510" t="e">
        <f>_xll.qlQuoteValue(R12,ISERROR(H12))</f>
        <v>#NUM!</v>
      </c>
      <c r="T12" s="509" t="e">
        <f t="shared" si="6"/>
        <v>#N/A</v>
      </c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ht="15" x14ac:dyDescent="0.25">
      <c r="A13" s="439"/>
      <c r="B13" s="468"/>
      <c r="C13" s="476" t="s">
        <v>37</v>
      </c>
      <c r="D13" s="471" t="str">
        <f t="shared" si="0"/>
        <v>USD-4MD=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Usd-4M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469">
        <f t="shared" si="4"/>
        <v>0</v>
      </c>
      <c r="P13" s="458"/>
      <c r="Q13" s="439"/>
      <c r="R13" s="439" t="str">
        <f t="shared" si="5"/>
        <v>USD4MD_Quote</v>
      </c>
      <c r="S13" s="510" t="e">
        <f>_xll.qlQuoteValue(R13,ISERROR(H13))</f>
        <v>#NUM!</v>
      </c>
      <c r="T13" s="509" t="e">
        <f t="shared" si="6"/>
        <v>#N/A</v>
      </c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ht="15" x14ac:dyDescent="0.25">
      <c r="A14" s="439"/>
      <c r="B14" s="468"/>
      <c r="C14" s="476" t="s">
        <v>36</v>
      </c>
      <c r="D14" s="471" t="str">
        <f t="shared" si="0"/>
        <v>USD-5MD=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Usd-5M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469">
        <f t="shared" si="4"/>
        <v>0</v>
      </c>
      <c r="P14" s="458"/>
      <c r="Q14" s="439"/>
      <c r="R14" s="439" t="str">
        <f t="shared" si="5"/>
        <v>USD5MD_Quote</v>
      </c>
      <c r="S14" s="510" t="e">
        <f>_xll.qlQuoteValue(R14,ISERROR(H14))</f>
        <v>#NUM!</v>
      </c>
      <c r="T14" s="509" t="e">
        <f t="shared" si="6"/>
        <v>#N/A</v>
      </c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ht="15" x14ac:dyDescent="0.25">
      <c r="A15" s="439"/>
      <c r="B15" s="468"/>
      <c r="C15" s="476" t="s">
        <v>35</v>
      </c>
      <c r="D15" s="471" t="str">
        <f t="shared" si="0"/>
        <v>USD-6MD=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Usd-6M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469">
        <f t="shared" si="4"/>
        <v>0</v>
      </c>
      <c r="P15" s="458"/>
      <c r="Q15" s="439"/>
      <c r="R15" s="439" t="str">
        <f t="shared" si="5"/>
        <v>USD6MD_Quote</v>
      </c>
      <c r="S15" s="510" t="e">
        <f>_xll.qlQuoteValue(R15,ISERROR(H15))</f>
        <v>#NUM!</v>
      </c>
      <c r="T15" s="509" t="e">
        <f t="shared" si="6"/>
        <v>#N/A</v>
      </c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ht="15" x14ac:dyDescent="0.25">
      <c r="A16" s="439"/>
      <c r="B16" s="468"/>
      <c r="C16" s="476" t="s">
        <v>34</v>
      </c>
      <c r="D16" s="471" t="str">
        <f t="shared" si="0"/>
        <v>USD-7MD=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Usd-7M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469">
        <f t="shared" si="4"/>
        <v>0</v>
      </c>
      <c r="P16" s="458"/>
      <c r="Q16" s="439"/>
      <c r="R16" s="439" t="str">
        <f t="shared" si="5"/>
        <v>USD7MD_Quote</v>
      </c>
      <c r="S16" s="510" t="e">
        <f>_xll.qlQuoteValue(R16,ISERROR(H16))</f>
        <v>#NUM!</v>
      </c>
      <c r="T16" s="509" t="e">
        <f t="shared" si="6"/>
        <v>#N/A</v>
      </c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ht="15" x14ac:dyDescent="0.25">
      <c r="A17" s="439"/>
      <c r="B17" s="468"/>
      <c r="C17" s="476" t="s">
        <v>33</v>
      </c>
      <c r="D17" s="471" t="str">
        <f t="shared" si="0"/>
        <v>USD-8MD=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Usd-8M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469">
        <f t="shared" si="4"/>
        <v>0</v>
      </c>
      <c r="P17" s="458"/>
      <c r="Q17" s="439"/>
      <c r="R17" s="439" t="str">
        <f t="shared" si="5"/>
        <v>USD8MD_Quote</v>
      </c>
      <c r="S17" s="510" t="e">
        <f>_xll.qlQuoteValue(R17,ISERROR(H17))</f>
        <v>#NUM!</v>
      </c>
      <c r="T17" s="509" t="e">
        <f t="shared" si="6"/>
        <v>#N/A</v>
      </c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ht="15" x14ac:dyDescent="0.25">
      <c r="A18" s="439"/>
      <c r="B18" s="468"/>
      <c r="C18" s="476" t="s">
        <v>32</v>
      </c>
      <c r="D18" s="471" t="str">
        <f t="shared" si="0"/>
        <v>USD-9MD=</v>
      </c>
      <c r="E18" s="475" t="s">
        <v>245</v>
      </c>
      <c r="F18" s="474" t="s">
        <v>245</v>
      </c>
      <c r="G18" s="474" t="b">
        <f t="shared" si="1"/>
        <v>0</v>
      </c>
      <c r="H18" s="473" t="e">
        <f>IF($G18,_xll.qlIndexAddFixings($J18,$E18,$F18/100,TRUE,ISERROR($K18)),NA())</f>
        <v>#N/A</v>
      </c>
      <c r="I18" s="463"/>
      <c r="J18" s="472" t="str">
        <f t="shared" si="2"/>
        <v>Usd-9M</v>
      </c>
      <c r="K18" s="471" t="e">
        <f>_xll.qlIndexFixing($J18,$E18,TRUE,$G18)</f>
        <v>#NUM!</v>
      </c>
      <c r="L18" s="471" t="e">
        <f>IF($H18,_xll.qlIndexFixing($J18,$E18,FALSE,$G18),"-")</f>
        <v>#N/A</v>
      </c>
      <c r="M18" s="471" t="e">
        <f t="shared" si="3"/>
        <v>#NUM!</v>
      </c>
      <c r="N18" s="470" t="e">
        <f>_xll.qlIndexFixing($J18,$E18,TRUE,$L18)</f>
        <v>#NUM!</v>
      </c>
      <c r="O18" s="469">
        <f t="shared" si="4"/>
        <v>0</v>
      </c>
      <c r="P18" s="458"/>
      <c r="Q18" s="439"/>
      <c r="R18" s="439" t="str">
        <f t="shared" si="5"/>
        <v>USD9MD_Quote</v>
      </c>
      <c r="S18" s="510" t="e">
        <f>_xll.qlQuoteValue(R18,ISERROR(H18))</f>
        <v>#NUM!</v>
      </c>
      <c r="T18" s="509" t="e">
        <f t="shared" si="6"/>
        <v>#N/A</v>
      </c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5" x14ac:dyDescent="0.25">
      <c r="A19" s="439"/>
      <c r="B19" s="468"/>
      <c r="C19" s="476" t="s">
        <v>31</v>
      </c>
      <c r="D19" s="471" t="str">
        <f t="shared" si="0"/>
        <v>USD-10MD=</v>
      </c>
      <c r="E19" s="475" t="s">
        <v>245</v>
      </c>
      <c r="F19" s="474" t="s">
        <v>245</v>
      </c>
      <c r="G19" s="474" t="b">
        <f t="shared" si="1"/>
        <v>0</v>
      </c>
      <c r="H19" s="473" t="e">
        <f>IF($G19,_xll.qlIndexAddFixings($J19,$E19,$F19/100,TRUE,ISERROR($K19)),NA())</f>
        <v>#N/A</v>
      </c>
      <c r="I19" s="463"/>
      <c r="J19" s="472" t="str">
        <f t="shared" si="2"/>
        <v>Usd-10M</v>
      </c>
      <c r="K19" s="471" t="e">
        <f>_xll.qlIndexFixing($J19,$E19,TRUE,$G19)</f>
        <v>#NUM!</v>
      </c>
      <c r="L19" s="471" t="e">
        <f>IF($H19,_xll.qlIndexFixing($J19,$E19,FALSE,$G19),"-")</f>
        <v>#N/A</v>
      </c>
      <c r="M19" s="471" t="e">
        <f t="shared" si="3"/>
        <v>#NUM!</v>
      </c>
      <c r="N19" s="470" t="e">
        <f>_xll.qlIndexFixing($J19,$E19,TRUE,$L19)</f>
        <v>#NUM!</v>
      </c>
      <c r="O19" s="469">
        <f t="shared" si="4"/>
        <v>0</v>
      </c>
      <c r="P19" s="458"/>
      <c r="Q19" s="439"/>
      <c r="R19" s="439" t="str">
        <f t="shared" si="5"/>
        <v>USD10MD_Quote</v>
      </c>
      <c r="S19" s="510" t="e">
        <f>_xll.qlQuoteValue(R19,ISERROR(H19))</f>
        <v>#NUM!</v>
      </c>
      <c r="T19" s="509" t="e">
        <f t="shared" si="6"/>
        <v>#N/A</v>
      </c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5" x14ac:dyDescent="0.25">
      <c r="A20" s="439"/>
      <c r="B20" s="468"/>
      <c r="C20" s="476" t="s">
        <v>30</v>
      </c>
      <c r="D20" s="471" t="str">
        <f t="shared" si="0"/>
        <v>USD-11MD=</v>
      </c>
      <c r="E20" s="475" t="s">
        <v>245</v>
      </c>
      <c r="F20" s="474" t="s">
        <v>245</v>
      </c>
      <c r="G20" s="474" t="b">
        <f t="shared" si="1"/>
        <v>0</v>
      </c>
      <c r="H20" s="473" t="e">
        <f>IF($G20,_xll.qlIndexAddFixings($J20,$E20,$F20/100,TRUE,ISERROR($K20)),NA())</f>
        <v>#N/A</v>
      </c>
      <c r="I20" s="463"/>
      <c r="J20" s="472" t="str">
        <f t="shared" si="2"/>
        <v>Usd-11M</v>
      </c>
      <c r="K20" s="471" t="e">
        <f>_xll.qlIndexFixing($J20,$E20,TRUE,$G20)</f>
        <v>#NUM!</v>
      </c>
      <c r="L20" s="471" t="e">
        <f>IF($H20,_xll.qlIndexFixing($J20,$E20,FALSE,$G20),"-")</f>
        <v>#N/A</v>
      </c>
      <c r="M20" s="471" t="e">
        <f t="shared" si="3"/>
        <v>#NUM!</v>
      </c>
      <c r="N20" s="470" t="e">
        <f>_xll.qlIndexFixing($J20,$E20,TRUE,$L20)</f>
        <v>#NUM!</v>
      </c>
      <c r="O20" s="469">
        <f t="shared" si="4"/>
        <v>0</v>
      </c>
      <c r="P20" s="458"/>
      <c r="Q20" s="439"/>
      <c r="R20" s="439" t="str">
        <f t="shared" si="5"/>
        <v>USD11MD_Quote</v>
      </c>
      <c r="S20" s="510" t="e">
        <f>_xll.qlQuoteValue(R20,ISERROR(H20))</f>
        <v>#NUM!</v>
      </c>
      <c r="T20" s="509" t="e">
        <f t="shared" si="6"/>
        <v>#N/A</v>
      </c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ht="15" x14ac:dyDescent="0.25">
      <c r="A21" s="439"/>
      <c r="B21" s="468"/>
      <c r="C21" s="467" t="s">
        <v>29</v>
      </c>
      <c r="D21" s="461" t="str">
        <f t="shared" si="0"/>
        <v>USD-1YD=</v>
      </c>
      <c r="E21" s="466" t="s">
        <v>245</v>
      </c>
      <c r="F21" s="465" t="s">
        <v>245</v>
      </c>
      <c r="G21" s="465" t="b">
        <f t="shared" si="1"/>
        <v>0</v>
      </c>
      <c r="H21" s="464" t="e">
        <f>IF($G21,_xll.qlIndexAddFixings($J21,$E21,$F21/100,TRUE,ISERROR($K21)),NA())</f>
        <v>#N/A</v>
      </c>
      <c r="I21" s="463"/>
      <c r="J21" s="462" t="str">
        <f t="shared" si="2"/>
        <v>Usd-1Y</v>
      </c>
      <c r="K21" s="461" t="e">
        <f>_xll.qlIndexFixing($J21,$E21,TRUE,$G21)</f>
        <v>#NUM!</v>
      </c>
      <c r="L21" s="461" t="e">
        <f>IF($H21,_xll.qlIndexFixing($J21,$E21,FALSE,$G21),"-")</f>
        <v>#N/A</v>
      </c>
      <c r="M21" s="461" t="e">
        <f t="shared" si="3"/>
        <v>#NUM!</v>
      </c>
      <c r="N21" s="460" t="e">
        <f>_xll.qlIndexFixing($J21,$E21,TRUE,$L21)</f>
        <v>#NUM!</v>
      </c>
      <c r="O21" s="459">
        <f t="shared" si="4"/>
        <v>0</v>
      </c>
      <c r="P21" s="458"/>
      <c r="Q21" s="439"/>
      <c r="R21" s="439" t="str">
        <f t="shared" si="5"/>
        <v>USD1YD_Quote</v>
      </c>
      <c r="S21" s="510" t="e">
        <f>_xll.qlQuoteValue(R21,ISERROR(H21))</f>
        <v>#NUM!</v>
      </c>
      <c r="T21" s="509" t="e">
        <f t="shared" si="6"/>
        <v>#N/A</v>
      </c>
      <c r="U21" s="439"/>
      <c r="V21" s="439"/>
      <c r="W21" s="439"/>
      <c r="X21" s="439"/>
      <c r="Y21" s="439"/>
      <c r="Z21" s="439"/>
      <c r="AA21" s="439"/>
      <c r="AB21" s="439"/>
      <c r="AC21" s="439"/>
      <c r="AD21" s="439"/>
    </row>
    <row r="22" spans="1:30" ht="12" thickBot="1" x14ac:dyDescent="0.25">
      <c r="A22" s="439"/>
      <c r="B22" s="457"/>
      <c r="C22" s="454"/>
      <c r="D22" s="454"/>
      <c r="E22" s="456"/>
      <c r="F22" s="455"/>
      <c r="G22" s="455"/>
      <c r="H22" s="454"/>
      <c r="I22" s="454"/>
      <c r="J22" s="454"/>
      <c r="K22" s="454"/>
      <c r="L22" s="454"/>
      <c r="M22" s="454"/>
      <c r="N22" s="454"/>
      <c r="O22" s="454"/>
      <c r="P22" s="453"/>
      <c r="Q22" s="439"/>
      <c r="R22" s="439"/>
      <c r="S22" s="439"/>
      <c r="T22" s="439"/>
      <c r="U22" s="439"/>
      <c r="V22" s="439"/>
      <c r="W22" s="439"/>
      <c r="X22" s="439"/>
      <c r="Y22" s="439"/>
      <c r="Z22" s="439"/>
      <c r="AA22" s="439"/>
      <c r="AB22" s="439"/>
      <c r="AC22" s="439"/>
      <c r="AD22" s="439"/>
    </row>
    <row r="23" spans="1:30" ht="12" thickBot="1" x14ac:dyDescent="0.25">
      <c r="A23" s="439"/>
      <c r="B23" s="439"/>
      <c r="C23" s="439"/>
      <c r="D23" s="439"/>
      <c r="E23" s="452"/>
      <c r="F23" s="451"/>
      <c r="G23" s="451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439"/>
      <c r="AA23" s="439"/>
      <c r="AB23" s="439"/>
      <c r="AC23" s="439"/>
      <c r="AD23" s="439"/>
    </row>
    <row r="24" spans="1:30" s="439" customFormat="1" x14ac:dyDescent="0.2">
      <c r="C24" s="450" t="s">
        <v>132</v>
      </c>
      <c r="D24" s="449" t="s">
        <v>331</v>
      </c>
      <c r="E24" s="448" t="s">
        <v>331</v>
      </c>
      <c r="F24" s="447"/>
    </row>
    <row r="25" spans="1:30" s="439" customFormat="1" x14ac:dyDescent="0.2">
      <c r="C25" s="445" t="s">
        <v>131</v>
      </c>
      <c r="D25" s="444" t="s">
        <v>253</v>
      </c>
      <c r="E25" s="443" t="s">
        <v>254</v>
      </c>
      <c r="J25" s="446"/>
    </row>
    <row r="26" spans="1:30" s="439" customFormat="1" x14ac:dyDescent="0.2">
      <c r="C26" s="445" t="s">
        <v>315</v>
      </c>
      <c r="D26" s="444" t="s">
        <v>331</v>
      </c>
      <c r="E26" s="443" t="s">
        <v>331</v>
      </c>
      <c r="J26" s="446"/>
    </row>
    <row r="27" spans="1:30" s="439" customFormat="1" x14ac:dyDescent="0.2">
      <c r="C27" s="445" t="s">
        <v>314</v>
      </c>
      <c r="D27" s="444" t="s">
        <v>331</v>
      </c>
      <c r="E27" s="443" t="s">
        <v>331</v>
      </c>
      <c r="J27" s="446"/>
    </row>
    <row r="28" spans="1:30" s="439" customFormat="1" x14ac:dyDescent="0.2">
      <c r="C28" s="445" t="s">
        <v>128</v>
      </c>
      <c r="D28" s="444" t="s">
        <v>331</v>
      </c>
      <c r="E28" s="443" t="s">
        <v>331</v>
      </c>
    </row>
    <row r="29" spans="1:30" s="439" customFormat="1" x14ac:dyDescent="0.2">
      <c r="C29" s="445" t="s">
        <v>127</v>
      </c>
      <c r="D29" s="444" t="s">
        <v>331</v>
      </c>
      <c r="E29" s="443" t="s">
        <v>331</v>
      </c>
    </row>
    <row r="30" spans="1:30" s="439" customFormat="1" ht="12" thickBot="1" x14ac:dyDescent="0.25">
      <c r="C30" s="442" t="s">
        <v>122</v>
      </c>
      <c r="D30" s="441" t="s">
        <v>331</v>
      </c>
      <c r="E30" s="440" t="s">
        <v>331</v>
      </c>
    </row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  <row r="39" s="439" customFormat="1" x14ac:dyDescent="0.2"/>
    <row r="40" s="439" customFormat="1" x14ac:dyDescent="0.2"/>
    <row r="41" s="43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119</vt:i4>
      </vt:variant>
    </vt:vector>
  </HeadingPairs>
  <TitlesOfParts>
    <vt:vector size="160" baseType="lpstr">
      <vt:lpstr>General Settings</vt:lpstr>
      <vt:lpstr>EUR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EUR!Currency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FwdEONIAOIS!QuoteStatic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2013-12-16T17:52:33Z</dcterms:modified>
</cp:coreProperties>
</file>